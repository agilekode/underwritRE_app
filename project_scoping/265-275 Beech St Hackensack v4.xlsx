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2A13B3138C41251/Documents/BYLT/Personal RE/underwritRE/"/>
    </mc:Choice>
  </mc:AlternateContent>
  <xr:revisionPtr revIDLastSave="125" documentId="8_{E615F709-E3C3-42D0-AEF3-0A6EAE0F5002}" xr6:coauthVersionLast="47" xr6:coauthVersionMax="47" xr10:uidLastSave="{00DCF045-31A6-46F8-9AC2-769A8AB56A66}"/>
  <bookViews>
    <workbookView xWindow="-28920" yWindow="-120" windowWidth="29040" windowHeight="15720" tabRatio="872" firstSheet="2" activeTab="5" xr2:uid="{BBA22B10-FA44-42D5-93C6-137DD79D0084}"/>
  </bookViews>
  <sheets>
    <sheet name="Sheet4" sheetId="41" r:id="rId1"/>
    <sheet name="Diligence and Notes" sheetId="24" r:id="rId2"/>
    <sheet name="Underwriting Assumptions" sheetId="30" r:id="rId3"/>
    <sheet name="NOI" sheetId="31" r:id="rId4"/>
    <sheet name="Cash Flow and Exit" sheetId="32" r:id="rId5"/>
    <sheet name="Model" sheetId="3" r:id="rId6"/>
    <sheet name="Assumptions" sheetId="1" r:id="rId7"/>
    <sheet name="Rent Roll Model" sheetId="38" r:id="rId8"/>
    <sheet name="NOI Walk" sheetId="9" r:id="rId9"/>
    <sheet name="Debt Schedule" sheetId="23" r:id="rId10"/>
    <sheet name="Retail Assumptions" sheetId="10" r:id="rId11"/>
    <sheet name="Closing Costs" sheetId="6" r:id="rId12"/>
    <sheet name="Legal and Pre-Dev" sheetId="2" r:id="rId13"/>
    <sheet name="Reserves" sheetId="11" r:id="rId14"/>
    <sheet name="Hard Costs" sheetId="7" r:id="rId15"/>
    <sheet name="1-month Term SOFR" sheetId="8" r:id="rId16"/>
  </sheets>
  <definedNames>
    <definedName name="Financial_Summary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'Diligence and Notes'!$B$3:$J$11</definedName>
  </definedNames>
  <calcPr calcId="191029" calcMode="autoNoTable" iterate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9" l="1"/>
  <c r="E5" i="9"/>
  <c r="EF65" i="9"/>
  <c r="B4" i="7"/>
  <c r="B4" i="11"/>
  <c r="B4" i="6"/>
  <c r="B4" i="2"/>
  <c r="E7" i="9"/>
  <c r="E26" i="9"/>
  <c r="E25" i="9"/>
  <c r="O4" i="9"/>
  <c r="O5" i="9"/>
  <c r="M3" i="9"/>
  <c r="M4" i="9"/>
  <c r="M5" i="9"/>
  <c r="F4" i="38"/>
  <c r="H4" i="38"/>
  <c r="F3" i="38"/>
  <c r="T46" i="1"/>
  <c r="T49" i="1"/>
  <c r="T50" i="1"/>
  <c r="T51" i="1"/>
  <c r="R46" i="1"/>
  <c r="R47" i="1"/>
  <c r="R48" i="1"/>
  <c r="R49" i="1"/>
  <c r="R50" i="1"/>
  <c r="R51" i="1"/>
  <c r="L6" i="10"/>
  <c r="H19" i="10"/>
  <c r="D5" i="38"/>
  <c r="K5" i="38" s="1"/>
  <c r="L5" i="38" s="1"/>
  <c r="M5" i="38" s="1"/>
  <c r="N5" i="38" s="1"/>
  <c r="O5" i="38" s="1"/>
  <c r="P5" i="38" s="1"/>
  <c r="Q5" i="38" s="1"/>
  <c r="R5" i="38" s="1"/>
  <c r="S5" i="38" s="1"/>
  <c r="T5" i="38" s="1"/>
  <c r="U5" i="38" s="1"/>
  <c r="V5" i="38" s="1"/>
  <c r="W5" i="38" s="1"/>
  <c r="X5" i="38" s="1"/>
  <c r="Y5" i="38" s="1"/>
  <c r="Z5" i="38" s="1"/>
  <c r="AA5" i="38" s="1"/>
  <c r="AB5" i="38" s="1"/>
  <c r="AC5" i="38" s="1"/>
  <c r="AD5" i="38" s="1"/>
  <c r="AE5" i="38" s="1"/>
  <c r="AF5" i="38" s="1"/>
  <c r="AG5" i="38" s="1"/>
  <c r="AH5" i="38" s="1"/>
  <c r="AI5" i="38" s="1"/>
  <c r="AJ5" i="38" s="1"/>
  <c r="AK5" i="38" s="1"/>
  <c r="AL5" i="38" s="1"/>
  <c r="AM5" i="38" s="1"/>
  <c r="AN5" i="38" s="1"/>
  <c r="AO5" i="38" s="1"/>
  <c r="AP5" i="38" s="1"/>
  <c r="AQ5" i="38" s="1"/>
  <c r="AR5" i="38" s="1"/>
  <c r="AS5" i="38" s="1"/>
  <c r="AT5" i="38" s="1"/>
  <c r="AU5" i="38" s="1"/>
  <c r="AV5" i="38" s="1"/>
  <c r="AW5" i="38" s="1"/>
  <c r="AX5" i="38" s="1"/>
  <c r="AY5" i="38" s="1"/>
  <c r="AZ5" i="38" s="1"/>
  <c r="BA5" i="38" s="1"/>
  <c r="BB5" i="38" s="1"/>
  <c r="BC5" i="38" s="1"/>
  <c r="BD5" i="38" s="1"/>
  <c r="BE5" i="38" s="1"/>
  <c r="BF5" i="38" s="1"/>
  <c r="BG5" i="38" s="1"/>
  <c r="BH5" i="38" s="1"/>
  <c r="BI5" i="38" s="1"/>
  <c r="BJ5" i="38" s="1"/>
  <c r="BK5" i="38" s="1"/>
  <c r="BL5" i="38" s="1"/>
  <c r="BM5" i="38" s="1"/>
  <c r="BN5" i="38" s="1"/>
  <c r="BO5" i="38" s="1"/>
  <c r="BP5" i="38" s="1"/>
  <c r="BQ5" i="38" s="1"/>
  <c r="BR5" i="38" s="1"/>
  <c r="BS5" i="38" s="1"/>
  <c r="BT5" i="38" s="1"/>
  <c r="BU5" i="38" s="1"/>
  <c r="BV5" i="38" s="1"/>
  <c r="BW5" i="38" s="1"/>
  <c r="BX5" i="38" s="1"/>
  <c r="BY5" i="38" s="1"/>
  <c r="BZ5" i="38" s="1"/>
  <c r="CA5" i="38" s="1"/>
  <c r="CB5" i="38" s="1"/>
  <c r="CC5" i="38" s="1"/>
  <c r="CD5" i="38" s="1"/>
  <c r="CE5" i="38" s="1"/>
  <c r="CF5" i="38" s="1"/>
  <c r="CG5" i="38" s="1"/>
  <c r="CH5" i="38" s="1"/>
  <c r="CI5" i="38" s="1"/>
  <c r="CJ5" i="38" s="1"/>
  <c r="CK5" i="38" s="1"/>
  <c r="CL5" i="38" s="1"/>
  <c r="CM5" i="38" s="1"/>
  <c r="CN5" i="38" s="1"/>
  <c r="CO5" i="38" s="1"/>
  <c r="CP5" i="38" s="1"/>
  <c r="CQ5" i="38" s="1"/>
  <c r="CR5" i="38" s="1"/>
  <c r="CS5" i="38" s="1"/>
  <c r="CT5" i="38" s="1"/>
  <c r="CU5" i="38" s="1"/>
  <c r="CV5" i="38" s="1"/>
  <c r="CW5" i="38" s="1"/>
  <c r="CX5" i="38" s="1"/>
  <c r="CY5" i="38" s="1"/>
  <c r="CZ5" i="38" s="1"/>
  <c r="DA5" i="38" s="1"/>
  <c r="DB5" i="38" s="1"/>
  <c r="DC5" i="38" s="1"/>
  <c r="DD5" i="38" s="1"/>
  <c r="DE5" i="38" s="1"/>
  <c r="DF5" i="38" s="1"/>
  <c r="DG5" i="38" s="1"/>
  <c r="DH5" i="38" s="1"/>
  <c r="DI5" i="38" s="1"/>
  <c r="DJ5" i="38" s="1"/>
  <c r="DK5" i="38" s="1"/>
  <c r="DL5" i="38" s="1"/>
  <c r="DM5" i="38" s="1"/>
  <c r="DN5" i="38" s="1"/>
  <c r="DO5" i="38" s="1"/>
  <c r="DP5" i="38" s="1"/>
  <c r="DQ5" i="38" s="1"/>
  <c r="DR5" i="38" s="1"/>
  <c r="DS5" i="38" s="1"/>
  <c r="DT5" i="38" s="1"/>
  <c r="DU5" i="38" s="1"/>
  <c r="DV5" i="38" s="1"/>
  <c r="DW5" i="38" s="1"/>
  <c r="DX5" i="38" s="1"/>
  <c r="DY5" i="38" s="1"/>
  <c r="DZ5" i="38" s="1"/>
  <c r="EA5" i="38" s="1"/>
  <c r="EB5" i="38" s="1"/>
  <c r="EC5" i="38" s="1"/>
  <c r="ED5" i="38" s="1"/>
  <c r="EE5" i="38" s="1"/>
  <c r="EF5" i="38" s="1"/>
  <c r="EG5" i="38" s="1"/>
  <c r="EH5" i="38" s="1"/>
  <c r="EI5" i="38" s="1"/>
  <c r="EJ5" i="38" s="1"/>
  <c r="EK5" i="38" s="1"/>
  <c r="D4" i="38"/>
  <c r="K4" i="38" s="1"/>
  <c r="L4" i="38" s="1"/>
  <c r="M4" i="38" s="1"/>
  <c r="N4" i="38" s="1"/>
  <c r="O4" i="38" s="1"/>
  <c r="P4" i="38" s="1"/>
  <c r="Q4" i="38" s="1"/>
  <c r="R4" i="38" s="1"/>
  <c r="S4" i="38" s="1"/>
  <c r="T4" i="38" s="1"/>
  <c r="U4" i="38" s="1"/>
  <c r="V4" i="38" s="1"/>
  <c r="W4" i="38" s="1"/>
  <c r="X4" i="38" s="1"/>
  <c r="Y4" i="38" s="1"/>
  <c r="Z4" i="38" s="1"/>
  <c r="AA4" i="38" s="1"/>
  <c r="AB4" i="38" s="1"/>
  <c r="AC4" i="38" s="1"/>
  <c r="AD4" i="38" s="1"/>
  <c r="AE4" i="38" s="1"/>
  <c r="AF4" i="38" s="1"/>
  <c r="AG4" i="38" s="1"/>
  <c r="AH4" i="38" s="1"/>
  <c r="AI4" i="38" s="1"/>
  <c r="AJ4" i="38" s="1"/>
  <c r="AK4" i="38" s="1"/>
  <c r="AL4" i="38" s="1"/>
  <c r="AM4" i="38" s="1"/>
  <c r="AN4" i="38" s="1"/>
  <c r="AO4" i="38" s="1"/>
  <c r="AP4" i="38" s="1"/>
  <c r="AQ4" i="38" s="1"/>
  <c r="AR4" i="38" s="1"/>
  <c r="AS4" i="38" s="1"/>
  <c r="AT4" i="38" s="1"/>
  <c r="AU4" i="38" s="1"/>
  <c r="AV4" i="38" s="1"/>
  <c r="AW4" i="38" s="1"/>
  <c r="AX4" i="38" s="1"/>
  <c r="AY4" i="38" s="1"/>
  <c r="AZ4" i="38" s="1"/>
  <c r="BA4" i="38" s="1"/>
  <c r="BB4" i="38" s="1"/>
  <c r="BC4" i="38" s="1"/>
  <c r="BD4" i="38" s="1"/>
  <c r="BE4" i="38" s="1"/>
  <c r="BF4" i="38" s="1"/>
  <c r="BG4" i="38" s="1"/>
  <c r="BH4" i="38" s="1"/>
  <c r="BI4" i="38" s="1"/>
  <c r="BJ4" i="38" s="1"/>
  <c r="BK4" i="38" s="1"/>
  <c r="BL4" i="38" s="1"/>
  <c r="BM4" i="38" s="1"/>
  <c r="BN4" i="38" s="1"/>
  <c r="BO4" i="38" s="1"/>
  <c r="BP4" i="38" s="1"/>
  <c r="BQ4" i="38" s="1"/>
  <c r="BR4" i="38" s="1"/>
  <c r="BS4" i="38" s="1"/>
  <c r="BT4" i="38" s="1"/>
  <c r="BU4" i="38" s="1"/>
  <c r="BV4" i="38" s="1"/>
  <c r="BW4" i="38" s="1"/>
  <c r="BX4" i="38" s="1"/>
  <c r="BY4" i="38" s="1"/>
  <c r="BZ4" i="38" s="1"/>
  <c r="CA4" i="38" s="1"/>
  <c r="CB4" i="38" s="1"/>
  <c r="CC4" i="38" s="1"/>
  <c r="CD4" i="38" s="1"/>
  <c r="CE4" i="38" s="1"/>
  <c r="CF4" i="38" s="1"/>
  <c r="CG4" i="38" s="1"/>
  <c r="CH4" i="38" s="1"/>
  <c r="CI4" i="38" s="1"/>
  <c r="CJ4" i="38" s="1"/>
  <c r="CK4" i="38" s="1"/>
  <c r="CL4" i="38" s="1"/>
  <c r="CM4" i="38" s="1"/>
  <c r="CN4" i="38" s="1"/>
  <c r="CO4" i="38" s="1"/>
  <c r="CP4" i="38" s="1"/>
  <c r="CQ4" i="38" s="1"/>
  <c r="CR4" i="38" s="1"/>
  <c r="CS4" i="38" s="1"/>
  <c r="CT4" i="38" s="1"/>
  <c r="CU4" i="38" s="1"/>
  <c r="CV4" i="38" s="1"/>
  <c r="CW4" i="38" s="1"/>
  <c r="CX4" i="38" s="1"/>
  <c r="CY4" i="38" s="1"/>
  <c r="CZ4" i="38" s="1"/>
  <c r="DA4" i="38" s="1"/>
  <c r="DB4" i="38" s="1"/>
  <c r="DC4" i="38" s="1"/>
  <c r="DD4" i="38" s="1"/>
  <c r="DE4" i="38" s="1"/>
  <c r="DF4" i="38" s="1"/>
  <c r="DG4" i="38" s="1"/>
  <c r="DH4" i="38" s="1"/>
  <c r="DI4" i="38" s="1"/>
  <c r="DJ4" i="38" s="1"/>
  <c r="DK4" i="38" s="1"/>
  <c r="DL4" i="38" s="1"/>
  <c r="DM4" i="38" s="1"/>
  <c r="DN4" i="38" s="1"/>
  <c r="DO4" i="38" s="1"/>
  <c r="DP4" i="38" s="1"/>
  <c r="DQ4" i="38" s="1"/>
  <c r="DR4" i="38" s="1"/>
  <c r="DS4" i="38" s="1"/>
  <c r="DT4" i="38" s="1"/>
  <c r="DU4" i="38" s="1"/>
  <c r="DV4" i="38" s="1"/>
  <c r="DW4" i="38" s="1"/>
  <c r="DX4" i="38" s="1"/>
  <c r="DY4" i="38" s="1"/>
  <c r="DZ4" i="38" s="1"/>
  <c r="EA4" i="38" s="1"/>
  <c r="EB4" i="38" s="1"/>
  <c r="EC4" i="38" s="1"/>
  <c r="ED4" i="38" s="1"/>
  <c r="EE4" i="38" s="1"/>
  <c r="EF4" i="38" s="1"/>
  <c r="EG4" i="38" s="1"/>
  <c r="EH4" i="38" s="1"/>
  <c r="EI4" i="38" s="1"/>
  <c r="EJ4" i="38" s="1"/>
  <c r="EK4" i="38" s="1"/>
  <c r="D3" i="38"/>
  <c r="K3" i="38" s="1"/>
  <c r="B4" i="38"/>
  <c r="B5" i="38"/>
  <c r="B3" i="38"/>
  <c r="B8" i="38"/>
  <c r="C8" i="38"/>
  <c r="B9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J8" i="38"/>
  <c r="D8" i="38"/>
  <c r="E8" i="38"/>
  <c r="G8" i="38"/>
  <c r="H8" i="38"/>
  <c r="D9" i="38"/>
  <c r="E9" i="38"/>
  <c r="G9" i="38"/>
  <c r="D10" i="38"/>
  <c r="E10" i="38"/>
  <c r="G10" i="38"/>
  <c r="D11" i="38"/>
  <c r="E11" i="38"/>
  <c r="G11" i="38"/>
  <c r="D12" i="38"/>
  <c r="G12" i="38"/>
  <c r="D13" i="38"/>
  <c r="G13" i="38"/>
  <c r="D14" i="38"/>
  <c r="G14" i="38"/>
  <c r="D15" i="38"/>
  <c r="G15" i="38"/>
  <c r="D16" i="38"/>
  <c r="G16" i="38"/>
  <c r="D17" i="38"/>
  <c r="G17" i="38"/>
  <c r="D18" i="38"/>
  <c r="G18" i="38"/>
  <c r="D19" i="38"/>
  <c r="G19" i="38"/>
  <c r="D20" i="38"/>
  <c r="G20" i="38"/>
  <c r="D21" i="38"/>
  <c r="G21" i="38"/>
  <c r="D22" i="38"/>
  <c r="G22" i="38"/>
  <c r="D23" i="38"/>
  <c r="G23" i="38"/>
  <c r="D24" i="38"/>
  <c r="G24" i="38"/>
  <c r="D25" i="38"/>
  <c r="G25" i="38"/>
  <c r="D26" i="38"/>
  <c r="G26" i="38"/>
  <c r="D27" i="38"/>
  <c r="G27" i="38"/>
  <c r="D28" i="38"/>
  <c r="G28" i="38"/>
  <c r="D29" i="38"/>
  <c r="G29" i="38"/>
  <c r="D30" i="38"/>
  <c r="G30" i="38"/>
  <c r="D31" i="38"/>
  <c r="G31" i="38"/>
  <c r="D32" i="38"/>
  <c r="G32" i="38"/>
  <c r="D33" i="38"/>
  <c r="G33" i="38"/>
  <c r="D34" i="38"/>
  <c r="G34" i="38"/>
  <c r="D35" i="38"/>
  <c r="G35" i="38"/>
  <c r="D36" i="38"/>
  <c r="G36" i="38"/>
  <c r="D37" i="38"/>
  <c r="G37" i="38"/>
  <c r="D38" i="38"/>
  <c r="G38" i="38"/>
  <c r="D39" i="38"/>
  <c r="G39" i="38"/>
  <c r="D40" i="38"/>
  <c r="G40" i="38"/>
  <c r="D41" i="38"/>
  <c r="G41" i="38"/>
  <c r="D42" i="38"/>
  <c r="G42" i="38"/>
  <c r="D43" i="38"/>
  <c r="G43" i="38"/>
  <c r="D44" i="38"/>
  <c r="G44" i="38"/>
  <c r="D45" i="38"/>
  <c r="G45" i="38"/>
  <c r="D46" i="38"/>
  <c r="G46" i="38"/>
  <c r="D47" i="38"/>
  <c r="G47" i="38"/>
  <c r="D48" i="38"/>
  <c r="G48" i="38"/>
  <c r="D49" i="38"/>
  <c r="G49" i="38"/>
  <c r="D50" i="38"/>
  <c r="G50" i="38"/>
  <c r="D51" i="38"/>
  <c r="G51" i="38"/>
  <c r="D52" i="38"/>
  <c r="G52" i="38"/>
  <c r="D53" i="38"/>
  <c r="G53" i="38"/>
  <c r="D54" i="38"/>
  <c r="G54" i="38"/>
  <c r="D55" i="38"/>
  <c r="G55" i="38"/>
  <c r="D56" i="38"/>
  <c r="G56" i="38"/>
  <c r="D57" i="38"/>
  <c r="G57" i="38"/>
  <c r="D58" i="38"/>
  <c r="G58" i="38"/>
  <c r="D59" i="38"/>
  <c r="G59" i="38"/>
  <c r="D60" i="38"/>
  <c r="G60" i="38"/>
  <c r="D61" i="38"/>
  <c r="G61" i="38"/>
  <c r="D62" i="38"/>
  <c r="G62" i="38"/>
  <c r="D63" i="38"/>
  <c r="G63" i="38"/>
  <c r="D64" i="38"/>
  <c r="G64" i="38"/>
  <c r="D65" i="38"/>
  <c r="G65" i="38"/>
  <c r="D66" i="38"/>
  <c r="G66" i="38"/>
  <c r="D67" i="38"/>
  <c r="G67" i="38"/>
  <c r="D68" i="38"/>
  <c r="G68" i="38"/>
  <c r="D69" i="38"/>
  <c r="G69" i="38"/>
  <c r="D70" i="38"/>
  <c r="G70" i="38"/>
  <c r="D71" i="38"/>
  <c r="G71" i="38"/>
  <c r="D72" i="38"/>
  <c r="G72" i="38"/>
  <c r="D73" i="38"/>
  <c r="G73" i="38"/>
  <c r="D74" i="38"/>
  <c r="G74" i="38"/>
  <c r="D75" i="38"/>
  <c r="G75" i="38"/>
  <c r="D76" i="38"/>
  <c r="G76" i="38"/>
  <c r="D77" i="38"/>
  <c r="G77" i="38"/>
  <c r="D78" i="38"/>
  <c r="G78" i="38"/>
  <c r="D79" i="38"/>
  <c r="G79" i="38"/>
  <c r="D80" i="38"/>
  <c r="G80" i="38"/>
  <c r="D81" i="38"/>
  <c r="G81" i="38"/>
  <c r="D82" i="38"/>
  <c r="G82" i="38"/>
  <c r="D83" i="38"/>
  <c r="G83" i="38"/>
  <c r="D84" i="38"/>
  <c r="G84" i="38"/>
  <c r="D85" i="38"/>
  <c r="G85" i="38"/>
  <c r="D86" i="38"/>
  <c r="G86" i="38"/>
  <c r="F200" i="1"/>
  <c r="G200" i="1" s="1"/>
  <c r="H200" i="1" s="1"/>
  <c r="I200" i="1" s="1"/>
  <c r="F190" i="1"/>
  <c r="G190" i="1" s="1"/>
  <c r="H190" i="1" s="1"/>
  <c r="I190" i="1" s="1"/>
  <c r="D204" i="1"/>
  <c r="D205" i="1" s="1"/>
  <c r="D202" i="1"/>
  <c r="D201" i="1" s="1"/>
  <c r="D192" i="1"/>
  <c r="D191" i="1" s="1"/>
  <c r="K68" i="38" l="1"/>
  <c r="J85" i="38"/>
  <c r="K85" i="38"/>
  <c r="J69" i="38"/>
  <c r="K69" i="38"/>
  <c r="J68" i="38"/>
  <c r="J48" i="38"/>
  <c r="K48" i="38"/>
  <c r="K70" i="38"/>
  <c r="J70" i="38"/>
  <c r="J47" i="38"/>
  <c r="K47" i="38"/>
  <c r="J23" i="38"/>
  <c r="K23" i="38"/>
  <c r="J40" i="38"/>
  <c r="K40" i="38"/>
  <c r="J12" i="38"/>
  <c r="K12" i="38"/>
  <c r="J42" i="38"/>
  <c r="K42" i="38"/>
  <c r="J14" i="38"/>
  <c r="K14" i="38"/>
  <c r="J13" i="38"/>
  <c r="K13" i="38"/>
  <c r="J9" i="38"/>
  <c r="J11" i="38"/>
  <c r="J10" i="38"/>
  <c r="L3" i="38"/>
  <c r="L68" i="38" s="1"/>
  <c r="F10" i="38"/>
  <c r="F11" i="38"/>
  <c r="F9" i="38"/>
  <c r="D194" i="1"/>
  <c r="D195" i="1" s="1"/>
  <c r="L40" i="38" l="1"/>
  <c r="L47" i="38"/>
  <c r="L70" i="38"/>
  <c r="L69" i="38"/>
  <c r="L85" i="38"/>
  <c r="L48" i="38"/>
  <c r="L23" i="38"/>
  <c r="L12" i="38"/>
  <c r="L14" i="38"/>
  <c r="L13" i="38"/>
  <c r="L42" i="38"/>
  <c r="M3" i="38"/>
  <c r="G144" i="1"/>
  <c r="M69" i="38" l="1"/>
  <c r="M48" i="38"/>
  <c r="M23" i="38"/>
  <c r="M70" i="38"/>
  <c r="M85" i="38"/>
  <c r="M68" i="38"/>
  <c r="M42" i="38"/>
  <c r="M47" i="38"/>
  <c r="M40" i="38"/>
  <c r="M12" i="38"/>
  <c r="M13" i="38"/>
  <c r="M14" i="38"/>
  <c r="N3" i="38"/>
  <c r="G49" i="1"/>
  <c r="G50" i="1"/>
  <c r="G51" i="1"/>
  <c r="E7" i="7"/>
  <c r="O53" i="1"/>
  <c r="J103" i="1"/>
  <c r="H66" i="38" s="1"/>
  <c r="J104" i="1"/>
  <c r="H67" i="38" s="1"/>
  <c r="J105" i="1"/>
  <c r="H68" i="38" s="1"/>
  <c r="J106" i="1"/>
  <c r="H69" i="38" s="1"/>
  <c r="J107" i="1"/>
  <c r="H70" i="38" s="1"/>
  <c r="J108" i="1"/>
  <c r="H71" i="38" s="1"/>
  <c r="J109" i="1"/>
  <c r="H72" i="38" s="1"/>
  <c r="J110" i="1"/>
  <c r="H73" i="38" s="1"/>
  <c r="J111" i="1"/>
  <c r="H74" i="38" s="1"/>
  <c r="J112" i="1"/>
  <c r="H75" i="38" s="1"/>
  <c r="J113" i="1"/>
  <c r="H76" i="38" s="1"/>
  <c r="J114" i="1"/>
  <c r="H77" i="38" s="1"/>
  <c r="J115" i="1"/>
  <c r="H78" i="38" s="1"/>
  <c r="J116" i="1"/>
  <c r="H79" i="38" s="1"/>
  <c r="J117" i="1"/>
  <c r="H80" i="38" s="1"/>
  <c r="J118" i="1"/>
  <c r="H81" i="38" s="1"/>
  <c r="J119" i="1"/>
  <c r="H82" i="38" s="1"/>
  <c r="J120" i="1"/>
  <c r="H83" i="38" s="1"/>
  <c r="J121" i="1"/>
  <c r="H84" i="38" s="1"/>
  <c r="J122" i="1"/>
  <c r="H85" i="38" s="1"/>
  <c r="J123" i="1"/>
  <c r="H86" i="38" s="1"/>
  <c r="B40" i="9"/>
  <c r="C24" i="31" s="1"/>
  <c r="C27" i="30"/>
  <c r="C6" i="30"/>
  <c r="C10" i="11"/>
  <c r="H5" i="23"/>
  <c r="J46" i="1"/>
  <c r="J47" i="1"/>
  <c r="H10" i="38" s="1"/>
  <c r="J48" i="1"/>
  <c r="J49" i="1"/>
  <c r="H12" i="38" s="1"/>
  <c r="J50" i="1"/>
  <c r="H13" i="38" s="1"/>
  <c r="J51" i="1"/>
  <c r="H14" i="38" s="1"/>
  <c r="J52" i="1"/>
  <c r="H15" i="38" s="1"/>
  <c r="J53" i="1"/>
  <c r="H16" i="38" s="1"/>
  <c r="J54" i="1"/>
  <c r="H17" i="38" s="1"/>
  <c r="J55" i="1"/>
  <c r="H18" i="38" s="1"/>
  <c r="J56" i="1"/>
  <c r="H19" i="38" s="1"/>
  <c r="J57" i="1"/>
  <c r="H20" i="38" s="1"/>
  <c r="J58" i="1"/>
  <c r="H21" i="38" s="1"/>
  <c r="J59" i="1"/>
  <c r="H22" i="38" s="1"/>
  <c r="J60" i="1"/>
  <c r="H23" i="38" s="1"/>
  <c r="J61" i="1"/>
  <c r="H24" i="38" s="1"/>
  <c r="J62" i="1"/>
  <c r="H25" i="38" s="1"/>
  <c r="J63" i="1"/>
  <c r="H26" i="38" s="1"/>
  <c r="J64" i="1"/>
  <c r="H27" i="38" s="1"/>
  <c r="J65" i="1"/>
  <c r="H28" i="38" s="1"/>
  <c r="J66" i="1"/>
  <c r="H29" i="38" s="1"/>
  <c r="J67" i="1"/>
  <c r="H30" i="38" s="1"/>
  <c r="J68" i="1"/>
  <c r="H31" i="38" s="1"/>
  <c r="J69" i="1"/>
  <c r="H32" i="38" s="1"/>
  <c r="J70" i="1"/>
  <c r="H33" i="38" s="1"/>
  <c r="J71" i="1"/>
  <c r="H34" i="38" s="1"/>
  <c r="J72" i="1"/>
  <c r="H35" i="38" s="1"/>
  <c r="J73" i="1"/>
  <c r="H36" i="38" s="1"/>
  <c r="J74" i="1"/>
  <c r="H37" i="38" s="1"/>
  <c r="J75" i="1"/>
  <c r="H38" i="38" s="1"/>
  <c r="J76" i="1"/>
  <c r="H39" i="38" s="1"/>
  <c r="J77" i="1"/>
  <c r="H40" i="38" s="1"/>
  <c r="J78" i="1"/>
  <c r="H41" i="38" s="1"/>
  <c r="J79" i="1"/>
  <c r="H42" i="38" s="1"/>
  <c r="J80" i="1"/>
  <c r="H43" i="38" s="1"/>
  <c r="J81" i="1"/>
  <c r="H44" i="38" s="1"/>
  <c r="J82" i="1"/>
  <c r="H45" i="38" s="1"/>
  <c r="J83" i="1"/>
  <c r="H46" i="38" s="1"/>
  <c r="J84" i="1"/>
  <c r="H47" i="38" s="1"/>
  <c r="J85" i="1"/>
  <c r="H48" i="38" s="1"/>
  <c r="J86" i="1"/>
  <c r="H49" i="38" s="1"/>
  <c r="J87" i="1"/>
  <c r="H50" i="38" s="1"/>
  <c r="J88" i="1"/>
  <c r="H51" i="38" s="1"/>
  <c r="J89" i="1"/>
  <c r="H52" i="38" s="1"/>
  <c r="J90" i="1"/>
  <c r="H53" i="38" s="1"/>
  <c r="J91" i="1"/>
  <c r="H54" i="38" s="1"/>
  <c r="J92" i="1"/>
  <c r="H55" i="38" s="1"/>
  <c r="J93" i="1"/>
  <c r="H56" i="38" s="1"/>
  <c r="J94" i="1"/>
  <c r="H57" i="38" s="1"/>
  <c r="J95" i="1"/>
  <c r="H58" i="38" s="1"/>
  <c r="J96" i="1"/>
  <c r="H59" i="38" s="1"/>
  <c r="J97" i="1"/>
  <c r="H60" i="38" s="1"/>
  <c r="J98" i="1"/>
  <c r="H61" i="38" s="1"/>
  <c r="J99" i="1"/>
  <c r="H62" i="38" s="1"/>
  <c r="J100" i="1"/>
  <c r="H63" i="38" s="1"/>
  <c r="J101" i="1"/>
  <c r="H64" i="38" s="1"/>
  <c r="J102" i="1"/>
  <c r="H65" i="38" s="1"/>
  <c r="N70" i="38" l="1"/>
  <c r="N47" i="38"/>
  <c r="N85" i="38"/>
  <c r="N68" i="38"/>
  <c r="N48" i="38"/>
  <c r="N69" i="38"/>
  <c r="N23" i="38"/>
  <c r="N42" i="38"/>
  <c r="N40" i="38"/>
  <c r="N12" i="38"/>
  <c r="N13" i="38"/>
  <c r="N14" i="38"/>
  <c r="H11" i="38"/>
  <c r="T47" i="1"/>
  <c r="H9" i="38"/>
  <c r="T48" i="1"/>
  <c r="O3" i="38"/>
  <c r="G54" i="1"/>
  <c r="E14" i="38"/>
  <c r="F14" i="38" s="1"/>
  <c r="G53" i="1"/>
  <c r="E13" i="38"/>
  <c r="F13" i="38" s="1"/>
  <c r="G52" i="1"/>
  <c r="E12" i="38"/>
  <c r="F12" i="38" s="1"/>
  <c r="E15" i="7"/>
  <c r="E14" i="7"/>
  <c r="K116" i="1"/>
  <c r="K118" i="1"/>
  <c r="K110" i="1"/>
  <c r="K103" i="1"/>
  <c r="K117" i="1"/>
  <c r="K109" i="1"/>
  <c r="K107" i="1"/>
  <c r="K106" i="1"/>
  <c r="K121" i="1"/>
  <c r="K113" i="1"/>
  <c r="K105" i="1"/>
  <c r="K104" i="1"/>
  <c r="K114" i="1"/>
  <c r="K120" i="1"/>
  <c r="K112" i="1"/>
  <c r="K119" i="1"/>
  <c r="K111" i="1"/>
  <c r="K122" i="1"/>
  <c r="K115" i="1"/>
  <c r="K123" i="1"/>
  <c r="K108" i="1"/>
  <c r="B41" i="9"/>
  <c r="C25" i="31" s="1"/>
  <c r="C17" i="30"/>
  <c r="J158" i="1"/>
  <c r="K17" i="30" s="1"/>
  <c r="K166" i="1"/>
  <c r="R4" i="9" s="1"/>
  <c r="C15" i="30"/>
  <c r="B38" i="9"/>
  <c r="C22" i="31" s="1"/>
  <c r="K102" i="1"/>
  <c r="O70" i="38" l="1"/>
  <c r="O47" i="38"/>
  <c r="O68" i="38"/>
  <c r="O85" i="38"/>
  <c r="O42" i="38"/>
  <c r="O23" i="38"/>
  <c r="O48" i="38"/>
  <c r="O40" i="38"/>
  <c r="O69" i="38"/>
  <c r="O13" i="38"/>
  <c r="O14" i="38"/>
  <c r="O12" i="38"/>
  <c r="P3" i="38"/>
  <c r="G55" i="1"/>
  <c r="E15" i="38"/>
  <c r="J15" i="38" s="1"/>
  <c r="G56" i="1"/>
  <c r="E16" i="38"/>
  <c r="J16" i="38" s="1"/>
  <c r="G57" i="1"/>
  <c r="E17" i="38"/>
  <c r="J17" i="38" s="1"/>
  <c r="I158" i="1"/>
  <c r="J17" i="30" s="1"/>
  <c r="P70" i="38" l="1"/>
  <c r="P68" i="38"/>
  <c r="P69" i="38"/>
  <c r="P47" i="38"/>
  <c r="P48" i="38"/>
  <c r="P85" i="38"/>
  <c r="P40" i="38"/>
  <c r="P12" i="38"/>
  <c r="P42" i="38"/>
  <c r="P14" i="38"/>
  <c r="P13" i="38"/>
  <c r="P23" i="38"/>
  <c r="Q3" i="38"/>
  <c r="G60" i="1"/>
  <c r="E20" i="38"/>
  <c r="J20" i="38" s="1"/>
  <c r="F17" i="38"/>
  <c r="F16" i="38"/>
  <c r="G59" i="1"/>
  <c r="H59" i="1" s="1"/>
  <c r="E19" i="38"/>
  <c r="J19" i="38" s="1"/>
  <c r="F15" i="38"/>
  <c r="G58" i="1"/>
  <c r="H58" i="1" s="1"/>
  <c r="E18" i="38"/>
  <c r="J18" i="38" s="1"/>
  <c r="K86" i="1"/>
  <c r="K87" i="1"/>
  <c r="K91" i="1"/>
  <c r="K92" i="1"/>
  <c r="K93" i="1"/>
  <c r="K94" i="1"/>
  <c r="K95" i="1"/>
  <c r="K99" i="1"/>
  <c r="K101" i="1"/>
  <c r="H50" i="1"/>
  <c r="K50" i="1"/>
  <c r="H51" i="1"/>
  <c r="K51" i="1"/>
  <c r="H52" i="1"/>
  <c r="K52" i="1"/>
  <c r="H53" i="1"/>
  <c r="K53" i="1"/>
  <c r="H54" i="1"/>
  <c r="H55" i="1"/>
  <c r="K55" i="1"/>
  <c r="H56" i="1"/>
  <c r="K56" i="1"/>
  <c r="H57" i="1"/>
  <c r="K57" i="1"/>
  <c r="K58" i="1"/>
  <c r="H60" i="1"/>
  <c r="K61" i="1"/>
  <c r="K63" i="1"/>
  <c r="K64" i="1"/>
  <c r="K65" i="1"/>
  <c r="K66" i="1"/>
  <c r="K67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5" i="1"/>
  <c r="Q70" i="38" l="1"/>
  <c r="Q85" i="38"/>
  <c r="Q68" i="38"/>
  <c r="Q69" i="38"/>
  <c r="Q48" i="38"/>
  <c r="Q47" i="38"/>
  <c r="Q40" i="38"/>
  <c r="Q42" i="38"/>
  <c r="Q12" i="38"/>
  <c r="Q13" i="38"/>
  <c r="Q23" i="38"/>
  <c r="Q14" i="38"/>
  <c r="R3" i="38"/>
  <c r="F19" i="38"/>
  <c r="F18" i="38"/>
  <c r="G62" i="1"/>
  <c r="E22" i="38"/>
  <c r="J22" i="38" s="1"/>
  <c r="G61" i="1"/>
  <c r="E21" i="38"/>
  <c r="J21" i="38" s="1"/>
  <c r="F20" i="38"/>
  <c r="G63" i="1"/>
  <c r="E23" i="38"/>
  <c r="F23" i="38" s="1"/>
  <c r="K59" i="1"/>
  <c r="K100" i="1"/>
  <c r="K97" i="1"/>
  <c r="K90" i="1"/>
  <c r="K98" i="1"/>
  <c r="K89" i="1"/>
  <c r="K96" i="1"/>
  <c r="K88" i="1"/>
  <c r="K68" i="1"/>
  <c r="K84" i="1"/>
  <c r="K62" i="1"/>
  <c r="K60" i="1"/>
  <c r="K54" i="1"/>
  <c r="U35" i="32"/>
  <c r="U36" i="32"/>
  <c r="U37" i="32"/>
  <c r="U38" i="32"/>
  <c r="U39" i="32"/>
  <c r="P25" i="32"/>
  <c r="P27" i="32"/>
  <c r="P29" i="32"/>
  <c r="M24" i="32"/>
  <c r="M27" i="32"/>
  <c r="M28" i="32"/>
  <c r="M29" i="32"/>
  <c r="M30" i="32"/>
  <c r="M31" i="32"/>
  <c r="M32" i="32"/>
  <c r="Q36" i="32"/>
  <c r="Q37" i="32" s="1"/>
  <c r="G3" i="32"/>
  <c r="H3" i="32" s="1"/>
  <c r="R69" i="38" l="1"/>
  <c r="R70" i="38"/>
  <c r="R47" i="38"/>
  <c r="R68" i="38"/>
  <c r="R85" i="38"/>
  <c r="R48" i="38"/>
  <c r="R23" i="38"/>
  <c r="R40" i="38"/>
  <c r="R14" i="38"/>
  <c r="R42" i="38"/>
  <c r="R12" i="38"/>
  <c r="R13" i="38"/>
  <c r="S3" i="38"/>
  <c r="F22" i="38"/>
  <c r="F21" i="38"/>
  <c r="G65" i="1"/>
  <c r="E25" i="38"/>
  <c r="J25" i="38" s="1"/>
  <c r="H62" i="1"/>
  <c r="G64" i="1"/>
  <c r="E24" i="38"/>
  <c r="J24" i="38" s="1"/>
  <c r="H61" i="1"/>
  <c r="G66" i="1"/>
  <c r="E26" i="38"/>
  <c r="J26" i="38" s="1"/>
  <c r="H63" i="1"/>
  <c r="Q38" i="32"/>
  <c r="Q39" i="32" s="1"/>
  <c r="I3" i="32"/>
  <c r="G5" i="32"/>
  <c r="H5" i="32"/>
  <c r="S69" i="38" l="1"/>
  <c r="S68" i="38"/>
  <c r="S85" i="38"/>
  <c r="S48" i="38"/>
  <c r="S23" i="38"/>
  <c r="S70" i="38"/>
  <c r="S40" i="38"/>
  <c r="S14" i="38"/>
  <c r="S47" i="38"/>
  <c r="S42" i="38"/>
  <c r="S13" i="38"/>
  <c r="S12" i="38"/>
  <c r="T3" i="38"/>
  <c r="F24" i="38"/>
  <c r="F25" i="38"/>
  <c r="F26" i="38"/>
  <c r="G67" i="1"/>
  <c r="E27" i="38"/>
  <c r="J27" i="38" s="1"/>
  <c r="H64" i="1"/>
  <c r="G68" i="1"/>
  <c r="E28" i="38"/>
  <c r="J28" i="38" s="1"/>
  <c r="H65" i="1"/>
  <c r="G69" i="1"/>
  <c r="E29" i="38"/>
  <c r="J29" i="38" s="1"/>
  <c r="H66" i="1"/>
  <c r="I5" i="32"/>
  <c r="J3" i="32"/>
  <c r="T70" i="38" l="1"/>
  <c r="T69" i="38"/>
  <c r="T68" i="38"/>
  <c r="T48" i="38"/>
  <c r="T47" i="38"/>
  <c r="T40" i="38"/>
  <c r="T23" i="38"/>
  <c r="T12" i="38"/>
  <c r="T13" i="38"/>
  <c r="T42" i="38"/>
  <c r="T85" i="38"/>
  <c r="T14" i="38"/>
  <c r="U3" i="38"/>
  <c r="G72" i="1"/>
  <c r="E32" i="38"/>
  <c r="J32" i="38" s="1"/>
  <c r="H69" i="1"/>
  <c r="G71" i="1"/>
  <c r="E31" i="38"/>
  <c r="J31" i="38" s="1"/>
  <c r="H68" i="1"/>
  <c r="F28" i="38"/>
  <c r="F27" i="38"/>
  <c r="F29" i="38"/>
  <c r="G70" i="1"/>
  <c r="E30" i="38"/>
  <c r="J30" i="38" s="1"/>
  <c r="H67" i="1"/>
  <c r="J5" i="32"/>
  <c r="K3" i="32"/>
  <c r="U70" i="38" l="1"/>
  <c r="U47" i="38"/>
  <c r="U69" i="38"/>
  <c r="U68" i="38"/>
  <c r="U48" i="38"/>
  <c r="U42" i="38"/>
  <c r="U23" i="38"/>
  <c r="U13" i="38"/>
  <c r="U40" i="38"/>
  <c r="U85" i="38"/>
  <c r="U14" i="38"/>
  <c r="U12" i="38"/>
  <c r="V3" i="38"/>
  <c r="G75" i="1"/>
  <c r="E35" i="38"/>
  <c r="J35" i="38" s="1"/>
  <c r="H72" i="1"/>
  <c r="F30" i="38"/>
  <c r="F31" i="38"/>
  <c r="F32" i="38"/>
  <c r="G73" i="1"/>
  <c r="E33" i="38"/>
  <c r="J33" i="38" s="1"/>
  <c r="H70" i="1"/>
  <c r="G74" i="1"/>
  <c r="E34" i="38"/>
  <c r="J34" i="38" s="1"/>
  <c r="H71" i="1"/>
  <c r="K5" i="32"/>
  <c r="V70" i="38" l="1"/>
  <c r="V47" i="38"/>
  <c r="V85" i="38"/>
  <c r="V69" i="38"/>
  <c r="V68" i="38"/>
  <c r="V48" i="38"/>
  <c r="V40" i="38"/>
  <c r="V23" i="38"/>
  <c r="V12" i="38"/>
  <c r="V13" i="38"/>
  <c r="V14" i="38"/>
  <c r="V42" i="38"/>
  <c r="W3" i="38"/>
  <c r="F35" i="38"/>
  <c r="G77" i="1"/>
  <c r="E37" i="38"/>
  <c r="J37" i="38" s="1"/>
  <c r="H74" i="1"/>
  <c r="G78" i="1"/>
  <c r="E38" i="38"/>
  <c r="J38" i="38" s="1"/>
  <c r="H75" i="1"/>
  <c r="F34" i="38"/>
  <c r="F33" i="38"/>
  <c r="G76" i="1"/>
  <c r="E36" i="38"/>
  <c r="J36" i="38" s="1"/>
  <c r="H73" i="1"/>
  <c r="C35" i="31"/>
  <c r="E14" i="9"/>
  <c r="C17" i="31"/>
  <c r="C15" i="31"/>
  <c r="C14" i="31"/>
  <c r="C8" i="31"/>
  <c r="C5" i="31"/>
  <c r="H4" i="31"/>
  <c r="C22" i="30"/>
  <c r="C11" i="30"/>
  <c r="C12" i="30"/>
  <c r="C13" i="30"/>
  <c r="C14" i="30"/>
  <c r="C16" i="30"/>
  <c r="C18" i="30"/>
  <c r="C19" i="30"/>
  <c r="C20" i="30"/>
  <c r="C21" i="30"/>
  <c r="H18" i="30"/>
  <c r="H11" i="30"/>
  <c r="H12" i="30"/>
  <c r="H13" i="30"/>
  <c r="H14" i="30"/>
  <c r="H19" i="30"/>
  <c r="H21" i="30"/>
  <c r="C23" i="30"/>
  <c r="C10" i="30"/>
  <c r="H10" i="30"/>
  <c r="I10" i="30"/>
  <c r="J10" i="30"/>
  <c r="K10" i="30"/>
  <c r="W69" i="38" l="1"/>
  <c r="W85" i="38"/>
  <c r="W70" i="38"/>
  <c r="W47" i="38"/>
  <c r="W48" i="38"/>
  <c r="W40" i="38"/>
  <c r="W68" i="38"/>
  <c r="W42" i="38"/>
  <c r="W23" i="38"/>
  <c r="W12" i="38"/>
  <c r="W14" i="38"/>
  <c r="W13" i="38"/>
  <c r="X3" i="38"/>
  <c r="F36" i="38"/>
  <c r="F38" i="38"/>
  <c r="G79" i="1"/>
  <c r="E39" i="38"/>
  <c r="J39" i="38" s="1"/>
  <c r="H76" i="1"/>
  <c r="G81" i="1"/>
  <c r="E41" i="38"/>
  <c r="J41" i="38" s="1"/>
  <c r="H78" i="1"/>
  <c r="F37" i="38"/>
  <c r="G80" i="1"/>
  <c r="E40" i="38"/>
  <c r="F40" i="38" s="1"/>
  <c r="H77" i="1"/>
  <c r="I4" i="31"/>
  <c r="X85" i="38" l="1"/>
  <c r="X70" i="38"/>
  <c r="X47" i="38"/>
  <c r="X68" i="38"/>
  <c r="X48" i="38"/>
  <c r="X69" i="38"/>
  <c r="X12" i="38"/>
  <c r="X23" i="38"/>
  <c r="X40" i="38"/>
  <c r="X14" i="38"/>
  <c r="X42" i="38"/>
  <c r="X13" i="38"/>
  <c r="Y3" i="38"/>
  <c r="G83" i="1"/>
  <c r="E43" i="38"/>
  <c r="J43" i="38" s="1"/>
  <c r="H80" i="1"/>
  <c r="F41" i="38"/>
  <c r="G84" i="1"/>
  <c r="E44" i="38"/>
  <c r="J44" i="38" s="1"/>
  <c r="H81" i="1"/>
  <c r="F39" i="38"/>
  <c r="G82" i="1"/>
  <c r="E42" i="38"/>
  <c r="F42" i="38" s="1"/>
  <c r="H79" i="1"/>
  <c r="J4" i="31"/>
  <c r="Y69" i="38" l="1"/>
  <c r="Y70" i="38"/>
  <c r="Y47" i="38"/>
  <c r="Y68" i="38"/>
  <c r="Y40" i="38"/>
  <c r="Y85" i="38"/>
  <c r="Y48" i="38"/>
  <c r="Y42" i="38"/>
  <c r="Y13" i="38"/>
  <c r="Y23" i="38"/>
  <c r="Y14" i="38"/>
  <c r="Y12" i="38"/>
  <c r="Z3" i="38"/>
  <c r="F44" i="38"/>
  <c r="G85" i="1"/>
  <c r="E45" i="38"/>
  <c r="J45" i="38" s="1"/>
  <c r="H82" i="1"/>
  <c r="G87" i="1"/>
  <c r="E47" i="38"/>
  <c r="F47" i="38" s="1"/>
  <c r="H84" i="1"/>
  <c r="F43" i="38"/>
  <c r="G86" i="1"/>
  <c r="E46" i="38"/>
  <c r="J46" i="38" s="1"/>
  <c r="H83" i="1"/>
  <c r="K4" i="31"/>
  <c r="Z69" i="38" l="1"/>
  <c r="Z85" i="38"/>
  <c r="Z48" i="38"/>
  <c r="Z70" i="38"/>
  <c r="Z68" i="38"/>
  <c r="Z23" i="38"/>
  <c r="Z47" i="38"/>
  <c r="Z12" i="38"/>
  <c r="Z42" i="38"/>
  <c r="Z40" i="38"/>
  <c r="Z14" i="38"/>
  <c r="Z13" i="38"/>
  <c r="AA3" i="38"/>
  <c r="G89" i="1"/>
  <c r="E49" i="38"/>
  <c r="J49" i="38" s="1"/>
  <c r="H86" i="1"/>
  <c r="F45" i="38"/>
  <c r="G90" i="1"/>
  <c r="E50" i="38"/>
  <c r="J50" i="38" s="1"/>
  <c r="H87" i="1"/>
  <c r="G88" i="1"/>
  <c r="E48" i="38"/>
  <c r="F48" i="38" s="1"/>
  <c r="H85" i="1"/>
  <c r="F46" i="38"/>
  <c r="R28" i="1"/>
  <c r="AA70" i="38" l="1"/>
  <c r="AA69" i="38"/>
  <c r="AA48" i="38"/>
  <c r="AA85" i="38"/>
  <c r="AA23" i="38"/>
  <c r="AA47" i="38"/>
  <c r="AA42" i="38"/>
  <c r="AA40" i="38"/>
  <c r="AA68" i="38"/>
  <c r="AA13" i="38"/>
  <c r="AA14" i="38"/>
  <c r="AA12" i="38"/>
  <c r="AB3" i="38"/>
  <c r="F50" i="38"/>
  <c r="G93" i="1"/>
  <c r="E53" i="38"/>
  <c r="J53" i="38" s="1"/>
  <c r="H90" i="1"/>
  <c r="F49" i="38"/>
  <c r="G92" i="1"/>
  <c r="E52" i="38"/>
  <c r="J52" i="38" s="1"/>
  <c r="H89" i="1"/>
  <c r="G91" i="1"/>
  <c r="E51" i="38"/>
  <c r="J51" i="38" s="1"/>
  <c r="H88" i="1"/>
  <c r="EF52" i="9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DE5" i="10"/>
  <c r="DE4" i="10" s="1"/>
  <c r="DF5" i="10"/>
  <c r="DF11" i="10" s="1"/>
  <c r="DE6" i="10"/>
  <c r="DE19" i="10" s="1"/>
  <c r="DF6" i="10"/>
  <c r="DE7" i="10"/>
  <c r="DE8" i="10"/>
  <c r="DE9" i="10"/>
  <c r="DF9" i="10"/>
  <c r="DE10" i="10"/>
  <c r="DE11" i="10"/>
  <c r="DE12" i="10"/>
  <c r="DE13" i="10"/>
  <c r="DF13" i="10"/>
  <c r="DE14" i="10"/>
  <c r="DF14" i="10"/>
  <c r="DE15" i="10"/>
  <c r="DE16" i="10"/>
  <c r="DE17" i="10"/>
  <c r="DF17" i="10"/>
  <c r="DE18" i="10"/>
  <c r="DF18" i="10"/>
  <c r="DE20" i="10"/>
  <c r="DF20" i="10"/>
  <c r="DU13" i="9"/>
  <c r="DV13" i="9"/>
  <c r="DW13" i="9"/>
  <c r="DX13" i="9"/>
  <c r="DY13" i="9"/>
  <c r="DZ13" i="9"/>
  <c r="EA13" i="9"/>
  <c r="EB13" i="9"/>
  <c r="EC13" i="9"/>
  <c r="ED13" i="9"/>
  <c r="EE13" i="9"/>
  <c r="EF13" i="9"/>
  <c r="CW59" i="9"/>
  <c r="CX59" i="9"/>
  <c r="CY59" i="9"/>
  <c r="CZ59" i="9"/>
  <c r="DA59" i="9"/>
  <c r="DB59" i="9"/>
  <c r="DC59" i="9"/>
  <c r="DD59" i="9"/>
  <c r="DE59" i="9"/>
  <c r="DF59" i="9"/>
  <c r="DG59" i="9"/>
  <c r="DH59" i="9"/>
  <c r="DI59" i="9"/>
  <c r="DJ59" i="9"/>
  <c r="DK59" i="9"/>
  <c r="DL59" i="9"/>
  <c r="DM59" i="9"/>
  <c r="DN59" i="9"/>
  <c r="DO59" i="9"/>
  <c r="DP59" i="9"/>
  <c r="DQ59" i="9"/>
  <c r="DR59" i="9"/>
  <c r="DS59" i="9"/>
  <c r="DT59" i="9"/>
  <c r="DU59" i="9"/>
  <c r="DV59" i="9"/>
  <c r="DW59" i="9"/>
  <c r="DX59" i="9"/>
  <c r="DY59" i="9"/>
  <c r="DZ59" i="9"/>
  <c r="EA59" i="9"/>
  <c r="EB59" i="9"/>
  <c r="EC59" i="9"/>
  <c r="ED59" i="9"/>
  <c r="EE59" i="9"/>
  <c r="EF59" i="9"/>
  <c r="B28" i="9"/>
  <c r="C13" i="31" s="1"/>
  <c r="G7" i="9"/>
  <c r="F7" i="9"/>
  <c r="AB70" i="38" l="1"/>
  <c r="AB69" i="38"/>
  <c r="AB68" i="38"/>
  <c r="AB85" i="38"/>
  <c r="AB48" i="38"/>
  <c r="AB47" i="38"/>
  <c r="AB40" i="38"/>
  <c r="AB23" i="38"/>
  <c r="AB42" i="38"/>
  <c r="AB12" i="38"/>
  <c r="AB13" i="38"/>
  <c r="AB14" i="38"/>
  <c r="AC3" i="38"/>
  <c r="F52" i="38"/>
  <c r="G95" i="1"/>
  <c r="E55" i="38"/>
  <c r="J55" i="38" s="1"/>
  <c r="H92" i="1"/>
  <c r="F51" i="38"/>
  <c r="G94" i="1"/>
  <c r="E54" i="38"/>
  <c r="J54" i="38" s="1"/>
  <c r="H91" i="1"/>
  <c r="F53" i="38"/>
  <c r="G96" i="1"/>
  <c r="E56" i="38"/>
  <c r="J56" i="38" s="1"/>
  <c r="H93" i="1"/>
  <c r="DF12" i="10"/>
  <c r="DF4" i="10"/>
  <c r="DF15" i="10"/>
  <c r="DF7" i="10"/>
  <c r="DF10" i="10"/>
  <c r="DG5" i="10"/>
  <c r="DF16" i="10"/>
  <c r="DF8" i="10"/>
  <c r="DF19" i="10" s="1"/>
  <c r="AC85" i="38" l="1"/>
  <c r="AC70" i="38"/>
  <c r="AC47" i="38"/>
  <c r="AC48" i="38"/>
  <c r="AC40" i="38"/>
  <c r="AC68" i="38"/>
  <c r="AC69" i="38"/>
  <c r="AC42" i="38"/>
  <c r="AC23" i="38"/>
  <c r="AC13" i="38"/>
  <c r="AC14" i="38"/>
  <c r="AC12" i="38"/>
  <c r="AD3" i="38"/>
  <c r="F54" i="38"/>
  <c r="F55" i="38"/>
  <c r="G97" i="1"/>
  <c r="E57" i="38"/>
  <c r="J57" i="38" s="1"/>
  <c r="H94" i="1"/>
  <c r="G98" i="1"/>
  <c r="E58" i="38"/>
  <c r="J58" i="38" s="1"/>
  <c r="H95" i="1"/>
  <c r="F56" i="38"/>
  <c r="G99" i="1"/>
  <c r="E59" i="38"/>
  <c r="J59" i="38" s="1"/>
  <c r="H96" i="1"/>
  <c r="DG6" i="10"/>
  <c r="DG14" i="10"/>
  <c r="DG11" i="10"/>
  <c r="DG13" i="10"/>
  <c r="DH5" i="10"/>
  <c r="DG10" i="10"/>
  <c r="DG18" i="10"/>
  <c r="DG7" i="10"/>
  <c r="DG15" i="10"/>
  <c r="DG8" i="10"/>
  <c r="DG12" i="10"/>
  <c r="DG17" i="10"/>
  <c r="DG16" i="10"/>
  <c r="DG20" i="10"/>
  <c r="DG4" i="10"/>
  <c r="DG9" i="10"/>
  <c r="AD48" i="38" l="1"/>
  <c r="AD70" i="38"/>
  <c r="AD68" i="38"/>
  <c r="AD23" i="38"/>
  <c r="AD69" i="38"/>
  <c r="AD47" i="38"/>
  <c r="AD12" i="38"/>
  <c r="AD85" i="38"/>
  <c r="AD42" i="38"/>
  <c r="AD13" i="38"/>
  <c r="AD14" i="38"/>
  <c r="AD40" i="38"/>
  <c r="AE3" i="38"/>
  <c r="G102" i="1"/>
  <c r="E62" i="38"/>
  <c r="J62" i="38" s="1"/>
  <c r="H99" i="1"/>
  <c r="F58" i="38"/>
  <c r="G101" i="1"/>
  <c r="E61" i="38"/>
  <c r="J61" i="38" s="1"/>
  <c r="H98" i="1"/>
  <c r="F57" i="38"/>
  <c r="G100" i="1"/>
  <c r="E60" i="38"/>
  <c r="J60" i="38" s="1"/>
  <c r="H97" i="1"/>
  <c r="F59" i="38"/>
  <c r="DH9" i="10"/>
  <c r="DH17" i="10"/>
  <c r="DH6" i="10"/>
  <c r="DH14" i="10"/>
  <c r="DH8" i="10"/>
  <c r="DH16" i="10"/>
  <c r="DH13" i="10"/>
  <c r="DI5" i="10"/>
  <c r="DH10" i="10"/>
  <c r="DH18" i="10"/>
  <c r="DH7" i="10"/>
  <c r="DH11" i="10"/>
  <c r="DH15" i="10"/>
  <c r="DH20" i="10"/>
  <c r="DH12" i="10"/>
  <c r="DH4" i="10"/>
  <c r="DG19" i="10"/>
  <c r="J165" i="1"/>
  <c r="K22" i="30" s="1"/>
  <c r="J163" i="1"/>
  <c r="J156" i="1"/>
  <c r="K16" i="30" s="1"/>
  <c r="AE70" i="38" l="1"/>
  <c r="AE48" i="38"/>
  <c r="AE23" i="38"/>
  <c r="AE85" i="38"/>
  <c r="AE69" i="38"/>
  <c r="AE12" i="38"/>
  <c r="AE68" i="38"/>
  <c r="AE47" i="38"/>
  <c r="AE40" i="38"/>
  <c r="AE13" i="38"/>
  <c r="AE42" i="38"/>
  <c r="AE14" i="38"/>
  <c r="AF3" i="38"/>
  <c r="F61" i="38"/>
  <c r="G104" i="1"/>
  <c r="E64" i="38"/>
  <c r="J64" i="38" s="1"/>
  <c r="H101" i="1"/>
  <c r="F60" i="38"/>
  <c r="G103" i="1"/>
  <c r="E63" i="38"/>
  <c r="J63" i="38" s="1"/>
  <c r="H100" i="1"/>
  <c r="F62" i="38"/>
  <c r="G105" i="1"/>
  <c r="E65" i="38"/>
  <c r="J65" i="38" s="1"/>
  <c r="H102" i="1"/>
  <c r="I163" i="1"/>
  <c r="K20" i="30"/>
  <c r="DH19" i="10"/>
  <c r="DI4" i="10"/>
  <c r="DI12" i="10"/>
  <c r="DI9" i="10"/>
  <c r="DI17" i="10"/>
  <c r="DI6" i="10"/>
  <c r="DI11" i="10"/>
  <c r="DI8" i="10"/>
  <c r="DI16" i="10"/>
  <c r="DI13" i="10"/>
  <c r="DI10" i="10"/>
  <c r="DJ5" i="10"/>
  <c r="DI18" i="10"/>
  <c r="DI20" i="10"/>
  <c r="DI7" i="10"/>
  <c r="DI15" i="10"/>
  <c r="DI14" i="10"/>
  <c r="H46" i="1"/>
  <c r="H47" i="1"/>
  <c r="H48" i="1"/>
  <c r="AF85" i="38" l="1"/>
  <c r="AF68" i="38"/>
  <c r="AF70" i="38"/>
  <c r="AF69" i="38"/>
  <c r="AF48" i="38"/>
  <c r="AF23" i="38"/>
  <c r="AF47" i="38"/>
  <c r="AF40" i="38"/>
  <c r="AF12" i="38"/>
  <c r="AF13" i="38"/>
  <c r="AF14" i="38"/>
  <c r="AF42" i="38"/>
  <c r="AG3" i="38"/>
  <c r="E68" i="38"/>
  <c r="F68" i="38" s="1"/>
  <c r="G108" i="1"/>
  <c r="H105" i="1"/>
  <c r="F64" i="38"/>
  <c r="E67" i="38"/>
  <c r="J67" i="38" s="1"/>
  <c r="H104" i="1"/>
  <c r="G107" i="1"/>
  <c r="F63" i="38"/>
  <c r="E66" i="38"/>
  <c r="J66" i="38" s="1"/>
  <c r="H103" i="1"/>
  <c r="G106" i="1"/>
  <c r="F65" i="38"/>
  <c r="J20" i="30"/>
  <c r="DJ7" i="10"/>
  <c r="DJ15" i="10"/>
  <c r="DJ4" i="10"/>
  <c r="DJ12" i="10"/>
  <c r="DJ20" i="10"/>
  <c r="DJ6" i="10"/>
  <c r="DJ14" i="10"/>
  <c r="DJ11" i="10"/>
  <c r="DJ8" i="10"/>
  <c r="DJ16" i="10"/>
  <c r="DJ9" i="10"/>
  <c r="DJ13" i="10"/>
  <c r="DK5" i="10"/>
  <c r="DJ18" i="10"/>
  <c r="DJ17" i="10"/>
  <c r="DJ10" i="10"/>
  <c r="DI19" i="10"/>
  <c r="H4" i="23"/>
  <c r="Q47" i="1"/>
  <c r="Q48" i="1"/>
  <c r="Q49" i="1"/>
  <c r="Q50" i="1"/>
  <c r="Q51" i="1"/>
  <c r="Q46" i="1"/>
  <c r="AG48" i="38" l="1"/>
  <c r="AG69" i="38"/>
  <c r="AG70" i="38"/>
  <c r="AG85" i="38"/>
  <c r="AG68" i="38"/>
  <c r="AG47" i="38"/>
  <c r="AG12" i="38"/>
  <c r="AG23" i="38"/>
  <c r="AG40" i="38"/>
  <c r="AG42" i="38"/>
  <c r="AG14" i="38"/>
  <c r="AG13" i="38"/>
  <c r="AH3" i="38"/>
  <c r="G111" i="1"/>
  <c r="E71" i="38"/>
  <c r="J71" i="38" s="1"/>
  <c r="H108" i="1"/>
  <c r="E69" i="38"/>
  <c r="F69" i="38" s="1"/>
  <c r="H106" i="1"/>
  <c r="G109" i="1"/>
  <c r="F66" i="38"/>
  <c r="G110" i="1"/>
  <c r="E70" i="38"/>
  <c r="F70" i="38" s="1"/>
  <c r="H107" i="1"/>
  <c r="F67" i="38"/>
  <c r="K47" i="1"/>
  <c r="K49" i="1"/>
  <c r="K48" i="1"/>
  <c r="K46" i="1"/>
  <c r="DL5" i="10"/>
  <c r="DK10" i="10"/>
  <c r="DK18" i="10"/>
  <c r="DK7" i="10"/>
  <c r="DK15" i="10"/>
  <c r="DK4" i="10"/>
  <c r="DK9" i="10"/>
  <c r="DK17" i="10"/>
  <c r="DK6" i="10"/>
  <c r="DK14" i="10"/>
  <c r="DK11" i="10"/>
  <c r="DK8" i="10"/>
  <c r="DK12" i="10"/>
  <c r="DK16" i="10"/>
  <c r="DK13" i="10"/>
  <c r="DK20" i="10"/>
  <c r="DJ19" i="10"/>
  <c r="S51" i="1"/>
  <c r="H49" i="1"/>
  <c r="S47" i="1"/>
  <c r="S46" i="1"/>
  <c r="S50" i="1"/>
  <c r="S49" i="1"/>
  <c r="S48" i="1"/>
  <c r="B44" i="9"/>
  <c r="C28" i="31" s="1"/>
  <c r="AH68" i="38" l="1"/>
  <c r="AH69" i="38"/>
  <c r="AH48" i="38"/>
  <c r="AH85" i="38"/>
  <c r="AH23" i="38"/>
  <c r="AH70" i="38"/>
  <c r="AH12" i="38"/>
  <c r="AH47" i="38"/>
  <c r="AH42" i="38"/>
  <c r="AH13" i="38"/>
  <c r="AH40" i="38"/>
  <c r="AH14" i="38"/>
  <c r="AI3" i="38"/>
  <c r="F71" i="38"/>
  <c r="G113" i="1"/>
  <c r="E73" i="38"/>
  <c r="J73" i="38" s="1"/>
  <c r="H110" i="1"/>
  <c r="G114" i="1"/>
  <c r="E74" i="38"/>
  <c r="J74" i="38" s="1"/>
  <c r="H111" i="1"/>
  <c r="E72" i="38"/>
  <c r="J72" i="38" s="1"/>
  <c r="H109" i="1"/>
  <c r="G112" i="1"/>
  <c r="DK19" i="10"/>
  <c r="DL13" i="10"/>
  <c r="DM5" i="10"/>
  <c r="DL10" i="10"/>
  <c r="DL18" i="10"/>
  <c r="DL4" i="10"/>
  <c r="DL12" i="10"/>
  <c r="DL9" i="10"/>
  <c r="DL17" i="10"/>
  <c r="DL6" i="10"/>
  <c r="DL14" i="10"/>
  <c r="DL20" i="10"/>
  <c r="DL7" i="10"/>
  <c r="DL11" i="10"/>
  <c r="DL8" i="10"/>
  <c r="DL16" i="10"/>
  <c r="DL15" i="10"/>
  <c r="K124" i="1"/>
  <c r="N24" i="1"/>
  <c r="AI68" i="38" l="1"/>
  <c r="AI69" i="38"/>
  <c r="AI48" i="38"/>
  <c r="AI85" i="38"/>
  <c r="AI47" i="38"/>
  <c r="AI40" i="38"/>
  <c r="AI12" i="38"/>
  <c r="AI23" i="38"/>
  <c r="AI42" i="38"/>
  <c r="AI70" i="38"/>
  <c r="AI13" i="38"/>
  <c r="AI14" i="38"/>
  <c r="AJ3" i="38"/>
  <c r="F72" i="38"/>
  <c r="F73" i="38"/>
  <c r="F74" i="38"/>
  <c r="G116" i="1"/>
  <c r="E76" i="38"/>
  <c r="J76" i="38" s="1"/>
  <c r="H113" i="1"/>
  <c r="G117" i="1"/>
  <c r="E77" i="38"/>
  <c r="J77" i="38" s="1"/>
  <c r="H114" i="1"/>
  <c r="E75" i="38"/>
  <c r="J75" i="38" s="1"/>
  <c r="G115" i="1"/>
  <c r="H112" i="1"/>
  <c r="K5" i="30"/>
  <c r="J5" i="30" s="1"/>
  <c r="DM8" i="10"/>
  <c r="DM16" i="10"/>
  <c r="DM13" i="10"/>
  <c r="DN5" i="10"/>
  <c r="DM7" i="10"/>
  <c r="DM15" i="10"/>
  <c r="DM4" i="10"/>
  <c r="DM12" i="10"/>
  <c r="DM9" i="10"/>
  <c r="DM17" i="10"/>
  <c r="DM14" i="10"/>
  <c r="DM20" i="10"/>
  <c r="DM6" i="10"/>
  <c r="DM18" i="10"/>
  <c r="DM11" i="10"/>
  <c r="DM10" i="10"/>
  <c r="DL19" i="10"/>
  <c r="I124" i="1"/>
  <c r="J124" i="1"/>
  <c r="H43" i="1" s="1"/>
  <c r="AJ85" i="38" l="1"/>
  <c r="AJ70" i="38"/>
  <c r="AJ68" i="38"/>
  <c r="AJ48" i="38"/>
  <c r="AJ12" i="38"/>
  <c r="AJ40" i="38"/>
  <c r="AJ42" i="38"/>
  <c r="AJ47" i="38"/>
  <c r="AJ69" i="38"/>
  <c r="AJ13" i="38"/>
  <c r="AJ14" i="38"/>
  <c r="AJ23" i="38"/>
  <c r="AK3" i="38"/>
  <c r="F77" i="38"/>
  <c r="G119" i="1"/>
  <c r="E79" i="38"/>
  <c r="J79" i="38" s="1"/>
  <c r="H116" i="1"/>
  <c r="F75" i="38"/>
  <c r="G120" i="1"/>
  <c r="E80" i="38"/>
  <c r="J80" i="38" s="1"/>
  <c r="H117" i="1"/>
  <c r="E78" i="38"/>
  <c r="J78" i="38" s="1"/>
  <c r="G118" i="1"/>
  <c r="H115" i="1"/>
  <c r="F76" i="38"/>
  <c r="DN11" i="10"/>
  <c r="DN8" i="10"/>
  <c r="DN16" i="10"/>
  <c r="DO5" i="10"/>
  <c r="DN10" i="10"/>
  <c r="DN7" i="10"/>
  <c r="DN15" i="10"/>
  <c r="DN4" i="10"/>
  <c r="DN12" i="10"/>
  <c r="DN9" i="10"/>
  <c r="DN14" i="10"/>
  <c r="DN13" i="10"/>
  <c r="DN6" i="10"/>
  <c r="DN17" i="10"/>
  <c r="DN18" i="10"/>
  <c r="DN20" i="10"/>
  <c r="DM19" i="10"/>
  <c r="J15" i="10"/>
  <c r="J16" i="10"/>
  <c r="J17" i="10"/>
  <c r="J18" i="10"/>
  <c r="J13" i="10"/>
  <c r="J12" i="10"/>
  <c r="J11" i="10"/>
  <c r="J10" i="10"/>
  <c r="J9" i="10"/>
  <c r="J8" i="10"/>
  <c r="J7" i="10"/>
  <c r="B7" i="10"/>
  <c r="B8" i="10" s="1"/>
  <c r="B9" i="10" s="1"/>
  <c r="B10" i="10" s="1"/>
  <c r="B11" i="10" s="1"/>
  <c r="B12" i="10" s="1"/>
  <c r="B13" i="10" s="1"/>
  <c r="B43" i="9"/>
  <c r="C27" i="31" s="1"/>
  <c r="I156" i="1"/>
  <c r="J16" i="30" s="1"/>
  <c r="C28" i="10"/>
  <c r="C29" i="10"/>
  <c r="C30" i="10"/>
  <c r="C31" i="10"/>
  <c r="C32" i="10"/>
  <c r="C33" i="10"/>
  <c r="C34" i="10"/>
  <c r="C35" i="10"/>
  <c r="J14" i="10"/>
  <c r="AK48" i="38" l="1"/>
  <c r="AK85" i="38"/>
  <c r="AK70" i="38"/>
  <c r="AK69" i="38"/>
  <c r="AK23" i="38"/>
  <c r="AK68" i="38"/>
  <c r="AK42" i="38"/>
  <c r="AK40" i="38"/>
  <c r="AK14" i="38"/>
  <c r="AK47" i="38"/>
  <c r="AK13" i="38"/>
  <c r="AK12" i="38"/>
  <c r="AL3" i="38"/>
  <c r="F80" i="38"/>
  <c r="F79" i="38"/>
  <c r="G123" i="1"/>
  <c r="E83" i="38"/>
  <c r="J83" i="38" s="1"/>
  <c r="H120" i="1"/>
  <c r="G122" i="1"/>
  <c r="E82" i="38"/>
  <c r="J82" i="38" s="1"/>
  <c r="H119" i="1"/>
  <c r="E81" i="38"/>
  <c r="J81" i="38" s="1"/>
  <c r="H118" i="1"/>
  <c r="G121" i="1"/>
  <c r="F78" i="38"/>
  <c r="DN19" i="10"/>
  <c r="DO6" i="10"/>
  <c r="DO19" i="10" s="1"/>
  <c r="DO14" i="10"/>
  <c r="DO11" i="10"/>
  <c r="DO13" i="10"/>
  <c r="DP5" i="10"/>
  <c r="DO10" i="10"/>
  <c r="DO18" i="10"/>
  <c r="DO7" i="10"/>
  <c r="DO15" i="10"/>
  <c r="DO4" i="10"/>
  <c r="DO8" i="10"/>
  <c r="DO20" i="10"/>
  <c r="DO12" i="10"/>
  <c r="DO9" i="10"/>
  <c r="DO17" i="10"/>
  <c r="DO16" i="10"/>
  <c r="B28" i="10"/>
  <c r="B12" i="23"/>
  <c r="G41" i="3" s="1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R30" i="1"/>
  <c r="H3" i="23"/>
  <c r="B5" i="23"/>
  <c r="B4" i="23"/>
  <c r="B3" i="23"/>
  <c r="B2" i="23"/>
  <c r="G61" i="3"/>
  <c r="G58" i="3"/>
  <c r="N13" i="23"/>
  <c r="N14" i="23" s="1"/>
  <c r="N15" i="23" s="1"/>
  <c r="N16" i="23" s="1"/>
  <c r="M8" i="23"/>
  <c r="M2" i="23"/>
  <c r="M3" i="23"/>
  <c r="M4" i="23"/>
  <c r="M5" i="23"/>
  <c r="M6" i="23"/>
  <c r="R6" i="23"/>
  <c r="E11" i="2"/>
  <c r="K4" i="9"/>
  <c r="K3" i="9"/>
  <c r="I3" i="9"/>
  <c r="I4" i="9"/>
  <c r="B3" i="9"/>
  <c r="B47" i="1"/>
  <c r="B10" i="38" s="1"/>
  <c r="AL68" i="38" l="1"/>
  <c r="AL48" i="38"/>
  <c r="AL85" i="38"/>
  <c r="AL70" i="38"/>
  <c r="AL23" i="38"/>
  <c r="AL47" i="38"/>
  <c r="AL69" i="38"/>
  <c r="AL40" i="38"/>
  <c r="AL12" i="38"/>
  <c r="AL14" i="38"/>
  <c r="AL13" i="38"/>
  <c r="AL42" i="38"/>
  <c r="AM3" i="38"/>
  <c r="F82" i="38"/>
  <c r="E85" i="38"/>
  <c r="F85" i="38" s="1"/>
  <c r="H122" i="1"/>
  <c r="H121" i="1"/>
  <c r="E84" i="38"/>
  <c r="J84" i="38" s="1"/>
  <c r="F83" i="38"/>
  <c r="E86" i="38"/>
  <c r="J86" i="38" s="1"/>
  <c r="H123" i="1"/>
  <c r="F81" i="38"/>
  <c r="G40" i="3"/>
  <c r="H8" i="23"/>
  <c r="B48" i="1"/>
  <c r="B11" i="38" s="1"/>
  <c r="DP9" i="10"/>
  <c r="DP17" i="10"/>
  <c r="DP6" i="10"/>
  <c r="DP14" i="10"/>
  <c r="DP8" i="10"/>
  <c r="DP16" i="10"/>
  <c r="DP13" i="10"/>
  <c r="DQ5" i="10"/>
  <c r="DP10" i="10"/>
  <c r="DP18" i="10"/>
  <c r="DP15" i="10"/>
  <c r="DP4" i="10"/>
  <c r="DP7" i="10"/>
  <c r="DP20" i="10"/>
  <c r="DP12" i="10"/>
  <c r="DP11" i="10"/>
  <c r="H7" i="23"/>
  <c r="B29" i="10"/>
  <c r="G76" i="3"/>
  <c r="B13" i="23"/>
  <c r="B14" i="23" s="1"/>
  <c r="N17" i="23"/>
  <c r="AM68" i="38" l="1"/>
  <c r="AM42" i="38"/>
  <c r="AM70" i="38"/>
  <c r="AM48" i="38"/>
  <c r="AM47" i="38"/>
  <c r="AM23" i="38"/>
  <c r="AM69" i="38"/>
  <c r="AM85" i="38"/>
  <c r="AM12" i="38"/>
  <c r="AM14" i="38"/>
  <c r="AM13" i="38"/>
  <c r="AM40" i="38"/>
  <c r="E16" i="9"/>
  <c r="E17" i="9"/>
  <c r="AN3" i="38"/>
  <c r="F86" i="38"/>
  <c r="E18" i="9" s="1"/>
  <c r="F84" i="38"/>
  <c r="B49" i="1"/>
  <c r="DQ4" i="10"/>
  <c r="DQ12" i="10"/>
  <c r="DQ9" i="10"/>
  <c r="DQ17" i="10"/>
  <c r="DQ11" i="10"/>
  <c r="DQ8" i="10"/>
  <c r="DQ16" i="10"/>
  <c r="DQ13" i="10"/>
  <c r="DQ10" i="10"/>
  <c r="DQ15" i="10"/>
  <c r="DR5" i="10"/>
  <c r="DQ7" i="10"/>
  <c r="DQ20" i="10"/>
  <c r="DQ18" i="10"/>
  <c r="DQ6" i="10"/>
  <c r="DQ14" i="10"/>
  <c r="DP19" i="10"/>
  <c r="B14" i="10"/>
  <c r="B15" i="10" s="1"/>
  <c r="B16" i="10" s="1"/>
  <c r="B17" i="10" s="1"/>
  <c r="B18" i="10" s="1"/>
  <c r="B30" i="10"/>
  <c r="B15" i="23"/>
  <c r="N18" i="23"/>
  <c r="J6" i="10"/>
  <c r="H11" i="2"/>
  <c r="E12" i="2"/>
  <c r="E19" i="10"/>
  <c r="AN42" i="38" l="1"/>
  <c r="AN85" i="38"/>
  <c r="AN70" i="38"/>
  <c r="AN69" i="38"/>
  <c r="AN68" i="38"/>
  <c r="AN23" i="38"/>
  <c r="AN48" i="38"/>
  <c r="AN40" i="38"/>
  <c r="AN14" i="38"/>
  <c r="AN47" i="38"/>
  <c r="AN13" i="38"/>
  <c r="AN12" i="38"/>
  <c r="AO3" i="38"/>
  <c r="B50" i="1"/>
  <c r="B12" i="38"/>
  <c r="J87" i="38"/>
  <c r="E24" i="9" s="1"/>
  <c r="DR7" i="10"/>
  <c r="DR15" i="10"/>
  <c r="DR4" i="10"/>
  <c r="DR12" i="10"/>
  <c r="DR20" i="10"/>
  <c r="DR6" i="10"/>
  <c r="DR14" i="10"/>
  <c r="DR11" i="10"/>
  <c r="DR8" i="10"/>
  <c r="DR16" i="10"/>
  <c r="DR10" i="10"/>
  <c r="DR9" i="10"/>
  <c r="DR13" i="10"/>
  <c r="DS5" i="10"/>
  <c r="DR17" i="10"/>
  <c r="DR18" i="10"/>
  <c r="DQ19" i="10"/>
  <c r="B31" i="10"/>
  <c r="B16" i="23"/>
  <c r="N19" i="23"/>
  <c r="G6" i="9"/>
  <c r="G5" i="9"/>
  <c r="G4" i="9"/>
  <c r="AO68" i="38" l="1"/>
  <c r="AO48" i="38"/>
  <c r="AO69" i="38"/>
  <c r="AO70" i="38"/>
  <c r="AO12" i="38"/>
  <c r="AO14" i="38"/>
  <c r="AO85" i="38"/>
  <c r="AO47" i="38"/>
  <c r="AO42" i="38"/>
  <c r="AO13" i="38"/>
  <c r="AO23" i="38"/>
  <c r="AO40" i="38"/>
  <c r="AP3" i="38"/>
  <c r="B51" i="1"/>
  <c r="B13" i="38"/>
  <c r="DR19" i="10"/>
  <c r="DT5" i="10"/>
  <c r="DS10" i="10"/>
  <c r="DS18" i="10"/>
  <c r="DS7" i="10"/>
  <c r="DS15" i="10"/>
  <c r="DS4" i="10"/>
  <c r="DS9" i="10"/>
  <c r="DS17" i="10"/>
  <c r="DS6" i="10"/>
  <c r="DS14" i="10"/>
  <c r="DS11" i="10"/>
  <c r="DS16" i="10"/>
  <c r="DS8" i="10"/>
  <c r="DS13" i="10"/>
  <c r="DS12" i="10"/>
  <c r="DS20" i="10"/>
  <c r="B32" i="10"/>
  <c r="H16" i="7"/>
  <c r="B17" i="23"/>
  <c r="N20" i="23"/>
  <c r="F85" i="3"/>
  <c r="K85" i="3" s="1"/>
  <c r="G47" i="3"/>
  <c r="E165" i="3"/>
  <c r="E167" i="3" s="1"/>
  <c r="AP68" i="38" l="1"/>
  <c r="AP69" i="38"/>
  <c r="AP48" i="38"/>
  <c r="AP40" i="38"/>
  <c r="AP47" i="38"/>
  <c r="AP70" i="38"/>
  <c r="AP23" i="38"/>
  <c r="AP12" i="38"/>
  <c r="AP85" i="38"/>
  <c r="AP42" i="38"/>
  <c r="AP13" i="38"/>
  <c r="AP14" i="38"/>
  <c r="AQ3" i="38"/>
  <c r="B52" i="1"/>
  <c r="B14" i="38"/>
  <c r="DS19" i="10"/>
  <c r="DT13" i="10"/>
  <c r="DU5" i="10"/>
  <c r="DT10" i="10"/>
  <c r="DT18" i="10"/>
  <c r="DT4" i="10"/>
  <c r="DT12" i="10"/>
  <c r="DT9" i="10"/>
  <c r="DT17" i="10"/>
  <c r="DT6" i="10"/>
  <c r="DT14" i="10"/>
  <c r="DT16" i="10"/>
  <c r="DT8" i="10"/>
  <c r="DT7" i="10"/>
  <c r="DT15" i="10"/>
  <c r="DT11" i="10"/>
  <c r="DT20" i="10"/>
  <c r="B33" i="10"/>
  <c r="B18" i="23"/>
  <c r="N21" i="23"/>
  <c r="D154" i="3"/>
  <c r="E150" i="3"/>
  <c r="F150" i="3" s="1"/>
  <c r="G150" i="3" s="1"/>
  <c r="E147" i="3"/>
  <c r="D146" i="3"/>
  <c r="G159" i="3"/>
  <c r="D128" i="3"/>
  <c r="E129" i="3"/>
  <c r="E119" i="3"/>
  <c r="F119" i="3" s="1"/>
  <c r="G119" i="3" s="1"/>
  <c r="E132" i="3"/>
  <c r="F132" i="3" s="1"/>
  <c r="D136" i="3"/>
  <c r="L88" i="3"/>
  <c r="D164" i="3" s="1"/>
  <c r="J87" i="3"/>
  <c r="J88" i="3"/>
  <c r="J86" i="3"/>
  <c r="AQ85" i="38" l="1"/>
  <c r="AQ48" i="38"/>
  <c r="AQ68" i="38"/>
  <c r="AQ69" i="38"/>
  <c r="AQ70" i="38"/>
  <c r="AQ47" i="38"/>
  <c r="AQ23" i="38"/>
  <c r="AQ12" i="38"/>
  <c r="AQ40" i="38"/>
  <c r="AQ42" i="38"/>
  <c r="AQ14" i="38"/>
  <c r="AQ13" i="38"/>
  <c r="AR3" i="38"/>
  <c r="B53" i="1"/>
  <c r="B15" i="38"/>
  <c r="DU8" i="10"/>
  <c r="DU16" i="10"/>
  <c r="DU13" i="10"/>
  <c r="DV5" i="10"/>
  <c r="DU7" i="10"/>
  <c r="DU15" i="10"/>
  <c r="DU4" i="10"/>
  <c r="DU12" i="10"/>
  <c r="DU9" i="10"/>
  <c r="DU17" i="10"/>
  <c r="DU11" i="10"/>
  <c r="DU18" i="10"/>
  <c r="DU20" i="10"/>
  <c r="DU14" i="10"/>
  <c r="DU10" i="10"/>
  <c r="DU6" i="10"/>
  <c r="DT19" i="10"/>
  <c r="B35" i="10"/>
  <c r="B34" i="10"/>
  <c r="B19" i="23"/>
  <c r="N22" i="23"/>
  <c r="G160" i="3"/>
  <c r="G161" i="3" s="1"/>
  <c r="E123" i="3"/>
  <c r="AR85" i="38" l="1"/>
  <c r="AR47" i="38"/>
  <c r="AR69" i="38"/>
  <c r="AR68" i="38"/>
  <c r="AR12" i="38"/>
  <c r="AR14" i="38"/>
  <c r="AR40" i="38"/>
  <c r="AR42" i="38"/>
  <c r="AR23" i="38"/>
  <c r="AR48" i="38"/>
  <c r="AR70" i="38"/>
  <c r="AR13" i="38"/>
  <c r="AS3" i="38"/>
  <c r="B54" i="1"/>
  <c r="B16" i="38"/>
  <c r="DV11" i="10"/>
  <c r="DV8" i="10"/>
  <c r="DV16" i="10"/>
  <c r="DW5" i="10"/>
  <c r="DV10" i="10"/>
  <c r="DV7" i="10"/>
  <c r="DV15" i="10"/>
  <c r="DV4" i="10"/>
  <c r="DV12" i="10"/>
  <c r="DV6" i="10"/>
  <c r="DV17" i="10"/>
  <c r="DV18" i="10"/>
  <c r="DV20" i="10"/>
  <c r="DV9" i="10"/>
  <c r="DV14" i="10"/>
  <c r="DV13" i="10"/>
  <c r="DU19" i="10"/>
  <c r="E9" i="11"/>
  <c r="B20" i="23"/>
  <c r="N23" i="23"/>
  <c r="B7" i="1"/>
  <c r="G17" i="3"/>
  <c r="G16" i="3"/>
  <c r="G18" i="3"/>
  <c r="B176" i="1"/>
  <c r="M26" i="32" s="1"/>
  <c r="J175" i="1"/>
  <c r="G12" i="3" s="1"/>
  <c r="AS68" i="38" l="1"/>
  <c r="AS48" i="38"/>
  <c r="AS85" i="38"/>
  <c r="AS70" i="38"/>
  <c r="AS47" i="38"/>
  <c r="AS40" i="38"/>
  <c r="AS69" i="38"/>
  <c r="AS12" i="38"/>
  <c r="AS23" i="38"/>
  <c r="AS14" i="38"/>
  <c r="AS13" i="38"/>
  <c r="AS42" i="38"/>
  <c r="AT3" i="38"/>
  <c r="B55" i="1"/>
  <c r="B17" i="38"/>
  <c r="E16" i="7"/>
  <c r="E17" i="7" s="1"/>
  <c r="DW6" i="10"/>
  <c r="DW14" i="10"/>
  <c r="DW11" i="10"/>
  <c r="DW13" i="10"/>
  <c r="DX5" i="10"/>
  <c r="DW10" i="10"/>
  <c r="DW18" i="10"/>
  <c r="DW7" i="10"/>
  <c r="DW15" i="10"/>
  <c r="DW17" i="10"/>
  <c r="DW9" i="10"/>
  <c r="DW8" i="10"/>
  <c r="DW4" i="10"/>
  <c r="DW12" i="10"/>
  <c r="DW16" i="10"/>
  <c r="DW20" i="10"/>
  <c r="DV19" i="10"/>
  <c r="B21" i="23"/>
  <c r="N24" i="23"/>
  <c r="G14" i="3"/>
  <c r="G13" i="3"/>
  <c r="G176" i="1"/>
  <c r="G43" i="10"/>
  <c r="DV43" i="10" s="1"/>
  <c r="G44" i="10"/>
  <c r="DV44" i="10" s="1"/>
  <c r="G45" i="10"/>
  <c r="DV45" i="10" s="1"/>
  <c r="G46" i="10"/>
  <c r="DV46" i="10" s="1"/>
  <c r="H6" i="6"/>
  <c r="G6" i="6"/>
  <c r="D6" i="6"/>
  <c r="E7" i="6"/>
  <c r="AT68" i="38" l="1"/>
  <c r="AT69" i="38"/>
  <c r="AT48" i="38"/>
  <c r="AT85" i="38"/>
  <c r="AT47" i="38"/>
  <c r="AT40" i="38"/>
  <c r="AT23" i="38"/>
  <c r="AT12" i="38"/>
  <c r="AT14" i="38"/>
  <c r="AT70" i="38"/>
  <c r="AT13" i="38"/>
  <c r="AT42" i="38"/>
  <c r="AU3" i="38"/>
  <c r="B56" i="1"/>
  <c r="B18" i="38"/>
  <c r="DF46" i="10"/>
  <c r="DE46" i="10"/>
  <c r="DG46" i="10"/>
  <c r="DH46" i="10"/>
  <c r="DI46" i="10"/>
  <c r="DJ46" i="10"/>
  <c r="DK46" i="10"/>
  <c r="DL46" i="10"/>
  <c r="DM46" i="10"/>
  <c r="DN46" i="10"/>
  <c r="DO46" i="10"/>
  <c r="DP46" i="10"/>
  <c r="DQ46" i="10"/>
  <c r="DR46" i="10"/>
  <c r="DS46" i="10"/>
  <c r="DT46" i="10"/>
  <c r="DU46" i="10"/>
  <c r="DE44" i="10"/>
  <c r="DF44" i="10"/>
  <c r="DG44" i="10"/>
  <c r="DH44" i="10"/>
  <c r="DI44" i="10"/>
  <c r="DJ44" i="10"/>
  <c r="DK44" i="10"/>
  <c r="DL44" i="10"/>
  <c r="DM44" i="10"/>
  <c r="DN44" i="10"/>
  <c r="DO44" i="10"/>
  <c r="DP44" i="10"/>
  <c r="DQ44" i="10"/>
  <c r="DR44" i="10"/>
  <c r="DS44" i="10"/>
  <c r="DT44" i="10"/>
  <c r="DU44" i="10"/>
  <c r="DE45" i="10"/>
  <c r="DF45" i="10"/>
  <c r="DG45" i="10"/>
  <c r="DH45" i="10"/>
  <c r="DI45" i="10"/>
  <c r="DJ45" i="10"/>
  <c r="DK45" i="10"/>
  <c r="DL45" i="10"/>
  <c r="DM45" i="10"/>
  <c r="DN45" i="10"/>
  <c r="DO45" i="10"/>
  <c r="DP45" i="10"/>
  <c r="DQ45" i="10"/>
  <c r="DR45" i="10"/>
  <c r="DS45" i="10"/>
  <c r="DT45" i="10"/>
  <c r="DU45" i="10"/>
  <c r="DF43" i="10"/>
  <c r="DE43" i="10"/>
  <c r="DG43" i="10"/>
  <c r="DH43" i="10"/>
  <c r="DI43" i="10"/>
  <c r="DJ43" i="10"/>
  <c r="DK43" i="10"/>
  <c r="DL43" i="10"/>
  <c r="DM43" i="10"/>
  <c r="DN43" i="10"/>
  <c r="DO43" i="10"/>
  <c r="DP43" i="10"/>
  <c r="DQ43" i="10"/>
  <c r="DR43" i="10"/>
  <c r="DS43" i="10"/>
  <c r="DT43" i="10"/>
  <c r="DU43" i="10"/>
  <c r="DX9" i="10"/>
  <c r="DX17" i="10"/>
  <c r="DX6" i="10"/>
  <c r="DX19" i="10" s="1"/>
  <c r="DX14" i="10"/>
  <c r="DX8" i="10"/>
  <c r="DX16" i="10"/>
  <c r="DX13" i="10"/>
  <c r="DY5" i="10"/>
  <c r="DX10" i="10"/>
  <c r="DX18" i="10"/>
  <c r="DX12" i="10"/>
  <c r="DX11" i="10"/>
  <c r="DX4" i="10"/>
  <c r="DX15" i="10"/>
  <c r="DX20" i="10"/>
  <c r="DX7" i="10"/>
  <c r="DW45" i="10"/>
  <c r="DW44" i="10"/>
  <c r="DW43" i="10"/>
  <c r="DW46" i="10"/>
  <c r="DW19" i="10"/>
  <c r="DV47" i="10"/>
  <c r="B22" i="23"/>
  <c r="N25" i="23"/>
  <c r="D8" i="3"/>
  <c r="J4" i="11"/>
  <c r="B55" i="9"/>
  <c r="C36" i="31" s="1"/>
  <c r="F36" i="10"/>
  <c r="J133" i="1"/>
  <c r="I133" i="1"/>
  <c r="D52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F19" i="10"/>
  <c r="I19" i="10" s="1"/>
  <c r="G19" i="10"/>
  <c r="L5" i="10" s="1"/>
  <c r="AU42" i="38" l="1"/>
  <c r="AU68" i="38"/>
  <c r="AU85" i="38"/>
  <c r="AU48" i="38"/>
  <c r="AU47" i="38"/>
  <c r="AU70" i="38"/>
  <c r="AU69" i="38"/>
  <c r="AU12" i="38"/>
  <c r="AU14" i="38"/>
  <c r="AU23" i="38"/>
  <c r="AU40" i="38"/>
  <c r="AU13" i="38"/>
  <c r="AV3" i="38"/>
  <c r="B57" i="1"/>
  <c r="B19" i="38"/>
  <c r="DN47" i="10"/>
  <c r="DN33" i="10" s="1"/>
  <c r="DO47" i="10"/>
  <c r="DO33" i="10" s="1"/>
  <c r="DG47" i="10"/>
  <c r="DG34" i="10" s="1"/>
  <c r="DE47" i="10"/>
  <c r="DE34" i="10" s="1"/>
  <c r="DU47" i="10"/>
  <c r="DU35" i="10" s="1"/>
  <c r="DM47" i="10"/>
  <c r="DM23" i="10" s="1"/>
  <c r="DF47" i="10"/>
  <c r="DF33" i="10" s="1"/>
  <c r="DT47" i="10"/>
  <c r="DL47" i="10"/>
  <c r="DS47" i="10"/>
  <c r="DK47" i="10"/>
  <c r="DR47" i="10"/>
  <c r="DJ47" i="10"/>
  <c r="DQ47" i="10"/>
  <c r="DI47" i="10"/>
  <c r="DP47" i="10"/>
  <c r="DH47" i="10"/>
  <c r="DX43" i="10"/>
  <c r="DX45" i="10"/>
  <c r="DX44" i="10"/>
  <c r="DX46" i="10"/>
  <c r="DY4" i="10"/>
  <c r="DY12" i="10"/>
  <c r="DY9" i="10"/>
  <c r="DY17" i="10"/>
  <c r="DY11" i="10"/>
  <c r="DY8" i="10"/>
  <c r="DY16" i="10"/>
  <c r="DY13" i="10"/>
  <c r="DY7" i="10"/>
  <c r="DY6" i="10"/>
  <c r="DY10" i="10"/>
  <c r="DY15" i="10"/>
  <c r="DY20" i="10"/>
  <c r="DY14" i="10"/>
  <c r="DZ5" i="10"/>
  <c r="DY18" i="10"/>
  <c r="DV28" i="10"/>
  <c r="DV34" i="10"/>
  <c r="DV35" i="10"/>
  <c r="DV32" i="10"/>
  <c r="DV30" i="10"/>
  <c r="DV29" i="10"/>
  <c r="DV31" i="10"/>
  <c r="DV27" i="10"/>
  <c r="DV26" i="10"/>
  <c r="DV24" i="10"/>
  <c r="DV25" i="10"/>
  <c r="DV33" i="10"/>
  <c r="DV23" i="10"/>
  <c r="DW47" i="10"/>
  <c r="G25" i="1"/>
  <c r="H162" i="1" s="1"/>
  <c r="H30" i="10"/>
  <c r="H28" i="10"/>
  <c r="H29" i="10"/>
  <c r="H33" i="10"/>
  <c r="H34" i="10"/>
  <c r="H35" i="10"/>
  <c r="H32" i="10"/>
  <c r="H31" i="10"/>
  <c r="L16" i="10"/>
  <c r="L15" i="10"/>
  <c r="L18" i="10"/>
  <c r="L17" i="10"/>
  <c r="L12" i="10"/>
  <c r="L11" i="10"/>
  <c r="L14" i="10"/>
  <c r="L13" i="10"/>
  <c r="L20" i="10"/>
  <c r="B23" i="23"/>
  <c r="J8" i="11"/>
  <c r="N26" i="23"/>
  <c r="H26" i="10"/>
  <c r="H23" i="10"/>
  <c r="H27" i="10"/>
  <c r="H24" i="10"/>
  <c r="H25" i="10"/>
  <c r="L10" i="10"/>
  <c r="J5" i="11"/>
  <c r="J7" i="11"/>
  <c r="J9" i="11"/>
  <c r="L3" i="10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CE3" i="10" s="1"/>
  <c r="CF3" i="10" s="1"/>
  <c r="CG3" i="10" s="1"/>
  <c r="CH3" i="10" s="1"/>
  <c r="CI3" i="10" s="1"/>
  <c r="CJ3" i="10" s="1"/>
  <c r="CK3" i="10" s="1"/>
  <c r="CL3" i="10" s="1"/>
  <c r="CM3" i="10" s="1"/>
  <c r="CN3" i="10" s="1"/>
  <c r="CO3" i="10" s="1"/>
  <c r="CP3" i="10" s="1"/>
  <c r="CQ3" i="10" s="1"/>
  <c r="CR3" i="10" s="1"/>
  <c r="CS3" i="10" s="1"/>
  <c r="CT3" i="10" s="1"/>
  <c r="CU3" i="10" s="1"/>
  <c r="CV3" i="10" s="1"/>
  <c r="CW3" i="10" s="1"/>
  <c r="CX3" i="10" s="1"/>
  <c r="CY3" i="10" s="1"/>
  <c r="CZ3" i="10" s="1"/>
  <c r="DA3" i="10" s="1"/>
  <c r="DB3" i="10" s="1"/>
  <c r="DC3" i="10" s="1"/>
  <c r="DD3" i="10" s="1"/>
  <c r="DE3" i="10" s="1"/>
  <c r="DF3" i="10" s="1"/>
  <c r="DG3" i="10" s="1"/>
  <c r="DH3" i="10" s="1"/>
  <c r="DI3" i="10" s="1"/>
  <c r="DJ3" i="10" s="1"/>
  <c r="DK3" i="10" s="1"/>
  <c r="DL3" i="10" s="1"/>
  <c r="DM3" i="10" s="1"/>
  <c r="DN3" i="10" s="1"/>
  <c r="DO3" i="10" s="1"/>
  <c r="DP3" i="10" s="1"/>
  <c r="DQ3" i="10" s="1"/>
  <c r="DR3" i="10" s="1"/>
  <c r="DS3" i="10" s="1"/>
  <c r="DT3" i="10" s="1"/>
  <c r="DU3" i="10" s="1"/>
  <c r="DV3" i="10" s="1"/>
  <c r="DW3" i="10" s="1"/>
  <c r="DX3" i="10" s="1"/>
  <c r="DY3" i="10" s="1"/>
  <c r="DZ3" i="10" s="1"/>
  <c r="EA3" i="10" s="1"/>
  <c r="EB3" i="10" s="1"/>
  <c r="EC3" i="10" s="1"/>
  <c r="ED3" i="10" s="1"/>
  <c r="EE3" i="10" s="1"/>
  <c r="EF3" i="10" s="1"/>
  <c r="EG3" i="10" s="1"/>
  <c r="EH3" i="10" s="1"/>
  <c r="EI3" i="10" s="1"/>
  <c r="EJ3" i="10" s="1"/>
  <c r="EK3" i="10" s="1"/>
  <c r="EL3" i="10" s="1"/>
  <c r="EM3" i="10" s="1"/>
  <c r="EN3" i="10" s="1"/>
  <c r="EO3" i="10" s="1"/>
  <c r="I53" i="10"/>
  <c r="L7" i="10"/>
  <c r="M5" i="10"/>
  <c r="J45" i="10"/>
  <c r="I52" i="10"/>
  <c r="L9" i="10"/>
  <c r="J52" i="10"/>
  <c r="L4" i="10"/>
  <c r="J53" i="10"/>
  <c r="L8" i="10"/>
  <c r="J44" i="10"/>
  <c r="J43" i="10"/>
  <c r="J46" i="10"/>
  <c r="J19" i="10"/>
  <c r="DO24" i="10" l="1"/>
  <c r="AV47" i="38"/>
  <c r="AV68" i="38"/>
  <c r="AV85" i="38"/>
  <c r="AV70" i="38"/>
  <c r="AV48" i="38"/>
  <c r="AV69" i="38"/>
  <c r="AV40" i="38"/>
  <c r="AV42" i="38"/>
  <c r="AV12" i="38"/>
  <c r="AV14" i="38"/>
  <c r="AV13" i="38"/>
  <c r="AV23" i="38"/>
  <c r="AW3" i="38"/>
  <c r="DG28" i="10"/>
  <c r="DG30" i="10"/>
  <c r="DO28" i="10"/>
  <c r="DO26" i="10"/>
  <c r="DG25" i="10"/>
  <c r="DO31" i="10"/>
  <c r="DO25" i="10"/>
  <c r="DE29" i="10"/>
  <c r="DG27" i="10"/>
  <c r="B58" i="1"/>
  <c r="B20" i="38"/>
  <c r="DO30" i="10"/>
  <c r="DO32" i="10"/>
  <c r="DO35" i="10"/>
  <c r="DO29" i="10"/>
  <c r="DG24" i="10"/>
  <c r="DG26" i="10"/>
  <c r="DO34" i="10"/>
  <c r="DO23" i="10"/>
  <c r="DG35" i="10"/>
  <c r="DG33" i="10"/>
  <c r="DO27" i="10"/>
  <c r="DG29" i="10"/>
  <c r="DG31" i="10"/>
  <c r="DE26" i="10"/>
  <c r="DE33" i="10"/>
  <c r="DE30" i="10"/>
  <c r="DN27" i="10"/>
  <c r="DN23" i="10"/>
  <c r="DN24" i="10"/>
  <c r="DN30" i="10"/>
  <c r="DN26" i="10"/>
  <c r="DN28" i="10"/>
  <c r="DN34" i="10"/>
  <c r="DN31" i="10"/>
  <c r="DN29" i="10"/>
  <c r="DN25" i="10"/>
  <c r="DN32" i="10"/>
  <c r="DN35" i="10"/>
  <c r="DE24" i="10"/>
  <c r="DE28" i="10"/>
  <c r="DE25" i="10"/>
  <c r="DE23" i="10"/>
  <c r="DE27" i="10"/>
  <c r="DG23" i="10"/>
  <c r="DG32" i="10"/>
  <c r="DE31" i="10"/>
  <c r="DE35" i="10"/>
  <c r="DM31" i="10"/>
  <c r="DM24" i="10"/>
  <c r="DM35" i="10"/>
  <c r="DM26" i="10"/>
  <c r="DM27" i="10"/>
  <c r="DM34" i="10"/>
  <c r="DM32" i="10"/>
  <c r="DM25" i="10"/>
  <c r="DM29" i="10"/>
  <c r="DF29" i="10"/>
  <c r="DM33" i="10"/>
  <c r="DM28" i="10"/>
  <c r="DM30" i="10"/>
  <c r="DF26" i="10"/>
  <c r="DF23" i="10"/>
  <c r="DE32" i="10"/>
  <c r="DF30" i="10"/>
  <c r="DF35" i="10"/>
  <c r="DF34" i="10"/>
  <c r="DF31" i="10"/>
  <c r="DF25" i="10"/>
  <c r="DF28" i="10"/>
  <c r="DF32" i="10"/>
  <c r="DF24" i="10"/>
  <c r="DF27" i="10"/>
  <c r="DU27" i="10"/>
  <c r="DU31" i="10"/>
  <c r="DU32" i="10"/>
  <c r="DU28" i="10"/>
  <c r="DU29" i="10"/>
  <c r="DU23" i="10"/>
  <c r="DU25" i="10"/>
  <c r="DU34" i="10"/>
  <c r="DU26" i="10"/>
  <c r="DU33" i="10"/>
  <c r="DU24" i="10"/>
  <c r="DU30" i="10"/>
  <c r="DI30" i="10"/>
  <c r="DI32" i="10"/>
  <c r="DI33" i="10"/>
  <c r="DI24" i="10"/>
  <c r="DI28" i="10"/>
  <c r="DI27" i="10"/>
  <c r="DI26" i="10"/>
  <c r="DI25" i="10"/>
  <c r="DI31" i="10"/>
  <c r="DI34" i="10"/>
  <c r="DI23" i="10"/>
  <c r="DI29" i="10"/>
  <c r="DI35" i="10"/>
  <c r="DL30" i="10"/>
  <c r="DL25" i="10"/>
  <c r="DL28" i="10"/>
  <c r="DL26" i="10"/>
  <c r="DL24" i="10"/>
  <c r="DL27" i="10"/>
  <c r="DL35" i="10"/>
  <c r="DL23" i="10"/>
  <c r="DL29" i="10"/>
  <c r="DL33" i="10"/>
  <c r="DL32" i="10"/>
  <c r="DL34" i="10"/>
  <c r="DL31" i="10"/>
  <c r="DK24" i="10"/>
  <c r="DK34" i="10"/>
  <c r="DK28" i="10"/>
  <c r="DK27" i="10"/>
  <c r="DK25" i="10"/>
  <c r="DK29" i="10"/>
  <c r="DK31" i="10"/>
  <c r="DK26" i="10"/>
  <c r="DK30" i="10"/>
  <c r="DK35" i="10"/>
  <c r="DK33" i="10"/>
  <c r="DK32" i="10"/>
  <c r="DK23" i="10"/>
  <c r="DT33" i="10"/>
  <c r="DT28" i="10"/>
  <c r="DT24" i="10"/>
  <c r="DT27" i="10"/>
  <c r="DT26" i="10"/>
  <c r="DT30" i="10"/>
  <c r="DT23" i="10"/>
  <c r="DT35" i="10"/>
  <c r="DT34" i="10"/>
  <c r="DT25" i="10"/>
  <c r="DT29" i="10"/>
  <c r="DT32" i="10"/>
  <c r="DT31" i="10"/>
  <c r="DS28" i="10"/>
  <c r="DS25" i="10"/>
  <c r="DS33" i="10"/>
  <c r="DS31" i="10"/>
  <c r="DS30" i="10"/>
  <c r="DS29" i="10"/>
  <c r="DS23" i="10"/>
  <c r="DS24" i="10"/>
  <c r="DS34" i="10"/>
  <c r="DS26" i="10"/>
  <c r="DS32" i="10"/>
  <c r="DS35" i="10"/>
  <c r="DS27" i="10"/>
  <c r="DH32" i="10"/>
  <c r="DH30" i="10"/>
  <c r="DH34" i="10"/>
  <c r="DH24" i="10"/>
  <c r="DH33" i="10"/>
  <c r="DH31" i="10"/>
  <c r="DH27" i="10"/>
  <c r="DH28" i="10"/>
  <c r="DH26" i="10"/>
  <c r="DH35" i="10"/>
  <c r="DH25" i="10"/>
  <c r="DH29" i="10"/>
  <c r="DH23" i="10"/>
  <c r="DJ25" i="10"/>
  <c r="DJ29" i="10"/>
  <c r="DJ27" i="10"/>
  <c r="DJ26" i="10"/>
  <c r="DJ28" i="10"/>
  <c r="DJ35" i="10"/>
  <c r="DJ33" i="10"/>
  <c r="DJ23" i="10"/>
  <c r="DJ30" i="10"/>
  <c r="DJ31" i="10"/>
  <c r="DJ32" i="10"/>
  <c r="DJ24" i="10"/>
  <c r="DJ34" i="10"/>
  <c r="DQ30" i="10"/>
  <c r="DQ32" i="10"/>
  <c r="DQ26" i="10"/>
  <c r="DQ25" i="10"/>
  <c r="DQ29" i="10"/>
  <c r="DQ34" i="10"/>
  <c r="DQ31" i="10"/>
  <c r="DQ35" i="10"/>
  <c r="DQ27" i="10"/>
  <c r="DQ33" i="10"/>
  <c r="DQ24" i="10"/>
  <c r="DQ23" i="10"/>
  <c r="DQ28" i="10"/>
  <c r="DP26" i="10"/>
  <c r="DP27" i="10"/>
  <c r="DP25" i="10"/>
  <c r="DP32" i="10"/>
  <c r="DP30" i="10"/>
  <c r="DP24" i="10"/>
  <c r="DP31" i="10"/>
  <c r="DP29" i="10"/>
  <c r="DP33" i="10"/>
  <c r="DP35" i="10"/>
  <c r="DP28" i="10"/>
  <c r="DP23" i="10"/>
  <c r="DP34" i="10"/>
  <c r="DR27" i="10"/>
  <c r="DR34" i="10"/>
  <c r="DR30" i="10"/>
  <c r="DR25" i="10"/>
  <c r="DR28" i="10"/>
  <c r="DR23" i="10"/>
  <c r="DR32" i="10"/>
  <c r="DR33" i="10"/>
  <c r="DR24" i="10"/>
  <c r="DR29" i="10"/>
  <c r="DR26" i="10"/>
  <c r="DR31" i="10"/>
  <c r="DR35" i="10"/>
  <c r="I19" i="30"/>
  <c r="DV36" i="10"/>
  <c r="DV38" i="10" s="1"/>
  <c r="DY19" i="10"/>
  <c r="DY46" i="10"/>
  <c r="DY43" i="10"/>
  <c r="DY45" i="10"/>
  <c r="DY44" i="10"/>
  <c r="DZ7" i="10"/>
  <c r="DZ15" i="10"/>
  <c r="DZ4" i="10"/>
  <c r="DZ12" i="10"/>
  <c r="DZ20" i="10"/>
  <c r="DZ6" i="10"/>
  <c r="DZ14" i="10"/>
  <c r="DZ11" i="10"/>
  <c r="DZ8" i="10"/>
  <c r="DZ16" i="10"/>
  <c r="DZ18" i="10"/>
  <c r="DZ10" i="10"/>
  <c r="DZ9" i="10"/>
  <c r="EA5" i="10"/>
  <c r="DZ13" i="10"/>
  <c r="DZ17" i="10"/>
  <c r="DW27" i="10"/>
  <c r="DW24" i="10"/>
  <c r="DW23" i="10"/>
  <c r="DW26" i="10"/>
  <c r="DW28" i="10"/>
  <c r="DW32" i="10"/>
  <c r="DW31" i="10"/>
  <c r="DW33" i="10"/>
  <c r="DW29" i="10"/>
  <c r="DW25" i="10"/>
  <c r="DW34" i="10"/>
  <c r="DW35" i="10"/>
  <c r="DW30" i="10"/>
  <c r="DX47" i="10"/>
  <c r="L25" i="1"/>
  <c r="M16" i="10"/>
  <c r="M15" i="10"/>
  <c r="M17" i="10"/>
  <c r="M18" i="10"/>
  <c r="M20" i="10"/>
  <c r="M46" i="10" s="1"/>
  <c r="M13" i="10"/>
  <c r="M12" i="10"/>
  <c r="M11" i="10"/>
  <c r="M14" i="10"/>
  <c r="L46" i="10"/>
  <c r="L43" i="10"/>
  <c r="L45" i="10"/>
  <c r="L44" i="10"/>
  <c r="B24" i="23"/>
  <c r="N27" i="23"/>
  <c r="L19" i="10"/>
  <c r="I54" i="10"/>
  <c r="I55" i="10" s="1"/>
  <c r="J54" i="10"/>
  <c r="J55" i="10" s="1"/>
  <c r="M6" i="10"/>
  <c r="M7" i="10"/>
  <c r="M4" i="10"/>
  <c r="N5" i="10"/>
  <c r="M8" i="10"/>
  <c r="M10" i="10"/>
  <c r="M9" i="10"/>
  <c r="J47" i="10"/>
  <c r="J33" i="10" s="1"/>
  <c r="I33" i="10" s="1"/>
  <c r="AW68" i="38" l="1"/>
  <c r="AW48" i="38"/>
  <c r="AW69" i="38"/>
  <c r="AW85" i="38"/>
  <c r="AW23" i="38"/>
  <c r="AW70" i="38"/>
  <c r="AW12" i="38"/>
  <c r="AW14" i="38"/>
  <c r="AW47" i="38"/>
  <c r="AW40" i="38"/>
  <c r="AW42" i="38"/>
  <c r="AW13" i="38"/>
  <c r="AX3" i="38"/>
  <c r="B59" i="1"/>
  <c r="B21" i="38"/>
  <c r="DO36" i="10"/>
  <c r="DO38" i="10" s="1"/>
  <c r="DO39" i="10" s="1"/>
  <c r="DO40" i="10" s="1"/>
  <c r="DO49" i="10" s="1"/>
  <c r="DG36" i="10"/>
  <c r="DG38" i="10" s="1"/>
  <c r="DG39" i="10" s="1"/>
  <c r="DG40" i="10" s="1"/>
  <c r="DG49" i="10" s="1"/>
  <c r="DN36" i="10"/>
  <c r="DN38" i="10" s="1"/>
  <c r="DN39" i="10" s="1"/>
  <c r="DN40" i="10" s="1"/>
  <c r="DN49" i="10" s="1"/>
  <c r="DE36" i="10"/>
  <c r="DE38" i="10" s="1"/>
  <c r="DE39" i="10" s="1"/>
  <c r="DE40" i="10" s="1"/>
  <c r="DE49" i="10" s="1"/>
  <c r="DM36" i="10"/>
  <c r="DM38" i="10" s="1"/>
  <c r="DM39" i="10" s="1"/>
  <c r="DM40" i="10" s="1"/>
  <c r="DM49" i="10" s="1"/>
  <c r="DF36" i="10"/>
  <c r="DF38" i="10" s="1"/>
  <c r="DF39" i="10" s="1"/>
  <c r="DF40" i="10" s="1"/>
  <c r="DF49" i="10" s="1"/>
  <c r="DR36" i="10"/>
  <c r="DR38" i="10" s="1"/>
  <c r="DR39" i="10" s="1"/>
  <c r="DR40" i="10" s="1"/>
  <c r="DR49" i="10" s="1"/>
  <c r="DL36" i="10"/>
  <c r="DL38" i="10" s="1"/>
  <c r="DL39" i="10" s="1"/>
  <c r="DL40" i="10" s="1"/>
  <c r="DL49" i="10" s="1"/>
  <c r="DU36" i="10"/>
  <c r="DU38" i="10" s="1"/>
  <c r="DU39" i="10" s="1"/>
  <c r="DU40" i="10" s="1"/>
  <c r="DU49" i="10" s="1"/>
  <c r="DS36" i="10"/>
  <c r="DS38" i="10" s="1"/>
  <c r="DQ36" i="10"/>
  <c r="DQ38" i="10" s="1"/>
  <c r="DJ36" i="10"/>
  <c r="DJ38" i="10" s="1"/>
  <c r="DH36" i="10"/>
  <c r="DH38" i="10" s="1"/>
  <c r="DH39" i="10" s="1"/>
  <c r="DH40" i="10" s="1"/>
  <c r="DH49" i="10" s="1"/>
  <c r="DI36" i="10"/>
  <c r="DI38" i="10" s="1"/>
  <c r="DI39" i="10" s="1"/>
  <c r="DI40" i="10" s="1"/>
  <c r="DI49" i="10" s="1"/>
  <c r="DK36" i="10"/>
  <c r="DK38" i="10" s="1"/>
  <c r="DP36" i="10"/>
  <c r="DP38" i="10" s="1"/>
  <c r="DT36" i="10"/>
  <c r="DT38" i="10" s="1"/>
  <c r="DT39" i="10" s="1"/>
  <c r="DT40" i="10" s="1"/>
  <c r="DT49" i="10" s="1"/>
  <c r="DW36" i="10"/>
  <c r="DW38" i="10" s="1"/>
  <c r="DZ19" i="10"/>
  <c r="DY47" i="10"/>
  <c r="DZ46" i="10"/>
  <c r="DZ43" i="10"/>
  <c r="DZ44" i="10"/>
  <c r="DZ45" i="10"/>
  <c r="DX29" i="10"/>
  <c r="DX25" i="10"/>
  <c r="DX35" i="10"/>
  <c r="DX30" i="10"/>
  <c r="DX26" i="10"/>
  <c r="DX24" i="10"/>
  <c r="DX32" i="10"/>
  <c r="DX31" i="10"/>
  <c r="DX28" i="10"/>
  <c r="DX27" i="10"/>
  <c r="DX34" i="10"/>
  <c r="DX23" i="10"/>
  <c r="DX33" i="10"/>
  <c r="EB5" i="10"/>
  <c r="EA10" i="10"/>
  <c r="EA18" i="10"/>
  <c r="EA7" i="10"/>
  <c r="EA15" i="10"/>
  <c r="EA4" i="10"/>
  <c r="EA9" i="10"/>
  <c r="EA17" i="10"/>
  <c r="EA6" i="10"/>
  <c r="EA14" i="10"/>
  <c r="EA11" i="10"/>
  <c r="EA13" i="10"/>
  <c r="EA12" i="10"/>
  <c r="EA16" i="10"/>
  <c r="EA20" i="10"/>
  <c r="EA8" i="10"/>
  <c r="DV39" i="10"/>
  <c r="DV40" i="10" s="1"/>
  <c r="DV49" i="10" s="1"/>
  <c r="M45" i="10"/>
  <c r="J31" i="10"/>
  <c r="I31" i="10" s="1"/>
  <c r="J30" i="10"/>
  <c r="I30" i="10" s="1"/>
  <c r="J28" i="10"/>
  <c r="I28" i="10" s="1"/>
  <c r="J29" i="10"/>
  <c r="I29" i="10" s="1"/>
  <c r="J34" i="10"/>
  <c r="I34" i="10" s="1"/>
  <c r="J35" i="10"/>
  <c r="I35" i="10" s="1"/>
  <c r="J32" i="10"/>
  <c r="I32" i="10" s="1"/>
  <c r="M44" i="10"/>
  <c r="M43" i="10"/>
  <c r="N17" i="10"/>
  <c r="N16" i="10"/>
  <c r="N18" i="10"/>
  <c r="N15" i="10"/>
  <c r="N20" i="10"/>
  <c r="N44" i="10" s="1"/>
  <c r="N14" i="10"/>
  <c r="N13" i="10"/>
  <c r="N12" i="10"/>
  <c r="N11" i="10"/>
  <c r="J26" i="10"/>
  <c r="I26" i="10" s="1"/>
  <c r="I47" i="10"/>
  <c r="B25" i="23"/>
  <c r="N28" i="23"/>
  <c r="J57" i="10"/>
  <c r="I57" i="10" s="1"/>
  <c r="L47" i="10"/>
  <c r="O5" i="10"/>
  <c r="N6" i="10"/>
  <c r="N7" i="10"/>
  <c r="N8" i="10"/>
  <c r="N9" i="10"/>
  <c r="N10" i="10"/>
  <c r="N4" i="10"/>
  <c r="M19" i="10"/>
  <c r="J25" i="10"/>
  <c r="I25" i="10" s="1"/>
  <c r="J27" i="10"/>
  <c r="I27" i="10" s="1"/>
  <c r="J23" i="10"/>
  <c r="J24" i="10"/>
  <c r="I24" i="10" s="1"/>
  <c r="AX85" i="38" l="1"/>
  <c r="AX70" i="38"/>
  <c r="AX48" i="38"/>
  <c r="AX68" i="38"/>
  <c r="AX69" i="38"/>
  <c r="AX23" i="38"/>
  <c r="AX47" i="38"/>
  <c r="AX12" i="38"/>
  <c r="AX42" i="38"/>
  <c r="AX14" i="38"/>
  <c r="AX13" i="38"/>
  <c r="AX40" i="38"/>
  <c r="AY3" i="38"/>
  <c r="B60" i="1"/>
  <c r="B22" i="38"/>
  <c r="DP39" i="10"/>
  <c r="DP40" i="10" s="1"/>
  <c r="DP49" i="10" s="1"/>
  <c r="DJ39" i="10"/>
  <c r="DJ40" i="10" s="1"/>
  <c r="DJ49" i="10" s="1"/>
  <c r="DQ39" i="10"/>
  <c r="DQ40" i="10" s="1"/>
  <c r="DQ49" i="10" s="1"/>
  <c r="DZ47" i="10"/>
  <c r="DZ27" i="10" s="1"/>
  <c r="DK39" i="10"/>
  <c r="DK40" i="10" s="1"/>
  <c r="DK49" i="10" s="1"/>
  <c r="DS39" i="10"/>
  <c r="DS40" i="10" s="1"/>
  <c r="DS49" i="10" s="1"/>
  <c r="EA44" i="10"/>
  <c r="EA46" i="10"/>
  <c r="EA43" i="10"/>
  <c r="EA45" i="10"/>
  <c r="EA19" i="10"/>
  <c r="EB13" i="10"/>
  <c r="EC5" i="10"/>
  <c r="EB10" i="10"/>
  <c r="EB18" i="10"/>
  <c r="EB4" i="10"/>
  <c r="EB12" i="10"/>
  <c r="EB9" i="10"/>
  <c r="EB17" i="10"/>
  <c r="EB6" i="10"/>
  <c r="EB14" i="10"/>
  <c r="EB8" i="10"/>
  <c r="EB7" i="10"/>
  <c r="EB16" i="10"/>
  <c r="EB15" i="10"/>
  <c r="EB20" i="10"/>
  <c r="EB11" i="10"/>
  <c r="DX36" i="10"/>
  <c r="DX38" i="10" s="1"/>
  <c r="DY33" i="10"/>
  <c r="DY29" i="10"/>
  <c r="DY31" i="10"/>
  <c r="DY35" i="10"/>
  <c r="DY32" i="10"/>
  <c r="DY30" i="10"/>
  <c r="DY23" i="10"/>
  <c r="DY27" i="10"/>
  <c r="DY26" i="10"/>
  <c r="DY25" i="10"/>
  <c r="DY24" i="10"/>
  <c r="DY28" i="10"/>
  <c r="DY34" i="10"/>
  <c r="DW39" i="10"/>
  <c r="DW40" i="10" s="1"/>
  <c r="DW49" i="10" s="1"/>
  <c r="L30" i="10"/>
  <c r="L29" i="10"/>
  <c r="L28" i="10"/>
  <c r="L33" i="10"/>
  <c r="L31" i="10"/>
  <c r="L35" i="10"/>
  <c r="L34" i="10"/>
  <c r="L32" i="10"/>
  <c r="N43" i="10"/>
  <c r="O15" i="10"/>
  <c r="O18" i="10"/>
  <c r="O17" i="10"/>
  <c r="O16" i="10"/>
  <c r="N45" i="10"/>
  <c r="N46" i="10"/>
  <c r="O20" i="10"/>
  <c r="O45" i="10" s="1"/>
  <c r="O11" i="10"/>
  <c r="O13" i="10"/>
  <c r="O12" i="10"/>
  <c r="O14" i="10"/>
  <c r="B26" i="23"/>
  <c r="N29" i="23"/>
  <c r="L24" i="10"/>
  <c r="L25" i="10"/>
  <c r="L23" i="10"/>
  <c r="L26" i="10"/>
  <c r="L27" i="10"/>
  <c r="G170" i="1"/>
  <c r="J170" i="1" s="1"/>
  <c r="M47" i="10"/>
  <c r="P5" i="10"/>
  <c r="O8" i="10"/>
  <c r="O9" i="10"/>
  <c r="O10" i="10"/>
  <c r="O6" i="10"/>
  <c r="O4" i="10"/>
  <c r="O7" i="10"/>
  <c r="N19" i="10"/>
  <c r="J36" i="10"/>
  <c r="I23" i="10"/>
  <c r="AY85" i="38" l="1"/>
  <c r="AY48" i="38"/>
  <c r="AY68" i="38"/>
  <c r="AY69" i="38"/>
  <c r="AY70" i="38"/>
  <c r="AY47" i="38"/>
  <c r="AY14" i="38"/>
  <c r="AY12" i="38"/>
  <c r="AY23" i="38"/>
  <c r="AY40" i="38"/>
  <c r="AY42" i="38"/>
  <c r="AY13" i="38"/>
  <c r="AZ3" i="38"/>
  <c r="B61" i="1"/>
  <c r="B23" i="38"/>
  <c r="DZ25" i="10"/>
  <c r="DZ32" i="10"/>
  <c r="DZ26" i="10"/>
  <c r="DZ28" i="10"/>
  <c r="DZ29" i="10"/>
  <c r="DZ35" i="10"/>
  <c r="DZ23" i="10"/>
  <c r="DZ24" i="10"/>
  <c r="DZ33" i="10"/>
  <c r="DZ34" i="10"/>
  <c r="DZ30" i="10"/>
  <c r="DZ31" i="10"/>
  <c r="DY36" i="10"/>
  <c r="DY38" i="10" s="1"/>
  <c r="EC8" i="10"/>
  <c r="EC16" i="10"/>
  <c r="EC13" i="10"/>
  <c r="ED5" i="10"/>
  <c r="EC7" i="10"/>
  <c r="EC15" i="10"/>
  <c r="EC4" i="10"/>
  <c r="EC12" i="10"/>
  <c r="EC9" i="10"/>
  <c r="EC17" i="10"/>
  <c r="EC11" i="10"/>
  <c r="EC18" i="10"/>
  <c r="EC10" i="10"/>
  <c r="EC14" i="10"/>
  <c r="EC20" i="10"/>
  <c r="EC6" i="10"/>
  <c r="DX39" i="10"/>
  <c r="DX40" i="10" s="1"/>
  <c r="DX49" i="10" s="1"/>
  <c r="EB19" i="10"/>
  <c r="EA47" i="10"/>
  <c r="EB44" i="10"/>
  <c r="EB46" i="10"/>
  <c r="EB43" i="10"/>
  <c r="EB45" i="10"/>
  <c r="M28" i="10"/>
  <c r="M32" i="10"/>
  <c r="M30" i="10"/>
  <c r="M35" i="10"/>
  <c r="M33" i="10"/>
  <c r="M34" i="10"/>
  <c r="M29" i="10"/>
  <c r="M31" i="10"/>
  <c r="P16" i="10"/>
  <c r="P15" i="10"/>
  <c r="P18" i="10"/>
  <c r="P17" i="10"/>
  <c r="O46" i="10"/>
  <c r="O43" i="10"/>
  <c r="P20" i="10"/>
  <c r="P44" i="10" s="1"/>
  <c r="P12" i="10"/>
  <c r="P11" i="10"/>
  <c r="P14" i="10"/>
  <c r="P13" i="10"/>
  <c r="O44" i="10"/>
  <c r="J38" i="10"/>
  <c r="I38" i="10" s="1"/>
  <c r="I36" i="10"/>
  <c r="B27" i="23"/>
  <c r="N30" i="23"/>
  <c r="M27" i="10"/>
  <c r="M25" i="10"/>
  <c r="M24" i="10"/>
  <c r="M23" i="10"/>
  <c r="M26" i="10"/>
  <c r="L36" i="10"/>
  <c r="L38" i="10" s="1"/>
  <c r="L39" i="10" s="1"/>
  <c r="L40" i="10" s="1"/>
  <c r="L49" i="10" s="1"/>
  <c r="O19" i="10"/>
  <c r="Q5" i="10"/>
  <c r="P7" i="10"/>
  <c r="P6" i="10"/>
  <c r="P8" i="10"/>
  <c r="P9" i="10"/>
  <c r="P10" i="10"/>
  <c r="P4" i="10"/>
  <c r="N47" i="10"/>
  <c r="J39" i="10"/>
  <c r="I39" i="10" s="1"/>
  <c r="AZ85" i="38" l="1"/>
  <c r="AZ70" i="38"/>
  <c r="AZ68" i="38"/>
  <c r="AZ48" i="38"/>
  <c r="AZ23" i="38"/>
  <c r="AZ12" i="38"/>
  <c r="AZ14" i="38"/>
  <c r="AZ47" i="38"/>
  <c r="AZ40" i="38"/>
  <c r="AZ42" i="38"/>
  <c r="AZ69" i="38"/>
  <c r="AZ13" i="38"/>
  <c r="BA3" i="38"/>
  <c r="B62" i="1"/>
  <c r="B24" i="38"/>
  <c r="DZ36" i="10"/>
  <c r="DZ38" i="10" s="1"/>
  <c r="DZ39" i="10" s="1"/>
  <c r="DZ40" i="10" s="1"/>
  <c r="DZ49" i="10" s="1"/>
  <c r="EB47" i="10"/>
  <c r="EB27" i="10" s="1"/>
  <c r="EC19" i="10"/>
  <c r="EC43" i="10"/>
  <c r="EC44" i="10"/>
  <c r="EC46" i="10"/>
  <c r="EC45" i="10"/>
  <c r="ED11" i="10"/>
  <c r="ED8" i="10"/>
  <c r="ED16" i="10"/>
  <c r="EE5" i="10"/>
  <c r="ED10" i="10"/>
  <c r="ED7" i="10"/>
  <c r="ED15" i="10"/>
  <c r="ED4" i="10"/>
  <c r="ED12" i="10"/>
  <c r="ED20" i="10"/>
  <c r="ED13" i="10"/>
  <c r="ED6" i="10"/>
  <c r="ED17" i="10"/>
  <c r="ED18" i="10"/>
  <c r="ED14" i="10"/>
  <c r="ED9" i="10"/>
  <c r="EA30" i="10"/>
  <c r="EA25" i="10"/>
  <c r="EA32" i="10"/>
  <c r="EA28" i="10"/>
  <c r="EA35" i="10"/>
  <c r="EA27" i="10"/>
  <c r="EA24" i="10"/>
  <c r="EA29" i="10"/>
  <c r="EA33" i="10"/>
  <c r="EA31" i="10"/>
  <c r="EA34" i="10"/>
  <c r="EA23" i="10"/>
  <c r="EA26" i="10"/>
  <c r="DY39" i="10"/>
  <c r="DY40" i="10" s="1"/>
  <c r="DY49" i="10" s="1"/>
  <c r="N32" i="10"/>
  <c r="N35" i="10"/>
  <c r="N30" i="10"/>
  <c r="N31" i="10"/>
  <c r="N29" i="10"/>
  <c r="N33" i="10"/>
  <c r="N34" i="10"/>
  <c r="N28" i="10"/>
  <c r="Q16" i="10"/>
  <c r="Q15" i="10"/>
  <c r="Q18" i="10"/>
  <c r="Q17" i="10"/>
  <c r="P46" i="10"/>
  <c r="P45" i="10"/>
  <c r="P43" i="10"/>
  <c r="Q20" i="10"/>
  <c r="Q45" i="10" s="1"/>
  <c r="Q13" i="10"/>
  <c r="Q12" i="10"/>
  <c r="Q11" i="10"/>
  <c r="Q14" i="10"/>
  <c r="B28" i="23"/>
  <c r="N31" i="23"/>
  <c r="N25" i="10"/>
  <c r="N24" i="10"/>
  <c r="N27" i="10"/>
  <c r="N23" i="10"/>
  <c r="N26" i="10"/>
  <c r="J40" i="10"/>
  <c r="I40" i="10" s="1"/>
  <c r="M36" i="10"/>
  <c r="M38" i="10" s="1"/>
  <c r="M39" i="10" s="1"/>
  <c r="M40" i="10" s="1"/>
  <c r="M49" i="10" s="1"/>
  <c r="R5" i="10"/>
  <c r="Q6" i="10"/>
  <c r="Q7" i="10"/>
  <c r="Q4" i="10"/>
  <c r="Q8" i="10"/>
  <c r="Q9" i="10"/>
  <c r="Q10" i="10"/>
  <c r="P19" i="10"/>
  <c r="J49" i="10"/>
  <c r="I49" i="10" s="1"/>
  <c r="O47" i="10"/>
  <c r="BA48" i="38" l="1"/>
  <c r="BA85" i="38"/>
  <c r="BA68" i="38"/>
  <c r="BA47" i="38"/>
  <c r="BA23" i="38"/>
  <c r="BA12" i="38"/>
  <c r="BA70" i="38"/>
  <c r="BA13" i="38"/>
  <c r="BA14" i="38"/>
  <c r="BA42" i="38"/>
  <c r="BA69" i="38"/>
  <c r="BA40" i="38"/>
  <c r="BB3" i="38"/>
  <c r="EB32" i="10"/>
  <c r="B63" i="1"/>
  <c r="B25" i="38"/>
  <c r="EB25" i="10"/>
  <c r="EB29" i="10"/>
  <c r="EB35" i="10"/>
  <c r="EB24" i="10"/>
  <c r="EB31" i="10"/>
  <c r="EB30" i="10"/>
  <c r="EB26" i="10"/>
  <c r="EB34" i="10"/>
  <c r="EB23" i="10"/>
  <c r="EB28" i="10"/>
  <c r="EB33" i="10"/>
  <c r="ED45" i="10"/>
  <c r="ED43" i="10"/>
  <c r="ED44" i="10"/>
  <c r="ED46" i="10"/>
  <c r="ED19" i="10"/>
  <c r="EA36" i="10"/>
  <c r="EA38" i="10" s="1"/>
  <c r="EC47" i="10"/>
  <c r="EE6" i="10"/>
  <c r="EE14" i="10"/>
  <c r="EE11" i="10"/>
  <c r="EE13" i="10"/>
  <c r="EF5" i="10"/>
  <c r="EE10" i="10"/>
  <c r="EE18" i="10"/>
  <c r="EE7" i="10"/>
  <c r="EE15" i="10"/>
  <c r="EE9" i="10"/>
  <c r="EE8" i="10"/>
  <c r="EE20" i="10"/>
  <c r="EE4" i="10"/>
  <c r="EE17" i="10"/>
  <c r="EE16" i="10"/>
  <c r="EE12" i="10"/>
  <c r="O30" i="10"/>
  <c r="O34" i="10"/>
  <c r="O28" i="10"/>
  <c r="O29" i="10"/>
  <c r="O32" i="10"/>
  <c r="O31" i="10"/>
  <c r="O35" i="10"/>
  <c r="O33" i="10"/>
  <c r="R17" i="10"/>
  <c r="R16" i="10"/>
  <c r="R15" i="10"/>
  <c r="R18" i="10"/>
  <c r="Q44" i="10"/>
  <c r="R20" i="10"/>
  <c r="R43" i="10" s="1"/>
  <c r="R14" i="10"/>
  <c r="R13" i="10"/>
  <c r="R12" i="10"/>
  <c r="R11" i="10"/>
  <c r="Q46" i="10"/>
  <c r="Q43" i="10"/>
  <c r="B29" i="23"/>
  <c r="N32" i="23"/>
  <c r="O27" i="10"/>
  <c r="O25" i="10"/>
  <c r="O24" i="10"/>
  <c r="O23" i="10"/>
  <c r="O26" i="10"/>
  <c r="N36" i="10"/>
  <c r="N38" i="10" s="1"/>
  <c r="J134" i="1"/>
  <c r="Q19" i="10"/>
  <c r="P47" i="10"/>
  <c r="S5" i="10"/>
  <c r="R6" i="10"/>
  <c r="R9" i="10"/>
  <c r="R4" i="10"/>
  <c r="R7" i="10"/>
  <c r="R8" i="10"/>
  <c r="R10" i="10"/>
  <c r="BB68" i="38" l="1"/>
  <c r="BB70" i="38"/>
  <c r="BB85" i="38"/>
  <c r="BB48" i="38"/>
  <c r="BB23" i="38"/>
  <c r="BB47" i="38"/>
  <c r="BB40" i="38"/>
  <c r="BB12" i="38"/>
  <c r="BB14" i="38"/>
  <c r="BB69" i="38"/>
  <c r="BB13" i="38"/>
  <c r="BB42" i="38"/>
  <c r="BC3" i="38"/>
  <c r="B64" i="1"/>
  <c r="B26" i="38"/>
  <c r="EB36" i="10"/>
  <c r="EB38" i="10" s="1"/>
  <c r="EB39" i="10" s="1"/>
  <c r="EB40" i="10" s="1"/>
  <c r="EB49" i="10" s="1"/>
  <c r="EA39" i="10"/>
  <c r="EA40" i="10" s="1"/>
  <c r="EA49" i="10" s="1"/>
  <c r="EE45" i="10"/>
  <c r="EE43" i="10"/>
  <c r="EE44" i="10"/>
  <c r="EE46" i="10"/>
  <c r="EF9" i="10"/>
  <c r="EF17" i="10"/>
  <c r="EF6" i="10"/>
  <c r="EF14" i="10"/>
  <c r="EF8" i="10"/>
  <c r="EF16" i="10"/>
  <c r="EF13" i="10"/>
  <c r="EG5" i="10"/>
  <c r="EF10" i="10"/>
  <c r="EF18" i="10"/>
  <c r="EF12" i="10"/>
  <c r="EF11" i="10"/>
  <c r="EF4" i="10"/>
  <c r="EF20" i="10"/>
  <c r="EF7" i="10"/>
  <c r="EF15" i="10"/>
  <c r="EC32" i="10"/>
  <c r="EC24" i="10"/>
  <c r="EC26" i="10"/>
  <c r="EC34" i="10"/>
  <c r="EC33" i="10"/>
  <c r="EC29" i="10"/>
  <c r="EC31" i="10"/>
  <c r="EC23" i="10"/>
  <c r="EC28" i="10"/>
  <c r="EC35" i="10"/>
  <c r="EC27" i="10"/>
  <c r="EC25" i="10"/>
  <c r="EC30" i="10"/>
  <c r="ED47" i="10"/>
  <c r="EE19" i="10"/>
  <c r="I134" i="1"/>
  <c r="O52" i="1"/>
  <c r="P33" i="10"/>
  <c r="P35" i="10"/>
  <c r="P31" i="10"/>
  <c r="P30" i="10"/>
  <c r="P34" i="10"/>
  <c r="P28" i="10"/>
  <c r="P29" i="10"/>
  <c r="P32" i="10"/>
  <c r="R45" i="10"/>
  <c r="S15" i="10"/>
  <c r="S18" i="10"/>
  <c r="S17" i="10"/>
  <c r="S16" i="10"/>
  <c r="R46" i="10"/>
  <c r="R44" i="10"/>
  <c r="S20" i="10"/>
  <c r="S43" i="10" s="1"/>
  <c r="S11" i="10"/>
  <c r="S13" i="10"/>
  <c r="S14" i="10"/>
  <c r="S12" i="10"/>
  <c r="B30" i="23"/>
  <c r="N33" i="23"/>
  <c r="P24" i="10"/>
  <c r="P25" i="10"/>
  <c r="P23" i="10"/>
  <c r="P27" i="10"/>
  <c r="P26" i="10"/>
  <c r="N39" i="10"/>
  <c r="N40" i="10" s="1"/>
  <c r="N49" i="10" s="1"/>
  <c r="O36" i="10"/>
  <c r="O38" i="10" s="1"/>
  <c r="R19" i="10"/>
  <c r="T5" i="10"/>
  <c r="S6" i="10"/>
  <c r="S7" i="10"/>
  <c r="S8" i="10"/>
  <c r="S9" i="10"/>
  <c r="S10" i="10"/>
  <c r="S4" i="10"/>
  <c r="Q47" i="10"/>
  <c r="BC68" i="38" l="1"/>
  <c r="BC70" i="38"/>
  <c r="BC85" i="38"/>
  <c r="BC69" i="38"/>
  <c r="BC48" i="38"/>
  <c r="BC47" i="38"/>
  <c r="BC23" i="38"/>
  <c r="BC40" i="38"/>
  <c r="BC12" i="38"/>
  <c r="BC14" i="38"/>
  <c r="BC42" i="38"/>
  <c r="BC13" i="38"/>
  <c r="BD3" i="38"/>
  <c r="B65" i="1"/>
  <c r="B27" i="38"/>
  <c r="EG4" i="10"/>
  <c r="EG12" i="10"/>
  <c r="EG9" i="10"/>
  <c r="EG17" i="10"/>
  <c r="EG11" i="10"/>
  <c r="EG8" i="10"/>
  <c r="EG16" i="10"/>
  <c r="EG13" i="10"/>
  <c r="EH5" i="10"/>
  <c r="EG14" i="10"/>
  <c r="EG7" i="10"/>
  <c r="EG20" i="10"/>
  <c r="EG6" i="10"/>
  <c r="EG10" i="10"/>
  <c r="EG15" i="10"/>
  <c r="EG18" i="10"/>
  <c r="EC36" i="10"/>
  <c r="EC38" i="10" s="1"/>
  <c r="EE47" i="10"/>
  <c r="EF43" i="10"/>
  <c r="EF45" i="10"/>
  <c r="EF46" i="10"/>
  <c r="EF44" i="10"/>
  <c r="ED31" i="10"/>
  <c r="ED24" i="10"/>
  <c r="ED26" i="10"/>
  <c r="ED35" i="10"/>
  <c r="ED32" i="10"/>
  <c r="ED33" i="10"/>
  <c r="ED28" i="10"/>
  <c r="ED29" i="10"/>
  <c r="ED34" i="10"/>
  <c r="ED23" i="10"/>
  <c r="ED30" i="10"/>
  <c r="ED25" i="10"/>
  <c r="ED27" i="10"/>
  <c r="EF19" i="10"/>
  <c r="Q31" i="10"/>
  <c r="Q32" i="10"/>
  <c r="Q34" i="10"/>
  <c r="Q28" i="10"/>
  <c r="Q29" i="10"/>
  <c r="Q33" i="10"/>
  <c r="Q30" i="10"/>
  <c r="Q35" i="10"/>
  <c r="S45" i="10"/>
  <c r="T16" i="10"/>
  <c r="T15" i="10"/>
  <c r="T18" i="10"/>
  <c r="T17" i="10"/>
  <c r="S44" i="10"/>
  <c r="S46" i="10"/>
  <c r="T20" i="10"/>
  <c r="T45" i="10" s="1"/>
  <c r="T12" i="10"/>
  <c r="T11" i="10"/>
  <c r="T14" i="10"/>
  <c r="T13" i="10"/>
  <c r="B31" i="23"/>
  <c r="N34" i="23"/>
  <c r="Q27" i="10"/>
  <c r="Q26" i="10"/>
  <c r="Q25" i="10"/>
  <c r="Q24" i="10"/>
  <c r="Q23" i="10"/>
  <c r="R47" i="10"/>
  <c r="P36" i="10"/>
  <c r="P38" i="10" s="1"/>
  <c r="O39" i="10"/>
  <c r="O40" i="10" s="1"/>
  <c r="O49" i="10" s="1"/>
  <c r="S19" i="10"/>
  <c r="U5" i="10"/>
  <c r="T7" i="10"/>
  <c r="T8" i="10"/>
  <c r="T9" i="10"/>
  <c r="T10" i="10"/>
  <c r="T4" i="10"/>
  <c r="T6" i="10"/>
  <c r="BD68" i="38" l="1"/>
  <c r="BD69" i="38"/>
  <c r="BD70" i="38"/>
  <c r="BD47" i="38"/>
  <c r="BD85" i="38"/>
  <c r="BD23" i="38"/>
  <c r="BD14" i="38"/>
  <c r="BD40" i="38"/>
  <c r="BD12" i="38"/>
  <c r="BD48" i="38"/>
  <c r="BD42" i="38"/>
  <c r="BD13" i="38"/>
  <c r="BE3" i="38"/>
  <c r="B66" i="1"/>
  <c r="B28" i="38"/>
  <c r="EF47" i="10"/>
  <c r="EF29" i="10" s="1"/>
  <c r="EE24" i="10"/>
  <c r="EE27" i="10"/>
  <c r="EE28" i="10"/>
  <c r="EE26" i="10"/>
  <c r="EE30" i="10"/>
  <c r="EE32" i="10"/>
  <c r="EE35" i="10"/>
  <c r="EE25" i="10"/>
  <c r="EE23" i="10"/>
  <c r="EE33" i="10"/>
  <c r="EE31" i="10"/>
  <c r="EE29" i="10"/>
  <c r="EE34" i="10"/>
  <c r="EG46" i="10"/>
  <c r="EG43" i="10"/>
  <c r="EG45" i="10"/>
  <c r="EG44" i="10"/>
  <c r="EC39" i="10"/>
  <c r="EC40" i="10" s="1"/>
  <c r="EC49" i="10" s="1"/>
  <c r="ED36" i="10"/>
  <c r="ED38" i="10" s="1"/>
  <c r="EG19" i="10"/>
  <c r="EH7" i="10"/>
  <c r="EH15" i="10"/>
  <c r="EH4" i="10"/>
  <c r="EH12" i="10"/>
  <c r="EH20" i="10"/>
  <c r="EH6" i="10"/>
  <c r="EH19" i="10" s="1"/>
  <c r="EH14" i="10"/>
  <c r="EH11" i="10"/>
  <c r="EH8" i="10"/>
  <c r="EH16" i="10"/>
  <c r="EI5" i="10"/>
  <c r="EH9" i="10"/>
  <c r="EH17" i="10"/>
  <c r="EH10" i="10"/>
  <c r="EH13" i="10"/>
  <c r="EH18" i="10"/>
  <c r="R30" i="10"/>
  <c r="R31" i="10"/>
  <c r="R28" i="10"/>
  <c r="R34" i="10"/>
  <c r="R33" i="10"/>
  <c r="R35" i="10"/>
  <c r="R29" i="10"/>
  <c r="R32" i="10"/>
  <c r="U16" i="10"/>
  <c r="U15" i="10"/>
  <c r="U17" i="10"/>
  <c r="U18" i="10"/>
  <c r="T46" i="10"/>
  <c r="T44" i="10"/>
  <c r="T43" i="10"/>
  <c r="U20" i="10"/>
  <c r="U46" i="10" s="1"/>
  <c r="U13" i="10"/>
  <c r="U12" i="10"/>
  <c r="U11" i="10"/>
  <c r="U14" i="10"/>
  <c r="B32" i="23"/>
  <c r="N35" i="23"/>
  <c r="R25" i="10"/>
  <c r="R24" i="10"/>
  <c r="R27" i="10"/>
  <c r="R23" i="10"/>
  <c r="R26" i="10"/>
  <c r="P39" i="10"/>
  <c r="P40" i="10" s="1"/>
  <c r="P49" i="10" s="1"/>
  <c r="Q36" i="10"/>
  <c r="Q38" i="10" s="1"/>
  <c r="T19" i="10"/>
  <c r="V5" i="10"/>
  <c r="U6" i="10"/>
  <c r="U4" i="10"/>
  <c r="U7" i="10"/>
  <c r="U8" i="10"/>
  <c r="U9" i="10"/>
  <c r="U10" i="10"/>
  <c r="S47" i="10"/>
  <c r="BE85" i="38" l="1"/>
  <c r="BE68" i="38"/>
  <c r="BE70" i="38"/>
  <c r="BE47" i="38"/>
  <c r="BE69" i="38"/>
  <c r="BE12" i="38"/>
  <c r="BE48" i="38"/>
  <c r="BE23" i="38"/>
  <c r="BE40" i="38"/>
  <c r="BE13" i="38"/>
  <c r="BE42" i="38"/>
  <c r="BE14" i="38"/>
  <c r="BF3" i="38"/>
  <c r="B67" i="1"/>
  <c r="B29" i="38"/>
  <c r="EF35" i="10"/>
  <c r="EF23" i="10"/>
  <c r="EF26" i="10"/>
  <c r="EF25" i="10"/>
  <c r="EF31" i="10"/>
  <c r="EF24" i="10"/>
  <c r="EF27" i="10"/>
  <c r="EF33" i="10"/>
  <c r="EF30" i="10"/>
  <c r="EF34" i="10"/>
  <c r="EF32" i="10"/>
  <c r="EF28" i="10"/>
  <c r="EH46" i="10"/>
  <c r="EH43" i="10"/>
  <c r="EH45" i="10"/>
  <c r="EH44" i="10"/>
  <c r="EJ5" i="10"/>
  <c r="EI10" i="10"/>
  <c r="EI18" i="10"/>
  <c r="EI7" i="10"/>
  <c r="EI15" i="10"/>
  <c r="EI4" i="10"/>
  <c r="EI9" i="10"/>
  <c r="EI17" i="10"/>
  <c r="EI6" i="10"/>
  <c r="EI14" i="10"/>
  <c r="EI11" i="10"/>
  <c r="EI13" i="10"/>
  <c r="EI12" i="10"/>
  <c r="EI20" i="10"/>
  <c r="EI8" i="10"/>
  <c r="EI16" i="10"/>
  <c r="EG47" i="10"/>
  <c r="ED39" i="10"/>
  <c r="ED40" i="10" s="1"/>
  <c r="ED49" i="10" s="1"/>
  <c r="EE36" i="10"/>
  <c r="EE38" i="10" s="1"/>
  <c r="S34" i="10"/>
  <c r="S33" i="10"/>
  <c r="S35" i="10"/>
  <c r="S32" i="10"/>
  <c r="S29" i="10"/>
  <c r="S28" i="10"/>
  <c r="S30" i="10"/>
  <c r="S31" i="10"/>
  <c r="V17" i="10"/>
  <c r="V16" i="10"/>
  <c r="V18" i="10"/>
  <c r="V15" i="10"/>
  <c r="U43" i="10"/>
  <c r="U45" i="10"/>
  <c r="U44" i="10"/>
  <c r="V20" i="10"/>
  <c r="V43" i="10" s="1"/>
  <c r="V14" i="10"/>
  <c r="V13" i="10"/>
  <c r="V12" i="10"/>
  <c r="V11" i="10"/>
  <c r="B33" i="23"/>
  <c r="N36" i="23"/>
  <c r="S23" i="10"/>
  <c r="S26" i="10"/>
  <c r="S27" i="10"/>
  <c r="S25" i="10"/>
  <c r="S24" i="10"/>
  <c r="R36" i="10"/>
  <c r="R38" i="10" s="1"/>
  <c r="R39" i="10" s="1"/>
  <c r="R40" i="10" s="1"/>
  <c r="R49" i="10" s="1"/>
  <c r="Q39" i="10"/>
  <c r="Q40" i="10" s="1"/>
  <c r="Q49" i="10" s="1"/>
  <c r="U19" i="10"/>
  <c r="W5" i="10"/>
  <c r="V6" i="10"/>
  <c r="V10" i="10"/>
  <c r="V7" i="10"/>
  <c r="V8" i="10"/>
  <c r="V9" i="10"/>
  <c r="V4" i="10"/>
  <c r="T47" i="10"/>
  <c r="BF85" i="38" l="1"/>
  <c r="BF48" i="38"/>
  <c r="BF68" i="38"/>
  <c r="BF69" i="38"/>
  <c r="BF70" i="38"/>
  <c r="BF40" i="38"/>
  <c r="BF23" i="38"/>
  <c r="BF14" i="38"/>
  <c r="BF47" i="38"/>
  <c r="BF42" i="38"/>
  <c r="BF12" i="38"/>
  <c r="BF13" i="38"/>
  <c r="BG3" i="38"/>
  <c r="B68" i="1"/>
  <c r="B30" i="38"/>
  <c r="EF36" i="10"/>
  <c r="EF38" i="10" s="1"/>
  <c r="EF39" i="10" s="1"/>
  <c r="EF40" i="10" s="1"/>
  <c r="EF49" i="10" s="1"/>
  <c r="EI19" i="10"/>
  <c r="EJ13" i="10"/>
  <c r="EK5" i="10"/>
  <c r="EJ10" i="10"/>
  <c r="EJ18" i="10"/>
  <c r="EJ4" i="10"/>
  <c r="EJ12" i="10"/>
  <c r="EJ9" i="10"/>
  <c r="EJ17" i="10"/>
  <c r="EJ6" i="10"/>
  <c r="EJ14" i="10"/>
  <c r="EJ15" i="10"/>
  <c r="EJ8" i="10"/>
  <c r="EJ7" i="10"/>
  <c r="EJ11" i="10"/>
  <c r="EJ20" i="10"/>
  <c r="EJ16" i="10"/>
  <c r="EI44" i="10"/>
  <c r="EI43" i="10"/>
  <c r="EI45" i="10"/>
  <c r="EI46" i="10"/>
  <c r="EH47" i="10"/>
  <c r="EE39" i="10"/>
  <c r="EE40" i="10" s="1"/>
  <c r="EE49" i="10" s="1"/>
  <c r="EG32" i="10"/>
  <c r="EG35" i="10"/>
  <c r="EG28" i="10"/>
  <c r="EG34" i="10"/>
  <c r="EG30" i="10"/>
  <c r="EG24" i="10"/>
  <c r="EG25" i="10"/>
  <c r="EG29" i="10"/>
  <c r="EG33" i="10"/>
  <c r="EG27" i="10"/>
  <c r="EG31" i="10"/>
  <c r="EG23" i="10"/>
  <c r="EG26" i="10"/>
  <c r="T35" i="10"/>
  <c r="T29" i="10"/>
  <c r="T28" i="10"/>
  <c r="T32" i="10"/>
  <c r="T33" i="10"/>
  <c r="T30" i="10"/>
  <c r="T31" i="10"/>
  <c r="T34" i="10"/>
  <c r="W15" i="10"/>
  <c r="W18" i="10"/>
  <c r="W17" i="10"/>
  <c r="W16" i="10"/>
  <c r="V44" i="10"/>
  <c r="V45" i="10"/>
  <c r="V46" i="10"/>
  <c r="W20" i="10"/>
  <c r="W44" i="10" s="1"/>
  <c r="W11" i="10"/>
  <c r="W13" i="10"/>
  <c r="W12" i="10"/>
  <c r="W14" i="10"/>
  <c r="B34" i="23"/>
  <c r="N37" i="23"/>
  <c r="T27" i="10"/>
  <c r="T26" i="10"/>
  <c r="T25" i="10"/>
  <c r="T24" i="10"/>
  <c r="T23" i="10"/>
  <c r="S36" i="10"/>
  <c r="S38" i="10" s="1"/>
  <c r="U47" i="10"/>
  <c r="V19" i="10"/>
  <c r="X5" i="10"/>
  <c r="W7" i="10"/>
  <c r="W8" i="10"/>
  <c r="W9" i="10"/>
  <c r="W10" i="10"/>
  <c r="W6" i="10"/>
  <c r="W4" i="10"/>
  <c r="BG70" i="38" l="1"/>
  <c r="BG68" i="38"/>
  <c r="BG85" i="38"/>
  <c r="BG48" i="38"/>
  <c r="BG69" i="38"/>
  <c r="BG47" i="38"/>
  <c r="BG14" i="38"/>
  <c r="BG12" i="38"/>
  <c r="BG40" i="38"/>
  <c r="BG42" i="38"/>
  <c r="BG13" i="38"/>
  <c r="BG23" i="38"/>
  <c r="BH3" i="38"/>
  <c r="B69" i="1"/>
  <c r="B31" i="38"/>
  <c r="EI47" i="10"/>
  <c r="EI27" i="10" s="1"/>
  <c r="EH26" i="10"/>
  <c r="EH25" i="10"/>
  <c r="EH34" i="10"/>
  <c r="EH23" i="10"/>
  <c r="EH29" i="10"/>
  <c r="EH32" i="10"/>
  <c r="EH33" i="10"/>
  <c r="EH28" i="10"/>
  <c r="EH31" i="10"/>
  <c r="EH27" i="10"/>
  <c r="EH35" i="10"/>
  <c r="EH30" i="10"/>
  <c r="EH24" i="10"/>
  <c r="EK8" i="10"/>
  <c r="EK16" i="10"/>
  <c r="EK13" i="10"/>
  <c r="EL5" i="10"/>
  <c r="EK7" i="10"/>
  <c r="EK15" i="10"/>
  <c r="EK4" i="10"/>
  <c r="EK12" i="10"/>
  <c r="EK9" i="10"/>
  <c r="EK17" i="10"/>
  <c r="EK10" i="10"/>
  <c r="EK18" i="10"/>
  <c r="EK14" i="10"/>
  <c r="EK6" i="10"/>
  <c r="EK20" i="10"/>
  <c r="EK11" i="10"/>
  <c r="EJ44" i="10"/>
  <c r="EJ46" i="10"/>
  <c r="EJ43" i="10"/>
  <c r="EJ45" i="10"/>
  <c r="EJ19" i="10"/>
  <c r="EG36" i="10"/>
  <c r="EG38" i="10" s="1"/>
  <c r="U28" i="10"/>
  <c r="U34" i="10"/>
  <c r="U30" i="10"/>
  <c r="U29" i="10"/>
  <c r="U33" i="10"/>
  <c r="U32" i="10"/>
  <c r="U35" i="10"/>
  <c r="U31" i="10"/>
  <c r="X16" i="10"/>
  <c r="X15" i="10"/>
  <c r="X18" i="10"/>
  <c r="X17" i="10"/>
  <c r="W43" i="10"/>
  <c r="W45" i="10"/>
  <c r="W46" i="10"/>
  <c r="X20" i="10"/>
  <c r="X46" i="10" s="1"/>
  <c r="X12" i="10"/>
  <c r="X11" i="10"/>
  <c r="X14" i="10"/>
  <c r="X13" i="10"/>
  <c r="B35" i="23"/>
  <c r="N38" i="23"/>
  <c r="U23" i="10"/>
  <c r="U27" i="10"/>
  <c r="U25" i="10"/>
  <c r="U26" i="10"/>
  <c r="U24" i="10"/>
  <c r="T36" i="10"/>
  <c r="T38" i="10" s="1"/>
  <c r="S39" i="10"/>
  <c r="S40" i="10" s="1"/>
  <c r="S49" i="10" s="1"/>
  <c r="V47" i="10"/>
  <c r="Y5" i="10"/>
  <c r="X6" i="10"/>
  <c r="X4" i="10"/>
  <c r="X9" i="10"/>
  <c r="X10" i="10"/>
  <c r="X7" i="10"/>
  <c r="X8" i="10"/>
  <c r="W19" i="10"/>
  <c r="BH48" i="38" l="1"/>
  <c r="BH85" i="38"/>
  <c r="BH69" i="38"/>
  <c r="BH68" i="38"/>
  <c r="BH70" i="38"/>
  <c r="BH12" i="38"/>
  <c r="BH14" i="38"/>
  <c r="BH47" i="38"/>
  <c r="BH42" i="38"/>
  <c r="BH40" i="38"/>
  <c r="BH23" i="38"/>
  <c r="BH13" i="38"/>
  <c r="BI3" i="38"/>
  <c r="B70" i="1"/>
  <c r="B32" i="38"/>
  <c r="EI23" i="10"/>
  <c r="EI30" i="10"/>
  <c r="EI32" i="10"/>
  <c r="EI29" i="10"/>
  <c r="EI33" i="10"/>
  <c r="EI25" i="10"/>
  <c r="EI24" i="10"/>
  <c r="EI31" i="10"/>
  <c r="EI28" i="10"/>
  <c r="EI26" i="10"/>
  <c r="EI35" i="10"/>
  <c r="EI34" i="10"/>
  <c r="EL11" i="10"/>
  <c r="EL8" i="10"/>
  <c r="EL16" i="10"/>
  <c r="EM5" i="10"/>
  <c r="EL10" i="10"/>
  <c r="EL7" i="10"/>
  <c r="EL15" i="10"/>
  <c r="EL4" i="10"/>
  <c r="EL12" i="10"/>
  <c r="EL18" i="10"/>
  <c r="EL13" i="10"/>
  <c r="EL6" i="10"/>
  <c r="EL14" i="10"/>
  <c r="EL9" i="10"/>
  <c r="EL17" i="10"/>
  <c r="EL20" i="10"/>
  <c r="EG39" i="10"/>
  <c r="EG40" i="10" s="1"/>
  <c r="EG49" i="10" s="1"/>
  <c r="EJ47" i="10"/>
  <c r="EK19" i="10"/>
  <c r="EK44" i="10"/>
  <c r="EK46" i="10"/>
  <c r="EK43" i="10"/>
  <c r="EK45" i="10"/>
  <c r="EH36" i="10"/>
  <c r="EH38" i="10" s="1"/>
  <c r="V29" i="10"/>
  <c r="V34" i="10"/>
  <c r="V30" i="10"/>
  <c r="V32" i="10"/>
  <c r="V33" i="10"/>
  <c r="V31" i="10"/>
  <c r="V35" i="10"/>
  <c r="V28" i="10"/>
  <c r="Y16" i="10"/>
  <c r="Y15" i="10"/>
  <c r="Y18" i="10"/>
  <c r="Y17" i="10"/>
  <c r="X45" i="10"/>
  <c r="X44" i="10"/>
  <c r="X43" i="10"/>
  <c r="Y20" i="10"/>
  <c r="Y46" i="10" s="1"/>
  <c r="Y13" i="10"/>
  <c r="Y12" i="10"/>
  <c r="Y11" i="10"/>
  <c r="Y14" i="10"/>
  <c r="B36" i="23"/>
  <c r="N39" i="23"/>
  <c r="V27" i="10"/>
  <c r="V23" i="10"/>
  <c r="V26" i="10"/>
  <c r="V25" i="10"/>
  <c r="V24" i="10"/>
  <c r="T39" i="10"/>
  <c r="T40" i="10" s="1"/>
  <c r="T49" i="10" s="1"/>
  <c r="U36" i="10"/>
  <c r="U38" i="10" s="1"/>
  <c r="X19" i="10"/>
  <c r="W47" i="10"/>
  <c r="Z5" i="10"/>
  <c r="Y6" i="10"/>
  <c r="Y4" i="10"/>
  <c r="Y7" i="10"/>
  <c r="Y8" i="10"/>
  <c r="Y9" i="10"/>
  <c r="Y10" i="10"/>
  <c r="BI69" i="38" l="1"/>
  <c r="BI68" i="38"/>
  <c r="BI70" i="38"/>
  <c r="BI48" i="38"/>
  <c r="BI47" i="38"/>
  <c r="BI40" i="38"/>
  <c r="BI12" i="38"/>
  <c r="BI23" i="38"/>
  <c r="BI42" i="38"/>
  <c r="BI85" i="38"/>
  <c r="BI13" i="38"/>
  <c r="BI14" i="38"/>
  <c r="BJ3" i="38"/>
  <c r="B71" i="1"/>
  <c r="B33" i="38"/>
  <c r="EI36" i="10"/>
  <c r="EI38" i="10" s="1"/>
  <c r="EI39" i="10" s="1"/>
  <c r="EI40" i="10" s="1"/>
  <c r="EI49" i="10" s="1"/>
  <c r="EH39" i="10"/>
  <c r="EH40" i="10" s="1"/>
  <c r="EH49" i="10" s="1"/>
  <c r="EM6" i="10"/>
  <c r="EM14" i="10"/>
  <c r="EM11" i="10"/>
  <c r="EM13" i="10"/>
  <c r="EN5" i="10"/>
  <c r="EM10" i="10"/>
  <c r="EM18" i="10"/>
  <c r="EM7" i="10"/>
  <c r="EM15" i="10"/>
  <c r="EM16" i="10"/>
  <c r="EM20" i="10"/>
  <c r="EM9" i="10"/>
  <c r="EM8" i="10"/>
  <c r="EM12" i="10"/>
  <c r="EM4" i="10"/>
  <c r="EM17" i="10"/>
  <c r="EL45" i="10"/>
  <c r="EL46" i="10"/>
  <c r="EL44" i="10"/>
  <c r="EL43" i="10"/>
  <c r="EL19" i="10"/>
  <c r="EK47" i="10"/>
  <c r="EJ27" i="10"/>
  <c r="EJ34" i="10"/>
  <c r="EJ33" i="10"/>
  <c r="EJ24" i="10"/>
  <c r="EJ29" i="10"/>
  <c r="EJ23" i="10"/>
  <c r="EJ26" i="10"/>
  <c r="EJ28" i="10"/>
  <c r="EJ32" i="10"/>
  <c r="EJ25" i="10"/>
  <c r="EJ30" i="10"/>
  <c r="EJ35" i="10"/>
  <c r="EJ31" i="10"/>
  <c r="G146" i="1"/>
  <c r="W31" i="10"/>
  <c r="W35" i="10"/>
  <c r="W29" i="10"/>
  <c r="W33" i="10"/>
  <c r="W30" i="10"/>
  <c r="W28" i="10"/>
  <c r="W34" i="10"/>
  <c r="W32" i="10"/>
  <c r="Z17" i="10"/>
  <c r="Z16" i="10"/>
  <c r="Z15" i="10"/>
  <c r="Z18" i="10"/>
  <c r="Y45" i="10"/>
  <c r="Y44" i="10"/>
  <c r="Y43" i="10"/>
  <c r="Z20" i="10"/>
  <c r="Z44" i="10" s="1"/>
  <c r="Z14" i="10"/>
  <c r="Z13" i="10"/>
  <c r="Z12" i="10"/>
  <c r="Z11" i="10"/>
  <c r="B37" i="23"/>
  <c r="N40" i="23"/>
  <c r="W24" i="10"/>
  <c r="W26" i="10"/>
  <c r="W27" i="10"/>
  <c r="W25" i="10"/>
  <c r="W23" i="10"/>
  <c r="U39" i="10"/>
  <c r="U40" i="10" s="1"/>
  <c r="U49" i="10" s="1"/>
  <c r="V36" i="10"/>
  <c r="V38" i="10" s="1"/>
  <c r="X47" i="10"/>
  <c r="Y19" i="10"/>
  <c r="AA5" i="10"/>
  <c r="Z4" i="10"/>
  <c r="Z7" i="10"/>
  <c r="Z8" i="10"/>
  <c r="Z9" i="10"/>
  <c r="Z10" i="10"/>
  <c r="Z6" i="10"/>
  <c r="G35" i="1" l="1"/>
  <c r="R3" i="23" s="1"/>
  <c r="H3" i="38"/>
  <c r="J89" i="38" s="1"/>
  <c r="E22" i="9" s="1"/>
  <c r="BJ69" i="38"/>
  <c r="BJ68" i="38"/>
  <c r="BJ48" i="38"/>
  <c r="BJ70" i="38"/>
  <c r="BJ85" i="38"/>
  <c r="BJ42" i="38"/>
  <c r="BJ47" i="38"/>
  <c r="BJ23" i="38"/>
  <c r="BJ40" i="38"/>
  <c r="BJ12" i="38"/>
  <c r="BJ14" i="38"/>
  <c r="BJ13" i="38"/>
  <c r="BK3" i="38"/>
  <c r="B72" i="1"/>
  <c r="B34" i="38"/>
  <c r="EL47" i="10"/>
  <c r="EL31" i="10" s="1"/>
  <c r="EM45" i="10"/>
  <c r="EM44" i="10"/>
  <c r="EM46" i="10"/>
  <c r="EM43" i="10"/>
  <c r="EM19" i="10"/>
  <c r="EK25" i="10"/>
  <c r="EK27" i="10"/>
  <c r="EK32" i="10"/>
  <c r="EK34" i="10"/>
  <c r="EK24" i="10"/>
  <c r="EK33" i="10"/>
  <c r="EK35" i="10"/>
  <c r="EK29" i="10"/>
  <c r="EK23" i="10"/>
  <c r="EK31" i="10"/>
  <c r="EK28" i="10"/>
  <c r="EK26" i="10"/>
  <c r="EK30" i="10"/>
  <c r="EJ36" i="10"/>
  <c r="EJ38" i="10" s="1"/>
  <c r="EN9" i="10"/>
  <c r="EN17" i="10"/>
  <c r="EN6" i="10"/>
  <c r="EN14" i="10"/>
  <c r="EN8" i="10"/>
  <c r="EN16" i="10"/>
  <c r="EN13" i="10"/>
  <c r="EO5" i="10"/>
  <c r="EN10" i="10"/>
  <c r="EN18" i="10"/>
  <c r="EN15" i="10"/>
  <c r="EN20" i="10"/>
  <c r="EN7" i="10"/>
  <c r="EN4" i="10"/>
  <c r="EN12" i="10"/>
  <c r="EN11" i="10"/>
  <c r="X33" i="10"/>
  <c r="X31" i="10"/>
  <c r="X28" i="10"/>
  <c r="X34" i="10"/>
  <c r="X30" i="10"/>
  <c r="X32" i="10"/>
  <c r="X35" i="10"/>
  <c r="X29" i="10"/>
  <c r="AA15" i="10"/>
  <c r="AA18" i="10"/>
  <c r="AA17" i="10"/>
  <c r="AA16" i="10"/>
  <c r="Z45" i="10"/>
  <c r="Z46" i="10"/>
  <c r="Z43" i="10"/>
  <c r="AA20" i="10"/>
  <c r="AA45" i="10" s="1"/>
  <c r="AA11" i="10"/>
  <c r="AA13" i="10"/>
  <c r="AA14" i="10"/>
  <c r="AA12" i="10"/>
  <c r="B38" i="23"/>
  <c r="N41" i="23"/>
  <c r="X24" i="10"/>
  <c r="X27" i="10"/>
  <c r="X23" i="10"/>
  <c r="X26" i="10"/>
  <c r="X25" i="10"/>
  <c r="W36" i="10"/>
  <c r="W38" i="10" s="1"/>
  <c r="V39" i="10"/>
  <c r="V40" i="10" s="1"/>
  <c r="V49" i="10" s="1"/>
  <c r="Y47" i="10"/>
  <c r="Z19" i="10"/>
  <c r="AB5" i="10"/>
  <c r="AA7" i="10"/>
  <c r="AA8" i="10"/>
  <c r="AA9" i="10"/>
  <c r="AA10" i="10"/>
  <c r="AA6" i="10"/>
  <c r="AA4" i="10"/>
  <c r="BK48" i="38" l="1"/>
  <c r="BK68" i="38"/>
  <c r="BK70" i="38"/>
  <c r="BK47" i="38"/>
  <c r="BK69" i="38"/>
  <c r="BK40" i="38"/>
  <c r="BK85" i="38"/>
  <c r="BK23" i="38"/>
  <c r="BK42" i="38"/>
  <c r="BK12" i="38"/>
  <c r="BK14" i="38"/>
  <c r="BK13" i="38"/>
  <c r="BL3" i="38"/>
  <c r="B73" i="1"/>
  <c r="B35" i="38"/>
  <c r="EL27" i="10"/>
  <c r="EL26" i="10"/>
  <c r="EL35" i="10"/>
  <c r="EL30" i="10"/>
  <c r="EL32" i="10"/>
  <c r="EL23" i="10"/>
  <c r="EL33" i="10"/>
  <c r="EL25" i="10"/>
  <c r="EL34" i="10"/>
  <c r="EL24" i="10"/>
  <c r="EL28" i="10"/>
  <c r="EL29" i="10"/>
  <c r="EO4" i="10"/>
  <c r="EO12" i="10"/>
  <c r="EO9" i="10"/>
  <c r="EO17" i="10"/>
  <c r="EO11" i="10"/>
  <c r="EO8" i="10"/>
  <c r="EO16" i="10"/>
  <c r="EO13" i="10"/>
  <c r="EO10" i="10"/>
  <c r="EO14" i="10"/>
  <c r="EO6" i="10"/>
  <c r="EO15" i="10"/>
  <c r="EO20" i="10"/>
  <c r="EO7" i="10"/>
  <c r="EO18" i="10"/>
  <c r="EK36" i="10"/>
  <c r="EK38" i="10" s="1"/>
  <c r="EJ39" i="10"/>
  <c r="EJ40" i="10" s="1"/>
  <c r="EJ49" i="10" s="1"/>
  <c r="EM47" i="10"/>
  <c r="EN43" i="10"/>
  <c r="EN44" i="10"/>
  <c r="EN46" i="10"/>
  <c r="EN45" i="10"/>
  <c r="EN19" i="10"/>
  <c r="Y30" i="10"/>
  <c r="Y28" i="10"/>
  <c r="Y31" i="10"/>
  <c r="Y29" i="10"/>
  <c r="Y32" i="10"/>
  <c r="Y34" i="10"/>
  <c r="Y33" i="10"/>
  <c r="Y35" i="10"/>
  <c r="AB15" i="10"/>
  <c r="AB18" i="10"/>
  <c r="AB17" i="10"/>
  <c r="AB16" i="10"/>
  <c r="AA44" i="10"/>
  <c r="AA46" i="10"/>
  <c r="AA43" i="10"/>
  <c r="AB20" i="10"/>
  <c r="AB43" i="10" s="1"/>
  <c r="AB12" i="10"/>
  <c r="AB11" i="10"/>
  <c r="AB14" i="10"/>
  <c r="AB13" i="10"/>
  <c r="B39" i="23"/>
  <c r="N42" i="23"/>
  <c r="Y24" i="10"/>
  <c r="Y27" i="10"/>
  <c r="Y23" i="10"/>
  <c r="Y25" i="10"/>
  <c r="Y26" i="10"/>
  <c r="X36" i="10"/>
  <c r="X38" i="10" s="1"/>
  <c r="W39" i="10"/>
  <c r="W40" i="10" s="1"/>
  <c r="W49" i="10" s="1"/>
  <c r="Z47" i="10"/>
  <c r="AC5" i="10"/>
  <c r="AB6" i="10"/>
  <c r="AB9" i="10"/>
  <c r="AB10" i="10"/>
  <c r="AB4" i="10"/>
  <c r="AB7" i="10"/>
  <c r="AB8" i="10"/>
  <c r="AA19" i="10"/>
  <c r="BL69" i="38" l="1"/>
  <c r="BL68" i="38"/>
  <c r="BL85" i="38"/>
  <c r="BL70" i="38"/>
  <c r="BL48" i="38"/>
  <c r="BL47" i="38"/>
  <c r="BL12" i="38"/>
  <c r="BL42" i="38"/>
  <c r="BL23" i="38"/>
  <c r="BL40" i="38"/>
  <c r="BL14" i="38"/>
  <c r="BL13" i="38"/>
  <c r="BM3" i="38"/>
  <c r="B74" i="1"/>
  <c r="B36" i="38"/>
  <c r="EL36" i="10"/>
  <c r="EL38" i="10" s="1"/>
  <c r="EL39" i="10" s="1"/>
  <c r="EL40" i="10" s="1"/>
  <c r="EL49" i="10" s="1"/>
  <c r="EK39" i="10"/>
  <c r="EK40" i="10" s="1"/>
  <c r="EK49" i="10" s="1"/>
  <c r="EO19" i="10"/>
  <c r="EN47" i="10"/>
  <c r="EO46" i="10"/>
  <c r="EO43" i="10"/>
  <c r="EO44" i="10"/>
  <c r="EO45" i="10"/>
  <c r="EM23" i="10"/>
  <c r="EM34" i="10"/>
  <c r="EM33" i="10"/>
  <c r="EM28" i="10"/>
  <c r="EM27" i="10"/>
  <c r="EM25" i="10"/>
  <c r="EM35" i="10"/>
  <c r="EM32" i="10"/>
  <c r="EM31" i="10"/>
  <c r="EM29" i="10"/>
  <c r="EM26" i="10"/>
  <c r="EM30" i="10"/>
  <c r="EM24" i="10"/>
  <c r="Z30" i="10"/>
  <c r="Z28" i="10"/>
  <c r="Z33" i="10"/>
  <c r="Z32" i="10"/>
  <c r="Z35" i="10"/>
  <c r="Z29" i="10"/>
  <c r="Z34" i="10"/>
  <c r="Z31" i="10"/>
  <c r="AC16" i="10"/>
  <c r="AC15" i="10"/>
  <c r="AC18" i="10"/>
  <c r="AC17" i="10"/>
  <c r="AB44" i="10"/>
  <c r="AB45" i="10"/>
  <c r="AB46" i="10"/>
  <c r="AC20" i="10"/>
  <c r="AC43" i="10" s="1"/>
  <c r="AC13" i="10"/>
  <c r="AC12" i="10"/>
  <c r="AC11" i="10"/>
  <c r="AC14" i="10"/>
  <c r="B40" i="23"/>
  <c r="N43" i="23"/>
  <c r="Z24" i="10"/>
  <c r="Z23" i="10"/>
  <c r="Z26" i="10"/>
  <c r="Z27" i="10"/>
  <c r="Z25" i="10"/>
  <c r="Y36" i="10"/>
  <c r="Y38" i="10" s="1"/>
  <c r="Y39" i="10" s="1"/>
  <c r="Y40" i="10" s="1"/>
  <c r="Y49" i="10" s="1"/>
  <c r="X39" i="10"/>
  <c r="X40" i="10" s="1"/>
  <c r="X49" i="10" s="1"/>
  <c r="AB19" i="10"/>
  <c r="AA47" i="10"/>
  <c r="AD5" i="10"/>
  <c r="AC9" i="10"/>
  <c r="AC8" i="10"/>
  <c r="AC7" i="10"/>
  <c r="AC4" i="10"/>
  <c r="AC6" i="10"/>
  <c r="AC10" i="10"/>
  <c r="BM48" i="38" l="1"/>
  <c r="BM85" i="38"/>
  <c r="BM13" i="38"/>
  <c r="BM68" i="38"/>
  <c r="BM69" i="38"/>
  <c r="BM23" i="38"/>
  <c r="BM70" i="38"/>
  <c r="BM40" i="38"/>
  <c r="BM14" i="38"/>
  <c r="BM47" i="38"/>
  <c r="BM12" i="38"/>
  <c r="BM42" i="38"/>
  <c r="BN3" i="38"/>
  <c r="B75" i="1"/>
  <c r="B37" i="38"/>
  <c r="EO47" i="10"/>
  <c r="EO32" i="10" s="1"/>
  <c r="EN30" i="10"/>
  <c r="EN29" i="10"/>
  <c r="EN27" i="10"/>
  <c r="EN24" i="10"/>
  <c r="EN33" i="10"/>
  <c r="EN32" i="10"/>
  <c r="EN23" i="10"/>
  <c r="EN26" i="10"/>
  <c r="EN31" i="10"/>
  <c r="EN35" i="10"/>
  <c r="EN28" i="10"/>
  <c r="EN34" i="10"/>
  <c r="EN25" i="10"/>
  <c r="EM36" i="10"/>
  <c r="EM38" i="10" s="1"/>
  <c r="AA29" i="10"/>
  <c r="AA32" i="10"/>
  <c r="AA30" i="10"/>
  <c r="AA31" i="10"/>
  <c r="AA35" i="10"/>
  <c r="AA28" i="10"/>
  <c r="AA34" i="10"/>
  <c r="AA33" i="10"/>
  <c r="AD17" i="10"/>
  <c r="AD16" i="10"/>
  <c r="AD18" i="10"/>
  <c r="AD15" i="10"/>
  <c r="AC46" i="10"/>
  <c r="AC44" i="10"/>
  <c r="AC45" i="10"/>
  <c r="AD20" i="10"/>
  <c r="AD44" i="10" s="1"/>
  <c r="AD14" i="10"/>
  <c r="AD13" i="10"/>
  <c r="AD12" i="10"/>
  <c r="AD11" i="10"/>
  <c r="B41" i="23"/>
  <c r="N44" i="23"/>
  <c r="AA24" i="10"/>
  <c r="AA26" i="10"/>
  <c r="AA27" i="10"/>
  <c r="AA25" i="10"/>
  <c r="AA23" i="10"/>
  <c r="Z36" i="10"/>
  <c r="Z38" i="10" s="1"/>
  <c r="AE5" i="10"/>
  <c r="AD6" i="10"/>
  <c r="AD10" i="10"/>
  <c r="AD9" i="10"/>
  <c r="AD7" i="10"/>
  <c r="AD4" i="10"/>
  <c r="AD8" i="10"/>
  <c r="AC19" i="10"/>
  <c r="AB47" i="10"/>
  <c r="BN85" i="38" l="1"/>
  <c r="BN48" i="38"/>
  <c r="BN47" i="38"/>
  <c r="BN69" i="38"/>
  <c r="BN68" i="38"/>
  <c r="BN40" i="38"/>
  <c r="BN23" i="38"/>
  <c r="BN14" i="38"/>
  <c r="BN12" i="38"/>
  <c r="BN13" i="38"/>
  <c r="BN70" i="38"/>
  <c r="BN42" i="38"/>
  <c r="BO3" i="38"/>
  <c r="B76" i="1"/>
  <c r="B38" i="38"/>
  <c r="EO24" i="10"/>
  <c r="EO23" i="10"/>
  <c r="EO25" i="10"/>
  <c r="EO33" i="10"/>
  <c r="EO35" i="10"/>
  <c r="EO34" i="10"/>
  <c r="EO27" i="10"/>
  <c r="EO30" i="10"/>
  <c r="EO26" i="10"/>
  <c r="EO31" i="10"/>
  <c r="EO29" i="10"/>
  <c r="EO28" i="10"/>
  <c r="EN36" i="10"/>
  <c r="EN38" i="10" s="1"/>
  <c r="EM39" i="10"/>
  <c r="EM40" i="10" s="1"/>
  <c r="EM49" i="10" s="1"/>
  <c r="AB31" i="10"/>
  <c r="AB28" i="10"/>
  <c r="AB35" i="10"/>
  <c r="AB32" i="10"/>
  <c r="AB30" i="10"/>
  <c r="AB29" i="10"/>
  <c r="AB33" i="10"/>
  <c r="AB34" i="10"/>
  <c r="AE15" i="10"/>
  <c r="AE18" i="10"/>
  <c r="AE17" i="10"/>
  <c r="AE16" i="10"/>
  <c r="AD46" i="10"/>
  <c r="AD43" i="10"/>
  <c r="AD45" i="10"/>
  <c r="AE20" i="10"/>
  <c r="AE45" i="10" s="1"/>
  <c r="AE11" i="10"/>
  <c r="AE13" i="10"/>
  <c r="AE12" i="10"/>
  <c r="AE14" i="10"/>
  <c r="B42" i="23"/>
  <c r="N45" i="23"/>
  <c r="AB24" i="10"/>
  <c r="AB25" i="10"/>
  <c r="AB27" i="10"/>
  <c r="AB23" i="10"/>
  <c r="AB26" i="10"/>
  <c r="Z39" i="10"/>
  <c r="Z40" i="10" s="1"/>
  <c r="Z49" i="10" s="1"/>
  <c r="AA36" i="10"/>
  <c r="AA38" i="10" s="1"/>
  <c r="AD19" i="10"/>
  <c r="AC47" i="10"/>
  <c r="AF5" i="10"/>
  <c r="AE7" i="10"/>
  <c r="AE6" i="10"/>
  <c r="AE10" i="10"/>
  <c r="AE9" i="10"/>
  <c r="AE4" i="10"/>
  <c r="AE8" i="10"/>
  <c r="BO85" i="38" l="1"/>
  <c r="BO69" i="38"/>
  <c r="BO48" i="38"/>
  <c r="BO12" i="38"/>
  <c r="BO47" i="38"/>
  <c r="BO68" i="38"/>
  <c r="BO14" i="38"/>
  <c r="BO23" i="38"/>
  <c r="BO70" i="38"/>
  <c r="BO40" i="38"/>
  <c r="BO42" i="38"/>
  <c r="BO13" i="38"/>
  <c r="BP3" i="38"/>
  <c r="B77" i="1"/>
  <c r="B39" i="38"/>
  <c r="EO36" i="10"/>
  <c r="EO38" i="10" s="1"/>
  <c r="EO39" i="10" s="1"/>
  <c r="EO40" i="10" s="1"/>
  <c r="EO49" i="10" s="1"/>
  <c r="EN39" i="10"/>
  <c r="EN40" i="10" s="1"/>
  <c r="EN49" i="10" s="1"/>
  <c r="AC28" i="10"/>
  <c r="AC35" i="10"/>
  <c r="AC30" i="10"/>
  <c r="AC34" i="10"/>
  <c r="AC33" i="10"/>
  <c r="AC31" i="10"/>
  <c r="AC29" i="10"/>
  <c r="AC32" i="10"/>
  <c r="AF15" i="10"/>
  <c r="AF18" i="10"/>
  <c r="AF16" i="10"/>
  <c r="AF17" i="10"/>
  <c r="AE46" i="10"/>
  <c r="AE43" i="10"/>
  <c r="AE44" i="10"/>
  <c r="AF20" i="10"/>
  <c r="AF44" i="10" s="1"/>
  <c r="AF12" i="10"/>
  <c r="AF11" i="10"/>
  <c r="AF14" i="10"/>
  <c r="AF13" i="10"/>
  <c r="B43" i="23"/>
  <c r="N46" i="23"/>
  <c r="AC24" i="10"/>
  <c r="AC27" i="10"/>
  <c r="AC25" i="10"/>
  <c r="AC23" i="10"/>
  <c r="AC26" i="10"/>
  <c r="AB36" i="10"/>
  <c r="AB38" i="10" s="1"/>
  <c r="AA39" i="10"/>
  <c r="AA40" i="10" s="1"/>
  <c r="AA49" i="10" s="1"/>
  <c r="AE19" i="10"/>
  <c r="AG5" i="10"/>
  <c r="AF8" i="10"/>
  <c r="AF7" i="10"/>
  <c r="AF6" i="10"/>
  <c r="AF10" i="10"/>
  <c r="AF4" i="10"/>
  <c r="AF9" i="10"/>
  <c r="AD47" i="10"/>
  <c r="BP69" i="38" l="1"/>
  <c r="BP68" i="38"/>
  <c r="BP85" i="38"/>
  <c r="BP48" i="38"/>
  <c r="BP42" i="38"/>
  <c r="BP70" i="38"/>
  <c r="BP23" i="38"/>
  <c r="BP47" i="38"/>
  <c r="BP40" i="38"/>
  <c r="BP12" i="38"/>
  <c r="BP14" i="38"/>
  <c r="BP13" i="38"/>
  <c r="BQ3" i="38"/>
  <c r="B78" i="1"/>
  <c r="B40" i="38"/>
  <c r="AD28" i="10"/>
  <c r="AD32" i="10"/>
  <c r="AD30" i="10"/>
  <c r="AD35" i="10"/>
  <c r="AD34" i="10"/>
  <c r="AD33" i="10"/>
  <c r="AD31" i="10"/>
  <c r="AD29" i="10"/>
  <c r="AG16" i="10"/>
  <c r="AG15" i="10"/>
  <c r="AG18" i="10"/>
  <c r="AG17" i="10"/>
  <c r="AF45" i="10"/>
  <c r="AF43" i="10"/>
  <c r="AF46" i="10"/>
  <c r="AG20" i="10"/>
  <c r="AG44" i="10" s="1"/>
  <c r="AG13" i="10"/>
  <c r="AG12" i="10"/>
  <c r="AG11" i="10"/>
  <c r="AG14" i="10"/>
  <c r="B44" i="23"/>
  <c r="N47" i="23"/>
  <c r="AD25" i="10"/>
  <c r="AD26" i="10"/>
  <c r="AD24" i="10"/>
  <c r="AD27" i="10"/>
  <c r="AD23" i="10"/>
  <c r="AE47" i="10"/>
  <c r="AC36" i="10"/>
  <c r="AC38" i="10" s="1"/>
  <c r="AB39" i="10"/>
  <c r="AB40" i="10" s="1"/>
  <c r="AB49" i="10" s="1"/>
  <c r="AF19" i="10"/>
  <c r="AH5" i="10"/>
  <c r="AG9" i="10"/>
  <c r="AG8" i="10"/>
  <c r="AG4" i="10"/>
  <c r="AG6" i="10"/>
  <c r="AG7" i="10"/>
  <c r="AG10" i="10"/>
  <c r="BQ69" i="38" l="1"/>
  <c r="BQ85" i="38"/>
  <c r="BQ40" i="38"/>
  <c r="BQ48" i="38"/>
  <c r="BQ47" i="38"/>
  <c r="BQ68" i="38"/>
  <c r="BQ70" i="38"/>
  <c r="BQ23" i="38"/>
  <c r="BQ42" i="38"/>
  <c r="BQ12" i="38"/>
  <c r="BQ14" i="38"/>
  <c r="BQ13" i="38"/>
  <c r="BR3" i="38"/>
  <c r="B79" i="1"/>
  <c r="B41" i="38"/>
  <c r="AE30" i="10"/>
  <c r="AE35" i="10"/>
  <c r="AE29" i="10"/>
  <c r="AE33" i="10"/>
  <c r="AE31" i="10"/>
  <c r="AE28" i="10"/>
  <c r="AE34" i="10"/>
  <c r="AE32" i="10"/>
  <c r="AH17" i="10"/>
  <c r="AH16" i="10"/>
  <c r="AH15" i="10"/>
  <c r="AH18" i="10"/>
  <c r="AG43" i="10"/>
  <c r="AG45" i="10"/>
  <c r="AG46" i="10"/>
  <c r="AH20" i="10"/>
  <c r="AH46" i="10" s="1"/>
  <c r="AH14" i="10"/>
  <c r="AH13" i="10"/>
  <c r="AH12" i="10"/>
  <c r="AH11" i="10"/>
  <c r="B45" i="23"/>
  <c r="N48" i="23"/>
  <c r="AE27" i="10"/>
  <c r="AE25" i="10"/>
  <c r="AE24" i="10"/>
  <c r="AE26" i="10"/>
  <c r="AE23" i="10"/>
  <c r="AC39" i="10"/>
  <c r="AC40" i="10" s="1"/>
  <c r="AC49" i="10" s="1"/>
  <c r="AD36" i="10"/>
  <c r="AD38" i="10" s="1"/>
  <c r="AF47" i="10"/>
  <c r="AG19" i="10"/>
  <c r="AI5" i="10"/>
  <c r="AH6" i="10"/>
  <c r="AH10" i="10"/>
  <c r="AH9" i="10"/>
  <c r="AH8" i="10"/>
  <c r="AH7" i="10"/>
  <c r="AH4" i="10"/>
  <c r="BR85" i="38" l="1"/>
  <c r="BR48" i="38"/>
  <c r="BR47" i="38"/>
  <c r="BR68" i="38"/>
  <c r="BR42" i="38"/>
  <c r="BR12" i="38"/>
  <c r="BR14" i="38"/>
  <c r="BR70" i="38"/>
  <c r="BR69" i="38"/>
  <c r="BR40" i="38"/>
  <c r="BR13" i="38"/>
  <c r="BR23" i="38"/>
  <c r="BS3" i="38"/>
  <c r="B80" i="1"/>
  <c r="B42" i="38"/>
  <c r="AF28" i="10"/>
  <c r="AF29" i="10"/>
  <c r="AF33" i="10"/>
  <c r="AF32" i="10"/>
  <c r="AF35" i="10"/>
  <c r="AF34" i="10"/>
  <c r="AF30" i="10"/>
  <c r="AF31" i="10"/>
  <c r="AI15" i="10"/>
  <c r="AI18" i="10"/>
  <c r="AI17" i="10"/>
  <c r="AI16" i="10"/>
  <c r="AH44" i="10"/>
  <c r="AH45" i="10"/>
  <c r="AH43" i="10"/>
  <c r="AI20" i="10"/>
  <c r="AI45" i="10" s="1"/>
  <c r="AI11" i="10"/>
  <c r="AI13" i="10"/>
  <c r="AI14" i="10"/>
  <c r="AI12" i="10"/>
  <c r="B46" i="23"/>
  <c r="N49" i="23"/>
  <c r="AF24" i="10"/>
  <c r="AF23" i="10"/>
  <c r="AF27" i="10"/>
  <c r="AF26" i="10"/>
  <c r="AF25" i="10"/>
  <c r="AE36" i="10"/>
  <c r="AE38" i="10" s="1"/>
  <c r="AE39" i="10" s="1"/>
  <c r="AE40" i="10" s="1"/>
  <c r="AE49" i="10" s="1"/>
  <c r="AD39" i="10"/>
  <c r="AD40" i="10" s="1"/>
  <c r="AD49" i="10" s="1"/>
  <c r="AH19" i="10"/>
  <c r="AJ5" i="10"/>
  <c r="AI7" i="10"/>
  <c r="AI6" i="10"/>
  <c r="AI10" i="10"/>
  <c r="AI9" i="10"/>
  <c r="AI4" i="10"/>
  <c r="AI8" i="10"/>
  <c r="AG47" i="10"/>
  <c r="BS42" i="38" l="1"/>
  <c r="BS85" i="38"/>
  <c r="BS68" i="38"/>
  <c r="BS48" i="38"/>
  <c r="BS69" i="38"/>
  <c r="BS40" i="38"/>
  <c r="BS12" i="38"/>
  <c r="BS14" i="38"/>
  <c r="BS70" i="38"/>
  <c r="BS23" i="38"/>
  <c r="BS47" i="38"/>
  <c r="BS13" i="38"/>
  <c r="BT3" i="38"/>
  <c r="B81" i="1"/>
  <c r="B43" i="38"/>
  <c r="AG29" i="10"/>
  <c r="AG34" i="10"/>
  <c r="AG30" i="10"/>
  <c r="AG35" i="10"/>
  <c r="AG31" i="10"/>
  <c r="AG32" i="10"/>
  <c r="AG33" i="10"/>
  <c r="AG28" i="10"/>
  <c r="AJ15" i="10"/>
  <c r="AJ18" i="10"/>
  <c r="AJ17" i="10"/>
  <c r="AJ16" i="10"/>
  <c r="AI46" i="10"/>
  <c r="AI43" i="10"/>
  <c r="AI44" i="10"/>
  <c r="AJ20" i="10"/>
  <c r="AJ45" i="10" s="1"/>
  <c r="AJ12" i="10"/>
  <c r="AJ11" i="10"/>
  <c r="AJ13" i="10"/>
  <c r="AJ14" i="10"/>
  <c r="B47" i="23"/>
  <c r="N50" i="23"/>
  <c r="AG26" i="10"/>
  <c r="AG24" i="10"/>
  <c r="AG27" i="10"/>
  <c r="AG25" i="10"/>
  <c r="AG23" i="10"/>
  <c r="AF36" i="10"/>
  <c r="AF38" i="10" s="1"/>
  <c r="AH47" i="10"/>
  <c r="AI19" i="10"/>
  <c r="AK5" i="10"/>
  <c r="AJ8" i="10"/>
  <c r="AJ7" i="10"/>
  <c r="AJ10" i="10"/>
  <c r="AJ6" i="10"/>
  <c r="AJ4" i="10"/>
  <c r="AJ9" i="10"/>
  <c r="BT42" i="38" l="1"/>
  <c r="BT69" i="38"/>
  <c r="BT48" i="38"/>
  <c r="BT70" i="38"/>
  <c r="BT68" i="38"/>
  <c r="BT23" i="38"/>
  <c r="BT85" i="38"/>
  <c r="BT40" i="38"/>
  <c r="BT47" i="38"/>
  <c r="BT14" i="38"/>
  <c r="BT12" i="38"/>
  <c r="BT13" i="38"/>
  <c r="BU3" i="38"/>
  <c r="B82" i="1"/>
  <c r="B44" i="38"/>
  <c r="AH33" i="10"/>
  <c r="AH35" i="10"/>
  <c r="AH29" i="10"/>
  <c r="AH31" i="10"/>
  <c r="AH30" i="10"/>
  <c r="AH34" i="10"/>
  <c r="AH28" i="10"/>
  <c r="AH32" i="10"/>
  <c r="AK16" i="10"/>
  <c r="AK15" i="10"/>
  <c r="AK17" i="10"/>
  <c r="AK18" i="10"/>
  <c r="AJ46" i="10"/>
  <c r="AJ44" i="10"/>
  <c r="AJ43" i="10"/>
  <c r="AK20" i="10"/>
  <c r="AK44" i="10" s="1"/>
  <c r="AK13" i="10"/>
  <c r="AK12" i="10"/>
  <c r="AK11" i="10"/>
  <c r="AK14" i="10"/>
  <c r="B48" i="23"/>
  <c r="N51" i="23"/>
  <c r="AH23" i="10"/>
  <c r="AH26" i="10"/>
  <c r="AH27" i="10"/>
  <c r="AH24" i="10"/>
  <c r="AH25" i="10"/>
  <c r="AI47" i="10"/>
  <c r="AF39" i="10"/>
  <c r="AF40" i="10" s="1"/>
  <c r="AF49" i="10" s="1"/>
  <c r="AG36" i="10"/>
  <c r="AG38" i="10" s="1"/>
  <c r="AL5" i="10"/>
  <c r="AK9" i="10"/>
  <c r="AK8" i="10"/>
  <c r="AK7" i="10"/>
  <c r="AK4" i="10"/>
  <c r="AK6" i="10"/>
  <c r="AK10" i="10"/>
  <c r="AJ19" i="10"/>
  <c r="BU85" i="38" l="1"/>
  <c r="BU70" i="38"/>
  <c r="BU47" i="38"/>
  <c r="BU68" i="38"/>
  <c r="BU48" i="38"/>
  <c r="BU23" i="38"/>
  <c r="BU40" i="38"/>
  <c r="BU42" i="38"/>
  <c r="BU69" i="38"/>
  <c r="BU12" i="38"/>
  <c r="BU14" i="38"/>
  <c r="BU13" i="38"/>
  <c r="BV3" i="38"/>
  <c r="B83" i="1"/>
  <c r="B45" i="38"/>
  <c r="AI29" i="10"/>
  <c r="AI28" i="10"/>
  <c r="AI30" i="10"/>
  <c r="AI32" i="10"/>
  <c r="AI34" i="10"/>
  <c r="AI31" i="10"/>
  <c r="AI35" i="10"/>
  <c r="AI33" i="10"/>
  <c r="AL17" i="10"/>
  <c r="AL16" i="10"/>
  <c r="AL18" i="10"/>
  <c r="AL15" i="10"/>
  <c r="AK45" i="10"/>
  <c r="AK46" i="10"/>
  <c r="AK43" i="10"/>
  <c r="AL20" i="10"/>
  <c r="AL44" i="10" s="1"/>
  <c r="AL14" i="10"/>
  <c r="AL13" i="10"/>
  <c r="AL12" i="10"/>
  <c r="AL11" i="10"/>
  <c r="B49" i="23"/>
  <c r="N52" i="23"/>
  <c r="AI24" i="10"/>
  <c r="AI27" i="10"/>
  <c r="AI25" i="10"/>
  <c r="AI26" i="10"/>
  <c r="AI23" i="10"/>
  <c r="AK19" i="10"/>
  <c r="AG39" i="10"/>
  <c r="AG40" i="10" s="1"/>
  <c r="AG49" i="10" s="1"/>
  <c r="AH36" i="10"/>
  <c r="AH38" i="10" s="1"/>
  <c r="AJ47" i="10"/>
  <c r="AM5" i="10"/>
  <c r="AL6" i="10"/>
  <c r="AL10" i="10"/>
  <c r="AL9" i="10"/>
  <c r="AL8" i="10"/>
  <c r="AL4" i="10"/>
  <c r="AL7" i="10"/>
  <c r="BV85" i="38" l="1"/>
  <c r="BV68" i="38"/>
  <c r="BV48" i="38"/>
  <c r="BV12" i="38"/>
  <c r="BV69" i="38"/>
  <c r="BV70" i="38"/>
  <c r="BV40" i="38"/>
  <c r="BV23" i="38"/>
  <c r="BV14" i="38"/>
  <c r="BV47" i="38"/>
  <c r="BV13" i="38"/>
  <c r="BV42" i="38"/>
  <c r="BW3" i="38"/>
  <c r="B84" i="1"/>
  <c r="B46" i="38"/>
  <c r="AJ28" i="10"/>
  <c r="AJ30" i="10"/>
  <c r="AJ31" i="10"/>
  <c r="AJ32" i="10"/>
  <c r="AJ35" i="10"/>
  <c r="AJ29" i="10"/>
  <c r="AJ33" i="10"/>
  <c r="AJ34" i="10"/>
  <c r="AM15" i="10"/>
  <c r="AM18" i="10"/>
  <c r="AM17" i="10"/>
  <c r="AM16" i="10"/>
  <c r="AL43" i="10"/>
  <c r="AL46" i="10"/>
  <c r="AL45" i="10"/>
  <c r="AM20" i="10"/>
  <c r="AM44" i="10" s="1"/>
  <c r="AM11" i="10"/>
  <c r="AM13" i="10"/>
  <c r="AM12" i="10"/>
  <c r="AM14" i="10"/>
  <c r="B50" i="23"/>
  <c r="N53" i="23"/>
  <c r="AJ26" i="10"/>
  <c r="AJ24" i="10"/>
  <c r="AJ27" i="10"/>
  <c r="AJ25" i="10"/>
  <c r="AJ23" i="10"/>
  <c r="AI36" i="10"/>
  <c r="AI38" i="10" s="1"/>
  <c r="AI39" i="10" s="1"/>
  <c r="AI40" i="10" s="1"/>
  <c r="AI49" i="10" s="1"/>
  <c r="AH39" i="10"/>
  <c r="AH40" i="10" s="1"/>
  <c r="AH49" i="10" s="1"/>
  <c r="AL19" i="10"/>
  <c r="AK47" i="10"/>
  <c r="AN5" i="10"/>
  <c r="AM7" i="10"/>
  <c r="AM6" i="10"/>
  <c r="AM10" i="10"/>
  <c r="AM9" i="10"/>
  <c r="AM8" i="10"/>
  <c r="AM4" i="10"/>
  <c r="BW69" i="38" l="1"/>
  <c r="BW70" i="38"/>
  <c r="BW85" i="38"/>
  <c r="BW48" i="38"/>
  <c r="BW47" i="38"/>
  <c r="BW68" i="38"/>
  <c r="BW40" i="38"/>
  <c r="BW23" i="38"/>
  <c r="BW14" i="38"/>
  <c r="BW13" i="38"/>
  <c r="BW42" i="38"/>
  <c r="BW12" i="38"/>
  <c r="BX3" i="38"/>
  <c r="B85" i="1"/>
  <c r="B47" i="38"/>
  <c r="AK30" i="10"/>
  <c r="AK29" i="10"/>
  <c r="AK28" i="10"/>
  <c r="AK34" i="10"/>
  <c r="AK33" i="10"/>
  <c r="AK32" i="10"/>
  <c r="AK35" i="10"/>
  <c r="AK31" i="10"/>
  <c r="AN15" i="10"/>
  <c r="AN18" i="10"/>
  <c r="AN16" i="10"/>
  <c r="AN17" i="10"/>
  <c r="AM43" i="10"/>
  <c r="AM46" i="10"/>
  <c r="AM45" i="10"/>
  <c r="AN20" i="10"/>
  <c r="AN45" i="10" s="1"/>
  <c r="AN12" i="10"/>
  <c r="AN11" i="10"/>
  <c r="AN14" i="10"/>
  <c r="AN13" i="10"/>
  <c r="B51" i="23"/>
  <c r="N54" i="23"/>
  <c r="AK23" i="10"/>
  <c r="AK26" i="10"/>
  <c r="AK24" i="10"/>
  <c r="AK27" i="10"/>
  <c r="AK25" i="10"/>
  <c r="AJ36" i="10"/>
  <c r="AJ38" i="10" s="1"/>
  <c r="AM19" i="10"/>
  <c r="AO5" i="10"/>
  <c r="AN8" i="10"/>
  <c r="AN7" i="10"/>
  <c r="AN6" i="10"/>
  <c r="AN4" i="10"/>
  <c r="AN10" i="10"/>
  <c r="AN9" i="10"/>
  <c r="AL47" i="10"/>
  <c r="BX70" i="38" l="1"/>
  <c r="BX68" i="38"/>
  <c r="BX69" i="38"/>
  <c r="BX48" i="38"/>
  <c r="BX85" i="38"/>
  <c r="BX42" i="38"/>
  <c r="BX12" i="38"/>
  <c r="BX14" i="38"/>
  <c r="BX40" i="38"/>
  <c r="BX23" i="38"/>
  <c r="BX47" i="38"/>
  <c r="BX13" i="38"/>
  <c r="BY3" i="38"/>
  <c r="B86" i="1"/>
  <c r="B48" i="38"/>
  <c r="AL29" i="10"/>
  <c r="AL34" i="10"/>
  <c r="AL30" i="10"/>
  <c r="AL28" i="10"/>
  <c r="AL33" i="10"/>
  <c r="AL32" i="10"/>
  <c r="AL35" i="10"/>
  <c r="AL31" i="10"/>
  <c r="AO16" i="10"/>
  <c r="AO15" i="10"/>
  <c r="AO18" i="10"/>
  <c r="AO17" i="10"/>
  <c r="AN43" i="10"/>
  <c r="AN46" i="10"/>
  <c r="AN44" i="10"/>
  <c r="AO20" i="10"/>
  <c r="AO43" i="10" s="1"/>
  <c r="AO13" i="10"/>
  <c r="AO12" i="10"/>
  <c r="AO11" i="10"/>
  <c r="AO14" i="10"/>
  <c r="B52" i="23"/>
  <c r="N55" i="23"/>
  <c r="AL23" i="10"/>
  <c r="AL26" i="10"/>
  <c r="AL27" i="10"/>
  <c r="AL24" i="10"/>
  <c r="AL25" i="10"/>
  <c r="AJ39" i="10"/>
  <c r="AJ40" i="10" s="1"/>
  <c r="AJ49" i="10" s="1"/>
  <c r="AK36" i="10"/>
  <c r="AK38" i="10" s="1"/>
  <c r="AM47" i="10"/>
  <c r="AN19" i="10"/>
  <c r="AP5" i="10"/>
  <c r="AO9" i="10"/>
  <c r="AO8" i="10"/>
  <c r="AO4" i="10"/>
  <c r="AO6" i="10"/>
  <c r="AO7" i="10"/>
  <c r="AO10" i="10"/>
  <c r="BY69" i="38" l="1"/>
  <c r="BY68" i="38"/>
  <c r="BY48" i="38"/>
  <c r="BY70" i="38"/>
  <c r="BY85" i="38"/>
  <c r="BY23" i="38"/>
  <c r="BY12" i="38"/>
  <c r="BY42" i="38"/>
  <c r="BY47" i="38"/>
  <c r="BY13" i="38"/>
  <c r="BY40" i="38"/>
  <c r="BY14" i="38"/>
  <c r="BZ3" i="38"/>
  <c r="B87" i="1"/>
  <c r="B49" i="38"/>
  <c r="AM29" i="10"/>
  <c r="AM34" i="10"/>
  <c r="AM30" i="10"/>
  <c r="AM32" i="10"/>
  <c r="AM31" i="10"/>
  <c r="AM33" i="10"/>
  <c r="AM35" i="10"/>
  <c r="AM28" i="10"/>
  <c r="AP17" i="10"/>
  <c r="AP16" i="10"/>
  <c r="AP15" i="10"/>
  <c r="AP18" i="10"/>
  <c r="AO45" i="10"/>
  <c r="AO44" i="10"/>
  <c r="AO46" i="10"/>
  <c r="AP20" i="10"/>
  <c r="AP44" i="10" s="1"/>
  <c r="AP14" i="10"/>
  <c r="AP13" i="10"/>
  <c r="AP12" i="10"/>
  <c r="AP11" i="10"/>
  <c r="B53" i="23"/>
  <c r="N56" i="23"/>
  <c r="AM24" i="10"/>
  <c r="AM27" i="10"/>
  <c r="AM25" i="10"/>
  <c r="AM23" i="10"/>
  <c r="AM26" i="10"/>
  <c r="AO19" i="10"/>
  <c r="AL36" i="10"/>
  <c r="AL38" i="10" s="1"/>
  <c r="AK39" i="10"/>
  <c r="AK40" i="10" s="1"/>
  <c r="AK49" i="10" s="1"/>
  <c r="AQ5" i="10"/>
  <c r="AP6" i="10"/>
  <c r="AP10" i="10"/>
  <c r="AP9" i="10"/>
  <c r="AP8" i="10"/>
  <c r="AP4" i="10"/>
  <c r="AP7" i="10"/>
  <c r="AN47" i="10"/>
  <c r="BZ70" i="38" l="1"/>
  <c r="BZ69" i="38"/>
  <c r="BZ47" i="38"/>
  <c r="BZ85" i="38"/>
  <c r="BZ68" i="38"/>
  <c r="BZ42" i="38"/>
  <c r="BZ23" i="38"/>
  <c r="BZ40" i="38"/>
  <c r="BZ12" i="38"/>
  <c r="BZ14" i="38"/>
  <c r="BZ13" i="38"/>
  <c r="BZ48" i="38"/>
  <c r="CA3" i="38"/>
  <c r="B88" i="1"/>
  <c r="B50" i="38"/>
  <c r="AN33" i="10"/>
  <c r="AN32" i="10"/>
  <c r="AN29" i="10"/>
  <c r="AN28" i="10"/>
  <c r="AN34" i="10"/>
  <c r="AN30" i="10"/>
  <c r="AN31" i="10"/>
  <c r="AN35" i="10"/>
  <c r="AQ15" i="10"/>
  <c r="AQ18" i="10"/>
  <c r="AQ17" i="10"/>
  <c r="AQ16" i="10"/>
  <c r="AP46" i="10"/>
  <c r="AP45" i="10"/>
  <c r="AP43" i="10"/>
  <c r="AQ20" i="10"/>
  <c r="AQ44" i="10" s="1"/>
  <c r="AQ11" i="10"/>
  <c r="AQ13" i="10"/>
  <c r="AQ12" i="10"/>
  <c r="AQ14" i="10"/>
  <c r="B54" i="23"/>
  <c r="N57" i="23"/>
  <c r="AN25" i="10"/>
  <c r="AN23" i="10"/>
  <c r="AN27" i="10"/>
  <c r="AN26" i="10"/>
  <c r="AN24" i="10"/>
  <c r="AL39" i="10"/>
  <c r="AL40" i="10" s="1"/>
  <c r="AL49" i="10" s="1"/>
  <c r="AO47" i="10"/>
  <c r="AM36" i="10"/>
  <c r="AM38" i="10" s="1"/>
  <c r="AP19" i="10"/>
  <c r="AR5" i="10"/>
  <c r="AQ7" i="10"/>
  <c r="AQ6" i="10"/>
  <c r="AQ10" i="10"/>
  <c r="AQ9" i="10"/>
  <c r="AQ8" i="10"/>
  <c r="AQ4" i="10"/>
  <c r="CA70" i="38" l="1"/>
  <c r="CA48" i="38"/>
  <c r="CA85" i="38"/>
  <c r="CA69" i="38"/>
  <c r="CA68" i="38"/>
  <c r="CA47" i="38"/>
  <c r="CA40" i="38"/>
  <c r="CA23" i="38"/>
  <c r="CA12" i="38"/>
  <c r="CA13" i="38"/>
  <c r="CA42" i="38"/>
  <c r="CA14" i="38"/>
  <c r="CB3" i="38"/>
  <c r="B89" i="1"/>
  <c r="B51" i="38"/>
  <c r="AO30" i="10"/>
  <c r="AO28" i="10"/>
  <c r="AO33" i="10"/>
  <c r="AO35" i="10"/>
  <c r="AO29" i="10"/>
  <c r="AO31" i="10"/>
  <c r="AO34" i="10"/>
  <c r="AO32" i="10"/>
  <c r="AR15" i="10"/>
  <c r="AR18" i="10"/>
  <c r="AR17" i="10"/>
  <c r="AR16" i="10"/>
  <c r="AQ45" i="10"/>
  <c r="AQ46" i="10"/>
  <c r="AQ43" i="10"/>
  <c r="AR20" i="10"/>
  <c r="AR44" i="10" s="1"/>
  <c r="AR12" i="10"/>
  <c r="AR11" i="10"/>
  <c r="AR13" i="10"/>
  <c r="AR14" i="10"/>
  <c r="B55" i="23"/>
  <c r="N58" i="23"/>
  <c r="AO24" i="10"/>
  <c r="AO25" i="10"/>
  <c r="AO26" i="10"/>
  <c r="AO23" i="10"/>
  <c r="AO27" i="10"/>
  <c r="AM39" i="10"/>
  <c r="AM40" i="10" s="1"/>
  <c r="AM49" i="10" s="1"/>
  <c r="AN36" i="10"/>
  <c r="AN38" i="10" s="1"/>
  <c r="AP47" i="10"/>
  <c r="AQ19" i="10"/>
  <c r="AS5" i="10"/>
  <c r="AR8" i="10"/>
  <c r="AR7" i="10"/>
  <c r="AR10" i="10"/>
  <c r="AR9" i="10"/>
  <c r="AR6" i="10"/>
  <c r="AR4" i="10"/>
  <c r="CB70" i="38" l="1"/>
  <c r="CB69" i="38"/>
  <c r="CB68" i="38"/>
  <c r="CB48" i="38"/>
  <c r="CB47" i="38"/>
  <c r="CB23" i="38"/>
  <c r="CB85" i="38"/>
  <c r="CB12" i="38"/>
  <c r="CB40" i="38"/>
  <c r="CB42" i="38"/>
  <c r="CB13" i="38"/>
  <c r="CB14" i="38"/>
  <c r="CC3" i="38"/>
  <c r="B90" i="1"/>
  <c r="B52" i="38"/>
  <c r="AP28" i="10"/>
  <c r="AP35" i="10"/>
  <c r="AP30" i="10"/>
  <c r="AP34" i="10"/>
  <c r="AP33" i="10"/>
  <c r="AP31" i="10"/>
  <c r="AP29" i="10"/>
  <c r="AP32" i="10"/>
  <c r="AS16" i="10"/>
  <c r="AS15" i="10"/>
  <c r="AS17" i="10"/>
  <c r="AS18" i="10"/>
  <c r="AR45" i="10"/>
  <c r="AR46" i="10"/>
  <c r="AR43" i="10"/>
  <c r="AS20" i="10"/>
  <c r="AS44" i="10" s="1"/>
  <c r="AS13" i="10"/>
  <c r="AS12" i="10"/>
  <c r="AS11" i="10"/>
  <c r="AS14" i="10"/>
  <c r="B56" i="23"/>
  <c r="N59" i="23"/>
  <c r="AP27" i="10"/>
  <c r="AP23" i="10"/>
  <c r="AP24" i="10"/>
  <c r="AP26" i="10"/>
  <c r="AP25" i="10"/>
  <c r="AN39" i="10"/>
  <c r="AN40" i="10" s="1"/>
  <c r="AN49" i="10" s="1"/>
  <c r="AO36" i="10"/>
  <c r="AO38" i="10" s="1"/>
  <c r="AT5" i="10"/>
  <c r="AS9" i="10"/>
  <c r="AS8" i="10"/>
  <c r="AS7" i="10"/>
  <c r="AS4" i="10"/>
  <c r="AS10" i="10"/>
  <c r="AS6" i="10"/>
  <c r="AR19" i="10"/>
  <c r="AQ47" i="10"/>
  <c r="CC70" i="38" l="1"/>
  <c r="CC48" i="38"/>
  <c r="CC85" i="38"/>
  <c r="CC68" i="38"/>
  <c r="CC47" i="38"/>
  <c r="CC69" i="38"/>
  <c r="CC40" i="38"/>
  <c r="CC42" i="38"/>
  <c r="CC14" i="38"/>
  <c r="CC12" i="38"/>
  <c r="CC13" i="38"/>
  <c r="CC23" i="38"/>
  <c r="CD3" i="38"/>
  <c r="B91" i="1"/>
  <c r="B53" i="38"/>
  <c r="AQ29" i="10"/>
  <c r="AQ32" i="10"/>
  <c r="AQ30" i="10"/>
  <c r="AQ33" i="10"/>
  <c r="AQ35" i="10"/>
  <c r="AQ31" i="10"/>
  <c r="AQ34" i="10"/>
  <c r="AQ28" i="10"/>
  <c r="AT17" i="10"/>
  <c r="AT16" i="10"/>
  <c r="AT18" i="10"/>
  <c r="AT15" i="10"/>
  <c r="AS43" i="10"/>
  <c r="AS45" i="10"/>
  <c r="AS46" i="10"/>
  <c r="AT20" i="10"/>
  <c r="AT45" i="10" s="1"/>
  <c r="AT14" i="10"/>
  <c r="AT13" i="10"/>
  <c r="AT12" i="10"/>
  <c r="AT11" i="10"/>
  <c r="B57" i="23"/>
  <c r="N60" i="23"/>
  <c r="AQ27" i="10"/>
  <c r="AQ24" i="10"/>
  <c r="AQ26" i="10"/>
  <c r="AQ25" i="10"/>
  <c r="AQ23" i="10"/>
  <c r="AP36" i="10"/>
  <c r="AP38" i="10" s="1"/>
  <c r="AO39" i="10"/>
  <c r="AO40" i="10" s="1"/>
  <c r="AO49" i="10" s="1"/>
  <c r="AR47" i="10"/>
  <c r="AS19" i="10"/>
  <c r="AU5" i="10"/>
  <c r="AT6" i="10"/>
  <c r="AT10" i="10"/>
  <c r="AT9" i="10"/>
  <c r="AT4" i="10"/>
  <c r="AT7" i="10"/>
  <c r="AT8" i="10"/>
  <c r="CD69" i="38" l="1"/>
  <c r="CD47" i="38"/>
  <c r="CD68" i="38"/>
  <c r="CD48" i="38"/>
  <c r="CD85" i="38"/>
  <c r="CD70" i="38"/>
  <c r="CD42" i="38"/>
  <c r="CD40" i="38"/>
  <c r="CD23" i="38"/>
  <c r="CD12" i="38"/>
  <c r="CD14" i="38"/>
  <c r="CD13" i="38"/>
  <c r="CE3" i="38"/>
  <c r="B92" i="1"/>
  <c r="B54" i="38"/>
  <c r="AR31" i="10"/>
  <c r="AR29" i="10"/>
  <c r="AR35" i="10"/>
  <c r="AR34" i="10"/>
  <c r="AR30" i="10"/>
  <c r="AR32" i="10"/>
  <c r="AR33" i="10"/>
  <c r="AR28" i="10"/>
  <c r="AU15" i="10"/>
  <c r="AU18" i="10"/>
  <c r="AU17" i="10"/>
  <c r="AU16" i="10"/>
  <c r="AT44" i="10"/>
  <c r="AT43" i="10"/>
  <c r="AT46" i="10"/>
  <c r="AU20" i="10"/>
  <c r="AU43" i="10" s="1"/>
  <c r="AU11" i="10"/>
  <c r="AU13" i="10"/>
  <c r="AU14" i="10"/>
  <c r="AU12" i="10"/>
  <c r="B58" i="23"/>
  <c r="N61" i="23"/>
  <c r="AR24" i="10"/>
  <c r="AR27" i="10"/>
  <c r="AR25" i="10"/>
  <c r="AR26" i="10"/>
  <c r="AR23" i="10"/>
  <c r="AS47" i="10"/>
  <c r="AP39" i="10"/>
  <c r="AP40" i="10" s="1"/>
  <c r="AP49" i="10" s="1"/>
  <c r="AQ36" i="10"/>
  <c r="AQ38" i="10" s="1"/>
  <c r="AT19" i="10"/>
  <c r="AV5" i="10"/>
  <c r="AU7" i="10"/>
  <c r="AU6" i="10"/>
  <c r="AU10" i="10"/>
  <c r="AU9" i="10"/>
  <c r="AU8" i="10"/>
  <c r="AU4" i="10"/>
  <c r="CE69" i="38" l="1"/>
  <c r="CE85" i="38"/>
  <c r="CE70" i="38"/>
  <c r="CE48" i="38"/>
  <c r="CE68" i="38"/>
  <c r="CE23" i="38"/>
  <c r="CE40" i="38"/>
  <c r="CE12" i="38"/>
  <c r="CE14" i="38"/>
  <c r="CE13" i="38"/>
  <c r="CE47" i="38"/>
  <c r="CE42" i="38"/>
  <c r="CF3" i="38"/>
  <c r="B93" i="1"/>
  <c r="B55" i="38"/>
  <c r="AS30" i="10"/>
  <c r="AS35" i="10"/>
  <c r="AS33" i="10"/>
  <c r="AS34" i="10"/>
  <c r="AS28" i="10"/>
  <c r="AS31" i="10"/>
  <c r="AS29" i="10"/>
  <c r="AS32" i="10"/>
  <c r="AV15" i="10"/>
  <c r="AV16" i="10"/>
  <c r="AV18" i="10"/>
  <c r="AV17" i="10"/>
  <c r="AU45" i="10"/>
  <c r="AU46" i="10"/>
  <c r="AU44" i="10"/>
  <c r="AV20" i="10"/>
  <c r="AV45" i="10" s="1"/>
  <c r="AV12" i="10"/>
  <c r="AV11" i="10"/>
  <c r="AV13" i="10"/>
  <c r="AV14" i="10"/>
  <c r="B59" i="23"/>
  <c r="N62" i="23"/>
  <c r="AS25" i="10"/>
  <c r="AS24" i="10"/>
  <c r="AS27" i="10"/>
  <c r="AS23" i="10"/>
  <c r="AS26" i="10"/>
  <c r="AR36" i="10"/>
  <c r="AR38" i="10" s="1"/>
  <c r="AQ39" i="10"/>
  <c r="AQ40" i="10" s="1"/>
  <c r="AQ49" i="10" s="1"/>
  <c r="AU19" i="10"/>
  <c r="AW5" i="10"/>
  <c r="AV8" i="10"/>
  <c r="AV7" i="10"/>
  <c r="AV6" i="10"/>
  <c r="AV10" i="10"/>
  <c r="AV9" i="10"/>
  <c r="AV4" i="10"/>
  <c r="AT47" i="10"/>
  <c r="CF48" i="38" l="1"/>
  <c r="CF70" i="38"/>
  <c r="CF69" i="38"/>
  <c r="CF85" i="38"/>
  <c r="CF23" i="38"/>
  <c r="CF47" i="38"/>
  <c r="CF42" i="38"/>
  <c r="CF13" i="38"/>
  <c r="CF40" i="38"/>
  <c r="CF68" i="38"/>
  <c r="CF14" i="38"/>
  <c r="CF12" i="38"/>
  <c r="CG3" i="38"/>
  <c r="B94" i="1"/>
  <c r="B56" i="38"/>
  <c r="AT32" i="10"/>
  <c r="AT29" i="10"/>
  <c r="AT28" i="10"/>
  <c r="AT30" i="10"/>
  <c r="AT35" i="10"/>
  <c r="AT33" i="10"/>
  <c r="AT31" i="10"/>
  <c r="AT34" i="10"/>
  <c r="AW16" i="10"/>
  <c r="AW15" i="10"/>
  <c r="AW18" i="10"/>
  <c r="AW17" i="10"/>
  <c r="AV44" i="10"/>
  <c r="AV43" i="10"/>
  <c r="AV46" i="10"/>
  <c r="AW20" i="10"/>
  <c r="AW46" i="10" s="1"/>
  <c r="AW13" i="10"/>
  <c r="AW12" i="10"/>
  <c r="AW11" i="10"/>
  <c r="AW14" i="10"/>
  <c r="B60" i="23"/>
  <c r="N63" i="23"/>
  <c r="AT27" i="10"/>
  <c r="AT25" i="10"/>
  <c r="AT23" i="10"/>
  <c r="AT24" i="10"/>
  <c r="AT26" i="10"/>
  <c r="AS36" i="10"/>
  <c r="AS38" i="10" s="1"/>
  <c r="AS39" i="10" s="1"/>
  <c r="AS40" i="10" s="1"/>
  <c r="AS49" i="10" s="1"/>
  <c r="AU47" i="10"/>
  <c r="AR39" i="10"/>
  <c r="AR40" i="10" s="1"/>
  <c r="AR49" i="10" s="1"/>
  <c r="AV19" i="10"/>
  <c r="AX5" i="10"/>
  <c r="AW9" i="10"/>
  <c r="AW8" i="10"/>
  <c r="AW4" i="10"/>
  <c r="AW6" i="10"/>
  <c r="AW10" i="10"/>
  <c r="AW7" i="10"/>
  <c r="CG70" i="38" l="1"/>
  <c r="CG47" i="38"/>
  <c r="CG69" i="38"/>
  <c r="CG85" i="38"/>
  <c r="CG48" i="38"/>
  <c r="CG68" i="38"/>
  <c r="CG12" i="38"/>
  <c r="CG23" i="38"/>
  <c r="CG40" i="38"/>
  <c r="CG13" i="38"/>
  <c r="CG42" i="38"/>
  <c r="CG14" i="38"/>
  <c r="CH3" i="38"/>
  <c r="B95" i="1"/>
  <c r="B57" i="38"/>
  <c r="AU31" i="10"/>
  <c r="AU35" i="10"/>
  <c r="AU30" i="10"/>
  <c r="AU33" i="10"/>
  <c r="AU29" i="10"/>
  <c r="AU28" i="10"/>
  <c r="AU34" i="10"/>
  <c r="AU32" i="10"/>
  <c r="AX17" i="10"/>
  <c r="AX16" i="10"/>
  <c r="AX15" i="10"/>
  <c r="AX18" i="10"/>
  <c r="AW45" i="10"/>
  <c r="AW43" i="10"/>
  <c r="AW44" i="10"/>
  <c r="AX20" i="10"/>
  <c r="AX45" i="10" s="1"/>
  <c r="AX14" i="10"/>
  <c r="AX13" i="10"/>
  <c r="AX12" i="10"/>
  <c r="AX11" i="10"/>
  <c r="B61" i="23"/>
  <c r="N64" i="23"/>
  <c r="AU27" i="10"/>
  <c r="AU25" i="10"/>
  <c r="AU24" i="10"/>
  <c r="AU23" i="10"/>
  <c r="AU26" i="10"/>
  <c r="AT36" i="10"/>
  <c r="AT38" i="10" s="1"/>
  <c r="AW19" i="10"/>
  <c r="AY5" i="10"/>
  <c r="AX6" i="10"/>
  <c r="AX10" i="10"/>
  <c r="AX9" i="10"/>
  <c r="AX8" i="10"/>
  <c r="AX7" i="10"/>
  <c r="AX4" i="10"/>
  <c r="AV47" i="10"/>
  <c r="CH70" i="38" l="1"/>
  <c r="CH47" i="38"/>
  <c r="CH85" i="38"/>
  <c r="CH69" i="38"/>
  <c r="CH40" i="38"/>
  <c r="CH68" i="38"/>
  <c r="CH48" i="38"/>
  <c r="CH14" i="38"/>
  <c r="CH12" i="38"/>
  <c r="CH42" i="38"/>
  <c r="CH23" i="38"/>
  <c r="CH13" i="38"/>
  <c r="CI3" i="38"/>
  <c r="B96" i="1"/>
  <c r="B58" i="38"/>
  <c r="AV33" i="10"/>
  <c r="AV32" i="10"/>
  <c r="AV35" i="10"/>
  <c r="AV31" i="10"/>
  <c r="AV28" i="10"/>
  <c r="AV29" i="10"/>
  <c r="AV30" i="10"/>
  <c r="AV34" i="10"/>
  <c r="AY15" i="10"/>
  <c r="AY18" i="10"/>
  <c r="AY17" i="10"/>
  <c r="AY16" i="10"/>
  <c r="AX44" i="10"/>
  <c r="AX46" i="10"/>
  <c r="AX43" i="10"/>
  <c r="AY20" i="10"/>
  <c r="AY45" i="10" s="1"/>
  <c r="AY11" i="10"/>
  <c r="AY13" i="10"/>
  <c r="AY14" i="10"/>
  <c r="AY12" i="10"/>
  <c r="B62" i="23"/>
  <c r="N65" i="23"/>
  <c r="AV24" i="10"/>
  <c r="AV27" i="10"/>
  <c r="AV25" i="10"/>
  <c r="AV23" i="10"/>
  <c r="AV26" i="10"/>
  <c r="AU36" i="10"/>
  <c r="AU38" i="10" s="1"/>
  <c r="AU39" i="10" s="1"/>
  <c r="AU40" i="10" s="1"/>
  <c r="AU49" i="10" s="1"/>
  <c r="AT39" i="10"/>
  <c r="AT40" i="10" s="1"/>
  <c r="AT49" i="10" s="1"/>
  <c r="AX19" i="10"/>
  <c r="AW47" i="10"/>
  <c r="AZ5" i="10"/>
  <c r="AY7" i="10"/>
  <c r="AY6" i="10"/>
  <c r="AY10" i="10"/>
  <c r="AY4" i="10"/>
  <c r="AY9" i="10"/>
  <c r="AY8" i="10"/>
  <c r="CI48" i="38" l="1"/>
  <c r="CI70" i="38"/>
  <c r="CI47" i="38"/>
  <c r="CI85" i="38"/>
  <c r="CI40" i="38"/>
  <c r="CI23" i="38"/>
  <c r="CI68" i="38"/>
  <c r="CI69" i="38"/>
  <c r="CI12" i="38"/>
  <c r="CI14" i="38"/>
  <c r="CI13" i="38"/>
  <c r="CI42" i="38"/>
  <c r="CJ3" i="38"/>
  <c r="B97" i="1"/>
  <c r="B59" i="38"/>
  <c r="AW29" i="10"/>
  <c r="AW33" i="10"/>
  <c r="AW30" i="10"/>
  <c r="AW35" i="10"/>
  <c r="AW31" i="10"/>
  <c r="AW28" i="10"/>
  <c r="AW34" i="10"/>
  <c r="AW32" i="10"/>
  <c r="AZ15" i="10"/>
  <c r="AZ17" i="10"/>
  <c r="AZ18" i="10"/>
  <c r="AZ16" i="10"/>
  <c r="AY46" i="10"/>
  <c r="AY44" i="10"/>
  <c r="AY43" i="10"/>
  <c r="AZ20" i="10"/>
  <c r="AZ45" i="10" s="1"/>
  <c r="AZ12" i="10"/>
  <c r="AZ11" i="10"/>
  <c r="AZ13" i="10"/>
  <c r="AZ14" i="10"/>
  <c r="B63" i="23"/>
  <c r="N66" i="23"/>
  <c r="AW26" i="10"/>
  <c r="AW25" i="10"/>
  <c r="AW24" i="10"/>
  <c r="AW27" i="10"/>
  <c r="AW23" i="10"/>
  <c r="AX47" i="10"/>
  <c r="AV36" i="10"/>
  <c r="AV38" i="10" s="1"/>
  <c r="AY19" i="10"/>
  <c r="BA5" i="10"/>
  <c r="AZ8" i="10"/>
  <c r="AZ7" i="10"/>
  <c r="AZ10" i="10"/>
  <c r="AZ6" i="10"/>
  <c r="AZ4" i="10"/>
  <c r="AZ9" i="10"/>
  <c r="CJ85" i="38" l="1"/>
  <c r="CJ48" i="38"/>
  <c r="CJ47" i="38"/>
  <c r="CJ70" i="38"/>
  <c r="CJ68" i="38"/>
  <c r="CJ40" i="38"/>
  <c r="CJ69" i="38"/>
  <c r="CJ23" i="38"/>
  <c r="CJ42" i="38"/>
  <c r="CJ12" i="38"/>
  <c r="CJ14" i="38"/>
  <c r="CJ13" i="38"/>
  <c r="CK3" i="38"/>
  <c r="B98" i="1"/>
  <c r="B60" i="38"/>
  <c r="AX28" i="10"/>
  <c r="AX35" i="10"/>
  <c r="AX30" i="10"/>
  <c r="AX32" i="10"/>
  <c r="AX33" i="10"/>
  <c r="AX34" i="10"/>
  <c r="AX29" i="10"/>
  <c r="AX31" i="10"/>
  <c r="BA16" i="10"/>
  <c r="BA15" i="10"/>
  <c r="BA17" i="10"/>
  <c r="BA18" i="10"/>
  <c r="AZ43" i="10"/>
  <c r="AZ46" i="10"/>
  <c r="AZ44" i="10"/>
  <c r="BA20" i="10"/>
  <c r="BA45" i="10" s="1"/>
  <c r="BA13" i="10"/>
  <c r="BA12" i="10"/>
  <c r="BA11" i="10"/>
  <c r="BA14" i="10"/>
  <c r="B64" i="23"/>
  <c r="N67" i="23"/>
  <c r="AX23" i="10"/>
  <c r="AX26" i="10"/>
  <c r="AX25" i="10"/>
  <c r="AX27" i="10"/>
  <c r="AX24" i="10"/>
  <c r="AZ19" i="10"/>
  <c r="AV39" i="10"/>
  <c r="AV40" i="10" s="1"/>
  <c r="AV49" i="10" s="1"/>
  <c r="AW36" i="10"/>
  <c r="AW38" i="10" s="1"/>
  <c r="BB5" i="10"/>
  <c r="BA9" i="10"/>
  <c r="BA8" i="10"/>
  <c r="BA7" i="10"/>
  <c r="BA4" i="10"/>
  <c r="BA10" i="10"/>
  <c r="BA6" i="10"/>
  <c r="AY47" i="10"/>
  <c r="CK69" i="38" l="1"/>
  <c r="CK48" i="38"/>
  <c r="CK70" i="38"/>
  <c r="CK47" i="38"/>
  <c r="CK40" i="38"/>
  <c r="CK85" i="38"/>
  <c r="CK42" i="38"/>
  <c r="CK68" i="38"/>
  <c r="CK14" i="38"/>
  <c r="CK12" i="38"/>
  <c r="CK23" i="38"/>
  <c r="CK13" i="38"/>
  <c r="CL3" i="38"/>
  <c r="B99" i="1"/>
  <c r="B61" i="38"/>
  <c r="AY32" i="10"/>
  <c r="AY35" i="10"/>
  <c r="AY29" i="10"/>
  <c r="AY31" i="10"/>
  <c r="AY30" i="10"/>
  <c r="AY28" i="10"/>
  <c r="AY34" i="10"/>
  <c r="AY33" i="10"/>
  <c r="BB17" i="10"/>
  <c r="BB16" i="10"/>
  <c r="BB15" i="10"/>
  <c r="BB18" i="10"/>
  <c r="BA46" i="10"/>
  <c r="BA44" i="10"/>
  <c r="BA43" i="10"/>
  <c r="BB20" i="10"/>
  <c r="BB44" i="10" s="1"/>
  <c r="BB14" i="10"/>
  <c r="BB13" i="10"/>
  <c r="BB12" i="10"/>
  <c r="BB11" i="10"/>
  <c r="B65" i="23"/>
  <c r="N68" i="23"/>
  <c r="AY26" i="10"/>
  <c r="AY24" i="10"/>
  <c r="AY27" i="10"/>
  <c r="AY25" i="10"/>
  <c r="AY23" i="10"/>
  <c r="BA19" i="10"/>
  <c r="AX36" i="10"/>
  <c r="AX38" i="10" s="1"/>
  <c r="AW39" i="10"/>
  <c r="AW40" i="10" s="1"/>
  <c r="AW49" i="10" s="1"/>
  <c r="BC5" i="10"/>
  <c r="BB6" i="10"/>
  <c r="BB10" i="10"/>
  <c r="BB9" i="10"/>
  <c r="BB8" i="10"/>
  <c r="BB7" i="10"/>
  <c r="BB4" i="10"/>
  <c r="AZ47" i="10"/>
  <c r="CL69" i="38" l="1"/>
  <c r="CL70" i="38"/>
  <c r="CL85" i="38"/>
  <c r="CL48" i="38"/>
  <c r="CL23" i="38"/>
  <c r="CL47" i="38"/>
  <c r="CL42" i="38"/>
  <c r="CL40" i="38"/>
  <c r="CL14" i="38"/>
  <c r="CL13" i="38"/>
  <c r="CL68" i="38"/>
  <c r="CL12" i="38"/>
  <c r="CM3" i="38"/>
  <c r="B100" i="1"/>
  <c r="B62" i="38"/>
  <c r="AZ28" i="10"/>
  <c r="AZ31" i="10"/>
  <c r="AZ30" i="10"/>
  <c r="AZ33" i="10"/>
  <c r="AZ34" i="10"/>
  <c r="AZ35" i="10"/>
  <c r="AZ32" i="10"/>
  <c r="AZ29" i="10"/>
  <c r="BC15" i="10"/>
  <c r="BC18" i="10"/>
  <c r="BC17" i="10"/>
  <c r="BC16" i="10"/>
  <c r="BB43" i="10"/>
  <c r="BB46" i="10"/>
  <c r="BB45" i="10"/>
  <c r="BC20" i="10"/>
  <c r="BC46" i="10" s="1"/>
  <c r="BC11" i="10"/>
  <c r="BC13" i="10"/>
  <c r="BC12" i="10"/>
  <c r="BC14" i="10"/>
  <c r="B66" i="23"/>
  <c r="N69" i="23"/>
  <c r="AZ26" i="10"/>
  <c r="AZ27" i="10"/>
  <c r="AZ24" i="10"/>
  <c r="AZ25" i="10"/>
  <c r="AZ23" i="10"/>
  <c r="AX39" i="10"/>
  <c r="AX40" i="10" s="1"/>
  <c r="AX49" i="10" s="1"/>
  <c r="AY36" i="10"/>
  <c r="AY38" i="10" s="1"/>
  <c r="BB19" i="10"/>
  <c r="BA47" i="10"/>
  <c r="BD5" i="10"/>
  <c r="BC7" i="10"/>
  <c r="BC6" i="10"/>
  <c r="BC10" i="10"/>
  <c r="BC9" i="10"/>
  <c r="BC8" i="10"/>
  <c r="BC4" i="10"/>
  <c r="CM69" i="38" l="1"/>
  <c r="CM68" i="38"/>
  <c r="CM40" i="38"/>
  <c r="CM42" i="38"/>
  <c r="CM85" i="38"/>
  <c r="CM23" i="38"/>
  <c r="CM13" i="38"/>
  <c r="CM48" i="38"/>
  <c r="CM70" i="38"/>
  <c r="CM12" i="38"/>
  <c r="CM14" i="38"/>
  <c r="CM47" i="38"/>
  <c r="CN3" i="38"/>
  <c r="B101" i="1"/>
  <c r="B63" i="38"/>
  <c r="BA30" i="10"/>
  <c r="BA35" i="10"/>
  <c r="BA28" i="10"/>
  <c r="BA34" i="10"/>
  <c r="BA31" i="10"/>
  <c r="BA33" i="10"/>
  <c r="BA32" i="10"/>
  <c r="BA29" i="10"/>
  <c r="BD15" i="10"/>
  <c r="BD16" i="10"/>
  <c r="BD18" i="10"/>
  <c r="BD17" i="10"/>
  <c r="BC44" i="10"/>
  <c r="BC43" i="10"/>
  <c r="BC45" i="10"/>
  <c r="BD20" i="10"/>
  <c r="BD44" i="10" s="1"/>
  <c r="BD12" i="10"/>
  <c r="BD11" i="10"/>
  <c r="BD14" i="10"/>
  <c r="BD13" i="10"/>
  <c r="B67" i="23"/>
  <c r="N70" i="23"/>
  <c r="BA23" i="10"/>
  <c r="BA24" i="10"/>
  <c r="BA25" i="10"/>
  <c r="BA26" i="10"/>
  <c r="BA27" i="10"/>
  <c r="AY39" i="10"/>
  <c r="AY40" i="10" s="1"/>
  <c r="AY49" i="10" s="1"/>
  <c r="AZ36" i="10"/>
  <c r="AZ38" i="10" s="1"/>
  <c r="BC19" i="10"/>
  <c r="BE5" i="10"/>
  <c r="BD8" i="10"/>
  <c r="BD7" i="10"/>
  <c r="BD6" i="10"/>
  <c r="BD9" i="10"/>
  <c r="BD4" i="10"/>
  <c r="BD10" i="10"/>
  <c r="BB47" i="10"/>
  <c r="CN42" i="38" l="1"/>
  <c r="CN70" i="38"/>
  <c r="CN69" i="38"/>
  <c r="CN68" i="38"/>
  <c r="CN23" i="38"/>
  <c r="CN40" i="38"/>
  <c r="CN85" i="38"/>
  <c r="CN47" i="38"/>
  <c r="CN48" i="38"/>
  <c r="CN14" i="38"/>
  <c r="CN13" i="38"/>
  <c r="CN12" i="38"/>
  <c r="CO3" i="38"/>
  <c r="B102" i="1"/>
  <c r="B64" i="38"/>
  <c r="BB29" i="10"/>
  <c r="BB34" i="10"/>
  <c r="BB30" i="10"/>
  <c r="BB28" i="10"/>
  <c r="BB33" i="10"/>
  <c r="BB32" i="10"/>
  <c r="BB35" i="10"/>
  <c r="BB31" i="10"/>
  <c r="BE16" i="10"/>
  <c r="BE15" i="10"/>
  <c r="BE18" i="10"/>
  <c r="BE17" i="10"/>
  <c r="BD45" i="10"/>
  <c r="BD46" i="10"/>
  <c r="BD43" i="10"/>
  <c r="BE20" i="10"/>
  <c r="BE43" i="10" s="1"/>
  <c r="BE13" i="10"/>
  <c r="BE12" i="10"/>
  <c r="BE11" i="10"/>
  <c r="BE14" i="10"/>
  <c r="B68" i="23"/>
  <c r="N71" i="23"/>
  <c r="BB24" i="10"/>
  <c r="BB23" i="10"/>
  <c r="BB26" i="10"/>
  <c r="BB27" i="10"/>
  <c r="BB25" i="10"/>
  <c r="BC47" i="10"/>
  <c r="AZ39" i="10"/>
  <c r="AZ40" i="10" s="1"/>
  <c r="AZ49" i="10" s="1"/>
  <c r="BA36" i="10"/>
  <c r="BA38" i="10" s="1"/>
  <c r="BD19" i="10"/>
  <c r="BF5" i="10"/>
  <c r="BE9" i="10"/>
  <c r="BE8" i="10"/>
  <c r="BE4" i="10"/>
  <c r="BE6" i="10"/>
  <c r="BE7" i="10"/>
  <c r="BE10" i="10"/>
  <c r="CO85" i="38" l="1"/>
  <c r="CO70" i="38"/>
  <c r="CO47" i="38"/>
  <c r="CO14" i="38"/>
  <c r="CO48" i="38"/>
  <c r="CO40" i="38"/>
  <c r="CO12" i="38"/>
  <c r="CO42" i="38"/>
  <c r="CO13" i="38"/>
  <c r="CO69" i="38"/>
  <c r="CO23" i="38"/>
  <c r="CO68" i="38"/>
  <c r="CP3" i="38"/>
  <c r="B103" i="1"/>
  <c r="B65" i="38"/>
  <c r="BC31" i="10"/>
  <c r="BC35" i="10"/>
  <c r="BC29" i="10"/>
  <c r="BC34" i="10"/>
  <c r="BC32" i="10"/>
  <c r="BC28" i="10"/>
  <c r="BC30" i="10"/>
  <c r="BC33" i="10"/>
  <c r="BF17" i="10"/>
  <c r="BF16" i="10"/>
  <c r="BF15" i="10"/>
  <c r="BF18" i="10"/>
  <c r="BE44" i="10"/>
  <c r="BE45" i="10"/>
  <c r="BE46" i="10"/>
  <c r="BF20" i="10"/>
  <c r="BF44" i="10" s="1"/>
  <c r="BF13" i="10"/>
  <c r="BF12" i="10"/>
  <c r="BF11" i="10"/>
  <c r="BF14" i="10"/>
  <c r="B69" i="23"/>
  <c r="N72" i="23"/>
  <c r="BC24" i="10"/>
  <c r="BC26" i="10"/>
  <c r="BC27" i="10"/>
  <c r="BC25" i="10"/>
  <c r="BC23" i="10"/>
  <c r="BA39" i="10"/>
  <c r="BA40" i="10" s="1"/>
  <c r="BA49" i="10" s="1"/>
  <c r="BB36" i="10"/>
  <c r="BB38" i="10" s="1"/>
  <c r="BE19" i="10"/>
  <c r="BD47" i="10"/>
  <c r="BG5" i="10"/>
  <c r="BF6" i="10"/>
  <c r="BF10" i="10"/>
  <c r="BF9" i="10"/>
  <c r="BF8" i="10"/>
  <c r="BF7" i="10"/>
  <c r="BF4" i="10"/>
  <c r="CP48" i="38" l="1"/>
  <c r="CP70" i="38"/>
  <c r="CP69" i="38"/>
  <c r="CP47" i="38"/>
  <c r="CP23" i="38"/>
  <c r="CP85" i="38"/>
  <c r="CP12" i="38"/>
  <c r="CP68" i="38"/>
  <c r="CP42" i="38"/>
  <c r="CP13" i="38"/>
  <c r="CP14" i="38"/>
  <c r="CP40" i="38"/>
  <c r="CQ3" i="38"/>
  <c r="B104" i="1"/>
  <c r="B66" i="38"/>
  <c r="BD33" i="10"/>
  <c r="BD34" i="10"/>
  <c r="BD30" i="10"/>
  <c r="BD32" i="10"/>
  <c r="BD35" i="10"/>
  <c r="BD31" i="10"/>
  <c r="BD28" i="10"/>
  <c r="BD29" i="10"/>
  <c r="BG15" i="10"/>
  <c r="BG17" i="10"/>
  <c r="BG16" i="10"/>
  <c r="BG18" i="10"/>
  <c r="BF45" i="10"/>
  <c r="BF46" i="10"/>
  <c r="BF43" i="10"/>
  <c r="BG20" i="10"/>
  <c r="BG45" i="10" s="1"/>
  <c r="BG11" i="10"/>
  <c r="BG13" i="10"/>
  <c r="BG12" i="10"/>
  <c r="BG14" i="10"/>
  <c r="B70" i="23"/>
  <c r="N73" i="23"/>
  <c r="BD26" i="10"/>
  <c r="BD25" i="10"/>
  <c r="BD24" i="10"/>
  <c r="BD27" i="10"/>
  <c r="BD23" i="10"/>
  <c r="BC36" i="10"/>
  <c r="BC38" i="10" s="1"/>
  <c r="BC39" i="10" s="1"/>
  <c r="BC40" i="10" s="1"/>
  <c r="BC49" i="10" s="1"/>
  <c r="BB39" i="10"/>
  <c r="BB40" i="10" s="1"/>
  <c r="BB49" i="10" s="1"/>
  <c r="BH5" i="10"/>
  <c r="BG7" i="10"/>
  <c r="BG6" i="10"/>
  <c r="BG10" i="10"/>
  <c r="BG8" i="10"/>
  <c r="BG9" i="10"/>
  <c r="BG4" i="10"/>
  <c r="BE47" i="10"/>
  <c r="BF19" i="10"/>
  <c r="CQ42" i="38" l="1"/>
  <c r="CQ70" i="38"/>
  <c r="CQ69" i="38"/>
  <c r="CQ23" i="38"/>
  <c r="CQ68" i="38"/>
  <c r="CQ12" i="38"/>
  <c r="CQ85" i="38"/>
  <c r="CQ13" i="38"/>
  <c r="CQ14" i="38"/>
  <c r="CQ48" i="38"/>
  <c r="CQ40" i="38"/>
  <c r="CQ47" i="38"/>
  <c r="CR3" i="38"/>
  <c r="B105" i="1"/>
  <c r="B67" i="38"/>
  <c r="BE28" i="10"/>
  <c r="BE29" i="10"/>
  <c r="BE30" i="10"/>
  <c r="BE34" i="10"/>
  <c r="BE31" i="10"/>
  <c r="BE35" i="10"/>
  <c r="BE33" i="10"/>
  <c r="BE32" i="10"/>
  <c r="BH15" i="10"/>
  <c r="BH17" i="10"/>
  <c r="BH16" i="10"/>
  <c r="BH18" i="10"/>
  <c r="BG43" i="10"/>
  <c r="BG46" i="10"/>
  <c r="BG44" i="10"/>
  <c r="BH20" i="10"/>
  <c r="BH44" i="10" s="1"/>
  <c r="BH12" i="10"/>
  <c r="BH11" i="10"/>
  <c r="BH14" i="10"/>
  <c r="BH13" i="10"/>
  <c r="B71" i="23"/>
  <c r="N74" i="23"/>
  <c r="BE24" i="10"/>
  <c r="BE23" i="10"/>
  <c r="BE27" i="10"/>
  <c r="BE25" i="10"/>
  <c r="BE26" i="10"/>
  <c r="BD36" i="10"/>
  <c r="BD38" i="10" s="1"/>
  <c r="BF47" i="10"/>
  <c r="BG19" i="10"/>
  <c r="BI5" i="10"/>
  <c r="BH8" i="10"/>
  <c r="BH7" i="10"/>
  <c r="BH10" i="10"/>
  <c r="BH6" i="10"/>
  <c r="BH9" i="10"/>
  <c r="BH4" i="10"/>
  <c r="CR14" i="38" l="1"/>
  <c r="CR68" i="38"/>
  <c r="CR48" i="38"/>
  <c r="CR85" i="38"/>
  <c r="CR70" i="38"/>
  <c r="CR69" i="38"/>
  <c r="CR23" i="38"/>
  <c r="CR42" i="38"/>
  <c r="CR40" i="38"/>
  <c r="CR12" i="38"/>
  <c r="CR13" i="38"/>
  <c r="CR47" i="38"/>
  <c r="CS3" i="38"/>
  <c r="B106" i="1"/>
  <c r="B68" i="38"/>
  <c r="BF28" i="10"/>
  <c r="BF35" i="10"/>
  <c r="BF30" i="10"/>
  <c r="BF32" i="10"/>
  <c r="BF29" i="10"/>
  <c r="BF31" i="10"/>
  <c r="BF33" i="10"/>
  <c r="BF34" i="10"/>
  <c r="BI16" i="10"/>
  <c r="BI15" i="10"/>
  <c r="BI18" i="10"/>
  <c r="BI17" i="10"/>
  <c r="BH45" i="10"/>
  <c r="BH46" i="10"/>
  <c r="BH43" i="10"/>
  <c r="BI20" i="10"/>
  <c r="BI44" i="10" s="1"/>
  <c r="BI13" i="10"/>
  <c r="BI12" i="10"/>
  <c r="BI11" i="10"/>
  <c r="BI14" i="10"/>
  <c r="B72" i="23"/>
  <c r="N75" i="23"/>
  <c r="BF24" i="10"/>
  <c r="BF27" i="10"/>
  <c r="BF23" i="10"/>
  <c r="BF26" i="10"/>
  <c r="BF25" i="10"/>
  <c r="BD39" i="10"/>
  <c r="BD40" i="10" s="1"/>
  <c r="BD49" i="10" s="1"/>
  <c r="BE36" i="10"/>
  <c r="BE38" i="10" s="1"/>
  <c r="BJ5" i="10"/>
  <c r="BI9" i="10"/>
  <c r="BI8" i="10"/>
  <c r="BI7" i="10"/>
  <c r="BI4" i="10"/>
  <c r="BI6" i="10"/>
  <c r="BI10" i="10"/>
  <c r="BH19" i="10"/>
  <c r="BG47" i="10"/>
  <c r="CS69" i="38" l="1"/>
  <c r="CS70" i="38"/>
  <c r="CS85" i="38"/>
  <c r="CS48" i="38"/>
  <c r="CS68" i="38"/>
  <c r="CS23" i="38"/>
  <c r="CS12" i="38"/>
  <c r="CS40" i="38"/>
  <c r="CS47" i="38"/>
  <c r="CS13" i="38"/>
  <c r="CS42" i="38"/>
  <c r="CS14" i="38"/>
  <c r="CT3" i="38"/>
  <c r="B107" i="1"/>
  <c r="B69" i="38"/>
  <c r="BG29" i="10"/>
  <c r="BG33" i="10"/>
  <c r="BG34" i="10"/>
  <c r="BG30" i="10"/>
  <c r="BG28" i="10"/>
  <c r="BG31" i="10"/>
  <c r="BG35" i="10"/>
  <c r="BG32" i="10"/>
  <c r="BJ17" i="10"/>
  <c r="BJ16" i="10"/>
  <c r="BJ15" i="10"/>
  <c r="BJ18" i="10"/>
  <c r="BI46" i="10"/>
  <c r="BI43" i="10"/>
  <c r="BI45" i="10"/>
  <c r="BJ20" i="10"/>
  <c r="BJ44" i="10" s="1"/>
  <c r="BJ13" i="10"/>
  <c r="BJ12" i="10"/>
  <c r="BJ11" i="10"/>
  <c r="BJ14" i="10"/>
  <c r="B73" i="23"/>
  <c r="N76" i="23"/>
  <c r="BG24" i="10"/>
  <c r="BG27" i="10"/>
  <c r="BG26" i="10"/>
  <c r="BG23" i="10"/>
  <c r="BG25" i="10"/>
  <c r="BH47" i="10"/>
  <c r="BE39" i="10"/>
  <c r="BE40" i="10" s="1"/>
  <c r="BE49" i="10" s="1"/>
  <c r="BF36" i="10"/>
  <c r="BF38" i="10" s="1"/>
  <c r="BI19" i="10"/>
  <c r="BK5" i="10"/>
  <c r="BJ6" i="10"/>
  <c r="BJ10" i="10"/>
  <c r="BJ9" i="10"/>
  <c r="BJ7" i="10"/>
  <c r="BJ4" i="10"/>
  <c r="BJ8" i="10"/>
  <c r="CT68" i="38" l="1"/>
  <c r="CT69" i="38"/>
  <c r="CT23" i="38"/>
  <c r="CT12" i="38"/>
  <c r="CT48" i="38"/>
  <c r="CT70" i="38"/>
  <c r="CT42" i="38"/>
  <c r="CT13" i="38"/>
  <c r="CT85" i="38"/>
  <c r="CT47" i="38"/>
  <c r="CT40" i="38"/>
  <c r="CT14" i="38"/>
  <c r="CU3" i="38"/>
  <c r="B108" i="1"/>
  <c r="B70" i="38"/>
  <c r="G73" i="23"/>
  <c r="BH31" i="10"/>
  <c r="BH32" i="10"/>
  <c r="BH35" i="10"/>
  <c r="BH34" i="10"/>
  <c r="BH30" i="10"/>
  <c r="BH29" i="10"/>
  <c r="BH33" i="10"/>
  <c r="BH28" i="10"/>
  <c r="BK15" i="10"/>
  <c r="BK17" i="10"/>
  <c r="BK18" i="10"/>
  <c r="BK16" i="10"/>
  <c r="BJ43" i="10"/>
  <c r="BJ46" i="10"/>
  <c r="BJ45" i="10"/>
  <c r="BK20" i="10"/>
  <c r="BK44" i="10" s="1"/>
  <c r="BK11" i="10"/>
  <c r="BK13" i="10"/>
  <c r="BK14" i="10"/>
  <c r="BK12" i="10"/>
  <c r="B74" i="23"/>
  <c r="N77" i="23"/>
  <c r="BH24" i="10"/>
  <c r="BH25" i="10"/>
  <c r="BH23" i="10"/>
  <c r="BH26" i="10"/>
  <c r="BH27" i="10"/>
  <c r="BF39" i="10"/>
  <c r="BF40" i="10" s="1"/>
  <c r="BF49" i="10" s="1"/>
  <c r="BG36" i="10"/>
  <c r="BG38" i="10" s="1"/>
  <c r="BJ19" i="10"/>
  <c r="BI47" i="10"/>
  <c r="BL5" i="10"/>
  <c r="BK7" i="10"/>
  <c r="BK6" i="10"/>
  <c r="BK10" i="10"/>
  <c r="BK9" i="10"/>
  <c r="BK4" i="10"/>
  <c r="BK8" i="10"/>
  <c r="CU69" i="38" l="1"/>
  <c r="CU68" i="38"/>
  <c r="CU40" i="38"/>
  <c r="CU85" i="38"/>
  <c r="CU48" i="38"/>
  <c r="CU47" i="38"/>
  <c r="CU23" i="38"/>
  <c r="CU42" i="38"/>
  <c r="CU70" i="38"/>
  <c r="CU14" i="38"/>
  <c r="CU13" i="38"/>
  <c r="CU12" i="38"/>
  <c r="CV3" i="38"/>
  <c r="B109" i="1"/>
  <c r="B71" i="38"/>
  <c r="G74" i="23"/>
  <c r="BI30" i="10"/>
  <c r="BI33" i="10"/>
  <c r="BI32" i="10"/>
  <c r="BI29" i="10"/>
  <c r="BI34" i="10"/>
  <c r="BI28" i="10"/>
  <c r="BI31" i="10"/>
  <c r="BI35" i="10"/>
  <c r="BL15" i="10"/>
  <c r="BL16" i="10"/>
  <c r="BL18" i="10"/>
  <c r="BL17" i="10"/>
  <c r="BK45" i="10"/>
  <c r="BK43" i="10"/>
  <c r="BK46" i="10"/>
  <c r="BL20" i="10"/>
  <c r="BL44" i="10" s="1"/>
  <c r="BL12" i="10"/>
  <c r="BL11" i="10"/>
  <c r="BL13" i="10"/>
  <c r="BL14" i="10"/>
  <c r="B75" i="23"/>
  <c r="N78" i="23"/>
  <c r="BI27" i="10"/>
  <c r="BI24" i="10"/>
  <c r="BI25" i="10"/>
  <c r="BI23" i="10"/>
  <c r="BI26" i="10"/>
  <c r="BH36" i="10"/>
  <c r="BH38" i="10" s="1"/>
  <c r="BH39" i="10" s="1"/>
  <c r="BH40" i="10" s="1"/>
  <c r="BH49" i="10" s="1"/>
  <c r="BG39" i="10"/>
  <c r="BG40" i="10" s="1"/>
  <c r="BG49" i="10" s="1"/>
  <c r="BK19" i="10"/>
  <c r="BM5" i="10"/>
  <c r="BL8" i="10"/>
  <c r="BL7" i="10"/>
  <c r="BL6" i="10"/>
  <c r="BL10" i="10"/>
  <c r="BL4" i="10"/>
  <c r="BL9" i="10"/>
  <c r="BJ47" i="10"/>
  <c r="CV13" i="38" l="1"/>
  <c r="CV85" i="38"/>
  <c r="CV68" i="38"/>
  <c r="CV48" i="38"/>
  <c r="CV70" i="38"/>
  <c r="CV69" i="38"/>
  <c r="CV40" i="38"/>
  <c r="CV12" i="38"/>
  <c r="CV47" i="38"/>
  <c r="CV23" i="38"/>
  <c r="CV14" i="38"/>
  <c r="CV42" i="38"/>
  <c r="CW3" i="38"/>
  <c r="B110" i="1"/>
  <c r="B72" i="38"/>
  <c r="G75" i="23"/>
  <c r="BJ30" i="10"/>
  <c r="BJ35" i="10"/>
  <c r="BJ33" i="10"/>
  <c r="BJ31" i="10"/>
  <c r="BJ29" i="10"/>
  <c r="BJ32" i="10"/>
  <c r="BJ28" i="10"/>
  <c r="BJ34" i="10"/>
  <c r="BM16" i="10"/>
  <c r="BM15" i="10"/>
  <c r="BM18" i="10"/>
  <c r="BM17" i="10"/>
  <c r="BL45" i="10"/>
  <c r="BL43" i="10"/>
  <c r="BL46" i="10"/>
  <c r="BM20" i="10"/>
  <c r="BM43" i="10" s="1"/>
  <c r="BM13" i="10"/>
  <c r="BM12" i="10"/>
  <c r="BM11" i="10"/>
  <c r="BM14" i="10"/>
  <c r="B76" i="23"/>
  <c r="N79" i="23"/>
  <c r="BJ27" i="10"/>
  <c r="BJ25" i="10"/>
  <c r="BJ23" i="10"/>
  <c r="BJ24" i="10"/>
  <c r="BJ26" i="10"/>
  <c r="BI36" i="10"/>
  <c r="BI38" i="10" s="1"/>
  <c r="BL19" i="10"/>
  <c r="BN5" i="10"/>
  <c r="BM9" i="10"/>
  <c r="BM8" i="10"/>
  <c r="BM4" i="10"/>
  <c r="BM6" i="10"/>
  <c r="BM7" i="10"/>
  <c r="BM10" i="10"/>
  <c r="BK47" i="10"/>
  <c r="CW48" i="38" l="1"/>
  <c r="CW85" i="38"/>
  <c r="CW70" i="38"/>
  <c r="CW68" i="38"/>
  <c r="CW69" i="38"/>
  <c r="CW47" i="38"/>
  <c r="CW23" i="38"/>
  <c r="CW40" i="38"/>
  <c r="CW14" i="38"/>
  <c r="CW12" i="38"/>
  <c r="CW42" i="38"/>
  <c r="CW13" i="38"/>
  <c r="CX3" i="38"/>
  <c r="B111" i="1"/>
  <c r="B73" i="38"/>
  <c r="G76" i="23"/>
  <c r="BK30" i="10"/>
  <c r="BK29" i="10"/>
  <c r="BK33" i="10"/>
  <c r="BK34" i="10"/>
  <c r="BK31" i="10"/>
  <c r="BK35" i="10"/>
  <c r="BK32" i="10"/>
  <c r="BK28" i="10"/>
  <c r="BN17" i="10"/>
  <c r="BN16" i="10"/>
  <c r="BN18" i="10"/>
  <c r="BN15" i="10"/>
  <c r="BM46" i="10"/>
  <c r="BM45" i="10"/>
  <c r="BM44" i="10"/>
  <c r="BN20" i="10"/>
  <c r="BN43" i="10" s="1"/>
  <c r="BN13" i="10"/>
  <c r="BN12" i="10"/>
  <c r="BN11" i="10"/>
  <c r="BN14" i="10"/>
  <c r="B77" i="23"/>
  <c r="N80" i="23"/>
  <c r="BK25" i="10"/>
  <c r="BK23" i="10"/>
  <c r="BK24" i="10"/>
  <c r="BK26" i="10"/>
  <c r="BK27" i="10"/>
  <c r="BI39" i="10"/>
  <c r="BI40" i="10" s="1"/>
  <c r="BI49" i="10" s="1"/>
  <c r="BJ36" i="10"/>
  <c r="BJ38" i="10" s="1"/>
  <c r="BM19" i="10"/>
  <c r="BO5" i="10"/>
  <c r="BN6" i="10"/>
  <c r="BN10" i="10"/>
  <c r="BN9" i="10"/>
  <c r="BN8" i="10"/>
  <c r="BN7" i="10"/>
  <c r="BN4" i="10"/>
  <c r="BL47" i="10"/>
  <c r="CX68" i="38" l="1"/>
  <c r="CX48" i="38"/>
  <c r="CX70" i="38"/>
  <c r="CX85" i="38"/>
  <c r="CX47" i="38"/>
  <c r="CX23" i="38"/>
  <c r="CX12" i="38"/>
  <c r="CX14" i="38"/>
  <c r="CX13" i="38"/>
  <c r="CX69" i="38"/>
  <c r="CX42" i="38"/>
  <c r="CX40" i="38"/>
  <c r="CY3" i="38"/>
  <c r="B112" i="1"/>
  <c r="B74" i="38"/>
  <c r="G77" i="23"/>
  <c r="BL28" i="10"/>
  <c r="BL32" i="10"/>
  <c r="BL35" i="10"/>
  <c r="BL29" i="10"/>
  <c r="BL33" i="10"/>
  <c r="BL31" i="10"/>
  <c r="BL30" i="10"/>
  <c r="BL34" i="10"/>
  <c r="BO15" i="10"/>
  <c r="BO17" i="10"/>
  <c r="BO16" i="10"/>
  <c r="BO18" i="10"/>
  <c r="BN44" i="10"/>
  <c r="BN46" i="10"/>
  <c r="BN45" i="10"/>
  <c r="BO20" i="10"/>
  <c r="BO44" i="10" s="1"/>
  <c r="BO11" i="10"/>
  <c r="BO13" i="10"/>
  <c r="BO12" i="10"/>
  <c r="BO14" i="10"/>
  <c r="B78" i="23"/>
  <c r="N81" i="23"/>
  <c r="BL24" i="10"/>
  <c r="BL27" i="10"/>
  <c r="BL23" i="10"/>
  <c r="BL25" i="10"/>
  <c r="BL26" i="10"/>
  <c r="BK36" i="10"/>
  <c r="BK38" i="10" s="1"/>
  <c r="BK39" i="10" s="1"/>
  <c r="BK40" i="10" s="1"/>
  <c r="BK49" i="10" s="1"/>
  <c r="BJ39" i="10"/>
  <c r="BJ40" i="10" s="1"/>
  <c r="BJ49" i="10" s="1"/>
  <c r="BN19" i="10"/>
  <c r="BP5" i="10"/>
  <c r="BO7" i="10"/>
  <c r="BO6" i="10"/>
  <c r="BO10" i="10"/>
  <c r="BO9" i="10"/>
  <c r="BO4" i="10"/>
  <c r="BO8" i="10"/>
  <c r="BM47" i="10"/>
  <c r="CY48" i="38" l="1"/>
  <c r="CY70" i="38"/>
  <c r="CY68" i="38"/>
  <c r="CY23" i="38"/>
  <c r="CY85" i="38"/>
  <c r="CY47" i="38"/>
  <c r="CY12" i="38"/>
  <c r="CY14" i="38"/>
  <c r="CY40" i="38"/>
  <c r="CY13" i="38"/>
  <c r="CY69" i="38"/>
  <c r="CY42" i="38"/>
  <c r="CZ3" i="38"/>
  <c r="B113" i="1"/>
  <c r="B75" i="38"/>
  <c r="G78" i="23"/>
  <c r="BM29" i="10"/>
  <c r="BM34" i="10"/>
  <c r="BM30" i="10"/>
  <c r="BM35" i="10"/>
  <c r="BM33" i="10"/>
  <c r="BM31" i="10"/>
  <c r="BM32" i="10"/>
  <c r="BM28" i="10"/>
  <c r="BP15" i="10"/>
  <c r="BP17" i="10"/>
  <c r="BP16" i="10"/>
  <c r="BP18" i="10"/>
  <c r="BO46" i="10"/>
  <c r="BO45" i="10"/>
  <c r="BO43" i="10"/>
  <c r="BP20" i="10"/>
  <c r="BP44" i="10" s="1"/>
  <c r="BP12" i="10"/>
  <c r="BP11" i="10"/>
  <c r="BP14" i="10"/>
  <c r="BP13" i="10"/>
  <c r="B79" i="23"/>
  <c r="N82" i="23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BM27" i="10"/>
  <c r="BM26" i="10"/>
  <c r="BM24" i="10"/>
  <c r="BM25" i="10"/>
  <c r="BM23" i="10"/>
  <c r="BL36" i="10"/>
  <c r="BL38" i="10" s="1"/>
  <c r="BN47" i="10"/>
  <c r="BQ5" i="10"/>
  <c r="BP8" i="10"/>
  <c r="BP7" i="10"/>
  <c r="BP10" i="10"/>
  <c r="BP4" i="10"/>
  <c r="BP6" i="10"/>
  <c r="BP9" i="10"/>
  <c r="BO19" i="10"/>
  <c r="CZ48" i="38" l="1"/>
  <c r="CZ12" i="38"/>
  <c r="CZ85" i="38"/>
  <c r="CZ70" i="38"/>
  <c r="CZ47" i="38"/>
  <c r="CZ23" i="38"/>
  <c r="CZ69" i="38"/>
  <c r="CZ68" i="38"/>
  <c r="CZ13" i="38"/>
  <c r="CZ14" i="38"/>
  <c r="CZ40" i="38"/>
  <c r="CZ42" i="38"/>
  <c r="DA3" i="38"/>
  <c r="B114" i="1"/>
  <c r="B76" i="38"/>
  <c r="G79" i="23"/>
  <c r="BN28" i="10"/>
  <c r="BN35" i="10"/>
  <c r="BN29" i="10"/>
  <c r="BN31" i="10"/>
  <c r="BN30" i="10"/>
  <c r="BN34" i="10"/>
  <c r="BN33" i="10"/>
  <c r="BN32" i="10"/>
  <c r="BQ16" i="10"/>
  <c r="BQ15" i="10"/>
  <c r="BQ18" i="10"/>
  <c r="BQ17" i="10"/>
  <c r="BP45" i="10"/>
  <c r="BP46" i="10"/>
  <c r="BP43" i="10"/>
  <c r="BQ20" i="10"/>
  <c r="BQ43" i="10" s="1"/>
  <c r="BQ13" i="10"/>
  <c r="BQ12" i="10"/>
  <c r="BQ11" i="10"/>
  <c r="BQ14" i="10"/>
  <c r="B80" i="23"/>
  <c r="BN23" i="10"/>
  <c r="BN26" i="10"/>
  <c r="BN24" i="10"/>
  <c r="BN27" i="10"/>
  <c r="BN25" i="10"/>
  <c r="BO47" i="10"/>
  <c r="BL39" i="10"/>
  <c r="BL40" i="10" s="1"/>
  <c r="BL49" i="10" s="1"/>
  <c r="BM36" i="10"/>
  <c r="BM38" i="10" s="1"/>
  <c r="BR5" i="10"/>
  <c r="BQ9" i="10"/>
  <c r="BQ8" i="10"/>
  <c r="BQ7" i="10"/>
  <c r="BQ4" i="10"/>
  <c r="BQ6" i="10"/>
  <c r="BQ10" i="10"/>
  <c r="BP19" i="10"/>
  <c r="DA68" i="38" l="1"/>
  <c r="DA48" i="38"/>
  <c r="DA69" i="38"/>
  <c r="DA70" i="38"/>
  <c r="DA47" i="38"/>
  <c r="DA23" i="38"/>
  <c r="DA12" i="38"/>
  <c r="DA14" i="38"/>
  <c r="DA40" i="38"/>
  <c r="DA42" i="38"/>
  <c r="DA85" i="38"/>
  <c r="DA13" i="38"/>
  <c r="DB3" i="38"/>
  <c r="B115" i="1"/>
  <c r="B77" i="38"/>
  <c r="G80" i="23"/>
  <c r="BO32" i="10"/>
  <c r="BO34" i="10"/>
  <c r="BO29" i="10"/>
  <c r="BO35" i="10"/>
  <c r="BO30" i="10"/>
  <c r="BO31" i="10"/>
  <c r="BO33" i="10"/>
  <c r="BO28" i="10"/>
  <c r="BR17" i="10"/>
  <c r="BR16" i="10"/>
  <c r="BR18" i="10"/>
  <c r="BR15" i="10"/>
  <c r="BQ44" i="10"/>
  <c r="BQ45" i="10"/>
  <c r="BQ46" i="10"/>
  <c r="BR20" i="10"/>
  <c r="BR43" i="10" s="1"/>
  <c r="BR13" i="10"/>
  <c r="BR12" i="10"/>
  <c r="BR11" i="10"/>
  <c r="BR14" i="10"/>
  <c r="B81" i="23"/>
  <c r="BO27" i="10"/>
  <c r="BO24" i="10"/>
  <c r="BO25" i="10"/>
  <c r="BO23" i="10"/>
  <c r="BO26" i="10"/>
  <c r="BN36" i="10"/>
  <c r="BN38" i="10" s="1"/>
  <c r="BN39" i="10" s="1"/>
  <c r="BN40" i="10" s="1"/>
  <c r="BN49" i="10" s="1"/>
  <c r="BM39" i="10"/>
  <c r="BM40" i="10" s="1"/>
  <c r="BM49" i="10" s="1"/>
  <c r="BQ19" i="10"/>
  <c r="BP47" i="10"/>
  <c r="BS5" i="10"/>
  <c r="BR6" i="10"/>
  <c r="BR10" i="10"/>
  <c r="BR9" i="10"/>
  <c r="BR8" i="10"/>
  <c r="BR7" i="10"/>
  <c r="BR4" i="10"/>
  <c r="DB68" i="38" l="1"/>
  <c r="DB69" i="38"/>
  <c r="DB40" i="38"/>
  <c r="DB48" i="38"/>
  <c r="DB47" i="38"/>
  <c r="DB85" i="38"/>
  <c r="DB12" i="38"/>
  <c r="DB23" i="38"/>
  <c r="DB14" i="38"/>
  <c r="DB13" i="38"/>
  <c r="DB70" i="38"/>
  <c r="DB42" i="38"/>
  <c r="DC3" i="38"/>
  <c r="B116" i="1"/>
  <c r="B78" i="38"/>
  <c r="G81" i="23"/>
  <c r="BP31" i="10"/>
  <c r="BP30" i="10"/>
  <c r="BP29" i="10"/>
  <c r="BP28" i="10"/>
  <c r="BP34" i="10"/>
  <c r="BP33" i="10"/>
  <c r="BP35" i="10"/>
  <c r="BP32" i="10"/>
  <c r="BS15" i="10"/>
  <c r="BS17" i="10"/>
  <c r="BS16" i="10"/>
  <c r="BS18" i="10"/>
  <c r="BR45" i="10"/>
  <c r="BR46" i="10"/>
  <c r="BR44" i="10"/>
  <c r="BS20" i="10"/>
  <c r="BS43" i="10" s="1"/>
  <c r="BS11" i="10"/>
  <c r="BS13" i="10"/>
  <c r="BS12" i="10"/>
  <c r="BS14" i="10"/>
  <c r="B82" i="23"/>
  <c r="B83" i="23" s="1"/>
  <c r="BP27" i="10"/>
  <c r="BP26" i="10"/>
  <c r="BP24" i="10"/>
  <c r="BP23" i="10"/>
  <c r="BP25" i="10"/>
  <c r="BO36" i="10"/>
  <c r="BO38" i="10" s="1"/>
  <c r="BO39" i="10" s="1"/>
  <c r="BO40" i="10" s="1"/>
  <c r="BO49" i="10" s="1"/>
  <c r="BT5" i="10"/>
  <c r="BS7" i="10"/>
  <c r="BS6" i="10"/>
  <c r="BS10" i="10"/>
  <c r="BS9" i="10"/>
  <c r="BS8" i="10"/>
  <c r="BS4" i="10"/>
  <c r="BR19" i="10"/>
  <c r="BQ47" i="10"/>
  <c r="DC85" i="38" l="1"/>
  <c r="DC48" i="38"/>
  <c r="DC70" i="38"/>
  <c r="DC68" i="38"/>
  <c r="DC69" i="38"/>
  <c r="DC23" i="38"/>
  <c r="DC12" i="38"/>
  <c r="DC40" i="38"/>
  <c r="DC47" i="38"/>
  <c r="DC42" i="38"/>
  <c r="DC14" i="38"/>
  <c r="DC13" i="38"/>
  <c r="DD3" i="38"/>
  <c r="B117" i="1"/>
  <c r="B79" i="38"/>
  <c r="G83" i="23"/>
  <c r="B84" i="23"/>
  <c r="F83" i="23"/>
  <c r="G82" i="23"/>
  <c r="BQ30" i="10"/>
  <c r="BQ33" i="10"/>
  <c r="BQ29" i="10"/>
  <c r="BQ34" i="10"/>
  <c r="BQ31" i="10"/>
  <c r="BQ28" i="10"/>
  <c r="BQ32" i="10"/>
  <c r="BQ35" i="10"/>
  <c r="BT15" i="10"/>
  <c r="BT16" i="10"/>
  <c r="BT18" i="10"/>
  <c r="BT17" i="10"/>
  <c r="BS45" i="10"/>
  <c r="BS46" i="10"/>
  <c r="BS44" i="10"/>
  <c r="BT20" i="10"/>
  <c r="BT43" i="10" s="1"/>
  <c r="BT12" i="10"/>
  <c r="BT11" i="10"/>
  <c r="BT14" i="10"/>
  <c r="BT13" i="10"/>
  <c r="BQ23" i="10"/>
  <c r="BQ27" i="10"/>
  <c r="BQ26" i="10"/>
  <c r="BQ24" i="10"/>
  <c r="BQ25" i="10"/>
  <c r="BR47" i="10"/>
  <c r="BP36" i="10"/>
  <c r="BP38" i="10" s="1"/>
  <c r="BS19" i="10"/>
  <c r="BU5" i="10"/>
  <c r="BT8" i="10"/>
  <c r="BT7" i="10"/>
  <c r="BT6" i="10"/>
  <c r="BT4" i="10"/>
  <c r="BT10" i="10"/>
  <c r="BT9" i="10"/>
  <c r="DD47" i="38" l="1"/>
  <c r="DD68" i="38"/>
  <c r="DD85" i="38"/>
  <c r="DD69" i="38"/>
  <c r="DD23" i="38"/>
  <c r="DD40" i="38"/>
  <c r="DD12" i="38"/>
  <c r="DD14" i="38"/>
  <c r="DD48" i="38"/>
  <c r="DD13" i="38"/>
  <c r="DD42" i="38"/>
  <c r="DD70" i="38"/>
  <c r="DE3" i="38"/>
  <c r="B118" i="1"/>
  <c r="B80" i="38"/>
  <c r="G84" i="23"/>
  <c r="F84" i="23"/>
  <c r="B85" i="23"/>
  <c r="BR29" i="10"/>
  <c r="BR34" i="10"/>
  <c r="BR30" i="10"/>
  <c r="BR28" i="10"/>
  <c r="BR35" i="10"/>
  <c r="BR33" i="10"/>
  <c r="BR31" i="10"/>
  <c r="BR32" i="10"/>
  <c r="BU16" i="10"/>
  <c r="BU15" i="10"/>
  <c r="BU18" i="10"/>
  <c r="BU17" i="10"/>
  <c r="BT46" i="10"/>
  <c r="BT44" i="10"/>
  <c r="BT45" i="10"/>
  <c r="BU20" i="10"/>
  <c r="BU44" i="10" s="1"/>
  <c r="BU13" i="10"/>
  <c r="BU12" i="10"/>
  <c r="BU11" i="10"/>
  <c r="BU14" i="10"/>
  <c r="BR24" i="10"/>
  <c r="BR23" i="10"/>
  <c r="BR27" i="10"/>
  <c r="BR25" i="10"/>
  <c r="BR26" i="10"/>
  <c r="BS47" i="10"/>
  <c r="BP39" i="10"/>
  <c r="BP40" i="10" s="1"/>
  <c r="BP49" i="10" s="1"/>
  <c r="BQ36" i="10"/>
  <c r="BQ38" i="10" s="1"/>
  <c r="BT19" i="10"/>
  <c r="BV5" i="10"/>
  <c r="BU9" i="10"/>
  <c r="BU8" i="10"/>
  <c r="BU4" i="10"/>
  <c r="BU7" i="10"/>
  <c r="BU10" i="10"/>
  <c r="BU6" i="10"/>
  <c r="DE68" i="38" l="1"/>
  <c r="DE48" i="38"/>
  <c r="DE85" i="38"/>
  <c r="DE70" i="38"/>
  <c r="DE69" i="38"/>
  <c r="DE40" i="38"/>
  <c r="DE12" i="38"/>
  <c r="DE23" i="38"/>
  <c r="DE47" i="38"/>
  <c r="DE42" i="38"/>
  <c r="DE14" i="38"/>
  <c r="DE13" i="38"/>
  <c r="DF3" i="38"/>
  <c r="B119" i="1"/>
  <c r="B81" i="38"/>
  <c r="G85" i="23"/>
  <c r="F85" i="23"/>
  <c r="B86" i="23"/>
  <c r="BS29" i="10"/>
  <c r="BS34" i="10"/>
  <c r="BS28" i="10"/>
  <c r="BS32" i="10"/>
  <c r="BS33" i="10"/>
  <c r="BS30" i="10"/>
  <c r="BS35" i="10"/>
  <c r="BS31" i="10"/>
  <c r="BV17" i="10"/>
  <c r="BV16" i="10"/>
  <c r="BV15" i="10"/>
  <c r="BV18" i="10"/>
  <c r="BU43" i="10"/>
  <c r="BU46" i="10"/>
  <c r="BU45" i="10"/>
  <c r="BV20" i="10"/>
  <c r="BV43" i="10" s="1"/>
  <c r="BV13" i="10"/>
  <c r="BV12" i="10"/>
  <c r="BV11" i="10"/>
  <c r="BV14" i="10"/>
  <c r="BS26" i="10"/>
  <c r="BS27" i="10"/>
  <c r="BS24" i="10"/>
  <c r="BS25" i="10"/>
  <c r="BS23" i="10"/>
  <c r="BR36" i="10"/>
  <c r="BR38" i="10" s="1"/>
  <c r="BR39" i="10" s="1"/>
  <c r="BR40" i="10" s="1"/>
  <c r="BR49" i="10" s="1"/>
  <c r="BQ39" i="10"/>
  <c r="BQ40" i="10" s="1"/>
  <c r="BQ49" i="10" s="1"/>
  <c r="BT47" i="10"/>
  <c r="BU19" i="10"/>
  <c r="BW5" i="10"/>
  <c r="BV6" i="10"/>
  <c r="BV10" i="10"/>
  <c r="BV9" i="10"/>
  <c r="BV8" i="10"/>
  <c r="BV4" i="10"/>
  <c r="BV7" i="10"/>
  <c r="DF68" i="38" l="1"/>
  <c r="DF85" i="38"/>
  <c r="DF48" i="38"/>
  <c r="DF69" i="38"/>
  <c r="DF47" i="38"/>
  <c r="DF40" i="38"/>
  <c r="DF12" i="38"/>
  <c r="DF14" i="38"/>
  <c r="DF70" i="38"/>
  <c r="DF23" i="38"/>
  <c r="DF13" i="38"/>
  <c r="DF42" i="38"/>
  <c r="DG3" i="38"/>
  <c r="B120" i="1"/>
  <c r="B82" i="38"/>
  <c r="B87" i="23"/>
  <c r="F86" i="23"/>
  <c r="G86" i="23"/>
  <c r="BT28" i="10"/>
  <c r="BT34" i="10"/>
  <c r="BT31" i="10"/>
  <c r="BT30" i="10"/>
  <c r="BT32" i="10"/>
  <c r="BT35" i="10"/>
  <c r="BT33" i="10"/>
  <c r="BT29" i="10"/>
  <c r="BW15" i="10"/>
  <c r="BW17" i="10"/>
  <c r="BW16" i="10"/>
  <c r="BW18" i="10"/>
  <c r="BV46" i="10"/>
  <c r="BV45" i="10"/>
  <c r="BV44" i="10"/>
  <c r="BW20" i="10"/>
  <c r="BW44" i="10" s="1"/>
  <c r="BW11" i="10"/>
  <c r="BW13" i="10"/>
  <c r="BW12" i="10"/>
  <c r="BW14" i="10"/>
  <c r="BT27" i="10"/>
  <c r="BT25" i="10"/>
  <c r="BT26" i="10"/>
  <c r="BT23" i="10"/>
  <c r="BT24" i="10"/>
  <c r="BS36" i="10"/>
  <c r="BS38" i="10" s="1"/>
  <c r="BS39" i="10" s="1"/>
  <c r="BS40" i="10" s="1"/>
  <c r="BS49" i="10" s="1"/>
  <c r="BX5" i="10"/>
  <c r="BW7" i="10"/>
  <c r="BW6" i="10"/>
  <c r="BW10" i="10"/>
  <c r="BW9" i="10"/>
  <c r="BW4" i="10"/>
  <c r="BW8" i="10"/>
  <c r="BU47" i="10"/>
  <c r="BV19" i="10"/>
  <c r="DG85" i="38" l="1"/>
  <c r="DG47" i="38"/>
  <c r="DG69" i="38"/>
  <c r="DG70" i="38"/>
  <c r="DG48" i="38"/>
  <c r="DG23" i="38"/>
  <c r="DG42" i="38"/>
  <c r="DG12" i="38"/>
  <c r="DG14" i="38"/>
  <c r="DG68" i="38"/>
  <c r="DG13" i="38"/>
  <c r="DG40" i="38"/>
  <c r="DH3" i="38"/>
  <c r="B121" i="1"/>
  <c r="B83" i="38"/>
  <c r="G87" i="23"/>
  <c r="B88" i="23"/>
  <c r="F87" i="23"/>
  <c r="BU30" i="10"/>
  <c r="BU31" i="10"/>
  <c r="BU34" i="10"/>
  <c r="BU28" i="10"/>
  <c r="BU33" i="10"/>
  <c r="BU32" i="10"/>
  <c r="BU29" i="10"/>
  <c r="BU35" i="10"/>
  <c r="BX15" i="10"/>
  <c r="BX17" i="10"/>
  <c r="BX16" i="10"/>
  <c r="BX18" i="10"/>
  <c r="BW46" i="10"/>
  <c r="BW45" i="10"/>
  <c r="BW43" i="10"/>
  <c r="BX20" i="10"/>
  <c r="BX45" i="10" s="1"/>
  <c r="BX12" i="10"/>
  <c r="BX11" i="10"/>
  <c r="BX14" i="10"/>
  <c r="BX13" i="10"/>
  <c r="BU24" i="10"/>
  <c r="BU25" i="10"/>
  <c r="BU23" i="10"/>
  <c r="BU27" i="10"/>
  <c r="BU26" i="10"/>
  <c r="BW19" i="10"/>
  <c r="BT36" i="10"/>
  <c r="BT38" i="10" s="1"/>
  <c r="BV47" i="10"/>
  <c r="BY5" i="10"/>
  <c r="BX8" i="10"/>
  <c r="BX7" i="10"/>
  <c r="BX10" i="10"/>
  <c r="BX6" i="10"/>
  <c r="BX9" i="10"/>
  <c r="BX4" i="10"/>
  <c r="DH42" i="38" l="1"/>
  <c r="DH68" i="38"/>
  <c r="DH48" i="38"/>
  <c r="DH85" i="38"/>
  <c r="DH47" i="38"/>
  <c r="DH70" i="38"/>
  <c r="DH69" i="38"/>
  <c r="DH23" i="38"/>
  <c r="DH40" i="38"/>
  <c r="DH13" i="38"/>
  <c r="DH12" i="38"/>
  <c r="DH14" i="38"/>
  <c r="DI3" i="38"/>
  <c r="B122" i="1"/>
  <c r="B84" i="38"/>
  <c r="F88" i="23"/>
  <c r="G88" i="23"/>
  <c r="B89" i="23"/>
  <c r="BV30" i="10"/>
  <c r="BV35" i="10"/>
  <c r="BV28" i="10"/>
  <c r="BV32" i="10"/>
  <c r="BV29" i="10"/>
  <c r="BV31" i="10"/>
  <c r="BV33" i="10"/>
  <c r="BV34" i="10"/>
  <c r="BY16" i="10"/>
  <c r="BY15" i="10"/>
  <c r="BY18" i="10"/>
  <c r="BY17" i="10"/>
  <c r="BX43" i="10"/>
  <c r="BX44" i="10"/>
  <c r="BX46" i="10"/>
  <c r="BY20" i="10"/>
  <c r="BY43" i="10" s="1"/>
  <c r="BY13" i="10"/>
  <c r="BY12" i="10"/>
  <c r="BY11" i="10"/>
  <c r="BY14" i="10"/>
  <c r="BV23" i="10"/>
  <c r="BV24" i="10"/>
  <c r="BV26" i="10"/>
  <c r="BV27" i="10"/>
  <c r="BV25" i="10"/>
  <c r="BT39" i="10"/>
  <c r="BT40" i="10" s="1"/>
  <c r="BT49" i="10" s="1"/>
  <c r="BU36" i="10"/>
  <c r="BU38" i="10" s="1"/>
  <c r="BX19" i="10"/>
  <c r="BZ5" i="10"/>
  <c r="BY9" i="10"/>
  <c r="BY8" i="10"/>
  <c r="BY7" i="10"/>
  <c r="BY4" i="10"/>
  <c r="BY6" i="10"/>
  <c r="BY10" i="10"/>
  <c r="BW47" i="10"/>
  <c r="DI68" i="38" l="1"/>
  <c r="DI69" i="38"/>
  <c r="DI85" i="38"/>
  <c r="DI70" i="38"/>
  <c r="DI48" i="38"/>
  <c r="DI23" i="38"/>
  <c r="DI12" i="38"/>
  <c r="DI14" i="38"/>
  <c r="DI40" i="38"/>
  <c r="DI13" i="38"/>
  <c r="DI47" i="38"/>
  <c r="DI42" i="38"/>
  <c r="DJ3" i="38"/>
  <c r="B123" i="1"/>
  <c r="B85" i="38"/>
  <c r="F89" i="23"/>
  <c r="G89" i="23"/>
  <c r="B90" i="23"/>
  <c r="BW29" i="10"/>
  <c r="BW34" i="10"/>
  <c r="BW35" i="10"/>
  <c r="BW30" i="10"/>
  <c r="BW32" i="10"/>
  <c r="BW28" i="10"/>
  <c r="BW33" i="10"/>
  <c r="BW31" i="10"/>
  <c r="BZ17" i="10"/>
  <c r="BZ16" i="10"/>
  <c r="BZ15" i="10"/>
  <c r="BZ18" i="10"/>
  <c r="BY44" i="10"/>
  <c r="BY46" i="10"/>
  <c r="BY45" i="10"/>
  <c r="BZ20" i="10"/>
  <c r="BZ45" i="10" s="1"/>
  <c r="BZ13" i="10"/>
  <c r="BZ12" i="10"/>
  <c r="BZ11" i="10"/>
  <c r="BZ14" i="10"/>
  <c r="BW27" i="10"/>
  <c r="BW26" i="10"/>
  <c r="BW24" i="10"/>
  <c r="BW25" i="10"/>
  <c r="BW23" i="10"/>
  <c r="BX47" i="10"/>
  <c r="BU39" i="10"/>
  <c r="BU40" i="10" s="1"/>
  <c r="BU49" i="10" s="1"/>
  <c r="BV36" i="10"/>
  <c r="BV38" i="10" s="1"/>
  <c r="CA5" i="10"/>
  <c r="BZ6" i="10"/>
  <c r="BZ10" i="10"/>
  <c r="BZ9" i="10"/>
  <c r="BZ4" i="10"/>
  <c r="BZ8" i="10"/>
  <c r="BZ7" i="10"/>
  <c r="BY19" i="10"/>
  <c r="DJ85" i="38" l="1"/>
  <c r="DJ48" i="38"/>
  <c r="DJ68" i="38"/>
  <c r="DJ23" i="38"/>
  <c r="DJ12" i="38"/>
  <c r="DJ70" i="38"/>
  <c r="DJ40" i="38"/>
  <c r="DJ42" i="38"/>
  <c r="DJ69" i="38"/>
  <c r="DJ14" i="38"/>
  <c r="DJ47" i="38"/>
  <c r="DJ13" i="38"/>
  <c r="DK3" i="38"/>
  <c r="B86" i="38"/>
  <c r="E124" i="1"/>
  <c r="B91" i="23"/>
  <c r="F90" i="23"/>
  <c r="G90" i="23"/>
  <c r="BX31" i="10"/>
  <c r="BX28" i="10"/>
  <c r="BX32" i="10"/>
  <c r="BX33" i="10"/>
  <c r="BX29" i="10"/>
  <c r="BX35" i="10"/>
  <c r="BX34" i="10"/>
  <c r="BX30" i="10"/>
  <c r="CA15" i="10"/>
  <c r="CA17" i="10"/>
  <c r="CA18" i="10"/>
  <c r="CA16" i="10"/>
  <c r="BZ44" i="10"/>
  <c r="BZ46" i="10"/>
  <c r="BZ43" i="10"/>
  <c r="CA20" i="10"/>
  <c r="CA46" i="10" s="1"/>
  <c r="CA11" i="10"/>
  <c r="CA13" i="10"/>
  <c r="CA12" i="10"/>
  <c r="CA14" i="10"/>
  <c r="BX24" i="10"/>
  <c r="BX27" i="10"/>
  <c r="BX25" i="10"/>
  <c r="BX23" i="10"/>
  <c r="BX26" i="10"/>
  <c r="BY47" i="10"/>
  <c r="BV39" i="10"/>
  <c r="BV40" i="10" s="1"/>
  <c r="BV49" i="10" s="1"/>
  <c r="BW36" i="10"/>
  <c r="BW38" i="10" s="1"/>
  <c r="BZ19" i="10"/>
  <c r="CB5" i="10"/>
  <c r="CA7" i="10"/>
  <c r="CA6" i="10"/>
  <c r="CA10" i="10"/>
  <c r="CA9" i="10"/>
  <c r="CA8" i="10"/>
  <c r="CA4" i="10"/>
  <c r="DK85" i="38" l="1"/>
  <c r="DK48" i="38"/>
  <c r="DK69" i="38"/>
  <c r="DK68" i="38"/>
  <c r="DK23" i="38"/>
  <c r="DK12" i="38"/>
  <c r="DK14" i="38"/>
  <c r="DK40" i="38"/>
  <c r="DK42" i="38"/>
  <c r="DK70" i="38"/>
  <c r="DK47" i="38"/>
  <c r="DK13" i="38"/>
  <c r="DL3" i="38"/>
  <c r="H152" i="1"/>
  <c r="I12" i="30" s="1"/>
  <c r="F124" i="1"/>
  <c r="H151" i="1"/>
  <c r="H157" i="1"/>
  <c r="J157" i="1" s="1"/>
  <c r="I157" i="1" s="1"/>
  <c r="C5" i="9"/>
  <c r="C4" i="9"/>
  <c r="F130" i="1"/>
  <c r="G130" i="1" s="1"/>
  <c r="I130" i="1" s="1"/>
  <c r="J130" i="1" s="1"/>
  <c r="H153" i="1"/>
  <c r="F129" i="1"/>
  <c r="G129" i="1" s="1"/>
  <c r="E22" i="1"/>
  <c r="H155" i="1"/>
  <c r="J155" i="1" s="1"/>
  <c r="H161" i="1"/>
  <c r="J161" i="1" s="1"/>
  <c r="I161" i="1" s="1"/>
  <c r="H160" i="1"/>
  <c r="J160" i="1" s="1"/>
  <c r="I160" i="1" s="1"/>
  <c r="D10" i="11"/>
  <c r="E10" i="11" s="1"/>
  <c r="F91" i="23"/>
  <c r="G91" i="23"/>
  <c r="B92" i="23"/>
  <c r="BY30" i="10"/>
  <c r="BY28" i="10"/>
  <c r="BY29" i="10"/>
  <c r="BY34" i="10"/>
  <c r="BY33" i="10"/>
  <c r="BY32" i="10"/>
  <c r="BY35" i="10"/>
  <c r="BY31" i="10"/>
  <c r="CB15" i="10"/>
  <c r="CB16" i="10"/>
  <c r="CB18" i="10"/>
  <c r="CB17" i="10"/>
  <c r="CA44" i="10"/>
  <c r="CA45" i="10"/>
  <c r="CA43" i="10"/>
  <c r="CB20" i="10"/>
  <c r="CB46" i="10" s="1"/>
  <c r="CB12" i="10"/>
  <c r="CB11" i="10"/>
  <c r="CB13" i="10"/>
  <c r="CB14" i="10"/>
  <c r="BY25" i="10"/>
  <c r="BY24" i="10"/>
  <c r="BY23" i="10"/>
  <c r="BY27" i="10"/>
  <c r="BY26" i="10"/>
  <c r="BX36" i="10"/>
  <c r="BX38" i="10" s="1"/>
  <c r="BX39" i="10" s="1"/>
  <c r="BX40" i="10" s="1"/>
  <c r="BX49" i="10" s="1"/>
  <c r="BW39" i="10"/>
  <c r="BW40" i="10" s="1"/>
  <c r="BW49" i="10" s="1"/>
  <c r="CC5" i="10"/>
  <c r="CB8" i="10"/>
  <c r="CB7" i="10"/>
  <c r="CB6" i="10"/>
  <c r="CB10" i="10"/>
  <c r="CB9" i="10"/>
  <c r="CB4" i="10"/>
  <c r="BZ47" i="10"/>
  <c r="CA19" i="10"/>
  <c r="DL42" i="38" l="1"/>
  <c r="DL85" i="38"/>
  <c r="DL70" i="38"/>
  <c r="DL68" i="38"/>
  <c r="DL69" i="38"/>
  <c r="DL48" i="38"/>
  <c r="DL40" i="38"/>
  <c r="DL12" i="38"/>
  <c r="DL14" i="38"/>
  <c r="DL23" i="38"/>
  <c r="DL47" i="38"/>
  <c r="DL13" i="38"/>
  <c r="DM3" i="38"/>
  <c r="K15" i="30"/>
  <c r="I155" i="1"/>
  <c r="J15" i="30" s="1"/>
  <c r="J151" i="1"/>
  <c r="K11" i="30" s="1"/>
  <c r="I11" i="30"/>
  <c r="J153" i="1"/>
  <c r="K13" i="30" s="1"/>
  <c r="I13" i="30"/>
  <c r="G92" i="23"/>
  <c r="B93" i="23"/>
  <c r="F92" i="23"/>
  <c r="BZ28" i="10"/>
  <c r="BZ35" i="10"/>
  <c r="BZ33" i="10"/>
  <c r="BZ30" i="10"/>
  <c r="BZ31" i="10"/>
  <c r="BZ29" i="10"/>
  <c r="BZ32" i="10"/>
  <c r="BZ34" i="10"/>
  <c r="CC16" i="10"/>
  <c r="CC15" i="10"/>
  <c r="CC18" i="10"/>
  <c r="CC17" i="10"/>
  <c r="CB44" i="10"/>
  <c r="CB43" i="10"/>
  <c r="CB45" i="10"/>
  <c r="CC20" i="10"/>
  <c r="CC43" i="10" s="1"/>
  <c r="CC13" i="10"/>
  <c r="CC12" i="10"/>
  <c r="CC11" i="10"/>
  <c r="CC14" i="10"/>
  <c r="BZ27" i="10"/>
  <c r="BZ25" i="10"/>
  <c r="BZ24" i="10"/>
  <c r="BZ23" i="10"/>
  <c r="BZ26" i="10"/>
  <c r="BY36" i="10"/>
  <c r="BY38" i="10" s="1"/>
  <c r="BY39" i="10" s="1"/>
  <c r="BY40" i="10" s="1"/>
  <c r="BY49" i="10" s="1"/>
  <c r="CA47" i="10"/>
  <c r="CB19" i="10"/>
  <c r="CD5" i="10"/>
  <c r="CC9" i="10"/>
  <c r="CC8" i="10"/>
  <c r="CC4" i="10"/>
  <c r="CC6" i="10"/>
  <c r="CC7" i="10"/>
  <c r="CC10" i="10"/>
  <c r="DM48" i="38" l="1"/>
  <c r="DM85" i="38"/>
  <c r="DM70" i="38"/>
  <c r="DM69" i="38"/>
  <c r="DM68" i="38"/>
  <c r="DM12" i="38"/>
  <c r="DM42" i="38"/>
  <c r="DM14" i="38"/>
  <c r="DM47" i="38"/>
  <c r="DM23" i="38"/>
  <c r="DM13" i="38"/>
  <c r="DM40" i="38"/>
  <c r="DN3" i="38"/>
  <c r="G93" i="23"/>
  <c r="F93" i="23"/>
  <c r="B94" i="23"/>
  <c r="CA31" i="10"/>
  <c r="CA29" i="10"/>
  <c r="CA30" i="10"/>
  <c r="CA33" i="10"/>
  <c r="CA35" i="10"/>
  <c r="CA32" i="10"/>
  <c r="CA34" i="10"/>
  <c r="CA28" i="10"/>
  <c r="CD17" i="10"/>
  <c r="CD16" i="10"/>
  <c r="CD18" i="10"/>
  <c r="CD15" i="10"/>
  <c r="CC45" i="10"/>
  <c r="CC44" i="10"/>
  <c r="CC46" i="10"/>
  <c r="CD20" i="10"/>
  <c r="CD43" i="10" s="1"/>
  <c r="CD13" i="10"/>
  <c r="CD12" i="10"/>
  <c r="CD11" i="10"/>
  <c r="CD14" i="10"/>
  <c r="CA27" i="10"/>
  <c r="CA25" i="10"/>
  <c r="CA23" i="10"/>
  <c r="CA24" i="10"/>
  <c r="CA26" i="10"/>
  <c r="BZ36" i="10"/>
  <c r="BZ38" i="10" s="1"/>
  <c r="CE5" i="10"/>
  <c r="CD6" i="10"/>
  <c r="CD10" i="10"/>
  <c r="CD9" i="10"/>
  <c r="CD8" i="10"/>
  <c r="CD7" i="10"/>
  <c r="CD4" i="10"/>
  <c r="CC19" i="10"/>
  <c r="CB47" i="10"/>
  <c r="DN69" i="38" l="1"/>
  <c r="DN85" i="38"/>
  <c r="DN68" i="38"/>
  <c r="DN70" i="38"/>
  <c r="DN23" i="38"/>
  <c r="DN40" i="38"/>
  <c r="DN47" i="38"/>
  <c r="DN12" i="38"/>
  <c r="DN14" i="38"/>
  <c r="DN48" i="38"/>
  <c r="DN42" i="38"/>
  <c r="DN13" i="38"/>
  <c r="DO3" i="38"/>
  <c r="B95" i="23"/>
  <c r="F94" i="23"/>
  <c r="G94" i="23"/>
  <c r="CB28" i="10"/>
  <c r="CB32" i="10"/>
  <c r="CB30" i="10"/>
  <c r="CB33" i="10"/>
  <c r="CB29" i="10"/>
  <c r="CB35" i="10"/>
  <c r="CB31" i="10"/>
  <c r="CB34" i="10"/>
  <c r="CE15" i="10"/>
  <c r="CE17" i="10"/>
  <c r="CE16" i="10"/>
  <c r="CE18" i="10"/>
  <c r="CD44" i="10"/>
  <c r="CD45" i="10"/>
  <c r="CD46" i="10"/>
  <c r="CE20" i="10"/>
  <c r="CE46" i="10" s="1"/>
  <c r="CE11" i="10"/>
  <c r="CE13" i="10"/>
  <c r="CE12" i="10"/>
  <c r="CE14" i="10"/>
  <c r="CB24" i="10"/>
  <c r="CB25" i="10"/>
  <c r="CB23" i="10"/>
  <c r="CB27" i="10"/>
  <c r="CB26" i="10"/>
  <c r="CA36" i="10"/>
  <c r="CA38" i="10" s="1"/>
  <c r="CA39" i="10" s="1"/>
  <c r="BZ39" i="10"/>
  <c r="BZ40" i="10" s="1"/>
  <c r="BZ49" i="10" s="1"/>
  <c r="CD19" i="10"/>
  <c r="CC47" i="10"/>
  <c r="CF5" i="10"/>
  <c r="CE7" i="10"/>
  <c r="CE6" i="10"/>
  <c r="CE10" i="10"/>
  <c r="CE4" i="10"/>
  <c r="CE9" i="10"/>
  <c r="CE8" i="10"/>
  <c r="DO68" i="38" l="1"/>
  <c r="DO85" i="38"/>
  <c r="DO70" i="38"/>
  <c r="DO69" i="38"/>
  <c r="DO47" i="38"/>
  <c r="DO23" i="38"/>
  <c r="DO48" i="38"/>
  <c r="DO12" i="38"/>
  <c r="DO14" i="38"/>
  <c r="DO40" i="38"/>
  <c r="DO42" i="38"/>
  <c r="DO13" i="38"/>
  <c r="DP3" i="38"/>
  <c r="B96" i="23"/>
  <c r="G95" i="23"/>
  <c r="F95" i="23"/>
  <c r="CC29" i="10"/>
  <c r="CC33" i="10"/>
  <c r="CC32" i="10"/>
  <c r="CC30" i="10"/>
  <c r="CC35" i="10"/>
  <c r="CC31" i="10"/>
  <c r="CC28" i="10"/>
  <c r="CC34" i="10"/>
  <c r="CF15" i="10"/>
  <c r="CF17" i="10"/>
  <c r="CF16" i="10"/>
  <c r="CF18" i="10"/>
  <c r="CE45" i="10"/>
  <c r="CE43" i="10"/>
  <c r="CE44" i="10"/>
  <c r="CF20" i="10"/>
  <c r="CF43" i="10" s="1"/>
  <c r="CF12" i="10"/>
  <c r="CF11" i="10"/>
  <c r="CF14" i="10"/>
  <c r="CF13" i="10"/>
  <c r="CC27" i="10"/>
  <c r="CC26" i="10"/>
  <c r="CC25" i="10"/>
  <c r="CC24" i="10"/>
  <c r="CC23" i="10"/>
  <c r="CA40" i="10"/>
  <c r="CA49" i="10" s="1"/>
  <c r="CB36" i="10"/>
  <c r="CB38" i="10" s="1"/>
  <c r="CG5" i="10"/>
  <c r="CF8" i="10"/>
  <c r="CF7" i="10"/>
  <c r="CF10" i="10"/>
  <c r="CF4" i="10"/>
  <c r="CF6" i="10"/>
  <c r="CF9" i="10"/>
  <c r="CE19" i="10"/>
  <c r="CD47" i="10"/>
  <c r="DP69" i="38" l="1"/>
  <c r="DP68" i="38"/>
  <c r="DP70" i="38"/>
  <c r="DP85" i="38"/>
  <c r="DP48" i="38"/>
  <c r="DP23" i="38"/>
  <c r="DP47" i="38"/>
  <c r="DP12" i="38"/>
  <c r="DP13" i="38"/>
  <c r="DP40" i="38"/>
  <c r="DP14" i="38"/>
  <c r="DP42" i="38"/>
  <c r="DQ3" i="38"/>
  <c r="G96" i="23"/>
  <c r="B97" i="23"/>
  <c r="F96" i="23"/>
  <c r="CD29" i="10"/>
  <c r="CD35" i="10"/>
  <c r="CD32" i="10"/>
  <c r="CD30" i="10"/>
  <c r="CD31" i="10"/>
  <c r="CD28" i="10"/>
  <c r="CD33" i="10"/>
  <c r="CD34" i="10"/>
  <c r="CG16" i="10"/>
  <c r="CG15" i="10"/>
  <c r="CG18" i="10"/>
  <c r="CG17" i="10"/>
  <c r="CF46" i="10"/>
  <c r="CF44" i="10"/>
  <c r="CF45" i="10"/>
  <c r="CG20" i="10"/>
  <c r="CG43" i="10" s="1"/>
  <c r="CG13" i="10"/>
  <c r="CG12" i="10"/>
  <c r="CG11" i="10"/>
  <c r="CG14" i="10"/>
  <c r="CD23" i="10"/>
  <c r="CD26" i="10"/>
  <c r="CD24" i="10"/>
  <c r="CD27" i="10"/>
  <c r="CD25" i="10"/>
  <c r="CF19" i="10"/>
  <c r="CB39" i="10"/>
  <c r="CB40" i="10" s="1"/>
  <c r="CB49" i="10" s="1"/>
  <c r="CC36" i="10"/>
  <c r="CC38" i="10" s="1"/>
  <c r="CE47" i="10"/>
  <c r="CH5" i="10"/>
  <c r="CG9" i="10"/>
  <c r="CG8" i="10"/>
  <c r="CG7" i="10"/>
  <c r="CG4" i="10"/>
  <c r="CG6" i="10"/>
  <c r="CG10" i="10"/>
  <c r="DQ85" i="38" l="1"/>
  <c r="DQ68" i="38"/>
  <c r="DQ70" i="38"/>
  <c r="DQ23" i="38"/>
  <c r="DQ12" i="38"/>
  <c r="DQ40" i="38"/>
  <c r="DQ48" i="38"/>
  <c r="DQ13" i="38"/>
  <c r="DQ47" i="38"/>
  <c r="DQ69" i="38"/>
  <c r="DQ42" i="38"/>
  <c r="DQ14" i="38"/>
  <c r="DR3" i="38"/>
  <c r="G97" i="23"/>
  <c r="F97" i="23"/>
  <c r="B98" i="23"/>
  <c r="CE29" i="10"/>
  <c r="CE33" i="10"/>
  <c r="CE30" i="10"/>
  <c r="CE35" i="10"/>
  <c r="CE32" i="10"/>
  <c r="CE28" i="10"/>
  <c r="CE34" i="10"/>
  <c r="CE31" i="10"/>
  <c r="CH17" i="10"/>
  <c r="CH16" i="10"/>
  <c r="CH18" i="10"/>
  <c r="CH15" i="10"/>
  <c r="CG46" i="10"/>
  <c r="CG44" i="10"/>
  <c r="CG45" i="10"/>
  <c r="CH20" i="10"/>
  <c r="CH46" i="10" s="1"/>
  <c r="CH13" i="10"/>
  <c r="CH12" i="10"/>
  <c r="CH11" i="10"/>
  <c r="CH14" i="10"/>
  <c r="CE27" i="10"/>
  <c r="CE23" i="10"/>
  <c r="CE25" i="10"/>
  <c r="CE26" i="10"/>
  <c r="CE24" i="10"/>
  <c r="CG19" i="10"/>
  <c r="CF47" i="10"/>
  <c r="CC39" i="10"/>
  <c r="CC40" i="10" s="1"/>
  <c r="CC49" i="10" s="1"/>
  <c r="CD36" i="10"/>
  <c r="CD38" i="10" s="1"/>
  <c r="CI5" i="10"/>
  <c r="CH6" i="10"/>
  <c r="CH10" i="10"/>
  <c r="CH9" i="10"/>
  <c r="CH8" i="10"/>
  <c r="CH7" i="10"/>
  <c r="CH4" i="10"/>
  <c r="DR85" i="38" l="1"/>
  <c r="DR48" i="38"/>
  <c r="DR68" i="38"/>
  <c r="DR70" i="38"/>
  <c r="DR69" i="38"/>
  <c r="DR47" i="38"/>
  <c r="DR14" i="38"/>
  <c r="DR12" i="38"/>
  <c r="DR23" i="38"/>
  <c r="DR40" i="38"/>
  <c r="DR42" i="38"/>
  <c r="DR13" i="38"/>
  <c r="DS3" i="38"/>
  <c r="B99" i="23"/>
  <c r="F98" i="23"/>
  <c r="G98" i="23"/>
  <c r="CF33" i="10"/>
  <c r="CF31" i="10"/>
  <c r="CF28" i="10"/>
  <c r="CF32" i="10"/>
  <c r="CF30" i="10"/>
  <c r="CF35" i="10"/>
  <c r="CF34" i="10"/>
  <c r="CF29" i="10"/>
  <c r="CI15" i="10"/>
  <c r="CI17" i="10"/>
  <c r="CI16" i="10"/>
  <c r="CI18" i="10"/>
  <c r="CH44" i="10"/>
  <c r="CH45" i="10"/>
  <c r="CH43" i="10"/>
  <c r="CI20" i="10"/>
  <c r="CI43" i="10" s="1"/>
  <c r="CI11" i="10"/>
  <c r="CI13" i="10"/>
  <c r="CI12" i="10"/>
  <c r="CI14" i="10"/>
  <c r="CF26" i="10"/>
  <c r="CF24" i="10"/>
  <c r="CF27" i="10"/>
  <c r="CF25" i="10"/>
  <c r="CF23" i="10"/>
  <c r="CD39" i="10"/>
  <c r="CD40" i="10" s="1"/>
  <c r="CD49" i="10" s="1"/>
  <c r="CE36" i="10"/>
  <c r="CE38" i="10" s="1"/>
  <c r="CH19" i="10"/>
  <c r="CG47" i="10"/>
  <c r="CJ5" i="10"/>
  <c r="CI7" i="10"/>
  <c r="CI6" i="10"/>
  <c r="CI10" i="10"/>
  <c r="CI9" i="10"/>
  <c r="CI8" i="10"/>
  <c r="CI4" i="10"/>
  <c r="DS85" i="38" l="1"/>
  <c r="DS68" i="38"/>
  <c r="DS48" i="38"/>
  <c r="DS70" i="38"/>
  <c r="DS47" i="38"/>
  <c r="DS69" i="38"/>
  <c r="DS23" i="38"/>
  <c r="DS12" i="38"/>
  <c r="DS14" i="38"/>
  <c r="DS42" i="38"/>
  <c r="DS13" i="38"/>
  <c r="DS40" i="38"/>
  <c r="DT3" i="38"/>
  <c r="G99" i="23"/>
  <c r="F99" i="23"/>
  <c r="B100" i="23"/>
  <c r="CG28" i="10"/>
  <c r="CG34" i="10"/>
  <c r="CG30" i="10"/>
  <c r="CG29" i="10"/>
  <c r="CG35" i="10"/>
  <c r="CG33" i="10"/>
  <c r="CG32" i="10"/>
  <c r="CG31" i="10"/>
  <c r="CJ15" i="10"/>
  <c r="CJ16" i="10"/>
  <c r="CJ18" i="10"/>
  <c r="CJ17" i="10"/>
  <c r="CI46" i="10"/>
  <c r="CI45" i="10"/>
  <c r="CI44" i="10"/>
  <c r="CJ20" i="10"/>
  <c r="CJ43" i="10" s="1"/>
  <c r="CJ12" i="10"/>
  <c r="CJ11" i="10"/>
  <c r="CJ14" i="10"/>
  <c r="CJ13" i="10"/>
  <c r="CG23" i="10"/>
  <c r="CG27" i="10"/>
  <c r="CG25" i="10"/>
  <c r="CG26" i="10"/>
  <c r="CG24" i="10"/>
  <c r="CF36" i="10"/>
  <c r="CF38" i="10" s="1"/>
  <c r="CF39" i="10" s="1"/>
  <c r="CF40" i="10" s="1"/>
  <c r="CF49" i="10" s="1"/>
  <c r="CE39" i="10"/>
  <c r="CE40" i="10" s="1"/>
  <c r="CE49" i="10" s="1"/>
  <c r="CK5" i="10"/>
  <c r="CJ8" i="10"/>
  <c r="CJ7" i="10"/>
  <c r="CJ6" i="10"/>
  <c r="CJ9" i="10"/>
  <c r="CJ4" i="10"/>
  <c r="CJ10" i="10"/>
  <c r="CI19" i="10"/>
  <c r="CH47" i="10"/>
  <c r="DT68" i="38" l="1"/>
  <c r="DT85" i="38"/>
  <c r="DT70" i="38"/>
  <c r="DT48" i="38"/>
  <c r="DT69" i="38"/>
  <c r="DT47" i="38"/>
  <c r="DT23" i="38"/>
  <c r="DT40" i="38"/>
  <c r="DT12" i="38"/>
  <c r="DT14" i="38"/>
  <c r="DT13" i="38"/>
  <c r="DT42" i="38"/>
  <c r="DU3" i="38"/>
  <c r="F100" i="23"/>
  <c r="B101" i="23"/>
  <c r="G100" i="23"/>
  <c r="CH29" i="10"/>
  <c r="CH34" i="10"/>
  <c r="CH30" i="10"/>
  <c r="CH32" i="10"/>
  <c r="CH35" i="10"/>
  <c r="CH28" i="10"/>
  <c r="CH33" i="10"/>
  <c r="CH31" i="10"/>
  <c r="CK16" i="10"/>
  <c r="CK15" i="10"/>
  <c r="CK18" i="10"/>
  <c r="CK17" i="10"/>
  <c r="CJ44" i="10"/>
  <c r="CJ45" i="10"/>
  <c r="CJ46" i="10"/>
  <c r="CK20" i="10"/>
  <c r="CK45" i="10" s="1"/>
  <c r="CK13" i="10"/>
  <c r="CK12" i="10"/>
  <c r="CK11" i="10"/>
  <c r="CK14" i="10"/>
  <c r="CH26" i="10"/>
  <c r="CH24" i="10"/>
  <c r="CH23" i="10"/>
  <c r="CH27" i="10"/>
  <c r="CH25" i="10"/>
  <c r="CG36" i="10"/>
  <c r="CG38" i="10" s="1"/>
  <c r="CI47" i="10"/>
  <c r="CJ19" i="10"/>
  <c r="CL5" i="10"/>
  <c r="CK9" i="10"/>
  <c r="CK8" i="10"/>
  <c r="CK4" i="10"/>
  <c r="CK7" i="10"/>
  <c r="CK6" i="10"/>
  <c r="CK10" i="10"/>
  <c r="DU14" i="38" l="1"/>
  <c r="DU69" i="38"/>
  <c r="DU70" i="38"/>
  <c r="DU68" i="38"/>
  <c r="DU47" i="38"/>
  <c r="DU85" i="38"/>
  <c r="DU42" i="38"/>
  <c r="DU48" i="38"/>
  <c r="DU40" i="38"/>
  <c r="DU12" i="38"/>
  <c r="DU23" i="38"/>
  <c r="DU13" i="38"/>
  <c r="DV3" i="38"/>
  <c r="F101" i="23"/>
  <c r="G101" i="23"/>
  <c r="B102" i="23"/>
  <c r="CI31" i="10"/>
  <c r="CI33" i="10"/>
  <c r="CI32" i="10"/>
  <c r="CI35" i="10"/>
  <c r="CI30" i="10"/>
  <c r="CI29" i="10"/>
  <c r="CI34" i="10"/>
  <c r="CI28" i="10"/>
  <c r="CL17" i="10"/>
  <c r="CL16" i="10"/>
  <c r="CL15" i="10"/>
  <c r="CL18" i="10"/>
  <c r="CK46" i="10"/>
  <c r="CK43" i="10"/>
  <c r="CK44" i="10"/>
  <c r="CL20" i="10"/>
  <c r="CL44" i="10" s="1"/>
  <c r="CL13" i="10"/>
  <c r="CL12" i="10"/>
  <c r="CL11" i="10"/>
  <c r="CL14" i="10"/>
  <c r="CI24" i="10"/>
  <c r="CI26" i="10"/>
  <c r="CI27" i="10"/>
  <c r="CI25" i="10"/>
  <c r="CI23" i="10"/>
  <c r="CG39" i="10"/>
  <c r="CG40" i="10" s="1"/>
  <c r="CG49" i="10" s="1"/>
  <c r="CH36" i="10"/>
  <c r="CH38" i="10" s="1"/>
  <c r="CJ47" i="10"/>
  <c r="CM5" i="10"/>
  <c r="CL6" i="10"/>
  <c r="CL10" i="10"/>
  <c r="CL9" i="10"/>
  <c r="CL8" i="10"/>
  <c r="CL4" i="10"/>
  <c r="CL7" i="10"/>
  <c r="CK19" i="10"/>
  <c r="DV68" i="38" l="1"/>
  <c r="DV70" i="38"/>
  <c r="DV69" i="38"/>
  <c r="DV47" i="38"/>
  <c r="DV23" i="38"/>
  <c r="DV42" i="38"/>
  <c r="DV40" i="38"/>
  <c r="DV14" i="38"/>
  <c r="DV48" i="38"/>
  <c r="DV85" i="38"/>
  <c r="DV12" i="38"/>
  <c r="DV13" i="38"/>
  <c r="DW3" i="38"/>
  <c r="F102" i="23"/>
  <c r="B103" i="23"/>
  <c r="G102" i="23"/>
  <c r="CJ28" i="10"/>
  <c r="CJ31" i="10"/>
  <c r="CJ29" i="10"/>
  <c r="CJ30" i="10"/>
  <c r="CJ34" i="10"/>
  <c r="CJ35" i="10"/>
  <c r="CJ33" i="10"/>
  <c r="CJ32" i="10"/>
  <c r="CM15" i="10"/>
  <c r="CM17" i="10"/>
  <c r="CM16" i="10"/>
  <c r="CM18" i="10"/>
  <c r="CL46" i="10"/>
  <c r="CL43" i="10"/>
  <c r="CL45" i="10"/>
  <c r="CM20" i="10"/>
  <c r="CM46" i="10" s="1"/>
  <c r="CM11" i="10"/>
  <c r="CM13" i="10"/>
  <c r="CM12" i="10"/>
  <c r="CM14" i="10"/>
  <c r="CJ27" i="10"/>
  <c r="CJ23" i="10"/>
  <c r="CJ26" i="10"/>
  <c r="CJ25" i="10"/>
  <c r="CJ24" i="10"/>
  <c r="CH39" i="10"/>
  <c r="CH40" i="10" s="1"/>
  <c r="CH49" i="10" s="1"/>
  <c r="CI36" i="10"/>
  <c r="CI38" i="10" s="1"/>
  <c r="CK47" i="10"/>
  <c r="CL19" i="10"/>
  <c r="CN5" i="10"/>
  <c r="CM7" i="10"/>
  <c r="CM6" i="10"/>
  <c r="CM10" i="10"/>
  <c r="CM8" i="10"/>
  <c r="CM9" i="10"/>
  <c r="CM4" i="10"/>
  <c r="DW48" i="38" l="1"/>
  <c r="DW69" i="38"/>
  <c r="DW47" i="38"/>
  <c r="DW85" i="38"/>
  <c r="DW68" i="38"/>
  <c r="DW40" i="38"/>
  <c r="DW23" i="38"/>
  <c r="DW12" i="38"/>
  <c r="DW70" i="38"/>
  <c r="DW42" i="38"/>
  <c r="DW13" i="38"/>
  <c r="DW14" i="38"/>
  <c r="DX3" i="38"/>
  <c r="F103" i="23"/>
  <c r="G103" i="23"/>
  <c r="B104" i="23"/>
  <c r="CK30" i="10"/>
  <c r="CK34" i="10"/>
  <c r="CK31" i="10"/>
  <c r="CK33" i="10"/>
  <c r="CK28" i="10"/>
  <c r="CK35" i="10"/>
  <c r="CK29" i="10"/>
  <c r="CK32" i="10"/>
  <c r="CN15" i="10"/>
  <c r="CN17" i="10"/>
  <c r="CN18" i="10"/>
  <c r="CN16" i="10"/>
  <c r="CM43" i="10"/>
  <c r="CM45" i="10"/>
  <c r="CM44" i="10"/>
  <c r="CN20" i="10"/>
  <c r="CN43" i="10" s="1"/>
  <c r="CN12" i="10"/>
  <c r="CN11" i="10"/>
  <c r="CN14" i="10"/>
  <c r="CN13" i="10"/>
  <c r="CK24" i="10"/>
  <c r="CK23" i="10"/>
  <c r="CK27" i="10"/>
  <c r="CK25" i="10"/>
  <c r="CK26" i="10"/>
  <c r="CI39" i="10"/>
  <c r="CI40" i="10" s="1"/>
  <c r="CI49" i="10" s="1"/>
  <c r="CJ36" i="10"/>
  <c r="CJ38" i="10" s="1"/>
  <c r="CL47" i="10"/>
  <c r="CO5" i="10"/>
  <c r="CN8" i="10"/>
  <c r="CN7" i="10"/>
  <c r="CN10" i="10"/>
  <c r="CN6" i="10"/>
  <c r="CN9" i="10"/>
  <c r="CN4" i="10"/>
  <c r="CM19" i="10"/>
  <c r="DX69" i="38" l="1"/>
  <c r="DX85" i="38"/>
  <c r="DX68" i="38"/>
  <c r="DX48" i="38"/>
  <c r="DX70" i="38"/>
  <c r="DX14" i="38"/>
  <c r="DX12" i="38"/>
  <c r="DX47" i="38"/>
  <c r="DX40" i="38"/>
  <c r="DX42" i="38"/>
  <c r="DX23" i="38"/>
  <c r="DX13" i="38"/>
  <c r="DY3" i="38"/>
  <c r="F104" i="23"/>
  <c r="B105" i="23"/>
  <c r="G104" i="23"/>
  <c r="CL30" i="10"/>
  <c r="CL35" i="10"/>
  <c r="CL33" i="10"/>
  <c r="CL28" i="10"/>
  <c r="CL32" i="10"/>
  <c r="CL31" i="10"/>
  <c r="CL29" i="10"/>
  <c r="CL34" i="10"/>
  <c r="CO16" i="10"/>
  <c r="CO15" i="10"/>
  <c r="CO18" i="10"/>
  <c r="CO17" i="10"/>
  <c r="CN45" i="10"/>
  <c r="CN44" i="10"/>
  <c r="CN46" i="10"/>
  <c r="CO20" i="10"/>
  <c r="CO46" i="10" s="1"/>
  <c r="CO13" i="10"/>
  <c r="CO12" i="10"/>
  <c r="CO11" i="10"/>
  <c r="CO14" i="10"/>
  <c r="CL24" i="10"/>
  <c r="CL27" i="10"/>
  <c r="CL23" i="10"/>
  <c r="CL25" i="10"/>
  <c r="CL26" i="10"/>
  <c r="CN19" i="10"/>
  <c r="CJ39" i="10"/>
  <c r="CJ40" i="10" s="1"/>
  <c r="CJ49" i="10" s="1"/>
  <c r="CK36" i="10"/>
  <c r="CK38" i="10" s="1"/>
  <c r="CO9" i="10"/>
  <c r="CO8" i="10"/>
  <c r="CO7" i="10"/>
  <c r="CO4" i="10"/>
  <c r="CO10" i="10"/>
  <c r="CO6" i="10"/>
  <c r="CP5" i="10"/>
  <c r="CM47" i="10"/>
  <c r="DY85" i="38" l="1"/>
  <c r="DY68" i="38"/>
  <c r="DY69" i="38"/>
  <c r="DY13" i="38"/>
  <c r="DY47" i="38"/>
  <c r="DY70" i="38"/>
  <c r="DY23" i="38"/>
  <c r="DY42" i="38"/>
  <c r="DY40" i="38"/>
  <c r="DY14" i="38"/>
  <c r="DY48" i="38"/>
  <c r="DY12" i="38"/>
  <c r="DZ3" i="38"/>
  <c r="B106" i="23"/>
  <c r="F105" i="23"/>
  <c r="G105" i="23"/>
  <c r="CM29" i="10"/>
  <c r="CM33" i="10"/>
  <c r="CM30" i="10"/>
  <c r="CM32" i="10"/>
  <c r="CM34" i="10"/>
  <c r="CM31" i="10"/>
  <c r="CM35" i="10"/>
  <c r="CM28" i="10"/>
  <c r="CP17" i="10"/>
  <c r="CP16" i="10"/>
  <c r="CP15" i="10"/>
  <c r="CP18" i="10"/>
  <c r="CO43" i="10"/>
  <c r="CO45" i="10"/>
  <c r="CO44" i="10"/>
  <c r="CP20" i="10"/>
  <c r="CP44" i="10" s="1"/>
  <c r="CP13" i="10"/>
  <c r="CP12" i="10"/>
  <c r="CP11" i="10"/>
  <c r="CP14" i="10"/>
  <c r="CM24" i="10"/>
  <c r="CM23" i="10"/>
  <c r="CM27" i="10"/>
  <c r="CM26" i="10"/>
  <c r="CM25" i="10"/>
  <c r="CO19" i="10"/>
  <c r="CN47" i="10"/>
  <c r="CK39" i="10"/>
  <c r="CK40" i="10" s="1"/>
  <c r="CK49" i="10" s="1"/>
  <c r="CL36" i="10"/>
  <c r="CL38" i="10" s="1"/>
  <c r="CP6" i="10"/>
  <c r="CP10" i="10"/>
  <c r="CP9" i="10"/>
  <c r="CQ5" i="10"/>
  <c r="CP7" i="10"/>
  <c r="CP4" i="10"/>
  <c r="CP8" i="10"/>
  <c r="DZ85" i="38" l="1"/>
  <c r="DZ48" i="38"/>
  <c r="DZ47" i="38"/>
  <c r="DZ70" i="38"/>
  <c r="DZ69" i="38"/>
  <c r="DZ68" i="38"/>
  <c r="DZ40" i="38"/>
  <c r="DZ14" i="38"/>
  <c r="DZ12" i="38"/>
  <c r="DZ13" i="38"/>
  <c r="DZ42" i="38"/>
  <c r="DZ23" i="38"/>
  <c r="EA3" i="38"/>
  <c r="B107" i="23"/>
  <c r="F106" i="23"/>
  <c r="G106" i="23"/>
  <c r="CN31" i="10"/>
  <c r="CN29" i="10"/>
  <c r="CN33" i="10"/>
  <c r="CN28" i="10"/>
  <c r="CN34" i="10"/>
  <c r="CN35" i="10"/>
  <c r="CN32" i="10"/>
  <c r="CN30" i="10"/>
  <c r="CQ15" i="10"/>
  <c r="CQ17" i="10"/>
  <c r="CQ18" i="10"/>
  <c r="CQ16" i="10"/>
  <c r="CP45" i="10"/>
  <c r="CP43" i="10"/>
  <c r="CP46" i="10"/>
  <c r="CQ20" i="10"/>
  <c r="CQ46" i="10" s="1"/>
  <c r="CQ11" i="10"/>
  <c r="CQ13" i="10"/>
  <c r="CQ14" i="10"/>
  <c r="CQ12" i="10"/>
  <c r="CN24" i="10"/>
  <c r="CN27" i="10"/>
  <c r="CN25" i="10"/>
  <c r="CN23" i="10"/>
  <c r="CN26" i="10"/>
  <c r="CR5" i="10"/>
  <c r="CL39" i="10"/>
  <c r="CL40" i="10" s="1"/>
  <c r="CL49" i="10" s="1"/>
  <c r="CM36" i="10"/>
  <c r="CM38" i="10" s="1"/>
  <c r="CO47" i="10"/>
  <c r="CP19" i="10"/>
  <c r="CQ7" i="10"/>
  <c r="CQ6" i="10"/>
  <c r="CQ10" i="10"/>
  <c r="CQ9" i="10"/>
  <c r="CQ4" i="10"/>
  <c r="CQ8" i="10"/>
  <c r="EA47" i="38" l="1"/>
  <c r="EA68" i="38"/>
  <c r="EA85" i="38"/>
  <c r="EA69" i="38"/>
  <c r="EA23" i="38"/>
  <c r="EA70" i="38"/>
  <c r="EA12" i="38"/>
  <c r="EA14" i="38"/>
  <c r="EA40" i="38"/>
  <c r="EA48" i="38"/>
  <c r="EA42" i="38"/>
  <c r="EA13" i="38"/>
  <c r="EB3" i="38"/>
  <c r="B108" i="23"/>
  <c r="F107" i="23"/>
  <c r="G107" i="23"/>
  <c r="CO28" i="10"/>
  <c r="CO35" i="10"/>
  <c r="CO32" i="10"/>
  <c r="CO30" i="10"/>
  <c r="CO34" i="10"/>
  <c r="CO29" i="10"/>
  <c r="CO31" i="10"/>
  <c r="CO33" i="10"/>
  <c r="CR15" i="10"/>
  <c r="CR16" i="10"/>
  <c r="CR17" i="10"/>
  <c r="CR18" i="10"/>
  <c r="CQ44" i="10"/>
  <c r="CQ45" i="10"/>
  <c r="CQ43" i="10"/>
  <c r="CR20" i="10"/>
  <c r="CR46" i="10" s="1"/>
  <c r="CR12" i="10"/>
  <c r="CR11" i="10"/>
  <c r="CR13" i="10"/>
  <c r="CR14" i="10"/>
  <c r="CO27" i="10"/>
  <c r="CO24" i="10"/>
  <c r="CO25" i="10"/>
  <c r="CO23" i="10"/>
  <c r="CO26" i="10"/>
  <c r="CR4" i="10"/>
  <c r="CS5" i="10"/>
  <c r="CR8" i="10"/>
  <c r="CR10" i="10"/>
  <c r="CR7" i="10"/>
  <c r="CR9" i="10"/>
  <c r="CR6" i="10"/>
  <c r="CN36" i="10"/>
  <c r="CN38" i="10" s="1"/>
  <c r="CN39" i="10" s="1"/>
  <c r="CN40" i="10" s="1"/>
  <c r="CN49" i="10" s="1"/>
  <c r="CM39" i="10"/>
  <c r="CM40" i="10" s="1"/>
  <c r="CM49" i="10" s="1"/>
  <c r="CP47" i="10"/>
  <c r="CQ19" i="10"/>
  <c r="EB69" i="38" l="1"/>
  <c r="EB47" i="38"/>
  <c r="EB68" i="38"/>
  <c r="EB48" i="38"/>
  <c r="EB70" i="38"/>
  <c r="EB23" i="38"/>
  <c r="EB85" i="38"/>
  <c r="EB40" i="38"/>
  <c r="EB14" i="38"/>
  <c r="EB12" i="38"/>
  <c r="EB13" i="38"/>
  <c r="EB42" i="38"/>
  <c r="EC3" i="38"/>
  <c r="F108" i="23"/>
  <c r="G108" i="23"/>
  <c r="CP28" i="10"/>
  <c r="CP35" i="10"/>
  <c r="CP34" i="10"/>
  <c r="CP30" i="10"/>
  <c r="CP31" i="10"/>
  <c r="CP29" i="10"/>
  <c r="CP32" i="10"/>
  <c r="CP33" i="10"/>
  <c r="CS16" i="10"/>
  <c r="CS15" i="10"/>
  <c r="CS18" i="10"/>
  <c r="CS17" i="10"/>
  <c r="CR43" i="10"/>
  <c r="CR44" i="10"/>
  <c r="CR45" i="10"/>
  <c r="CS20" i="10"/>
  <c r="CS43" i="10" s="1"/>
  <c r="CS13" i="10"/>
  <c r="CS12" i="10"/>
  <c r="CS11" i="10"/>
  <c r="CS14" i="10"/>
  <c r="CP24" i="10"/>
  <c r="CP27" i="10"/>
  <c r="CP25" i="10"/>
  <c r="CP26" i="10"/>
  <c r="CP23" i="10"/>
  <c r="CS4" i="10"/>
  <c r="CT5" i="10"/>
  <c r="CS7" i="10"/>
  <c r="CS9" i="10"/>
  <c r="CS6" i="10"/>
  <c r="CS8" i="10"/>
  <c r="CS10" i="10"/>
  <c r="CR19" i="10"/>
  <c r="CO36" i="10"/>
  <c r="CO38" i="10" s="1"/>
  <c r="CQ47" i="10"/>
  <c r="EC69" i="38" l="1"/>
  <c r="EC68" i="38"/>
  <c r="EC85" i="38"/>
  <c r="EC47" i="38"/>
  <c r="EC70" i="38"/>
  <c r="EC12" i="38"/>
  <c r="EC23" i="38"/>
  <c r="EC40" i="38"/>
  <c r="EC14" i="38"/>
  <c r="EC42" i="38"/>
  <c r="EC48" i="38"/>
  <c r="EC13" i="38"/>
  <c r="ED3" i="38"/>
  <c r="CQ32" i="10"/>
  <c r="CQ33" i="10"/>
  <c r="CQ29" i="10"/>
  <c r="CQ30" i="10"/>
  <c r="CQ34" i="10"/>
  <c r="CQ31" i="10"/>
  <c r="CQ35" i="10"/>
  <c r="CQ28" i="10"/>
  <c r="CT17" i="10"/>
  <c r="CT16" i="10"/>
  <c r="CT18" i="10"/>
  <c r="CT15" i="10"/>
  <c r="CS44" i="10"/>
  <c r="CS45" i="10"/>
  <c r="CS46" i="10"/>
  <c r="CT20" i="10"/>
  <c r="CT46" i="10" s="1"/>
  <c r="CT13" i="10"/>
  <c r="CT12" i="10"/>
  <c r="CT11" i="10"/>
  <c r="CT14" i="10"/>
  <c r="CQ25" i="10"/>
  <c r="CQ23" i="10"/>
  <c r="CQ24" i="10"/>
  <c r="CQ26" i="10"/>
  <c r="CQ27" i="10"/>
  <c r="CR47" i="10"/>
  <c r="CS19" i="10"/>
  <c r="CT4" i="10"/>
  <c r="CT10" i="10"/>
  <c r="CT9" i="10"/>
  <c r="CU5" i="10"/>
  <c r="CT6" i="10"/>
  <c r="CT8" i="10"/>
  <c r="CT7" i="10"/>
  <c r="CO39" i="10"/>
  <c r="CO40" i="10" s="1"/>
  <c r="CO49" i="10" s="1"/>
  <c r="CP36" i="10"/>
  <c r="CP38" i="10" s="1"/>
  <c r="ED48" i="38" l="1"/>
  <c r="ED70" i="38"/>
  <c r="ED85" i="38"/>
  <c r="ED68" i="38"/>
  <c r="ED23" i="38"/>
  <c r="ED42" i="38"/>
  <c r="ED40" i="38"/>
  <c r="ED69" i="38"/>
  <c r="ED12" i="38"/>
  <c r="ED14" i="38"/>
  <c r="ED47" i="38"/>
  <c r="ED13" i="38"/>
  <c r="EE3" i="38"/>
  <c r="CR28" i="10"/>
  <c r="CR32" i="10"/>
  <c r="CR33" i="10"/>
  <c r="CR29" i="10"/>
  <c r="CR35" i="10"/>
  <c r="CR31" i="10"/>
  <c r="CR30" i="10"/>
  <c r="CR34" i="10"/>
  <c r="CU15" i="10"/>
  <c r="CU17" i="10"/>
  <c r="CU16" i="10"/>
  <c r="CU18" i="10"/>
  <c r="CT43" i="10"/>
  <c r="CT44" i="10"/>
  <c r="CT45" i="10"/>
  <c r="CU20" i="10"/>
  <c r="CU45" i="10" s="1"/>
  <c r="CU11" i="10"/>
  <c r="CU13" i="10"/>
  <c r="CU12" i="10"/>
  <c r="CU14" i="10"/>
  <c r="CR27" i="10"/>
  <c r="CR24" i="10"/>
  <c r="CR23" i="10"/>
  <c r="CR26" i="10"/>
  <c r="CR25" i="10"/>
  <c r="CS47" i="10"/>
  <c r="CV5" i="10"/>
  <c r="CU7" i="10"/>
  <c r="CU4" i="10"/>
  <c r="CU10" i="10"/>
  <c r="CU8" i="10"/>
  <c r="CU9" i="10"/>
  <c r="CU6" i="10"/>
  <c r="CT19" i="10"/>
  <c r="CP39" i="10"/>
  <c r="CP40" i="10" s="1"/>
  <c r="CP49" i="10" s="1"/>
  <c r="CQ36" i="10"/>
  <c r="CQ38" i="10" s="1"/>
  <c r="EE42" i="38" l="1"/>
  <c r="EE68" i="38"/>
  <c r="EE69" i="38"/>
  <c r="EE47" i="38"/>
  <c r="EE48" i="38"/>
  <c r="EE70" i="38"/>
  <c r="EE85" i="38"/>
  <c r="EE40" i="38"/>
  <c r="EE23" i="38"/>
  <c r="EE12" i="38"/>
  <c r="EE14" i="38"/>
  <c r="EE13" i="38"/>
  <c r="EF3" i="38"/>
  <c r="CS29" i="10"/>
  <c r="CS33" i="10"/>
  <c r="CS30" i="10"/>
  <c r="CS35" i="10"/>
  <c r="CS34" i="10"/>
  <c r="CS31" i="10"/>
  <c r="CS28" i="10"/>
  <c r="CS32" i="10"/>
  <c r="CV15" i="10"/>
  <c r="CV17" i="10"/>
  <c r="CV18" i="10"/>
  <c r="CV16" i="10"/>
  <c r="CU43" i="10"/>
  <c r="CU44" i="10"/>
  <c r="CU46" i="10"/>
  <c r="CV20" i="10"/>
  <c r="CV46" i="10" s="1"/>
  <c r="CV12" i="10"/>
  <c r="CV11" i="10"/>
  <c r="CV14" i="10"/>
  <c r="CV13" i="10"/>
  <c r="CS27" i="10"/>
  <c r="CS26" i="10"/>
  <c r="CS24" i="10"/>
  <c r="CS23" i="10"/>
  <c r="CS25" i="10"/>
  <c r="CR36" i="10"/>
  <c r="CR38" i="10" s="1"/>
  <c r="CR39" i="10" s="1"/>
  <c r="CR40" i="10" s="1"/>
  <c r="CR49" i="10" s="1"/>
  <c r="CV7" i="10"/>
  <c r="CV6" i="10"/>
  <c r="CV8" i="10"/>
  <c r="CV9" i="10"/>
  <c r="CV10" i="10"/>
  <c r="CV4" i="10"/>
  <c r="CW5" i="10"/>
  <c r="CU19" i="10"/>
  <c r="CT47" i="10"/>
  <c r="CQ39" i="10"/>
  <c r="CQ40" i="10" s="1"/>
  <c r="CQ49" i="10" s="1"/>
  <c r="B49" i="9"/>
  <c r="C33" i="31" s="1"/>
  <c r="B34" i="9"/>
  <c r="C18" i="31" s="1"/>
  <c r="B35" i="9"/>
  <c r="C19" i="31" s="1"/>
  <c r="B36" i="9"/>
  <c r="C20" i="31" s="1"/>
  <c r="B37" i="9"/>
  <c r="C21" i="31" s="1"/>
  <c r="B39" i="9"/>
  <c r="C23" i="31" s="1"/>
  <c r="B42" i="9"/>
  <c r="C26" i="31" s="1"/>
  <c r="B45" i="9"/>
  <c r="C29" i="31" s="1"/>
  <c r="B46" i="9"/>
  <c r="C30" i="31" s="1"/>
  <c r="B47" i="9"/>
  <c r="C31" i="31" s="1"/>
  <c r="B48" i="9"/>
  <c r="C32" i="31" s="1"/>
  <c r="B26" i="9"/>
  <c r="C11" i="31" s="1"/>
  <c r="F5" i="9"/>
  <c r="I170" i="1"/>
  <c r="I153" i="1"/>
  <c r="EF42" i="38" l="1"/>
  <c r="EF69" i="38"/>
  <c r="EF85" i="38"/>
  <c r="EF48" i="38"/>
  <c r="EF68" i="38"/>
  <c r="EF70" i="38"/>
  <c r="EF23" i="38"/>
  <c r="EF40" i="38"/>
  <c r="EF47" i="38"/>
  <c r="EF13" i="38"/>
  <c r="EF12" i="38"/>
  <c r="EF14" i="38"/>
  <c r="EG3" i="38"/>
  <c r="J13" i="30"/>
  <c r="CT29" i="10"/>
  <c r="CT35" i="10"/>
  <c r="CT30" i="10"/>
  <c r="CT31" i="10"/>
  <c r="CT28" i="10"/>
  <c r="CT34" i="10"/>
  <c r="CT33" i="10"/>
  <c r="CT32" i="10"/>
  <c r="CW16" i="10"/>
  <c r="CW15" i="10"/>
  <c r="CW18" i="10"/>
  <c r="CW17" i="10"/>
  <c r="CV44" i="10"/>
  <c r="CV45" i="10"/>
  <c r="CV43" i="10"/>
  <c r="CW20" i="10"/>
  <c r="CW46" i="10" s="1"/>
  <c r="CW13" i="10"/>
  <c r="CW12" i="10"/>
  <c r="CW11" i="10"/>
  <c r="CW14" i="10"/>
  <c r="CT24" i="10"/>
  <c r="CT27" i="10"/>
  <c r="CT25" i="10"/>
  <c r="CT23" i="10"/>
  <c r="CT26" i="10"/>
  <c r="CS36" i="10"/>
  <c r="CS38" i="10" s="1"/>
  <c r="CS39" i="10" s="1"/>
  <c r="CS40" i="10" s="1"/>
  <c r="CS49" i="10" s="1"/>
  <c r="CV19" i="10"/>
  <c r="CW9" i="10"/>
  <c r="CW6" i="10"/>
  <c r="CW10" i="10"/>
  <c r="CW4" i="10"/>
  <c r="CW7" i="10"/>
  <c r="CW8" i="10"/>
  <c r="CX5" i="10"/>
  <c r="CU47" i="10"/>
  <c r="B7" i="9"/>
  <c r="F6" i="9"/>
  <c r="F4" i="9"/>
  <c r="E6" i="9"/>
  <c r="B27" i="9" s="1"/>
  <c r="C12" i="31" s="1"/>
  <c r="B25" i="9"/>
  <c r="C10" i="31" s="1"/>
  <c r="I5" i="9"/>
  <c r="B6" i="9"/>
  <c r="C6" i="9"/>
  <c r="O6" i="9"/>
  <c r="M6" i="9"/>
  <c r="I6" i="9"/>
  <c r="K6" i="9"/>
  <c r="O3" i="9"/>
  <c r="K144" i="1"/>
  <c r="K146" i="1" s="1"/>
  <c r="EG85" i="38" l="1"/>
  <c r="EG70" i="38"/>
  <c r="EG47" i="38"/>
  <c r="EG23" i="38"/>
  <c r="EG42" i="38"/>
  <c r="EG69" i="38"/>
  <c r="EG68" i="38"/>
  <c r="EG12" i="38"/>
  <c r="EG14" i="38"/>
  <c r="EG48" i="38"/>
  <c r="EG40" i="38"/>
  <c r="EG13" i="38"/>
  <c r="E9" i="9"/>
  <c r="EH3" i="38"/>
  <c r="C7" i="9"/>
  <c r="G7" i="30"/>
  <c r="I165" i="1"/>
  <c r="J22" i="30" s="1"/>
  <c r="CU29" i="10"/>
  <c r="CU35" i="10"/>
  <c r="CU30" i="10"/>
  <c r="CU34" i="10"/>
  <c r="CU32" i="10"/>
  <c r="CU28" i="10"/>
  <c r="CU33" i="10"/>
  <c r="CU31" i="10"/>
  <c r="CX17" i="10"/>
  <c r="CX16" i="10"/>
  <c r="CX18" i="10"/>
  <c r="CX15" i="10"/>
  <c r="CW45" i="10"/>
  <c r="CW43" i="10"/>
  <c r="CW44" i="10"/>
  <c r="CX20" i="10"/>
  <c r="CX46" i="10" s="1"/>
  <c r="CX13" i="10"/>
  <c r="CX12" i="10"/>
  <c r="CX11" i="10"/>
  <c r="CX14" i="10"/>
  <c r="CU24" i="10"/>
  <c r="CU27" i="10"/>
  <c r="CU25" i="10"/>
  <c r="CU26" i="10"/>
  <c r="CU23" i="10"/>
  <c r="CV47" i="10"/>
  <c r="CW19" i="10"/>
  <c r="CT36" i="10"/>
  <c r="CT38" i="10" s="1"/>
  <c r="CT39" i="10" s="1"/>
  <c r="CT40" i="10" s="1"/>
  <c r="CT49" i="10" s="1"/>
  <c r="CX10" i="10"/>
  <c r="CX9" i="10"/>
  <c r="CX6" i="10"/>
  <c r="CX7" i="10"/>
  <c r="CX4" i="10"/>
  <c r="CY5" i="10"/>
  <c r="CX8" i="10"/>
  <c r="H154" i="1"/>
  <c r="H159" i="1"/>
  <c r="G145" i="1"/>
  <c r="C3" i="9"/>
  <c r="O54" i="1"/>
  <c r="EH85" i="38" l="1"/>
  <c r="EH68" i="38"/>
  <c r="EH12" i="38"/>
  <c r="EH70" i="38"/>
  <c r="EH69" i="38"/>
  <c r="EH23" i="38"/>
  <c r="EH47" i="38"/>
  <c r="EH14" i="38"/>
  <c r="EH48" i="38"/>
  <c r="EH42" i="38"/>
  <c r="EH13" i="38"/>
  <c r="EH40" i="38"/>
  <c r="EI3" i="38"/>
  <c r="J154" i="1"/>
  <c r="I14" i="30"/>
  <c r="K7" i="30"/>
  <c r="J7" i="30"/>
  <c r="J159" i="1"/>
  <c r="I18" i="30"/>
  <c r="E16" i="6"/>
  <c r="H169" i="1"/>
  <c r="CV28" i="10"/>
  <c r="CV30" i="10"/>
  <c r="CV35" i="10"/>
  <c r="CV31" i="10"/>
  <c r="CV34" i="10"/>
  <c r="CV29" i="10"/>
  <c r="CV33" i="10"/>
  <c r="CV32" i="10"/>
  <c r="CY15" i="10"/>
  <c r="CY17" i="10"/>
  <c r="CY16" i="10"/>
  <c r="CY18" i="10"/>
  <c r="CX44" i="10"/>
  <c r="CX45" i="10"/>
  <c r="CX43" i="10"/>
  <c r="CY20" i="10"/>
  <c r="CY45" i="10" s="1"/>
  <c r="CY11" i="10"/>
  <c r="CY13" i="10"/>
  <c r="CY12" i="10"/>
  <c r="CY14" i="10"/>
  <c r="G128" i="1"/>
  <c r="I128" i="1" s="1"/>
  <c r="G127" i="1"/>
  <c r="I127" i="1" s="1"/>
  <c r="CV27" i="10"/>
  <c r="CV26" i="10"/>
  <c r="CV24" i="10"/>
  <c r="CV23" i="10"/>
  <c r="CV25" i="10"/>
  <c r="I129" i="1"/>
  <c r="CW47" i="10"/>
  <c r="CX19" i="10"/>
  <c r="CY4" i="10"/>
  <c r="CY6" i="10"/>
  <c r="CY9" i="10"/>
  <c r="CY10" i="10"/>
  <c r="CZ5" i="10"/>
  <c r="CY8" i="10"/>
  <c r="CY7" i="10"/>
  <c r="CU36" i="10"/>
  <c r="CU38" i="10" s="1"/>
  <c r="CU39" i="10" s="1"/>
  <c r="CU40" i="10" s="1"/>
  <c r="CU49" i="10" s="1"/>
  <c r="EI69" i="38" l="1"/>
  <c r="EI47" i="38"/>
  <c r="EI48" i="38"/>
  <c r="EI68" i="38"/>
  <c r="EI70" i="38"/>
  <c r="EI85" i="38"/>
  <c r="EI23" i="38"/>
  <c r="EI14" i="38"/>
  <c r="EI40" i="38"/>
  <c r="EI12" i="38"/>
  <c r="EI42" i="38"/>
  <c r="EI13" i="38"/>
  <c r="EJ3" i="38"/>
  <c r="J127" i="1"/>
  <c r="J128" i="1"/>
  <c r="J129" i="1"/>
  <c r="I159" i="1"/>
  <c r="K18" i="30"/>
  <c r="I154" i="1"/>
  <c r="K14" i="30"/>
  <c r="CW30" i="10"/>
  <c r="CW29" i="10"/>
  <c r="CW35" i="10"/>
  <c r="CW28" i="10"/>
  <c r="CW34" i="10"/>
  <c r="CW33" i="10"/>
  <c r="CW32" i="10"/>
  <c r="CW31" i="10"/>
  <c r="CZ15" i="10"/>
  <c r="CZ16" i="10"/>
  <c r="CZ17" i="10"/>
  <c r="CZ18" i="10"/>
  <c r="CY44" i="10"/>
  <c r="CY46" i="10"/>
  <c r="CY43" i="10"/>
  <c r="CZ20" i="10"/>
  <c r="CZ46" i="10" s="1"/>
  <c r="CZ12" i="10"/>
  <c r="CZ11" i="10"/>
  <c r="CZ14" i="10"/>
  <c r="CZ13" i="10"/>
  <c r="CW23" i="10"/>
  <c r="CW24" i="10"/>
  <c r="CW27" i="10"/>
  <c r="CW26" i="10"/>
  <c r="CW25" i="10"/>
  <c r="CV36" i="10"/>
  <c r="CV38" i="10" s="1"/>
  <c r="CV39" i="10" s="1"/>
  <c r="CV40" i="10" s="1"/>
  <c r="CV49" i="10" s="1"/>
  <c r="CY19" i="10"/>
  <c r="CZ7" i="10"/>
  <c r="CZ4" i="10"/>
  <c r="CZ6" i="10"/>
  <c r="CZ8" i="10"/>
  <c r="CZ10" i="10"/>
  <c r="CZ9" i="10"/>
  <c r="DA5" i="10"/>
  <c r="CX47" i="10"/>
  <c r="I151" i="1"/>
  <c r="J169" i="1"/>
  <c r="J171" i="1" s="1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2" i="8"/>
  <c r="K4" i="1"/>
  <c r="G5" i="3"/>
  <c r="D9" i="3"/>
  <c r="J4" i="7"/>
  <c r="E5" i="6"/>
  <c r="D6" i="3"/>
  <c r="D7" i="3"/>
  <c r="H17" i="6"/>
  <c r="G17" i="6" s="1"/>
  <c r="J4" i="6"/>
  <c r="G11" i="2"/>
  <c r="J4" i="2"/>
  <c r="J9" i="2" s="1"/>
  <c r="G2" i="3"/>
  <c r="G3" i="3"/>
  <c r="H4" i="3"/>
  <c r="F11" i="1"/>
  <c r="EJ70" i="38" l="1"/>
  <c r="EJ69" i="38"/>
  <c r="EJ85" i="38"/>
  <c r="EJ68" i="38"/>
  <c r="EJ48" i="38"/>
  <c r="EJ47" i="38"/>
  <c r="EJ23" i="38"/>
  <c r="EJ40" i="38"/>
  <c r="EJ12" i="38"/>
  <c r="EJ14" i="38"/>
  <c r="EJ13" i="38"/>
  <c r="EJ42" i="38"/>
  <c r="EK3" i="38"/>
  <c r="H61" i="3"/>
  <c r="J9" i="7"/>
  <c r="J14" i="7"/>
  <c r="J131" i="1"/>
  <c r="J14" i="30"/>
  <c r="J11" i="30"/>
  <c r="J18" i="30"/>
  <c r="J16" i="6"/>
  <c r="G72" i="3"/>
  <c r="CX29" i="10"/>
  <c r="CX35" i="10"/>
  <c r="CX30" i="10"/>
  <c r="CX34" i="10"/>
  <c r="CX28" i="10"/>
  <c r="CX31" i="10"/>
  <c r="CX33" i="10"/>
  <c r="CX32" i="10"/>
  <c r="DA16" i="10"/>
  <c r="DA15" i="10"/>
  <c r="DA18" i="10"/>
  <c r="DA17" i="10"/>
  <c r="CZ44" i="10"/>
  <c r="CZ43" i="10"/>
  <c r="CZ45" i="10"/>
  <c r="DA20" i="10"/>
  <c r="DA45" i="10" s="1"/>
  <c r="DA13" i="10"/>
  <c r="DA12" i="10"/>
  <c r="DA11" i="10"/>
  <c r="DA14" i="10"/>
  <c r="J8" i="7"/>
  <c r="F86" i="3"/>
  <c r="J85" i="3" s="1"/>
  <c r="K5" i="1"/>
  <c r="J11" i="7"/>
  <c r="J12" i="7"/>
  <c r="J13" i="7"/>
  <c r="CX23" i="10"/>
  <c r="CX24" i="10"/>
  <c r="CX27" i="10"/>
  <c r="CX25" i="10"/>
  <c r="CX26" i="10"/>
  <c r="D4" i="7"/>
  <c r="J11" i="2"/>
  <c r="J13" i="6"/>
  <c r="J14" i="6"/>
  <c r="F13" i="1"/>
  <c r="J15" i="7"/>
  <c r="CZ19" i="10"/>
  <c r="CW36" i="10"/>
  <c r="CW38" i="10" s="1"/>
  <c r="CW39" i="10" s="1"/>
  <c r="CW40" i="10" s="1"/>
  <c r="CW49" i="10" s="1"/>
  <c r="DA6" i="10"/>
  <c r="DA7" i="10"/>
  <c r="DA9" i="10"/>
  <c r="DB5" i="10"/>
  <c r="DA8" i="10"/>
  <c r="DA10" i="10"/>
  <c r="DA4" i="10"/>
  <c r="CY47" i="10"/>
  <c r="H12" i="3"/>
  <c r="H13" i="3"/>
  <c r="H16" i="3"/>
  <c r="H17" i="3"/>
  <c r="H14" i="3"/>
  <c r="H18" i="3"/>
  <c r="J7" i="6"/>
  <c r="J11" i="6"/>
  <c r="J7" i="2"/>
  <c r="J6" i="2"/>
  <c r="J5" i="2"/>
  <c r="J10" i="2"/>
  <c r="K4" i="11"/>
  <c r="H5" i="3"/>
  <c r="G16" i="7"/>
  <c r="J16" i="7" s="1"/>
  <c r="I169" i="1"/>
  <c r="I171" i="1" s="1"/>
  <c r="K4" i="6"/>
  <c r="K4" i="7"/>
  <c r="J10" i="7"/>
  <c r="J6" i="7"/>
  <c r="J5" i="7"/>
  <c r="J7" i="7"/>
  <c r="J5" i="6"/>
  <c r="J10" i="6"/>
  <c r="J9" i="6"/>
  <c r="J8" i="6"/>
  <c r="I4" i="3"/>
  <c r="I61" i="3" s="1"/>
  <c r="K4" i="2"/>
  <c r="K9" i="2" s="1"/>
  <c r="J8" i="2"/>
  <c r="H3" i="3"/>
  <c r="H2" i="3"/>
  <c r="J7" i="38" s="1" a="1"/>
  <c r="J7" i="38" s="1"/>
  <c r="K7" i="38" s="1"/>
  <c r="L7" i="38" s="1"/>
  <c r="M7" i="38" s="1"/>
  <c r="N7" i="38" s="1"/>
  <c r="O7" i="38" s="1"/>
  <c r="P7" i="38" s="1"/>
  <c r="Q7" i="38" s="1"/>
  <c r="R7" i="38" s="1"/>
  <c r="S7" i="38" s="1"/>
  <c r="T7" i="38" s="1"/>
  <c r="U7" i="38" s="1"/>
  <c r="V7" i="38" s="1"/>
  <c r="W7" i="38" s="1"/>
  <c r="X7" i="38" s="1"/>
  <c r="Y7" i="38" s="1"/>
  <c r="Z7" i="38" s="1"/>
  <c r="AA7" i="38" s="1"/>
  <c r="AB7" i="38" s="1"/>
  <c r="AC7" i="38" s="1"/>
  <c r="AD7" i="38" s="1"/>
  <c r="AE7" i="38" s="1"/>
  <c r="AF7" i="38" s="1"/>
  <c r="AG7" i="38" s="1"/>
  <c r="AH7" i="38" s="1"/>
  <c r="AI7" i="38" s="1"/>
  <c r="AJ7" i="38" s="1"/>
  <c r="AK7" i="38" s="1"/>
  <c r="AL7" i="38" s="1"/>
  <c r="AM7" i="38" s="1"/>
  <c r="AN7" i="38" s="1"/>
  <c r="AO7" i="38" s="1"/>
  <c r="AP7" i="38" s="1"/>
  <c r="AQ7" i="38" s="1"/>
  <c r="AR7" i="38" s="1"/>
  <c r="AS7" i="38" s="1"/>
  <c r="AT7" i="38" s="1"/>
  <c r="AU7" i="38" s="1"/>
  <c r="AV7" i="38" s="1"/>
  <c r="AW7" i="38" s="1"/>
  <c r="AX7" i="38" s="1"/>
  <c r="AY7" i="38" s="1"/>
  <c r="AZ7" i="38" s="1"/>
  <c r="BA7" i="38" s="1"/>
  <c r="BB7" i="38" s="1"/>
  <c r="BC7" i="38" s="1"/>
  <c r="BD7" i="38" s="1"/>
  <c r="BE7" i="38" s="1"/>
  <c r="BF7" i="38" s="1"/>
  <c r="BG7" i="38" s="1"/>
  <c r="BH7" i="38" s="1"/>
  <c r="BI7" i="38" s="1"/>
  <c r="BJ7" i="38" s="1"/>
  <c r="BK7" i="38" s="1"/>
  <c r="BL7" i="38" s="1"/>
  <c r="BM7" i="38" s="1"/>
  <c r="BN7" i="38" s="1"/>
  <c r="BO7" i="38" s="1"/>
  <c r="BP7" i="38" s="1"/>
  <c r="BQ7" i="38" s="1"/>
  <c r="BR7" i="38" s="1"/>
  <c r="BS7" i="38" s="1"/>
  <c r="BT7" i="38" s="1"/>
  <c r="BU7" i="38" s="1"/>
  <c r="BV7" i="38" s="1"/>
  <c r="BW7" i="38" s="1"/>
  <c r="BX7" i="38" s="1"/>
  <c r="BY7" i="38" s="1"/>
  <c r="BZ7" i="38" s="1"/>
  <c r="CA7" i="38" s="1"/>
  <c r="CB7" i="38" s="1"/>
  <c r="CC7" i="38" s="1"/>
  <c r="CD7" i="38" s="1"/>
  <c r="CE7" i="38" s="1"/>
  <c r="CF7" i="38" s="1"/>
  <c r="CG7" i="38" s="1"/>
  <c r="CH7" i="38" s="1"/>
  <c r="CI7" i="38" s="1"/>
  <c r="CJ7" i="38" s="1"/>
  <c r="CK7" i="38" s="1"/>
  <c r="CL7" i="38" s="1"/>
  <c r="CM7" i="38" s="1"/>
  <c r="CN7" i="38" s="1"/>
  <c r="CO7" i="38" s="1"/>
  <c r="CP7" i="38" s="1"/>
  <c r="CQ7" i="38" s="1"/>
  <c r="CR7" i="38" s="1"/>
  <c r="CS7" i="38" s="1"/>
  <c r="CT7" i="38" s="1"/>
  <c r="CU7" i="38" s="1"/>
  <c r="CV7" i="38" s="1"/>
  <c r="CW7" i="38" s="1"/>
  <c r="CX7" i="38" s="1"/>
  <c r="CY7" i="38" s="1"/>
  <c r="CZ7" i="38" s="1"/>
  <c r="DA7" i="38" s="1"/>
  <c r="DB7" i="38" s="1"/>
  <c r="DC7" i="38" s="1"/>
  <c r="DD7" i="38" s="1"/>
  <c r="DE7" i="38" s="1"/>
  <c r="DF7" i="38" s="1"/>
  <c r="DG7" i="38" s="1"/>
  <c r="DH7" i="38" s="1"/>
  <c r="DI7" i="38" s="1"/>
  <c r="DJ7" i="38" s="1"/>
  <c r="DK7" i="38" s="1"/>
  <c r="DL7" i="38" s="1"/>
  <c r="DM7" i="38" s="1"/>
  <c r="DN7" i="38" s="1"/>
  <c r="DO7" i="38" s="1"/>
  <c r="DP7" i="38" s="1"/>
  <c r="DQ7" i="38" s="1"/>
  <c r="DR7" i="38" s="1"/>
  <c r="DS7" i="38" s="1"/>
  <c r="DT7" i="38" s="1"/>
  <c r="DU7" i="38" s="1"/>
  <c r="DV7" i="38" s="1"/>
  <c r="DW7" i="38" s="1"/>
  <c r="DX7" i="38" s="1"/>
  <c r="DY7" i="38" s="1"/>
  <c r="DZ7" i="38" s="1"/>
  <c r="EA7" i="38" s="1"/>
  <c r="EB7" i="38" s="1"/>
  <c r="EC7" i="38" s="1"/>
  <c r="ED7" i="38" s="1"/>
  <c r="EE7" i="38" s="1"/>
  <c r="EF7" i="38" s="1"/>
  <c r="EG7" i="38" s="1"/>
  <c r="EH7" i="38" s="1"/>
  <c r="EI7" i="38" s="1"/>
  <c r="EJ7" i="38" s="1"/>
  <c r="EK7" i="38" s="1"/>
  <c r="EK69" i="38" l="1"/>
  <c r="EK48" i="38"/>
  <c r="EK68" i="38"/>
  <c r="EK47" i="38"/>
  <c r="EK23" i="38"/>
  <c r="EK70" i="38"/>
  <c r="EK85" i="38"/>
  <c r="EK40" i="38"/>
  <c r="EK12" i="38"/>
  <c r="EK42" i="38"/>
  <c r="EK14" i="38"/>
  <c r="EK13" i="38"/>
  <c r="K9" i="7"/>
  <c r="K14" i="7"/>
  <c r="K6" i="30"/>
  <c r="H164" i="1"/>
  <c r="E13" i="9"/>
  <c r="H120" i="3"/>
  <c r="J152" i="1"/>
  <c r="CY29" i="10"/>
  <c r="CY35" i="10"/>
  <c r="CY34" i="10"/>
  <c r="CY30" i="10"/>
  <c r="CY32" i="10"/>
  <c r="CY31" i="10"/>
  <c r="CY33" i="10"/>
  <c r="CY28" i="10"/>
  <c r="DB17" i="10"/>
  <c r="DB16" i="10"/>
  <c r="DB15" i="10"/>
  <c r="DB18" i="10"/>
  <c r="DA46" i="10"/>
  <c r="DA43" i="10"/>
  <c r="DA44" i="10"/>
  <c r="DB20" i="10"/>
  <c r="DB43" i="10" s="1"/>
  <c r="DB13" i="10"/>
  <c r="DB12" i="10"/>
  <c r="DB11" i="10"/>
  <c r="DB14" i="10"/>
  <c r="K8" i="7"/>
  <c r="K8" i="11"/>
  <c r="K15" i="6"/>
  <c r="K16" i="6"/>
  <c r="K17" i="6"/>
  <c r="K16" i="7"/>
  <c r="K11" i="7"/>
  <c r="K13" i="7"/>
  <c r="K12" i="7"/>
  <c r="CY24" i="10"/>
  <c r="CY25" i="10"/>
  <c r="CY26" i="10"/>
  <c r="CY27" i="10"/>
  <c r="CY23" i="10"/>
  <c r="K11" i="2"/>
  <c r="K11" i="6"/>
  <c r="K13" i="6"/>
  <c r="K14" i="6"/>
  <c r="J17" i="7"/>
  <c r="K15" i="7"/>
  <c r="K10" i="7"/>
  <c r="CX36" i="10"/>
  <c r="CX38" i="10" s="1"/>
  <c r="CX39" i="10" s="1"/>
  <c r="CX40" i="10" s="1"/>
  <c r="CX49" i="10" s="1"/>
  <c r="CZ47" i="10"/>
  <c r="DB8" i="10"/>
  <c r="DC5" i="10"/>
  <c r="DB10" i="10"/>
  <c r="DB9" i="10"/>
  <c r="DB4" i="10"/>
  <c r="DB7" i="10"/>
  <c r="DB6" i="10"/>
  <c r="DA19" i="10"/>
  <c r="H72" i="3"/>
  <c r="J12" i="2"/>
  <c r="I12" i="3"/>
  <c r="I16" i="3"/>
  <c r="I17" i="3"/>
  <c r="I13" i="3"/>
  <c r="I14" i="3"/>
  <c r="I18" i="3"/>
  <c r="K7" i="2"/>
  <c r="K6" i="2"/>
  <c r="K5" i="6"/>
  <c r="K7" i="6"/>
  <c r="K10" i="2"/>
  <c r="K5" i="2"/>
  <c r="K10" i="6"/>
  <c r="K5" i="11"/>
  <c r="I5" i="3"/>
  <c r="L4" i="11"/>
  <c r="K7" i="11"/>
  <c r="K9" i="11"/>
  <c r="K12" i="6"/>
  <c r="K8" i="6"/>
  <c r="K5" i="7"/>
  <c r="K9" i="6"/>
  <c r="K6" i="6"/>
  <c r="K7" i="7"/>
  <c r="L4" i="7"/>
  <c r="L4" i="6"/>
  <c r="I3" i="3"/>
  <c r="K6" i="7"/>
  <c r="J4" i="3"/>
  <c r="J61" i="3" s="1"/>
  <c r="L4" i="2"/>
  <c r="L9" i="2" s="1"/>
  <c r="K8" i="2"/>
  <c r="I2" i="3"/>
  <c r="L9" i="7" l="1"/>
  <c r="L14" i="7"/>
  <c r="J6" i="30"/>
  <c r="J8" i="30" s="1"/>
  <c r="K8" i="30"/>
  <c r="K12" i="30"/>
  <c r="H100" i="3"/>
  <c r="H93" i="3"/>
  <c r="F13" i="9"/>
  <c r="I120" i="3"/>
  <c r="E15" i="6"/>
  <c r="J15" i="6" s="1"/>
  <c r="CZ30" i="10"/>
  <c r="CZ34" i="10"/>
  <c r="CZ33" i="10"/>
  <c r="CZ31" i="10"/>
  <c r="CZ35" i="10"/>
  <c r="CZ32" i="10"/>
  <c r="CZ28" i="10"/>
  <c r="CZ29" i="10"/>
  <c r="DC15" i="10"/>
  <c r="DC17" i="10"/>
  <c r="DC16" i="10"/>
  <c r="DC18" i="10"/>
  <c r="DB44" i="10"/>
  <c r="DB45" i="10"/>
  <c r="DB46" i="10"/>
  <c r="DC20" i="10"/>
  <c r="DC45" i="10" s="1"/>
  <c r="DC11" i="10"/>
  <c r="DC13" i="10"/>
  <c r="DC14" i="10"/>
  <c r="DC12" i="10"/>
  <c r="L8" i="7"/>
  <c r="L8" i="11"/>
  <c r="L15" i="6"/>
  <c r="L16" i="6"/>
  <c r="L17" i="6"/>
  <c r="L16" i="7"/>
  <c r="L11" i="7"/>
  <c r="L12" i="7"/>
  <c r="L13" i="7"/>
  <c r="CZ25" i="10"/>
  <c r="CZ23" i="10"/>
  <c r="CZ26" i="10"/>
  <c r="CZ27" i="10"/>
  <c r="CZ24" i="10"/>
  <c r="I152" i="1"/>
  <c r="L11" i="2"/>
  <c r="L13" i="6"/>
  <c r="L14" i="6"/>
  <c r="L11" i="6"/>
  <c r="G7" i="3" a="1"/>
  <c r="G7" i="3" s="1"/>
  <c r="L15" i="7"/>
  <c r="G9" i="3" a="1"/>
  <c r="G9" i="3" s="1"/>
  <c r="G34" i="3" s="1"/>
  <c r="DC10" i="10"/>
  <c r="DC4" i="10"/>
  <c r="DD5" i="10"/>
  <c r="DC6" i="10"/>
  <c r="DC8" i="10"/>
  <c r="DC7" i="10"/>
  <c r="DC9" i="10"/>
  <c r="DA47" i="10"/>
  <c r="CY36" i="10"/>
  <c r="CY38" i="10" s="1"/>
  <c r="CY39" i="10" s="1"/>
  <c r="CY40" i="10" s="1"/>
  <c r="CY49" i="10" s="1"/>
  <c r="DB19" i="10"/>
  <c r="I72" i="3"/>
  <c r="K12" i="2"/>
  <c r="J12" i="3"/>
  <c r="J14" i="3"/>
  <c r="J13" i="3"/>
  <c r="J18" i="3"/>
  <c r="J16" i="3"/>
  <c r="J17" i="3"/>
  <c r="L6" i="2"/>
  <c r="L7" i="2"/>
  <c r="L7" i="6"/>
  <c r="L10" i="2"/>
  <c r="L5" i="2"/>
  <c r="L5" i="11"/>
  <c r="L9" i="11"/>
  <c r="L7" i="11"/>
  <c r="M4" i="11"/>
  <c r="J5" i="3"/>
  <c r="K5" i="9"/>
  <c r="E29" i="9" s="1"/>
  <c r="E11" i="9"/>
  <c r="E10" i="9"/>
  <c r="F15" i="9"/>
  <c r="K17" i="7"/>
  <c r="M4" i="7"/>
  <c r="M4" i="6"/>
  <c r="L10" i="6"/>
  <c r="L12" i="6"/>
  <c r="L8" i="6"/>
  <c r="L6" i="6"/>
  <c r="L5" i="6"/>
  <c r="L9" i="6"/>
  <c r="L6" i="7"/>
  <c r="L5" i="7"/>
  <c r="L7" i="7"/>
  <c r="L10" i="7"/>
  <c r="L8" i="2"/>
  <c r="K4" i="3"/>
  <c r="K61" i="3" s="1"/>
  <c r="M4" i="2"/>
  <c r="M9" i="2" s="1"/>
  <c r="J3" i="3"/>
  <c r="J2" i="3"/>
  <c r="F25" i="9" l="1"/>
  <c r="F26" i="9"/>
  <c r="F18" i="9"/>
  <c r="E27" i="9"/>
  <c r="E28" i="9"/>
  <c r="E37" i="9"/>
  <c r="E36" i="9"/>
  <c r="F29" i="9"/>
  <c r="K8" i="38"/>
  <c r="F9" i="9"/>
  <c r="M9" i="7"/>
  <c r="M14" i="7"/>
  <c r="E41" i="9"/>
  <c r="E40" i="9"/>
  <c r="E34" i="9"/>
  <c r="E38" i="9"/>
  <c r="E20" i="9"/>
  <c r="E21" i="9" s="1"/>
  <c r="F14" i="9"/>
  <c r="J12" i="30"/>
  <c r="I100" i="3"/>
  <c r="I93" i="3"/>
  <c r="G13" i="9"/>
  <c r="J120" i="3"/>
  <c r="E44" i="9"/>
  <c r="F76" i="23"/>
  <c r="F80" i="23"/>
  <c r="F78" i="23"/>
  <c r="F79" i="23"/>
  <c r="F73" i="23"/>
  <c r="F77" i="23"/>
  <c r="F81" i="23"/>
  <c r="F74" i="23"/>
  <c r="F82" i="23"/>
  <c r="F75" i="23"/>
  <c r="E43" i="9"/>
  <c r="DA28" i="10"/>
  <c r="DA34" i="10"/>
  <c r="DA30" i="10"/>
  <c r="DA33" i="10"/>
  <c r="DA29" i="10"/>
  <c r="DA35" i="10"/>
  <c r="DA31" i="10"/>
  <c r="DA32" i="10"/>
  <c r="DD15" i="10"/>
  <c r="DD17" i="10"/>
  <c r="DD18" i="10"/>
  <c r="DD16" i="10"/>
  <c r="DC43" i="10"/>
  <c r="DC44" i="10"/>
  <c r="DC46" i="10"/>
  <c r="DD20" i="10"/>
  <c r="DD45" i="10" s="1"/>
  <c r="DD12" i="10"/>
  <c r="DD11" i="10"/>
  <c r="DD14" i="10"/>
  <c r="DD13" i="10"/>
  <c r="M8" i="7"/>
  <c r="G54" i="3"/>
  <c r="G36" i="3" s="1"/>
  <c r="J54" i="3"/>
  <c r="J36" i="3" s="1"/>
  <c r="M8" i="11"/>
  <c r="G59" i="3"/>
  <c r="J59" i="3"/>
  <c r="R4" i="23"/>
  <c r="M12" i="23" s="1"/>
  <c r="H11" i="11"/>
  <c r="G11" i="11" s="1"/>
  <c r="M11" i="11" s="1"/>
  <c r="M15" i="6"/>
  <c r="M16" i="6"/>
  <c r="M17" i="6"/>
  <c r="M16" i="7"/>
  <c r="M13" i="7"/>
  <c r="M12" i="7"/>
  <c r="M11" i="7"/>
  <c r="E12" i="9"/>
  <c r="DA24" i="10"/>
  <c r="DA25" i="10"/>
  <c r="DA26" i="10"/>
  <c r="DA23" i="10"/>
  <c r="DA27" i="10"/>
  <c r="D17" i="7"/>
  <c r="F15" i="1"/>
  <c r="R31" i="1" s="1"/>
  <c r="M11" i="2"/>
  <c r="M14" i="6"/>
  <c r="M13" i="6"/>
  <c r="H7" i="3" a="1"/>
  <c r="H7" i="3" s="1"/>
  <c r="M15" i="7"/>
  <c r="H9" i="3" a="1"/>
  <c r="H9" i="3" s="1"/>
  <c r="H34" i="3" s="1"/>
  <c r="CZ36" i="10"/>
  <c r="CZ38" i="10" s="1"/>
  <c r="CZ39" i="10" s="1"/>
  <c r="CZ40" i="10" s="1"/>
  <c r="CZ49" i="10" s="1"/>
  <c r="DC19" i="10"/>
  <c r="DB47" i="10"/>
  <c r="DD9" i="10"/>
  <c r="DD8" i="10"/>
  <c r="DD6" i="10"/>
  <c r="DD7" i="10"/>
  <c r="DD4" i="10"/>
  <c r="DD10" i="10"/>
  <c r="L12" i="2"/>
  <c r="J72" i="3"/>
  <c r="K12" i="3"/>
  <c r="K13" i="3"/>
  <c r="K14" i="3"/>
  <c r="K16" i="3"/>
  <c r="K17" i="3"/>
  <c r="K18" i="3"/>
  <c r="M7" i="6"/>
  <c r="M11" i="6"/>
  <c r="I38" i="1"/>
  <c r="M7" i="2"/>
  <c r="M6" i="2"/>
  <c r="M5" i="2"/>
  <c r="M10" i="2"/>
  <c r="M5" i="11"/>
  <c r="N4" i="11"/>
  <c r="K5" i="3"/>
  <c r="M7" i="11"/>
  <c r="M9" i="11"/>
  <c r="G15" i="9"/>
  <c r="F10" i="9"/>
  <c r="F11" i="9"/>
  <c r="F12" i="9"/>
  <c r="E39" i="9"/>
  <c r="E46" i="9"/>
  <c r="E35" i="9"/>
  <c r="E48" i="9"/>
  <c r="E42" i="9"/>
  <c r="L17" i="7"/>
  <c r="M5" i="6"/>
  <c r="M8" i="6"/>
  <c r="M12" i="6"/>
  <c r="M6" i="6"/>
  <c r="M9" i="6"/>
  <c r="M10" i="6"/>
  <c r="M5" i="7"/>
  <c r="M7" i="7"/>
  <c r="M6" i="7"/>
  <c r="M10" i="7"/>
  <c r="N4" i="6"/>
  <c r="N4" i="7"/>
  <c r="L4" i="3"/>
  <c r="L61" i="3" s="1"/>
  <c r="N4" i="2"/>
  <c r="N9" i="2" s="1"/>
  <c r="K3" i="3"/>
  <c r="M8" i="2"/>
  <c r="K2" i="3"/>
  <c r="K9" i="38" l="1"/>
  <c r="K11" i="38"/>
  <c r="K15" i="38"/>
  <c r="K17" i="38"/>
  <c r="K10" i="38"/>
  <c r="K16" i="38"/>
  <c r="K19" i="38"/>
  <c r="K20" i="38"/>
  <c r="K25" i="38"/>
  <c r="K21" i="38"/>
  <c r="K22" i="38"/>
  <c r="K24" i="38"/>
  <c r="K27" i="38"/>
  <c r="K29" i="38"/>
  <c r="K18" i="38"/>
  <c r="K26" i="38"/>
  <c r="K28" i="38"/>
  <c r="K31" i="38"/>
  <c r="K33" i="38"/>
  <c r="K35" i="38"/>
  <c r="K37" i="38"/>
  <c r="K32" i="38"/>
  <c r="K34" i="38"/>
  <c r="K30" i="38"/>
  <c r="K38" i="38"/>
  <c r="K36" i="38"/>
  <c r="K39" i="38"/>
  <c r="K41" i="38"/>
  <c r="K43" i="38"/>
  <c r="K45" i="38"/>
  <c r="K49" i="38"/>
  <c r="K51" i="38"/>
  <c r="K44" i="38"/>
  <c r="K46" i="38"/>
  <c r="K50" i="38"/>
  <c r="K54" i="38"/>
  <c r="K56" i="38"/>
  <c r="K52" i="38"/>
  <c r="K57" i="38"/>
  <c r="K58" i="38"/>
  <c r="K59" i="38"/>
  <c r="K61" i="38"/>
  <c r="K63" i="38"/>
  <c r="K55" i="38"/>
  <c r="K53" i="38"/>
  <c r="K60" i="38"/>
  <c r="K62" i="38"/>
  <c r="K66" i="38"/>
  <c r="K72" i="38"/>
  <c r="K74" i="38"/>
  <c r="K76" i="38"/>
  <c r="K64" i="38"/>
  <c r="K65" i="38"/>
  <c r="K67" i="38"/>
  <c r="K71" i="38"/>
  <c r="K73" i="38"/>
  <c r="K75" i="38"/>
  <c r="K78" i="38"/>
  <c r="K80" i="38"/>
  <c r="K82" i="38"/>
  <c r="K84" i="38"/>
  <c r="K77" i="38"/>
  <c r="K79" i="38"/>
  <c r="K81" i="38"/>
  <c r="K83" i="38"/>
  <c r="K86" i="38"/>
  <c r="G29" i="9"/>
  <c r="G25" i="9"/>
  <c r="G26" i="9"/>
  <c r="G18" i="9"/>
  <c r="L8" i="38"/>
  <c r="G9" i="9"/>
  <c r="N9" i="7"/>
  <c r="N14" i="7"/>
  <c r="F41" i="9"/>
  <c r="F40" i="9"/>
  <c r="F34" i="9"/>
  <c r="F38" i="9"/>
  <c r="E23" i="9"/>
  <c r="F20" i="9"/>
  <c r="G14" i="9"/>
  <c r="J100" i="3"/>
  <c r="J93" i="3"/>
  <c r="H13" i="9"/>
  <c r="K120" i="3"/>
  <c r="F44" i="9"/>
  <c r="F43" i="9"/>
  <c r="DB28" i="10"/>
  <c r="DB35" i="10"/>
  <c r="DB33" i="10"/>
  <c r="DB30" i="10"/>
  <c r="DB32" i="10"/>
  <c r="DB29" i="10"/>
  <c r="DB34" i="10"/>
  <c r="DB31" i="10"/>
  <c r="DD44" i="10"/>
  <c r="DD43" i="10"/>
  <c r="DD46" i="10"/>
  <c r="F58" i="9" a="1"/>
  <c r="F58" i="9" s="1"/>
  <c r="E58" i="9" a="1"/>
  <c r="E58" i="9" s="1"/>
  <c r="N8" i="7"/>
  <c r="N8" i="11"/>
  <c r="M13" i="23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L11" i="11"/>
  <c r="N15" i="6"/>
  <c r="N16" i="6"/>
  <c r="N17" i="6"/>
  <c r="N16" i="7"/>
  <c r="N11" i="7"/>
  <c r="N12" i="7"/>
  <c r="N13" i="7"/>
  <c r="DB24" i="10"/>
  <c r="DB23" i="10"/>
  <c r="DB27" i="10"/>
  <c r="DB25" i="10"/>
  <c r="DB26" i="10"/>
  <c r="N11" i="2"/>
  <c r="N13" i="6"/>
  <c r="N14" i="6"/>
  <c r="I7" i="3" a="1"/>
  <c r="I7" i="3" s="1"/>
  <c r="N15" i="7"/>
  <c r="I9" i="3" a="1"/>
  <c r="I9" i="3" s="1"/>
  <c r="I34" i="3" s="1"/>
  <c r="G58" i="9" a="1"/>
  <c r="G58" i="9" s="1"/>
  <c r="DC47" i="10"/>
  <c r="DD19" i="10"/>
  <c r="G110" i="3" a="1"/>
  <c r="G110" i="3" s="1"/>
  <c r="J110" i="3" a="1"/>
  <c r="J110" i="3" s="1"/>
  <c r="I110" i="3" a="1"/>
  <c r="I110" i="3" s="1"/>
  <c r="H110" i="3" a="1"/>
  <c r="H110" i="3" s="1"/>
  <c r="DA36" i="10"/>
  <c r="DA38" i="10" s="1"/>
  <c r="DA39" i="10" s="1"/>
  <c r="DA40" i="10" s="1"/>
  <c r="DA49" i="10" s="1"/>
  <c r="L110" i="3" a="1"/>
  <c r="L110" i="3" s="1"/>
  <c r="K110" i="3" a="1"/>
  <c r="K110" i="3" s="1"/>
  <c r="K72" i="3"/>
  <c r="M12" i="2"/>
  <c r="L14" i="3"/>
  <c r="L16" i="3"/>
  <c r="L12" i="3"/>
  <c r="L13" i="3"/>
  <c r="L17" i="3"/>
  <c r="L18" i="3"/>
  <c r="N7" i="6"/>
  <c r="N11" i="6"/>
  <c r="N7" i="2"/>
  <c r="N6" i="2"/>
  <c r="N5" i="2"/>
  <c r="N10" i="2"/>
  <c r="N5" i="11"/>
  <c r="N9" i="11"/>
  <c r="N7" i="11"/>
  <c r="O4" i="11"/>
  <c r="L5" i="3"/>
  <c r="F35" i="9"/>
  <c r="F39" i="9"/>
  <c r="F48" i="9"/>
  <c r="F46" i="9"/>
  <c r="F42" i="9"/>
  <c r="G11" i="9"/>
  <c r="H15" i="9"/>
  <c r="G12" i="9"/>
  <c r="G10" i="9"/>
  <c r="N5" i="7"/>
  <c r="N10" i="7"/>
  <c r="N6" i="7"/>
  <c r="N7" i="7"/>
  <c r="M17" i="7"/>
  <c r="O4" i="6"/>
  <c r="O4" i="7"/>
  <c r="N5" i="6"/>
  <c r="N10" i="6"/>
  <c r="N8" i="6"/>
  <c r="N9" i="6"/>
  <c r="N12" i="6"/>
  <c r="N8" i="2"/>
  <c r="M4" i="3"/>
  <c r="M54" i="3" s="1"/>
  <c r="O4" i="2"/>
  <c r="O9" i="2" s="1"/>
  <c r="L3" i="3"/>
  <c r="L2" i="3"/>
  <c r="E62" i="9" l="1"/>
  <c r="F62" i="9"/>
  <c r="L9" i="38"/>
  <c r="L11" i="38"/>
  <c r="L15" i="38"/>
  <c r="L17" i="38"/>
  <c r="L10" i="38"/>
  <c r="L16" i="38"/>
  <c r="L18" i="38"/>
  <c r="L19" i="38"/>
  <c r="L20" i="38"/>
  <c r="L21" i="38"/>
  <c r="L22" i="38"/>
  <c r="L25" i="38"/>
  <c r="L24" i="38"/>
  <c r="L29" i="38"/>
  <c r="L31" i="38"/>
  <c r="L33" i="38"/>
  <c r="L35" i="38"/>
  <c r="L26" i="38"/>
  <c r="L27" i="38"/>
  <c r="L28" i="38"/>
  <c r="L30" i="38"/>
  <c r="L32" i="38"/>
  <c r="L38" i="38"/>
  <c r="L34" i="38"/>
  <c r="L36" i="38"/>
  <c r="L39" i="38"/>
  <c r="L41" i="38"/>
  <c r="L43" i="38"/>
  <c r="L45" i="38"/>
  <c r="L49" i="38"/>
  <c r="L37" i="38"/>
  <c r="L51" i="38"/>
  <c r="L54" i="38"/>
  <c r="L56" i="38"/>
  <c r="L58" i="38"/>
  <c r="L52" i="38"/>
  <c r="L44" i="38"/>
  <c r="L46" i="38"/>
  <c r="L53" i="38"/>
  <c r="L55" i="38"/>
  <c r="L57" i="38"/>
  <c r="L59" i="38"/>
  <c r="L61" i="38"/>
  <c r="L63" i="38"/>
  <c r="L65" i="38"/>
  <c r="L66" i="38"/>
  <c r="L72" i="38"/>
  <c r="L74" i="38"/>
  <c r="L50" i="38"/>
  <c r="L64" i="38"/>
  <c r="L62" i="38"/>
  <c r="L60" i="38"/>
  <c r="L67" i="38"/>
  <c r="L71" i="38"/>
  <c r="L73" i="38"/>
  <c r="L76" i="38"/>
  <c r="L78" i="38"/>
  <c r="L80" i="38"/>
  <c r="L82" i="38"/>
  <c r="L84" i="38"/>
  <c r="L75" i="38"/>
  <c r="L77" i="38"/>
  <c r="L79" i="38"/>
  <c r="L81" i="38"/>
  <c r="L83" i="38"/>
  <c r="L86" i="38"/>
  <c r="F16" i="9"/>
  <c r="F28" i="9" s="1"/>
  <c r="K89" i="38"/>
  <c r="F22" i="9" s="1"/>
  <c r="K87" i="38"/>
  <c r="F24" i="9" s="1"/>
  <c r="F17" i="9"/>
  <c r="H29" i="9"/>
  <c r="H25" i="9"/>
  <c r="H26" i="9"/>
  <c r="H18" i="9"/>
  <c r="M8" i="38"/>
  <c r="H9" i="9"/>
  <c r="O9" i="7"/>
  <c r="O14" i="7"/>
  <c r="G41" i="9"/>
  <c r="G40" i="9"/>
  <c r="G34" i="9"/>
  <c r="G38" i="9"/>
  <c r="H14" i="9"/>
  <c r="G20" i="9"/>
  <c r="K100" i="3"/>
  <c r="K93" i="3"/>
  <c r="I13" i="9"/>
  <c r="L120" i="3"/>
  <c r="G44" i="9"/>
  <c r="G43" i="9"/>
  <c r="DC29" i="10"/>
  <c r="DC35" i="10"/>
  <c r="DC33" i="10"/>
  <c r="DC30" i="10"/>
  <c r="DC28" i="10"/>
  <c r="DC34" i="10"/>
  <c r="DC31" i="10"/>
  <c r="DC32" i="10"/>
  <c r="O8" i="7"/>
  <c r="M61" i="3"/>
  <c r="M59" i="3"/>
  <c r="M36" i="3"/>
  <c r="O8" i="11"/>
  <c r="M62" i="23"/>
  <c r="O15" i="6"/>
  <c r="O16" i="6"/>
  <c r="O17" i="6"/>
  <c r="O16" i="7"/>
  <c r="O11" i="7"/>
  <c r="O13" i="7"/>
  <c r="O12" i="7"/>
  <c r="DC23" i="10"/>
  <c r="DC24" i="10"/>
  <c r="DC27" i="10"/>
  <c r="DC26" i="10"/>
  <c r="DC25" i="10"/>
  <c r="O11" i="2"/>
  <c r="O13" i="6"/>
  <c r="O14" i="6"/>
  <c r="J7" i="3" a="1"/>
  <c r="J7" i="3" s="1"/>
  <c r="O15" i="7"/>
  <c r="J9" i="3" a="1"/>
  <c r="J9" i="3" s="1"/>
  <c r="J34" i="3" s="1"/>
  <c r="DB36" i="10"/>
  <c r="DB38" i="10" s="1"/>
  <c r="DB39" i="10" s="1"/>
  <c r="DB40" i="10" s="1"/>
  <c r="DB49" i="10" s="1"/>
  <c r="DD47" i="10"/>
  <c r="M110" i="3" a="1"/>
  <c r="M110" i="3" s="1"/>
  <c r="H58" i="9" a="1"/>
  <c r="H58" i="9" s="1"/>
  <c r="N12" i="2"/>
  <c r="L72" i="3"/>
  <c r="M12" i="3"/>
  <c r="M13" i="3"/>
  <c r="M14" i="3"/>
  <c r="M16" i="3"/>
  <c r="M17" i="3"/>
  <c r="M18" i="3"/>
  <c r="O7" i="6"/>
  <c r="O11" i="6"/>
  <c r="O6" i="2"/>
  <c r="O7" i="2"/>
  <c r="O5" i="2"/>
  <c r="O10" i="2"/>
  <c r="G62" i="9"/>
  <c r="O5" i="11"/>
  <c r="M5" i="3"/>
  <c r="P4" i="11"/>
  <c r="O9" i="11"/>
  <c r="O7" i="11"/>
  <c r="H11" i="9"/>
  <c r="I15" i="9"/>
  <c r="H10" i="9"/>
  <c r="H12" i="9"/>
  <c r="G42" i="9"/>
  <c r="G35" i="9"/>
  <c r="G39" i="9"/>
  <c r="G48" i="9"/>
  <c r="G46" i="9"/>
  <c r="N17" i="7"/>
  <c r="P4" i="7"/>
  <c r="P4" i="6"/>
  <c r="O6" i="7"/>
  <c r="O5" i="7"/>
  <c r="O10" i="7"/>
  <c r="O7" i="7"/>
  <c r="O5" i="6"/>
  <c r="O9" i="6"/>
  <c r="O8" i="6"/>
  <c r="O10" i="6"/>
  <c r="O8" i="2"/>
  <c r="N4" i="3"/>
  <c r="P4" i="2"/>
  <c r="P9" i="2" s="1"/>
  <c r="M3" i="3"/>
  <c r="M2" i="3"/>
  <c r="F21" i="9" l="1"/>
  <c r="M9" i="38"/>
  <c r="M11" i="38"/>
  <c r="M10" i="38"/>
  <c r="M18" i="38"/>
  <c r="M20" i="38"/>
  <c r="M15" i="38"/>
  <c r="M17" i="38"/>
  <c r="M19" i="38"/>
  <c r="M21" i="38"/>
  <c r="M16" i="38"/>
  <c r="M25" i="38"/>
  <c r="M22" i="38"/>
  <c r="M27" i="38"/>
  <c r="M29" i="38"/>
  <c r="M24" i="38"/>
  <c r="M30" i="38"/>
  <c r="M31" i="38"/>
  <c r="M33" i="38"/>
  <c r="M35" i="38"/>
  <c r="M26" i="38"/>
  <c r="M28" i="38"/>
  <c r="M37" i="38"/>
  <c r="M32" i="38"/>
  <c r="M38" i="38"/>
  <c r="M34" i="38"/>
  <c r="M36" i="38"/>
  <c r="M44" i="38"/>
  <c r="M46" i="38"/>
  <c r="M50" i="38"/>
  <c r="M52" i="38"/>
  <c r="M39" i="38"/>
  <c r="M41" i="38"/>
  <c r="M43" i="38"/>
  <c r="M45" i="38"/>
  <c r="M49" i="38"/>
  <c r="M51" i="38"/>
  <c r="M60" i="38"/>
  <c r="M62" i="38"/>
  <c r="M64" i="38"/>
  <c r="M56" i="38"/>
  <c r="M54" i="38"/>
  <c r="M57" i="38"/>
  <c r="M58" i="38"/>
  <c r="M55" i="38"/>
  <c r="M59" i="38"/>
  <c r="M61" i="38"/>
  <c r="M63" i="38"/>
  <c r="M53" i="38"/>
  <c r="M65" i="38"/>
  <c r="M66" i="38"/>
  <c r="M72" i="38"/>
  <c r="M74" i="38"/>
  <c r="M67" i="38"/>
  <c r="M71" i="38"/>
  <c r="M73" i="38"/>
  <c r="M75" i="38"/>
  <c r="M76" i="38"/>
  <c r="M83" i="38"/>
  <c r="M77" i="38"/>
  <c r="M84" i="38"/>
  <c r="M86" i="38"/>
  <c r="M78" i="38"/>
  <c r="M82" i="38"/>
  <c r="M79" i="38"/>
  <c r="M80" i="38"/>
  <c r="M81" i="38"/>
  <c r="F37" i="9"/>
  <c r="F27" i="9"/>
  <c r="F36" i="9"/>
  <c r="L89" i="38"/>
  <c r="G22" i="9" s="1"/>
  <c r="I29" i="9"/>
  <c r="I25" i="9"/>
  <c r="I26" i="9"/>
  <c r="I18" i="9"/>
  <c r="L87" i="38"/>
  <c r="G24" i="9" s="1"/>
  <c r="G17" i="9"/>
  <c r="G16" i="9"/>
  <c r="N8" i="38"/>
  <c r="I9" i="9"/>
  <c r="P9" i="7"/>
  <c r="P14" i="7"/>
  <c r="H41" i="9"/>
  <c r="H40" i="9"/>
  <c r="H34" i="9"/>
  <c r="H38" i="9"/>
  <c r="H20" i="9"/>
  <c r="F23" i="9"/>
  <c r="I14" i="9"/>
  <c r="L100" i="3"/>
  <c r="L93" i="3"/>
  <c r="J13" i="9"/>
  <c r="M120" i="3"/>
  <c r="H44" i="9"/>
  <c r="H43" i="9"/>
  <c r="DD31" i="10"/>
  <c r="DD30" i="10"/>
  <c r="DD28" i="10"/>
  <c r="DD34" i="10"/>
  <c r="DD33" i="10"/>
  <c r="DD32" i="10"/>
  <c r="DD35" i="10"/>
  <c r="DD29" i="10"/>
  <c r="N61" i="3"/>
  <c r="N54" i="3"/>
  <c r="P8" i="7"/>
  <c r="P8" i="11"/>
  <c r="M63" i="23"/>
  <c r="P15" i="6"/>
  <c r="P16" i="6"/>
  <c r="P17" i="6"/>
  <c r="P16" i="7"/>
  <c r="P11" i="7"/>
  <c r="P12" i="7"/>
  <c r="P13" i="7"/>
  <c r="DD24" i="10"/>
  <c r="DD27" i="10"/>
  <c r="DD25" i="10"/>
  <c r="DD23" i="10"/>
  <c r="DD26" i="10"/>
  <c r="P11" i="2"/>
  <c r="P13" i="6"/>
  <c r="P14" i="6"/>
  <c r="K7" i="3" a="1"/>
  <c r="K7" i="3" s="1"/>
  <c r="P15" i="7"/>
  <c r="K9" i="3" a="1"/>
  <c r="K9" i="3" s="1"/>
  <c r="K34" i="3" s="1"/>
  <c r="DC36" i="10"/>
  <c r="DC38" i="10" s="1"/>
  <c r="DC39" i="10" s="1"/>
  <c r="DC40" i="10" s="1"/>
  <c r="DC49" i="10" s="1"/>
  <c r="N110" i="3" a="1"/>
  <c r="N110" i="3" s="1"/>
  <c r="I58" i="9" a="1"/>
  <c r="I58" i="9" s="1"/>
  <c r="O12" i="2"/>
  <c r="M72" i="3"/>
  <c r="N12" i="3"/>
  <c r="N13" i="3"/>
  <c r="N14" i="3"/>
  <c r="N17" i="3"/>
  <c r="N18" i="3"/>
  <c r="N16" i="3"/>
  <c r="P7" i="6"/>
  <c r="P11" i="6"/>
  <c r="P6" i="2"/>
  <c r="P7" i="2"/>
  <c r="P5" i="2"/>
  <c r="P10" i="2"/>
  <c r="H62" i="9"/>
  <c r="P5" i="11"/>
  <c r="P9" i="11"/>
  <c r="P7" i="11"/>
  <c r="Q4" i="11"/>
  <c r="N5" i="3"/>
  <c r="I11" i="9"/>
  <c r="I10" i="9"/>
  <c r="J15" i="9"/>
  <c r="I12" i="9"/>
  <c r="H46" i="9"/>
  <c r="H42" i="9"/>
  <c r="H39" i="9"/>
  <c r="H48" i="9"/>
  <c r="H35" i="9"/>
  <c r="P10" i="6"/>
  <c r="P9" i="6"/>
  <c r="P8" i="6"/>
  <c r="P5" i="6"/>
  <c r="Q4" i="7"/>
  <c r="Q4" i="6"/>
  <c r="P6" i="7"/>
  <c r="P5" i="7"/>
  <c r="P7" i="7"/>
  <c r="P10" i="7"/>
  <c r="O17" i="7"/>
  <c r="O4" i="3"/>
  <c r="Q4" i="2"/>
  <c r="Q9" i="2" s="1"/>
  <c r="N3" i="3"/>
  <c r="P8" i="2"/>
  <c r="N2" i="3"/>
  <c r="N10" i="38" l="1"/>
  <c r="N16" i="38"/>
  <c r="N9" i="38"/>
  <c r="N11" i="38"/>
  <c r="N15" i="38"/>
  <c r="N17" i="38"/>
  <c r="N18" i="38"/>
  <c r="N20" i="38"/>
  <c r="N19" i="38"/>
  <c r="N21" i="38"/>
  <c r="N22" i="38"/>
  <c r="N26" i="38"/>
  <c r="N25" i="38"/>
  <c r="N27" i="38"/>
  <c r="N32" i="38"/>
  <c r="N34" i="38"/>
  <c r="N30" i="38"/>
  <c r="N29" i="38"/>
  <c r="N31" i="38"/>
  <c r="N33" i="38"/>
  <c r="N24" i="38"/>
  <c r="N37" i="38"/>
  <c r="N39" i="38"/>
  <c r="N38" i="38"/>
  <c r="N35" i="38"/>
  <c r="N36" i="38"/>
  <c r="N44" i="38"/>
  <c r="N46" i="38"/>
  <c r="N50" i="38"/>
  <c r="N52" i="38"/>
  <c r="N28" i="38"/>
  <c r="N41" i="38"/>
  <c r="N43" i="38"/>
  <c r="N45" i="38"/>
  <c r="N49" i="38"/>
  <c r="N51" i="38"/>
  <c r="N54" i="38"/>
  <c r="N56" i="38"/>
  <c r="N58" i="38"/>
  <c r="N53" i="38"/>
  <c r="N55" i="38"/>
  <c r="N60" i="38"/>
  <c r="N62" i="38"/>
  <c r="N57" i="38"/>
  <c r="N59" i="38"/>
  <c r="N61" i="38"/>
  <c r="N64" i="38"/>
  <c r="N65" i="38"/>
  <c r="N66" i="38"/>
  <c r="N72" i="38"/>
  <c r="N74" i="38"/>
  <c r="N76" i="38"/>
  <c r="N63" i="38"/>
  <c r="N73" i="38"/>
  <c r="N77" i="38"/>
  <c r="N79" i="38"/>
  <c r="N81" i="38"/>
  <c r="N83" i="38"/>
  <c r="N67" i="38"/>
  <c r="N78" i="38"/>
  <c r="N80" i="38"/>
  <c r="N82" i="38"/>
  <c r="N84" i="38"/>
  <c r="N75" i="38"/>
  <c r="N86" i="38"/>
  <c r="N71" i="38"/>
  <c r="G21" i="9"/>
  <c r="G23" i="9" s="1"/>
  <c r="H17" i="9"/>
  <c r="H16" i="9"/>
  <c r="M89" i="38"/>
  <c r="H22" i="9" s="1"/>
  <c r="G36" i="9"/>
  <c r="G37" i="9"/>
  <c r="G28" i="9"/>
  <c r="G27" i="9"/>
  <c r="J29" i="9"/>
  <c r="J25" i="9"/>
  <c r="J26" i="9"/>
  <c r="J18" i="9"/>
  <c r="E30" i="9"/>
  <c r="E31" i="9" s="1"/>
  <c r="M87" i="38"/>
  <c r="H24" i="9" s="1"/>
  <c r="O8" i="38"/>
  <c r="J9" i="9"/>
  <c r="Q9" i="7"/>
  <c r="Q14" i="7"/>
  <c r="I41" i="9"/>
  <c r="I40" i="9"/>
  <c r="I34" i="9"/>
  <c r="I38" i="9"/>
  <c r="I20" i="9"/>
  <c r="J14" i="9"/>
  <c r="M100" i="3"/>
  <c r="M93" i="3"/>
  <c r="K13" i="9"/>
  <c r="N120" i="3"/>
  <c r="I44" i="9"/>
  <c r="I43" i="9"/>
  <c r="O61" i="3"/>
  <c r="O54" i="3"/>
  <c r="Q8" i="7"/>
  <c r="Q8" i="11"/>
  <c r="M64" i="23"/>
  <c r="Q15" i="6"/>
  <c r="Q16" i="6"/>
  <c r="Q17" i="6"/>
  <c r="Q16" i="7"/>
  <c r="Q12" i="7"/>
  <c r="Q13" i="7"/>
  <c r="Q11" i="7"/>
  <c r="Q11" i="2"/>
  <c r="Q14" i="6"/>
  <c r="Q13" i="6"/>
  <c r="L7" i="3" a="1"/>
  <c r="L7" i="3" s="1"/>
  <c r="Q15" i="7"/>
  <c r="L9" i="3" a="1"/>
  <c r="L9" i="3" s="1"/>
  <c r="L34" i="3" s="1"/>
  <c r="DD36" i="10"/>
  <c r="DD38" i="10" s="1"/>
  <c r="DD39" i="10" s="1"/>
  <c r="DD40" i="10" s="1"/>
  <c r="DD49" i="10" s="1"/>
  <c r="O110" i="3" a="1"/>
  <c r="O110" i="3" s="1"/>
  <c r="J58" i="9" a="1"/>
  <c r="J58" i="9" s="1"/>
  <c r="N72" i="3"/>
  <c r="P12" i="2"/>
  <c r="M7" i="3" s="1" a="1"/>
  <c r="M7" i="3" s="1"/>
  <c r="O12" i="3"/>
  <c r="O13" i="3"/>
  <c r="O14" i="3"/>
  <c r="O16" i="3"/>
  <c r="O17" i="3"/>
  <c r="O18" i="3"/>
  <c r="Q7" i="6"/>
  <c r="Q11" i="6"/>
  <c r="I62" i="9"/>
  <c r="Q7" i="2"/>
  <c r="Q6" i="2"/>
  <c r="Q5" i="2"/>
  <c r="Q10" i="2"/>
  <c r="Q5" i="11"/>
  <c r="Q9" i="11"/>
  <c r="Q7" i="11"/>
  <c r="R4" i="11"/>
  <c r="O5" i="3"/>
  <c r="I39" i="9"/>
  <c r="I48" i="9"/>
  <c r="I35" i="9"/>
  <c r="I46" i="9"/>
  <c r="I42" i="9"/>
  <c r="J11" i="9"/>
  <c r="K15" i="9"/>
  <c r="J12" i="9"/>
  <c r="J10" i="9"/>
  <c r="R4" i="6"/>
  <c r="R4" i="7"/>
  <c r="Q5" i="6"/>
  <c r="Q8" i="6"/>
  <c r="Q9" i="6"/>
  <c r="Q10" i="6"/>
  <c r="Q6" i="7"/>
  <c r="Q10" i="7"/>
  <c r="Q7" i="7"/>
  <c r="Q5" i="7"/>
  <c r="P17" i="7"/>
  <c r="Q8" i="2"/>
  <c r="P4" i="3"/>
  <c r="R4" i="2"/>
  <c r="R9" i="2" s="1"/>
  <c r="O3" i="3"/>
  <c r="O2" i="3"/>
  <c r="O10" i="38" l="1"/>
  <c r="O16" i="38"/>
  <c r="O9" i="38"/>
  <c r="O11" i="38"/>
  <c r="O15" i="38"/>
  <c r="O18" i="38"/>
  <c r="O17" i="38"/>
  <c r="O22" i="38"/>
  <c r="O24" i="38"/>
  <c r="O19" i="38"/>
  <c r="O20" i="38"/>
  <c r="O21" i="38"/>
  <c r="O25" i="38"/>
  <c r="O26" i="38"/>
  <c r="O28" i="38"/>
  <c r="O30" i="38"/>
  <c r="O27" i="38"/>
  <c r="O32" i="38"/>
  <c r="O34" i="38"/>
  <c r="O36" i="38"/>
  <c r="O29" i="38"/>
  <c r="O31" i="38"/>
  <c r="O33" i="38"/>
  <c r="O35" i="38"/>
  <c r="O37" i="38"/>
  <c r="O39" i="38"/>
  <c r="O38" i="38"/>
  <c r="O44" i="38"/>
  <c r="O46" i="38"/>
  <c r="O50" i="38"/>
  <c r="O52" i="38"/>
  <c r="O41" i="38"/>
  <c r="O43" i="38"/>
  <c r="O45" i="38"/>
  <c r="O49" i="38"/>
  <c r="O53" i="38"/>
  <c r="O55" i="38"/>
  <c r="O57" i="38"/>
  <c r="O51" i="38"/>
  <c r="O56" i="38"/>
  <c r="O60" i="38"/>
  <c r="O62" i="38"/>
  <c r="O64" i="38"/>
  <c r="O54" i="38"/>
  <c r="O58" i="38"/>
  <c r="O59" i="38"/>
  <c r="O61" i="38"/>
  <c r="O63" i="38"/>
  <c r="O67" i="38"/>
  <c r="O71" i="38"/>
  <c r="O73" i="38"/>
  <c r="O75" i="38"/>
  <c r="O65" i="38"/>
  <c r="O66" i="38"/>
  <c r="O72" i="38"/>
  <c r="O74" i="38"/>
  <c r="O77" i="38"/>
  <c r="O79" i="38"/>
  <c r="O81" i="38"/>
  <c r="O83" i="38"/>
  <c r="O76" i="38"/>
  <c r="O78" i="38"/>
  <c r="O80" i="38"/>
  <c r="O82" i="38"/>
  <c r="O84" i="38"/>
  <c r="O86" i="38"/>
  <c r="N89" i="38"/>
  <c r="I22" i="9" s="1"/>
  <c r="I17" i="9"/>
  <c r="N87" i="38"/>
  <c r="I24" i="9" s="1"/>
  <c r="H36" i="9"/>
  <c r="H37" i="9"/>
  <c r="H27" i="9"/>
  <c r="H28" i="9"/>
  <c r="I16" i="9"/>
  <c r="K29" i="9"/>
  <c r="K26" i="9"/>
  <c r="K25" i="9"/>
  <c r="K18" i="9"/>
  <c r="H21" i="9"/>
  <c r="H23" i="9" s="1"/>
  <c r="P8" i="38"/>
  <c r="K9" i="9"/>
  <c r="R9" i="7"/>
  <c r="R14" i="7"/>
  <c r="J41" i="9"/>
  <c r="J40" i="9"/>
  <c r="J34" i="9"/>
  <c r="J38" i="9"/>
  <c r="J20" i="9"/>
  <c r="K14" i="9"/>
  <c r="N100" i="3"/>
  <c r="N93" i="3"/>
  <c r="L13" i="9"/>
  <c r="O120" i="3"/>
  <c r="J44" i="9"/>
  <c r="J43" i="9"/>
  <c r="R8" i="7"/>
  <c r="P61" i="3"/>
  <c r="R8" i="11"/>
  <c r="M65" i="23"/>
  <c r="R15" i="6"/>
  <c r="R16" i="6"/>
  <c r="R17" i="6"/>
  <c r="R16" i="7"/>
  <c r="R11" i="7"/>
  <c r="R12" i="7"/>
  <c r="R13" i="7"/>
  <c r="E47" i="9"/>
  <c r="E55" i="9"/>
  <c r="E56" i="9" s="1"/>
  <c r="R11" i="2"/>
  <c r="R13" i="6"/>
  <c r="R14" i="6"/>
  <c r="R15" i="7"/>
  <c r="M9" i="3" a="1"/>
  <c r="M9" i="3" s="1"/>
  <c r="M34" i="3" s="1"/>
  <c r="P110" i="3" a="1"/>
  <c r="P110" i="3" s="1"/>
  <c r="K58" i="9" a="1"/>
  <c r="K58" i="9" s="1"/>
  <c r="O72" i="3"/>
  <c r="Q12" i="2"/>
  <c r="N7" i="3" s="1" a="1"/>
  <c r="N7" i="3" s="1"/>
  <c r="P12" i="3"/>
  <c r="P14" i="3"/>
  <c r="P17" i="3"/>
  <c r="P13" i="3"/>
  <c r="P16" i="3"/>
  <c r="P18" i="3"/>
  <c r="R7" i="6"/>
  <c r="R11" i="6"/>
  <c r="R7" i="2"/>
  <c r="R6" i="2"/>
  <c r="R5" i="2"/>
  <c r="R10" i="2"/>
  <c r="J62" i="9"/>
  <c r="R5" i="11"/>
  <c r="R9" i="11"/>
  <c r="R7" i="11"/>
  <c r="S4" i="11"/>
  <c r="P5" i="3"/>
  <c r="J46" i="9"/>
  <c r="J39" i="9"/>
  <c r="J42" i="9"/>
  <c r="J48" i="9"/>
  <c r="J35" i="9"/>
  <c r="K11" i="9"/>
  <c r="L15" i="9"/>
  <c r="K10" i="9"/>
  <c r="K12" i="9"/>
  <c r="R6" i="7"/>
  <c r="R7" i="7"/>
  <c r="R10" i="7"/>
  <c r="R5" i="7"/>
  <c r="S4" i="6"/>
  <c r="S4" i="7"/>
  <c r="Q17" i="7"/>
  <c r="R5" i="6"/>
  <c r="R8" i="6"/>
  <c r="R9" i="6"/>
  <c r="R10" i="6"/>
  <c r="R8" i="2"/>
  <c r="Q4" i="3"/>
  <c r="S4" i="2"/>
  <c r="S9" i="2" s="1"/>
  <c r="P3" i="3"/>
  <c r="P2" i="3"/>
  <c r="I21" i="9" l="1"/>
  <c r="P10" i="38"/>
  <c r="P16" i="38"/>
  <c r="P9" i="38"/>
  <c r="P11" i="38"/>
  <c r="P15" i="38"/>
  <c r="P17" i="38"/>
  <c r="P18" i="38"/>
  <c r="P22" i="38"/>
  <c r="P19" i="38"/>
  <c r="P20" i="38"/>
  <c r="P21" i="38"/>
  <c r="P26" i="38"/>
  <c r="P25" i="38"/>
  <c r="P30" i="38"/>
  <c r="P32" i="38"/>
  <c r="P34" i="38"/>
  <c r="P36" i="38"/>
  <c r="P27" i="38"/>
  <c r="P29" i="38"/>
  <c r="P24" i="38"/>
  <c r="P28" i="38"/>
  <c r="P35" i="38"/>
  <c r="P31" i="38"/>
  <c r="P37" i="38"/>
  <c r="P39" i="38"/>
  <c r="P33" i="38"/>
  <c r="P44" i="38"/>
  <c r="P46" i="38"/>
  <c r="P50" i="38"/>
  <c r="P38" i="38"/>
  <c r="P41" i="38"/>
  <c r="P53" i="38"/>
  <c r="P55" i="38"/>
  <c r="P57" i="38"/>
  <c r="P51" i="38"/>
  <c r="P43" i="38"/>
  <c r="P45" i="38"/>
  <c r="P54" i="38"/>
  <c r="P56" i="38"/>
  <c r="P60" i="38"/>
  <c r="P62" i="38"/>
  <c r="P64" i="38"/>
  <c r="P52" i="38"/>
  <c r="P49" i="38"/>
  <c r="P58" i="38"/>
  <c r="P67" i="38"/>
  <c r="P71" i="38"/>
  <c r="P73" i="38"/>
  <c r="P75" i="38"/>
  <c r="P59" i="38"/>
  <c r="P61" i="38"/>
  <c r="P63" i="38"/>
  <c r="P65" i="38"/>
  <c r="P66" i="38"/>
  <c r="P72" i="38"/>
  <c r="P74" i="38"/>
  <c r="P77" i="38"/>
  <c r="P79" i="38"/>
  <c r="P81" i="38"/>
  <c r="P83" i="38"/>
  <c r="P76" i="38"/>
  <c r="P78" i="38"/>
  <c r="P80" i="38"/>
  <c r="P82" i="38"/>
  <c r="P84" i="38"/>
  <c r="P86" i="38"/>
  <c r="O89" i="38"/>
  <c r="J22" i="9" s="1"/>
  <c r="L29" i="9"/>
  <c r="L26" i="9"/>
  <c r="L25" i="9"/>
  <c r="L18" i="9"/>
  <c r="I36" i="9"/>
  <c r="I37" i="9"/>
  <c r="I27" i="9"/>
  <c r="I28" i="9"/>
  <c r="J16" i="9"/>
  <c r="J17" i="9"/>
  <c r="F30" i="9"/>
  <c r="F31" i="9" s="1"/>
  <c r="O87" i="38"/>
  <c r="J24" i="9" s="1"/>
  <c r="Q8" i="38"/>
  <c r="L9" i="9"/>
  <c r="S9" i="7"/>
  <c r="S14" i="7"/>
  <c r="K41" i="9"/>
  <c r="K40" i="9"/>
  <c r="K34" i="9"/>
  <c r="K38" i="9"/>
  <c r="K20" i="9"/>
  <c r="I23" i="9"/>
  <c r="L14" i="9"/>
  <c r="O100" i="3"/>
  <c r="O93" i="3"/>
  <c r="M13" i="9"/>
  <c r="P120" i="3"/>
  <c r="K44" i="9"/>
  <c r="K43" i="9"/>
  <c r="S8" i="7"/>
  <c r="Q61" i="3"/>
  <c r="S8" i="11"/>
  <c r="M66" i="23"/>
  <c r="S15" i="6"/>
  <c r="S16" i="6"/>
  <c r="S17" i="6"/>
  <c r="S16" i="7"/>
  <c r="S11" i="7"/>
  <c r="S13" i="7"/>
  <c r="S12" i="7"/>
  <c r="L58" i="9" a="1"/>
  <c r="L58" i="9" s="1"/>
  <c r="S11" i="2"/>
  <c r="S14" i="6"/>
  <c r="S13" i="6"/>
  <c r="S15" i="7"/>
  <c r="N9" i="3" a="1"/>
  <c r="N9" i="3" s="1"/>
  <c r="N34" i="3" s="1"/>
  <c r="K62" i="9"/>
  <c r="Q110" i="3" a="1"/>
  <c r="Q110" i="3" s="1"/>
  <c r="P72" i="3"/>
  <c r="R12" i="2"/>
  <c r="O7" i="3" s="1" a="1"/>
  <c r="O7" i="3" s="1"/>
  <c r="Q13" i="3"/>
  <c r="Q16" i="3"/>
  <c r="Q12" i="3"/>
  <c r="Q18" i="3"/>
  <c r="Q14" i="3"/>
  <c r="Q17" i="3"/>
  <c r="S7" i="6"/>
  <c r="S11" i="6"/>
  <c r="S6" i="2"/>
  <c r="S7" i="2"/>
  <c r="S5" i="2"/>
  <c r="S10" i="2"/>
  <c r="S5" i="11"/>
  <c r="T4" i="11"/>
  <c r="Q5" i="3"/>
  <c r="S9" i="11"/>
  <c r="S7" i="11"/>
  <c r="L11" i="9"/>
  <c r="L10" i="9"/>
  <c r="M15" i="9"/>
  <c r="L12" i="9"/>
  <c r="K48" i="9"/>
  <c r="K46" i="9"/>
  <c r="K35" i="9"/>
  <c r="K39" i="9"/>
  <c r="K42" i="9"/>
  <c r="S5" i="6"/>
  <c r="S10" i="6"/>
  <c r="S6" i="6"/>
  <c r="S12" i="6"/>
  <c r="S8" i="6"/>
  <c r="S9" i="6"/>
  <c r="R17" i="7"/>
  <c r="T4" i="7"/>
  <c r="T4" i="6"/>
  <c r="S6" i="7"/>
  <c r="S7" i="7"/>
  <c r="S5" i="7"/>
  <c r="S10" i="7"/>
  <c r="R4" i="3"/>
  <c r="T4" i="2"/>
  <c r="T9" i="2" s="1"/>
  <c r="Q3" i="3"/>
  <c r="S8" i="2"/>
  <c r="Q2" i="3"/>
  <c r="Q10" i="38" l="1"/>
  <c r="Q9" i="38"/>
  <c r="Q11" i="38"/>
  <c r="Q19" i="38"/>
  <c r="Q21" i="38"/>
  <c r="Q18" i="38"/>
  <c r="Q20" i="38"/>
  <c r="Q15" i="38"/>
  <c r="Q17" i="38"/>
  <c r="Q22" i="38"/>
  <c r="Q24" i="38"/>
  <c r="Q16" i="38"/>
  <c r="Q26" i="38"/>
  <c r="Q28" i="38"/>
  <c r="Q25" i="38"/>
  <c r="Q30" i="38"/>
  <c r="Q32" i="38"/>
  <c r="Q34" i="38"/>
  <c r="Q27" i="38"/>
  <c r="Q29" i="38"/>
  <c r="Q36" i="38"/>
  <c r="Q38" i="38"/>
  <c r="Q35" i="38"/>
  <c r="Q31" i="38"/>
  <c r="Q37" i="38"/>
  <c r="Q33" i="38"/>
  <c r="Q41" i="38"/>
  <c r="Q43" i="38"/>
  <c r="Q45" i="38"/>
  <c r="Q49" i="38"/>
  <c r="Q51" i="38"/>
  <c r="Q39" i="38"/>
  <c r="Q44" i="38"/>
  <c r="Q46" i="38"/>
  <c r="Q50" i="38"/>
  <c r="Q52" i="38"/>
  <c r="Q53" i="38"/>
  <c r="Q59" i="38"/>
  <c r="Q61" i="38"/>
  <c r="Q63" i="38"/>
  <c r="Q56" i="38"/>
  <c r="Q54" i="38"/>
  <c r="Q60" i="38"/>
  <c r="Q62" i="38"/>
  <c r="Q55" i="38"/>
  <c r="Q57" i="38"/>
  <c r="Q58" i="38"/>
  <c r="Q67" i="38"/>
  <c r="Q71" i="38"/>
  <c r="Q73" i="38"/>
  <c r="Q64" i="38"/>
  <c r="Q65" i="38"/>
  <c r="Q66" i="38"/>
  <c r="Q72" i="38"/>
  <c r="Q74" i="38"/>
  <c r="Q75" i="38"/>
  <c r="Q77" i="38"/>
  <c r="Q76" i="38"/>
  <c r="Q82" i="38"/>
  <c r="Q83" i="38"/>
  <c r="Q81" i="38"/>
  <c r="Q84" i="38"/>
  <c r="Q78" i="38"/>
  <c r="Q79" i="38"/>
  <c r="Q80" i="38"/>
  <c r="Q86" i="38"/>
  <c r="P87" i="38"/>
  <c r="K24" i="9" s="1"/>
  <c r="M29" i="9"/>
  <c r="M26" i="9"/>
  <c r="M25" i="9"/>
  <c r="M18" i="9"/>
  <c r="K17" i="9"/>
  <c r="K16" i="9"/>
  <c r="J36" i="9"/>
  <c r="J37" i="9"/>
  <c r="J27" i="9"/>
  <c r="J28" i="9"/>
  <c r="P89" i="38"/>
  <c r="K22" i="9" s="1"/>
  <c r="K21" i="9" s="1"/>
  <c r="G30" i="9"/>
  <c r="G31" i="9" s="1"/>
  <c r="J21" i="9"/>
  <c r="J23" i="9" s="1"/>
  <c r="R8" i="38"/>
  <c r="M9" i="9"/>
  <c r="T9" i="7"/>
  <c r="T14" i="7"/>
  <c r="L41" i="9"/>
  <c r="L40" i="9"/>
  <c r="L34" i="9"/>
  <c r="L38" i="9"/>
  <c r="L20" i="9"/>
  <c r="M14" i="9"/>
  <c r="P100" i="3"/>
  <c r="P93" i="3"/>
  <c r="N13" i="9"/>
  <c r="Q120" i="3"/>
  <c r="L44" i="9"/>
  <c r="L43" i="9"/>
  <c r="T8" i="7"/>
  <c r="R61" i="3"/>
  <c r="T8" i="11"/>
  <c r="M67" i="23"/>
  <c r="T15" i="6"/>
  <c r="T16" i="6"/>
  <c r="T17" i="6"/>
  <c r="T16" i="7"/>
  <c r="T11" i="7"/>
  <c r="T12" i="7"/>
  <c r="T13" i="7"/>
  <c r="F47" i="9"/>
  <c r="F55" i="9"/>
  <c r="F56" i="9" s="1"/>
  <c r="M58" i="9" a="1"/>
  <c r="M58" i="9" s="1"/>
  <c r="T11" i="2"/>
  <c r="T13" i="6"/>
  <c r="T14" i="6"/>
  <c r="T15" i="7"/>
  <c r="O9" i="3" a="1"/>
  <c r="O9" i="3" s="1"/>
  <c r="O34" i="3" s="1"/>
  <c r="L62" i="9"/>
  <c r="R110" i="3" a="1"/>
  <c r="R110" i="3" s="1"/>
  <c r="Q72" i="3"/>
  <c r="S12" i="2"/>
  <c r="P7" i="3" s="1" a="1"/>
  <c r="P7" i="3" s="1"/>
  <c r="S18" i="6"/>
  <c r="R12" i="3"/>
  <c r="R13" i="3"/>
  <c r="R14" i="3"/>
  <c r="R16" i="3"/>
  <c r="R18" i="3"/>
  <c r="R17" i="3"/>
  <c r="T7" i="6"/>
  <c r="T11" i="6"/>
  <c r="T6" i="2"/>
  <c r="T7" i="2"/>
  <c r="T5" i="2"/>
  <c r="T10" i="2"/>
  <c r="T5" i="11"/>
  <c r="U4" i="11"/>
  <c r="R5" i="3"/>
  <c r="T7" i="11"/>
  <c r="T9" i="11"/>
  <c r="M11" i="9"/>
  <c r="N15" i="9"/>
  <c r="M10" i="9"/>
  <c r="M12" i="9"/>
  <c r="L48" i="9"/>
  <c r="L39" i="9"/>
  <c r="L42" i="9"/>
  <c r="L35" i="9"/>
  <c r="L46" i="9"/>
  <c r="T6" i="6"/>
  <c r="T9" i="6"/>
  <c r="T8" i="6"/>
  <c r="T10" i="6"/>
  <c r="T12" i="6"/>
  <c r="T5" i="6"/>
  <c r="T10" i="7"/>
  <c r="T5" i="7"/>
  <c r="T6" i="7"/>
  <c r="T7" i="7"/>
  <c r="U4" i="7"/>
  <c r="U4" i="6"/>
  <c r="S17" i="7"/>
  <c r="T8" i="2"/>
  <c r="S4" i="3"/>
  <c r="U4" i="2"/>
  <c r="U9" i="2" s="1"/>
  <c r="R3" i="3"/>
  <c r="R2" i="3"/>
  <c r="R9" i="38" l="1"/>
  <c r="R11" i="38"/>
  <c r="R15" i="38"/>
  <c r="R17" i="38"/>
  <c r="R10" i="38"/>
  <c r="R16" i="38"/>
  <c r="R19" i="38"/>
  <c r="R21" i="38"/>
  <c r="R18" i="38"/>
  <c r="R20" i="38"/>
  <c r="R22" i="38"/>
  <c r="R24" i="38"/>
  <c r="R26" i="38"/>
  <c r="R28" i="38"/>
  <c r="R31" i="38"/>
  <c r="R33" i="38"/>
  <c r="R35" i="38"/>
  <c r="R25" i="38"/>
  <c r="R30" i="38"/>
  <c r="R32" i="38"/>
  <c r="R34" i="38"/>
  <c r="R36" i="38"/>
  <c r="R38" i="38"/>
  <c r="R37" i="38"/>
  <c r="R41" i="38"/>
  <c r="R43" i="38"/>
  <c r="R45" i="38"/>
  <c r="R49" i="38"/>
  <c r="R51" i="38"/>
  <c r="R27" i="38"/>
  <c r="R39" i="38"/>
  <c r="R44" i="38"/>
  <c r="R46" i="38"/>
  <c r="R50" i="38"/>
  <c r="R29" i="38"/>
  <c r="R53" i="38"/>
  <c r="R55" i="38"/>
  <c r="R57" i="38"/>
  <c r="R52" i="38"/>
  <c r="R54" i="38"/>
  <c r="R59" i="38"/>
  <c r="R61" i="38"/>
  <c r="R63" i="38"/>
  <c r="R56" i="38"/>
  <c r="R60" i="38"/>
  <c r="R67" i="38"/>
  <c r="R71" i="38"/>
  <c r="R73" i="38"/>
  <c r="R75" i="38"/>
  <c r="R58" i="38"/>
  <c r="R62" i="38"/>
  <c r="R64" i="38"/>
  <c r="R72" i="38"/>
  <c r="R78" i="38"/>
  <c r="R80" i="38"/>
  <c r="R82" i="38"/>
  <c r="R84" i="38"/>
  <c r="R74" i="38"/>
  <c r="R66" i="38"/>
  <c r="R65" i="38"/>
  <c r="R77" i="38"/>
  <c r="R79" i="38"/>
  <c r="R81" i="38"/>
  <c r="R83" i="38"/>
  <c r="R76" i="38"/>
  <c r="R86" i="38"/>
  <c r="Q89" i="38"/>
  <c r="L22" i="9" s="1"/>
  <c r="N29" i="9"/>
  <c r="N25" i="9"/>
  <c r="N26" i="9"/>
  <c r="N18" i="9"/>
  <c r="L16" i="9"/>
  <c r="L17" i="9"/>
  <c r="Q87" i="38"/>
  <c r="L24" i="9" s="1"/>
  <c r="K37" i="9"/>
  <c r="K36" i="9"/>
  <c r="K28" i="9"/>
  <c r="K27" i="9"/>
  <c r="H30" i="9"/>
  <c r="H31" i="9" s="1"/>
  <c r="S8" i="38"/>
  <c r="N9" i="9"/>
  <c r="U9" i="7"/>
  <c r="U14" i="7"/>
  <c r="M41" i="9"/>
  <c r="M40" i="9"/>
  <c r="M34" i="9"/>
  <c r="M38" i="9"/>
  <c r="M20" i="9"/>
  <c r="K23" i="9"/>
  <c r="N14" i="9"/>
  <c r="Q100" i="3"/>
  <c r="Q93" i="3"/>
  <c r="O13" i="9"/>
  <c r="R120" i="3"/>
  <c r="M44" i="9"/>
  <c r="M43" i="9"/>
  <c r="U8" i="7"/>
  <c r="S61" i="3"/>
  <c r="U8" i="11"/>
  <c r="M68" i="23"/>
  <c r="U15" i="6"/>
  <c r="U16" i="6"/>
  <c r="U17" i="6"/>
  <c r="U16" i="7"/>
  <c r="U11" i="7"/>
  <c r="U13" i="7"/>
  <c r="U12" i="7"/>
  <c r="G47" i="9"/>
  <c r="G55" i="9"/>
  <c r="G56" i="9" s="1"/>
  <c r="N58" i="9" a="1"/>
  <c r="N58" i="9" s="1"/>
  <c r="S110" i="3" a="1"/>
  <c r="S110" i="3" s="1"/>
  <c r="U11" i="2"/>
  <c r="U14" i="6"/>
  <c r="U13" i="6"/>
  <c r="U15" i="7"/>
  <c r="P6" i="3" a="1"/>
  <c r="P6" i="3" s="1"/>
  <c r="P9" i="3" a="1"/>
  <c r="P9" i="3" s="1"/>
  <c r="P34" i="3" s="1"/>
  <c r="M62" i="9"/>
  <c r="T12" i="2"/>
  <c r="Q7" i="3" s="1" a="1"/>
  <c r="Q7" i="3" s="1"/>
  <c r="R72" i="3"/>
  <c r="T18" i="6"/>
  <c r="S12" i="3"/>
  <c r="S13" i="3"/>
  <c r="S14" i="3"/>
  <c r="S16" i="3"/>
  <c r="S17" i="3"/>
  <c r="S18" i="3"/>
  <c r="U7" i="6"/>
  <c r="U11" i="6"/>
  <c r="U7" i="2"/>
  <c r="U6" i="2"/>
  <c r="U5" i="2"/>
  <c r="U10" i="2"/>
  <c r="U5" i="11"/>
  <c r="V4" i="11"/>
  <c r="S5" i="3"/>
  <c r="U9" i="11"/>
  <c r="U6" i="11"/>
  <c r="U7" i="11"/>
  <c r="N11" i="9"/>
  <c r="N12" i="9"/>
  <c r="N10" i="9"/>
  <c r="O15" i="9"/>
  <c r="M39" i="9"/>
  <c r="M42" i="9"/>
  <c r="M46" i="9"/>
  <c r="M48" i="9"/>
  <c r="M35" i="9"/>
  <c r="T17" i="7"/>
  <c r="V4" i="6"/>
  <c r="V4" i="7"/>
  <c r="U5" i="6"/>
  <c r="U6" i="6"/>
  <c r="U9" i="6"/>
  <c r="U8" i="6"/>
  <c r="U10" i="6"/>
  <c r="U12" i="6"/>
  <c r="U5" i="7"/>
  <c r="U7" i="7"/>
  <c r="U6" i="7"/>
  <c r="U10" i="7"/>
  <c r="U8" i="2"/>
  <c r="T4" i="3"/>
  <c r="V4" i="2"/>
  <c r="V9" i="2" s="1"/>
  <c r="S3" i="3"/>
  <c r="S2" i="3"/>
  <c r="Q20" i="3" l="1" a="1"/>
  <c r="Q20" i="3" s="1"/>
  <c r="S9" i="38"/>
  <c r="S11" i="38"/>
  <c r="S15" i="38"/>
  <c r="S17" i="38"/>
  <c r="S10" i="38"/>
  <c r="S16" i="38"/>
  <c r="S19" i="38"/>
  <c r="S25" i="38"/>
  <c r="S18" i="38"/>
  <c r="S20" i="38"/>
  <c r="S22" i="38"/>
  <c r="S24" i="38"/>
  <c r="S21" i="38"/>
  <c r="S27" i="38"/>
  <c r="S29" i="38"/>
  <c r="S26" i="38"/>
  <c r="S28" i="38"/>
  <c r="S31" i="38"/>
  <c r="S33" i="38"/>
  <c r="S35" i="38"/>
  <c r="S37" i="38"/>
  <c r="S30" i="38"/>
  <c r="S32" i="38"/>
  <c r="S34" i="38"/>
  <c r="S36" i="38"/>
  <c r="S38" i="38"/>
  <c r="S41" i="38"/>
  <c r="S43" i="38"/>
  <c r="S45" i="38"/>
  <c r="S49" i="38"/>
  <c r="S51" i="38"/>
  <c r="S39" i="38"/>
  <c r="S44" i="38"/>
  <c r="S46" i="38"/>
  <c r="S50" i="38"/>
  <c r="S54" i="38"/>
  <c r="S56" i="38"/>
  <c r="S53" i="38"/>
  <c r="S58" i="38"/>
  <c r="S59" i="38"/>
  <c r="S61" i="38"/>
  <c r="S63" i="38"/>
  <c r="S52" i="38"/>
  <c r="S55" i="38"/>
  <c r="S57" i="38"/>
  <c r="S60" i="38"/>
  <c r="S62" i="38"/>
  <c r="S65" i="38"/>
  <c r="S66" i="38"/>
  <c r="S72" i="38"/>
  <c r="S74" i="38"/>
  <c r="S76" i="38"/>
  <c r="S67" i="38"/>
  <c r="S71" i="38"/>
  <c r="S73" i="38"/>
  <c r="S75" i="38"/>
  <c r="S64" i="38"/>
  <c r="S78" i="38"/>
  <c r="S80" i="38"/>
  <c r="S82" i="38"/>
  <c r="S84" i="38"/>
  <c r="S77" i="38"/>
  <c r="S79" i="38"/>
  <c r="S81" i="38"/>
  <c r="S83" i="38"/>
  <c r="S86" i="38"/>
  <c r="L21" i="9"/>
  <c r="L23" i="9" s="1"/>
  <c r="R87" i="38"/>
  <c r="M24" i="9" s="1"/>
  <c r="L37" i="9"/>
  <c r="L36" i="9"/>
  <c r="L27" i="9"/>
  <c r="L28" i="9"/>
  <c r="R89" i="38"/>
  <c r="M22" i="9" s="1"/>
  <c r="M16" i="9"/>
  <c r="M17" i="9"/>
  <c r="O29" i="9"/>
  <c r="O25" i="9"/>
  <c r="O26" i="9"/>
  <c r="O18" i="9"/>
  <c r="I30" i="9"/>
  <c r="I31" i="9" s="1"/>
  <c r="T8" i="38"/>
  <c r="O9" i="9"/>
  <c r="V9" i="7"/>
  <c r="V14" i="7"/>
  <c r="N41" i="9"/>
  <c r="N40" i="9"/>
  <c r="N34" i="9"/>
  <c r="N38" i="9"/>
  <c r="N20" i="9"/>
  <c r="O14" i="9"/>
  <c r="R100" i="3"/>
  <c r="R93" i="3"/>
  <c r="P13" i="9"/>
  <c r="S120" i="3"/>
  <c r="N44" i="9"/>
  <c r="N43" i="9"/>
  <c r="V8" i="7"/>
  <c r="V8" i="11"/>
  <c r="M69" i="23"/>
  <c r="T61" i="3"/>
  <c r="V15" i="6"/>
  <c r="V16" i="6"/>
  <c r="V17" i="6"/>
  <c r="V16" i="7"/>
  <c r="V11" i="7"/>
  <c r="V12" i="7"/>
  <c r="V13" i="7"/>
  <c r="H47" i="9"/>
  <c r="H55" i="9"/>
  <c r="H56" i="9" s="1"/>
  <c r="O58" i="9" a="1"/>
  <c r="O58" i="9" s="1"/>
  <c r="T110" i="3" a="1"/>
  <c r="T110" i="3" s="1"/>
  <c r="V11" i="2"/>
  <c r="V13" i="6"/>
  <c r="V14" i="6"/>
  <c r="V15" i="7"/>
  <c r="Q6" i="3" a="1"/>
  <c r="Q6" i="3" s="1"/>
  <c r="Q9" i="3" a="1"/>
  <c r="Q9" i="3" s="1"/>
  <c r="Q34" i="3" s="1"/>
  <c r="U12" i="2"/>
  <c r="R7" i="3" s="1" a="1"/>
  <c r="R7" i="3" s="1"/>
  <c r="S72" i="3"/>
  <c r="U18" i="6"/>
  <c r="T12" i="3"/>
  <c r="T13" i="3"/>
  <c r="T14" i="3"/>
  <c r="T17" i="3"/>
  <c r="T16" i="3"/>
  <c r="T18" i="3"/>
  <c r="V7" i="6"/>
  <c r="V11" i="6"/>
  <c r="V7" i="2"/>
  <c r="V6" i="2"/>
  <c r="V5" i="2"/>
  <c r="V10" i="2"/>
  <c r="N62" i="9"/>
  <c r="Q21" i="3" s="1" a="1"/>
  <c r="Q21" i="3" s="1"/>
  <c r="Q22" i="3" s="1"/>
  <c r="V5" i="11"/>
  <c r="W4" i="11"/>
  <c r="T5" i="3"/>
  <c r="V9" i="11"/>
  <c r="V7" i="11"/>
  <c r="O11" i="9"/>
  <c r="O10" i="9"/>
  <c r="P15" i="9"/>
  <c r="O12" i="9"/>
  <c r="N46" i="9"/>
  <c r="N35" i="9"/>
  <c r="N42" i="9"/>
  <c r="N39" i="9"/>
  <c r="N48" i="9"/>
  <c r="W4" i="6"/>
  <c r="W4" i="7"/>
  <c r="V10" i="7"/>
  <c r="V6" i="7"/>
  <c r="V7" i="7"/>
  <c r="V5" i="7"/>
  <c r="U17" i="7"/>
  <c r="V12" i="6"/>
  <c r="V9" i="6"/>
  <c r="V8" i="6"/>
  <c r="V10" i="6"/>
  <c r="V5" i="6"/>
  <c r="V6" i="6"/>
  <c r="V8" i="2"/>
  <c r="W4" i="2"/>
  <c r="W9" i="2" s="1"/>
  <c r="U4" i="3"/>
  <c r="T3" i="3"/>
  <c r="T2" i="3"/>
  <c r="R20" i="3" l="1" a="1"/>
  <c r="R20" i="3" s="1"/>
  <c r="M21" i="9"/>
  <c r="T9" i="38"/>
  <c r="T11" i="38"/>
  <c r="T15" i="38"/>
  <c r="T17" i="38"/>
  <c r="T10" i="38"/>
  <c r="T16" i="38"/>
  <c r="T18" i="38"/>
  <c r="T19" i="38"/>
  <c r="T20" i="38"/>
  <c r="T22" i="38"/>
  <c r="T24" i="38"/>
  <c r="T25" i="38"/>
  <c r="T21" i="38"/>
  <c r="T28" i="38"/>
  <c r="T31" i="38"/>
  <c r="T33" i="38"/>
  <c r="T35" i="38"/>
  <c r="T26" i="38"/>
  <c r="T27" i="38"/>
  <c r="T29" i="38"/>
  <c r="T30" i="38"/>
  <c r="T36" i="38"/>
  <c r="T38" i="38"/>
  <c r="T32" i="38"/>
  <c r="T37" i="38"/>
  <c r="T34" i="38"/>
  <c r="T41" i="38"/>
  <c r="T43" i="38"/>
  <c r="T45" i="38"/>
  <c r="T49" i="38"/>
  <c r="T54" i="38"/>
  <c r="T56" i="38"/>
  <c r="T58" i="38"/>
  <c r="T44" i="38"/>
  <c r="T53" i="38"/>
  <c r="T55" i="38"/>
  <c r="T57" i="38"/>
  <c r="T39" i="38"/>
  <c r="T50" i="38"/>
  <c r="T52" i="38"/>
  <c r="T46" i="38"/>
  <c r="T59" i="38"/>
  <c r="T61" i="38"/>
  <c r="T63" i="38"/>
  <c r="T65" i="38"/>
  <c r="T51" i="38"/>
  <c r="T66" i="38"/>
  <c r="T72" i="38"/>
  <c r="T74" i="38"/>
  <c r="T60" i="38"/>
  <c r="T62" i="38"/>
  <c r="T67" i="38"/>
  <c r="T71" i="38"/>
  <c r="T73" i="38"/>
  <c r="T64" i="38"/>
  <c r="T75" i="38"/>
  <c r="T78" i="38"/>
  <c r="T80" i="38"/>
  <c r="T82" i="38"/>
  <c r="T84" i="38"/>
  <c r="T76" i="38"/>
  <c r="T77" i="38"/>
  <c r="T79" i="38"/>
  <c r="T81" i="38"/>
  <c r="T83" i="38"/>
  <c r="T86" i="38"/>
  <c r="M23" i="9"/>
  <c r="S87" i="38"/>
  <c r="N24" i="9" s="1"/>
  <c r="S89" i="38"/>
  <c r="N22" i="9" s="1"/>
  <c r="M37" i="9"/>
  <c r="M36" i="9"/>
  <c r="M27" i="9"/>
  <c r="M28" i="9"/>
  <c r="N16" i="9"/>
  <c r="N17" i="9"/>
  <c r="P29" i="9"/>
  <c r="P18" i="9"/>
  <c r="J30" i="9"/>
  <c r="J31" i="9" s="1"/>
  <c r="U8" i="38"/>
  <c r="P9" i="9"/>
  <c r="W9" i="7"/>
  <c r="W14" i="7"/>
  <c r="O41" i="9"/>
  <c r="O40" i="9"/>
  <c r="O34" i="9"/>
  <c r="O38" i="9"/>
  <c r="P14" i="9"/>
  <c r="O20" i="9"/>
  <c r="S100" i="3"/>
  <c r="S93" i="3"/>
  <c r="Q13" i="9"/>
  <c r="T120" i="3"/>
  <c r="O44" i="9"/>
  <c r="O43" i="9"/>
  <c r="W8" i="7"/>
  <c r="U61" i="3"/>
  <c r="W8" i="11"/>
  <c r="M70" i="23"/>
  <c r="W15" i="6"/>
  <c r="W16" i="6"/>
  <c r="W17" i="6"/>
  <c r="W16" i="7"/>
  <c r="W11" i="7"/>
  <c r="W13" i="7"/>
  <c r="W12" i="7"/>
  <c r="P58" i="9" a="1"/>
  <c r="P58" i="9" s="1"/>
  <c r="U110" i="3" a="1"/>
  <c r="U110" i="3" s="1"/>
  <c r="W11" i="2"/>
  <c r="W13" i="6"/>
  <c r="W14" i="6"/>
  <c r="W15" i="7"/>
  <c r="R6" i="3" a="1"/>
  <c r="R6" i="3" s="1"/>
  <c r="R9" i="3" a="1"/>
  <c r="R9" i="3" s="1"/>
  <c r="R34" i="3" s="1"/>
  <c r="O62" i="9"/>
  <c r="R21" i="3" s="1" a="1"/>
  <c r="R21" i="3" s="1"/>
  <c r="R22" i="3" s="1"/>
  <c r="T72" i="3"/>
  <c r="V12" i="2"/>
  <c r="S7" i="3" s="1" a="1"/>
  <c r="S7" i="3" s="1"/>
  <c r="V18" i="6"/>
  <c r="U12" i="3"/>
  <c r="U14" i="3"/>
  <c r="U13" i="3"/>
  <c r="U17" i="3"/>
  <c r="U16" i="3"/>
  <c r="U18" i="3"/>
  <c r="W7" i="6"/>
  <c r="W11" i="6"/>
  <c r="W7" i="2"/>
  <c r="W6" i="2"/>
  <c r="W5" i="2"/>
  <c r="W10" i="2"/>
  <c r="W5" i="11"/>
  <c r="W7" i="11"/>
  <c r="W9" i="11"/>
  <c r="X4" i="11"/>
  <c r="U5" i="3"/>
  <c r="P11" i="9"/>
  <c r="P12" i="9"/>
  <c r="P10" i="9"/>
  <c r="Q15" i="9"/>
  <c r="O46" i="9"/>
  <c r="O42" i="9"/>
  <c r="O39" i="9"/>
  <c r="O48" i="9"/>
  <c r="O35" i="9"/>
  <c r="U2" i="3"/>
  <c r="V17" i="7"/>
  <c r="W6" i="7"/>
  <c r="W7" i="7"/>
  <c r="W5" i="7"/>
  <c r="W10" i="7"/>
  <c r="W10" i="6"/>
  <c r="W5" i="6"/>
  <c r="W9" i="6"/>
  <c r="W8" i="6"/>
  <c r="W12" i="6"/>
  <c r="W6" i="6"/>
  <c r="X4" i="7"/>
  <c r="X4" i="6"/>
  <c r="W8" i="2"/>
  <c r="X4" i="2"/>
  <c r="X9" i="2" s="1"/>
  <c r="V4" i="3"/>
  <c r="U3" i="3"/>
  <c r="S20" i="3" l="1" a="1"/>
  <c r="S20" i="3" s="1"/>
  <c r="N21" i="9"/>
  <c r="N23" i="9" s="1"/>
  <c r="U9" i="38"/>
  <c r="U11" i="38"/>
  <c r="U10" i="38"/>
  <c r="U18" i="38"/>
  <c r="U20" i="38"/>
  <c r="U19" i="38"/>
  <c r="U21" i="38"/>
  <c r="U15" i="38"/>
  <c r="U25" i="38"/>
  <c r="U17" i="38"/>
  <c r="U16" i="38"/>
  <c r="U22" i="38"/>
  <c r="U24" i="38"/>
  <c r="U27" i="38"/>
  <c r="U29" i="38"/>
  <c r="U28" i="38"/>
  <c r="U31" i="38"/>
  <c r="U33" i="38"/>
  <c r="U35" i="38"/>
  <c r="U34" i="38"/>
  <c r="U26" i="38"/>
  <c r="U30" i="38"/>
  <c r="U36" i="38"/>
  <c r="U38" i="38"/>
  <c r="U32" i="38"/>
  <c r="U39" i="38"/>
  <c r="U44" i="38"/>
  <c r="U46" i="38"/>
  <c r="U50" i="38"/>
  <c r="U52" i="38"/>
  <c r="U41" i="38"/>
  <c r="U43" i="38"/>
  <c r="U45" i="38"/>
  <c r="U49" i="38"/>
  <c r="U51" i="38"/>
  <c r="U37" i="38"/>
  <c r="U60" i="38"/>
  <c r="U62" i="38"/>
  <c r="U64" i="38"/>
  <c r="U53" i="38"/>
  <c r="U58" i="38"/>
  <c r="U59" i="38"/>
  <c r="U61" i="38"/>
  <c r="U63" i="38"/>
  <c r="U54" i="38"/>
  <c r="U56" i="38"/>
  <c r="U65" i="38"/>
  <c r="U66" i="38"/>
  <c r="U72" i="38"/>
  <c r="U74" i="38"/>
  <c r="U57" i="38"/>
  <c r="U55" i="38"/>
  <c r="U67" i="38"/>
  <c r="U71" i="38"/>
  <c r="U73" i="38"/>
  <c r="U75" i="38"/>
  <c r="U81" i="38"/>
  <c r="U82" i="38"/>
  <c r="U77" i="38"/>
  <c r="U83" i="38"/>
  <c r="U86" i="38"/>
  <c r="U76" i="38"/>
  <c r="U84" i="38"/>
  <c r="U80" i="38"/>
  <c r="U78" i="38"/>
  <c r="U79" i="38"/>
  <c r="O17" i="9"/>
  <c r="T89" i="38"/>
  <c r="O22" i="9" s="1"/>
  <c r="O16" i="9"/>
  <c r="N36" i="9"/>
  <c r="N37" i="9"/>
  <c r="N28" i="9"/>
  <c r="N27" i="9"/>
  <c r="T87" i="38"/>
  <c r="O24" i="9" s="1"/>
  <c r="Q29" i="9"/>
  <c r="Q18" i="9"/>
  <c r="K30" i="9"/>
  <c r="K31" i="9" s="1"/>
  <c r="V8" i="38"/>
  <c r="Q9" i="9"/>
  <c r="X9" i="7"/>
  <c r="X14" i="7"/>
  <c r="P41" i="9"/>
  <c r="P40" i="9"/>
  <c r="Q14" i="9"/>
  <c r="P34" i="9"/>
  <c r="P38" i="9"/>
  <c r="P20" i="9"/>
  <c r="T100" i="3"/>
  <c r="T93" i="3"/>
  <c r="R13" i="9"/>
  <c r="U120" i="3"/>
  <c r="P44" i="9"/>
  <c r="P43" i="9"/>
  <c r="X8" i="7"/>
  <c r="V61" i="3"/>
  <c r="X8" i="11"/>
  <c r="M71" i="23"/>
  <c r="X15" i="6"/>
  <c r="X16" i="6"/>
  <c r="X17" i="6"/>
  <c r="X16" i="7"/>
  <c r="X11" i="7"/>
  <c r="X12" i="7"/>
  <c r="X13" i="7"/>
  <c r="I47" i="9"/>
  <c r="I55" i="9"/>
  <c r="I56" i="9" s="1"/>
  <c r="Q58" i="9" a="1"/>
  <c r="Q58" i="9" s="1"/>
  <c r="V110" i="3" a="1"/>
  <c r="V110" i="3" s="1"/>
  <c r="X11" i="2"/>
  <c r="X13" i="6"/>
  <c r="X14" i="6"/>
  <c r="X15" i="7"/>
  <c r="S6" i="3" a="1"/>
  <c r="S6" i="3" s="1"/>
  <c r="S9" i="3" a="1"/>
  <c r="S9" i="3" s="1"/>
  <c r="S34" i="3" s="1"/>
  <c r="U72" i="3"/>
  <c r="W12" i="2"/>
  <c r="T7" i="3" s="1" a="1"/>
  <c r="T7" i="3" s="1"/>
  <c r="W18" i="6"/>
  <c r="V16" i="3"/>
  <c r="V12" i="3"/>
  <c r="V17" i="3"/>
  <c r="V18" i="3"/>
  <c r="V13" i="3"/>
  <c r="V14" i="3"/>
  <c r="X7" i="6"/>
  <c r="X11" i="6"/>
  <c r="X6" i="2"/>
  <c r="X7" i="2"/>
  <c r="X5" i="2"/>
  <c r="X10" i="2"/>
  <c r="P62" i="9"/>
  <c r="S21" i="3" s="1" a="1"/>
  <c r="S21" i="3" s="1"/>
  <c r="S22" i="3" s="1"/>
  <c r="X5" i="11"/>
  <c r="Y4" i="11"/>
  <c r="V5" i="3"/>
  <c r="X6" i="11"/>
  <c r="X9" i="11"/>
  <c r="X7" i="11"/>
  <c r="Q11" i="9"/>
  <c r="Q10" i="9"/>
  <c r="Q12" i="9"/>
  <c r="R15" i="9"/>
  <c r="P48" i="9"/>
  <c r="P35" i="9"/>
  <c r="P42" i="9"/>
  <c r="P39" i="9"/>
  <c r="P46" i="9"/>
  <c r="V2" i="3"/>
  <c r="W17" i="7"/>
  <c r="Y4" i="7"/>
  <c r="Y4" i="6"/>
  <c r="X10" i="6"/>
  <c r="X8" i="6"/>
  <c r="X12" i="6"/>
  <c r="X9" i="6"/>
  <c r="X6" i="6"/>
  <c r="X5" i="6"/>
  <c r="X6" i="7"/>
  <c r="X5" i="7"/>
  <c r="X10" i="7"/>
  <c r="X7" i="7"/>
  <c r="X8" i="2"/>
  <c r="Y4" i="2"/>
  <c r="Y9" i="2" s="1"/>
  <c r="W4" i="3"/>
  <c r="V3" i="3"/>
  <c r="T20" i="3" l="1" a="1"/>
  <c r="T20" i="3" s="1"/>
  <c r="V10" i="38"/>
  <c r="V16" i="38"/>
  <c r="V9" i="38"/>
  <c r="V11" i="38"/>
  <c r="V15" i="38"/>
  <c r="V17" i="38"/>
  <c r="V18" i="38"/>
  <c r="V20" i="38"/>
  <c r="V19" i="38"/>
  <c r="V21" i="38"/>
  <c r="V26" i="38"/>
  <c r="V22" i="38"/>
  <c r="V25" i="38"/>
  <c r="V24" i="38"/>
  <c r="V27" i="38"/>
  <c r="V29" i="38"/>
  <c r="V30" i="38"/>
  <c r="V32" i="38"/>
  <c r="V34" i="38"/>
  <c r="V28" i="38"/>
  <c r="V31" i="38"/>
  <c r="V33" i="38"/>
  <c r="V37" i="38"/>
  <c r="V39" i="38"/>
  <c r="V35" i="38"/>
  <c r="V36" i="38"/>
  <c r="V38" i="38"/>
  <c r="V44" i="38"/>
  <c r="V46" i="38"/>
  <c r="V50" i="38"/>
  <c r="V52" i="38"/>
  <c r="V41" i="38"/>
  <c r="V43" i="38"/>
  <c r="V45" i="38"/>
  <c r="V49" i="38"/>
  <c r="V54" i="38"/>
  <c r="V56" i="38"/>
  <c r="V58" i="38"/>
  <c r="V51" i="38"/>
  <c r="V53" i="38"/>
  <c r="V55" i="38"/>
  <c r="V57" i="38"/>
  <c r="V60" i="38"/>
  <c r="V62" i="38"/>
  <c r="V59" i="38"/>
  <c r="V61" i="38"/>
  <c r="V64" i="38"/>
  <c r="V65" i="38"/>
  <c r="V66" i="38"/>
  <c r="V72" i="38"/>
  <c r="V74" i="38"/>
  <c r="V76" i="38"/>
  <c r="V63" i="38"/>
  <c r="V71" i="38"/>
  <c r="V77" i="38"/>
  <c r="V79" i="38"/>
  <c r="V81" i="38"/>
  <c r="V83" i="38"/>
  <c r="V73" i="38"/>
  <c r="V75" i="38"/>
  <c r="V67" i="38"/>
  <c r="V78" i="38"/>
  <c r="V80" i="38"/>
  <c r="V82" i="38"/>
  <c r="V86" i="38"/>
  <c r="V84" i="38"/>
  <c r="O21" i="9"/>
  <c r="O23" i="9" s="1"/>
  <c r="P17" i="9"/>
  <c r="P16" i="9"/>
  <c r="P26" i="9" s="1"/>
  <c r="U89" i="38"/>
  <c r="P22" i="9" s="1"/>
  <c r="R29" i="9"/>
  <c r="R18" i="9"/>
  <c r="O36" i="9"/>
  <c r="O37" i="9"/>
  <c r="O27" i="9"/>
  <c r="O28" i="9"/>
  <c r="U87" i="38"/>
  <c r="P24" i="9" s="1"/>
  <c r="W8" i="38"/>
  <c r="R9" i="9"/>
  <c r="Y9" i="7"/>
  <c r="Y14" i="7"/>
  <c r="Q41" i="9"/>
  <c r="Q40" i="9"/>
  <c r="R14" i="9"/>
  <c r="Q34" i="9"/>
  <c r="Q38" i="9"/>
  <c r="Q20" i="9"/>
  <c r="U100" i="3"/>
  <c r="U93" i="3"/>
  <c r="S13" i="9"/>
  <c r="V120" i="3"/>
  <c r="Q44" i="9"/>
  <c r="Q43" i="9"/>
  <c r="Y8" i="7"/>
  <c r="W61" i="3"/>
  <c r="Y8" i="11"/>
  <c r="M72" i="23"/>
  <c r="Y15" i="6"/>
  <c r="Y16" i="6"/>
  <c r="Y17" i="6"/>
  <c r="Y16" i="7"/>
  <c r="Y11" i="7"/>
  <c r="Y12" i="7"/>
  <c r="Y13" i="7"/>
  <c r="J47" i="9"/>
  <c r="J55" i="9"/>
  <c r="J56" i="9" s="1"/>
  <c r="E59" i="9"/>
  <c r="R58" i="9" a="1"/>
  <c r="R58" i="9" s="1"/>
  <c r="W110" i="3" a="1"/>
  <c r="W110" i="3" s="1"/>
  <c r="Y11" i="2"/>
  <c r="Y14" i="6"/>
  <c r="Y13" i="6"/>
  <c r="Y15" i="7"/>
  <c r="T6" i="3" a="1"/>
  <c r="T6" i="3" s="1"/>
  <c r="T9" i="3" a="1"/>
  <c r="T9" i="3" s="1"/>
  <c r="Q62" i="9"/>
  <c r="T21" i="3" s="1" a="1"/>
  <c r="T21" i="3" s="1"/>
  <c r="T22" i="3" s="1"/>
  <c r="X12" i="2"/>
  <c r="U7" i="3" s="1" a="1"/>
  <c r="U7" i="3" s="1"/>
  <c r="V72" i="3"/>
  <c r="X18" i="6"/>
  <c r="W12" i="3"/>
  <c r="W13" i="3"/>
  <c r="W14" i="3"/>
  <c r="W16" i="3"/>
  <c r="W17" i="3"/>
  <c r="W18" i="3"/>
  <c r="Y7" i="6"/>
  <c r="Y11" i="6"/>
  <c r="W2" i="3"/>
  <c r="Y6" i="2"/>
  <c r="Y7" i="2"/>
  <c r="Y5" i="2"/>
  <c r="Y10" i="2"/>
  <c r="Y5" i="11"/>
  <c r="Y7" i="11"/>
  <c r="Y9" i="11"/>
  <c r="Z4" i="11"/>
  <c r="W5" i="3"/>
  <c r="Q48" i="9"/>
  <c r="Q35" i="9"/>
  <c r="Q42" i="9"/>
  <c r="Q46" i="9"/>
  <c r="Q39" i="9"/>
  <c r="R11" i="9"/>
  <c r="R10" i="9"/>
  <c r="S15" i="9"/>
  <c r="R12" i="9"/>
  <c r="Y10" i="7"/>
  <c r="Y7" i="7"/>
  <c r="Y6" i="7"/>
  <c r="Y5" i="7"/>
  <c r="Z4" i="6"/>
  <c r="Z4" i="7"/>
  <c r="X17" i="7"/>
  <c r="Y12" i="6"/>
  <c r="Y8" i="6"/>
  <c r="Y9" i="6"/>
  <c r="Y6" i="6"/>
  <c r="Y5" i="6"/>
  <c r="Y10" i="6"/>
  <c r="Z4" i="2"/>
  <c r="Z9" i="2" s="1"/>
  <c r="W3" i="3"/>
  <c r="X4" i="3"/>
  <c r="Y8" i="2"/>
  <c r="U20" i="3" l="1" a="1"/>
  <c r="U20" i="3" s="1"/>
  <c r="W10" i="38"/>
  <c r="W16" i="38"/>
  <c r="W9" i="38"/>
  <c r="W11" i="38"/>
  <c r="W15" i="38"/>
  <c r="W17" i="38"/>
  <c r="W18" i="38"/>
  <c r="W21" i="38"/>
  <c r="W22" i="38"/>
  <c r="W24" i="38"/>
  <c r="W25" i="38"/>
  <c r="W19" i="38"/>
  <c r="W20" i="38"/>
  <c r="W26" i="38"/>
  <c r="W28" i="38"/>
  <c r="W27" i="38"/>
  <c r="W29" i="38"/>
  <c r="W30" i="38"/>
  <c r="W32" i="38"/>
  <c r="W34" i="38"/>
  <c r="W36" i="38"/>
  <c r="W31" i="38"/>
  <c r="W33" i="38"/>
  <c r="W35" i="38"/>
  <c r="W37" i="38"/>
  <c r="W39" i="38"/>
  <c r="W38" i="38"/>
  <c r="W44" i="38"/>
  <c r="W46" i="38"/>
  <c r="W50" i="38"/>
  <c r="W52" i="38"/>
  <c r="W41" i="38"/>
  <c r="W43" i="38"/>
  <c r="W45" i="38"/>
  <c r="W49" i="38"/>
  <c r="W53" i="38"/>
  <c r="W55" i="38"/>
  <c r="W57" i="38"/>
  <c r="W58" i="38"/>
  <c r="W60" i="38"/>
  <c r="W62" i="38"/>
  <c r="W64" i="38"/>
  <c r="W51" i="38"/>
  <c r="W54" i="38"/>
  <c r="W56" i="38"/>
  <c r="W59" i="38"/>
  <c r="W61" i="38"/>
  <c r="W63" i="38"/>
  <c r="W67" i="38"/>
  <c r="W71" i="38"/>
  <c r="W73" i="38"/>
  <c r="W75" i="38"/>
  <c r="W65" i="38"/>
  <c r="W66" i="38"/>
  <c r="W72" i="38"/>
  <c r="W74" i="38"/>
  <c r="W76" i="38"/>
  <c r="W77" i="38"/>
  <c r="W79" i="38"/>
  <c r="W81" i="38"/>
  <c r="W83" i="38"/>
  <c r="W78" i="38"/>
  <c r="W80" i="38"/>
  <c r="W82" i="38"/>
  <c r="W84" i="38"/>
  <c r="W86" i="38"/>
  <c r="P27" i="9"/>
  <c r="P28" i="9"/>
  <c r="P25" i="9"/>
  <c r="P37" i="9"/>
  <c r="P36" i="9"/>
  <c r="V87" i="38"/>
  <c r="Q24" i="9" s="1"/>
  <c r="V89" i="38"/>
  <c r="Q22" i="9" s="1"/>
  <c r="S29" i="9"/>
  <c r="S18" i="9"/>
  <c r="Q17" i="9"/>
  <c r="Q16" i="9"/>
  <c r="L30" i="9"/>
  <c r="L31" i="9" s="1"/>
  <c r="P21" i="9"/>
  <c r="P23" i="9" s="1"/>
  <c r="X8" i="38"/>
  <c r="S9" i="9"/>
  <c r="Z9" i="7"/>
  <c r="Z14" i="7"/>
  <c r="R41" i="9"/>
  <c r="R40" i="9"/>
  <c r="S14" i="9"/>
  <c r="R34" i="9"/>
  <c r="R38" i="9"/>
  <c r="R20" i="9"/>
  <c r="V100" i="3"/>
  <c r="V93" i="3"/>
  <c r="T13" i="9"/>
  <c r="W120" i="3"/>
  <c r="R44" i="9"/>
  <c r="R43" i="9"/>
  <c r="Z8" i="7"/>
  <c r="X61" i="3"/>
  <c r="Z8" i="11"/>
  <c r="M73" i="23"/>
  <c r="Q72" i="23"/>
  <c r="P72" i="23"/>
  <c r="Z15" i="6"/>
  <c r="Z16" i="6"/>
  <c r="Z17" i="6"/>
  <c r="F59" i="9"/>
  <c r="Z16" i="7"/>
  <c r="Z11" i="7"/>
  <c r="Z12" i="7"/>
  <c r="Z13" i="7"/>
  <c r="K47" i="9"/>
  <c r="K55" i="9"/>
  <c r="K56" i="9" s="1"/>
  <c r="S58" i="9" a="1"/>
  <c r="S58" i="9" s="1"/>
  <c r="X110" i="3" a="1"/>
  <c r="X110" i="3" s="1"/>
  <c r="Z11" i="2"/>
  <c r="Z13" i="6"/>
  <c r="Z14" i="6"/>
  <c r="Z15" i="7"/>
  <c r="U6" i="3" a="1"/>
  <c r="U6" i="3" s="1"/>
  <c r="U9" i="3" a="1"/>
  <c r="U9" i="3" s="1"/>
  <c r="R62" i="9"/>
  <c r="U21" i="3" s="1" a="1"/>
  <c r="U21" i="3" s="1"/>
  <c r="U22" i="3" s="1"/>
  <c r="X2" i="3"/>
  <c r="X120" i="3" s="1"/>
  <c r="W72" i="3"/>
  <c r="Y12" i="2"/>
  <c r="V7" i="3" s="1" a="1"/>
  <c r="V7" i="3" s="1"/>
  <c r="Y18" i="6"/>
  <c r="X12" i="3"/>
  <c r="X13" i="3"/>
  <c r="X16" i="3"/>
  <c r="X17" i="3"/>
  <c r="X14" i="3"/>
  <c r="X18" i="3"/>
  <c r="Z7" i="6"/>
  <c r="Z11" i="6"/>
  <c r="Z7" i="2"/>
  <c r="Z6" i="2"/>
  <c r="Z5" i="2"/>
  <c r="Z10" i="2"/>
  <c r="Z5" i="11"/>
  <c r="AA4" i="11"/>
  <c r="X5" i="3"/>
  <c r="Z6" i="11"/>
  <c r="Z7" i="11"/>
  <c r="Z11" i="11"/>
  <c r="Z9" i="11"/>
  <c r="R48" i="9"/>
  <c r="R39" i="9"/>
  <c r="R46" i="9"/>
  <c r="R35" i="9"/>
  <c r="R42" i="9"/>
  <c r="S11" i="9"/>
  <c r="S12" i="9"/>
  <c r="T15" i="9"/>
  <c r="S10" i="9"/>
  <c r="Z5" i="7"/>
  <c r="Z10" i="7"/>
  <c r="Z6" i="7"/>
  <c r="Z7" i="7"/>
  <c r="AA4" i="6"/>
  <c r="AA4" i="7"/>
  <c r="Z8" i="6"/>
  <c r="Z10" i="6"/>
  <c r="Z5" i="6"/>
  <c r="Z9" i="6"/>
  <c r="Z12" i="6"/>
  <c r="Z6" i="6"/>
  <c r="Y17" i="7"/>
  <c r="AA4" i="2"/>
  <c r="AA9" i="2" s="1"/>
  <c r="X3" i="3"/>
  <c r="Y4" i="3"/>
  <c r="Z8" i="2"/>
  <c r="G59" i="9" l="1"/>
  <c r="X10" i="38"/>
  <c r="X16" i="38"/>
  <c r="X9" i="38"/>
  <c r="X11" i="38"/>
  <c r="X15" i="38"/>
  <c r="X17" i="38"/>
  <c r="X21" i="38"/>
  <c r="X22" i="38"/>
  <c r="X18" i="38"/>
  <c r="X19" i="38"/>
  <c r="X20" i="38"/>
  <c r="X25" i="38"/>
  <c r="X26" i="38"/>
  <c r="X24" i="38"/>
  <c r="X27" i="38"/>
  <c r="X29" i="38"/>
  <c r="X30" i="38"/>
  <c r="X32" i="38"/>
  <c r="X34" i="38"/>
  <c r="X28" i="38"/>
  <c r="X37" i="38"/>
  <c r="X35" i="38"/>
  <c r="X39" i="38"/>
  <c r="X31" i="38"/>
  <c r="X36" i="38"/>
  <c r="X44" i="38"/>
  <c r="X46" i="38"/>
  <c r="X50" i="38"/>
  <c r="X38" i="38"/>
  <c r="X52" i="38"/>
  <c r="X41" i="38"/>
  <c r="X53" i="38"/>
  <c r="X55" i="38"/>
  <c r="X57" i="38"/>
  <c r="X33" i="38"/>
  <c r="X43" i="38"/>
  <c r="X54" i="38"/>
  <c r="X56" i="38"/>
  <c r="X49" i="38"/>
  <c r="X51" i="38"/>
  <c r="X45" i="38"/>
  <c r="X58" i="38"/>
  <c r="X60" i="38"/>
  <c r="X62" i="38"/>
  <c r="X64" i="38"/>
  <c r="X67" i="38"/>
  <c r="X71" i="38"/>
  <c r="X73" i="38"/>
  <c r="X75" i="38"/>
  <c r="X65" i="38"/>
  <c r="X59" i="38"/>
  <c r="X66" i="38"/>
  <c r="X72" i="38"/>
  <c r="X74" i="38"/>
  <c r="X61" i="38"/>
  <c r="X76" i="38"/>
  <c r="X63" i="38"/>
  <c r="X77" i="38"/>
  <c r="X79" i="38"/>
  <c r="X81" i="38"/>
  <c r="X83" i="38"/>
  <c r="X78" i="38"/>
  <c r="X80" i="38"/>
  <c r="X82" i="38"/>
  <c r="X84" i="38"/>
  <c r="X86" i="38"/>
  <c r="Q21" i="9"/>
  <c r="Q23" i="9" s="1"/>
  <c r="W89" i="38"/>
  <c r="R22" i="9" s="1"/>
  <c r="T29" i="9"/>
  <c r="T18" i="9"/>
  <c r="Q36" i="9"/>
  <c r="Q37" i="9"/>
  <c r="Q25" i="9"/>
  <c r="Q27" i="9"/>
  <c r="Q26" i="9"/>
  <c r="Q28" i="9"/>
  <c r="R16" i="9"/>
  <c r="R17" i="9"/>
  <c r="W87" i="38"/>
  <c r="R24" i="9" s="1"/>
  <c r="Y8" i="38"/>
  <c r="T9" i="9"/>
  <c r="AA9" i="7"/>
  <c r="AA14" i="7"/>
  <c r="S41" i="9"/>
  <c r="S40" i="9"/>
  <c r="T14" i="9"/>
  <c r="S34" i="9"/>
  <c r="S38" i="9"/>
  <c r="S20" i="9"/>
  <c r="W100" i="3"/>
  <c r="W93" i="3"/>
  <c r="X100" i="3"/>
  <c r="X93" i="3"/>
  <c r="Y2" i="3"/>
  <c r="U13" i="9"/>
  <c r="S44" i="9"/>
  <c r="S43" i="9"/>
  <c r="AA8" i="7"/>
  <c r="Y61" i="3"/>
  <c r="AA8" i="11"/>
  <c r="M74" i="23"/>
  <c r="P73" i="23"/>
  <c r="Q73" i="23"/>
  <c r="AA15" i="6"/>
  <c r="AA16" i="6"/>
  <c r="AA17" i="6"/>
  <c r="AA16" i="7"/>
  <c r="AA11" i="7"/>
  <c r="AA13" i="7"/>
  <c r="AA12" i="7"/>
  <c r="L47" i="9"/>
  <c r="L55" i="9"/>
  <c r="L56" i="9" s="1"/>
  <c r="V20" i="3" a="1"/>
  <c r="V20" i="3" s="1"/>
  <c r="T58" i="9" a="1"/>
  <c r="T58" i="9" s="1"/>
  <c r="Y110" i="3" a="1"/>
  <c r="Y110" i="3" s="1"/>
  <c r="AA11" i="2"/>
  <c r="AA14" i="6"/>
  <c r="AA13" i="6"/>
  <c r="AA15" i="7"/>
  <c r="V6" i="3" a="1"/>
  <c r="V6" i="3" s="1"/>
  <c r="V9" i="3" a="1"/>
  <c r="V9" i="3" s="1"/>
  <c r="S62" i="9"/>
  <c r="V21" i="3" s="1" a="1"/>
  <c r="V21" i="3" s="1"/>
  <c r="X72" i="3"/>
  <c r="Z12" i="2"/>
  <c r="W7" i="3" s="1" a="1"/>
  <c r="W7" i="3" s="1"/>
  <c r="Z18" i="6"/>
  <c r="Y13" i="3"/>
  <c r="Y14" i="3"/>
  <c r="Y12" i="3"/>
  <c r="Y18" i="3"/>
  <c r="Y17" i="3"/>
  <c r="Y16" i="3"/>
  <c r="AA7" i="6"/>
  <c r="AA11" i="6"/>
  <c r="AA7" i="2"/>
  <c r="AA6" i="2"/>
  <c r="AA5" i="2"/>
  <c r="AA10" i="2"/>
  <c r="AA5" i="11"/>
  <c r="AA7" i="11"/>
  <c r="AA6" i="11"/>
  <c r="AA9" i="11"/>
  <c r="AA11" i="11"/>
  <c r="AB4" i="11"/>
  <c r="Y5" i="3"/>
  <c r="S42" i="9"/>
  <c r="S39" i="9"/>
  <c r="S46" i="9"/>
  <c r="S48" i="9"/>
  <c r="S35" i="9"/>
  <c r="T11" i="9"/>
  <c r="T12" i="9"/>
  <c r="T10" i="9"/>
  <c r="U15" i="9"/>
  <c r="AB4" i="7"/>
  <c r="AB4" i="6"/>
  <c r="AA6" i="7"/>
  <c r="AA10" i="7"/>
  <c r="AA7" i="7"/>
  <c r="AA5" i="7"/>
  <c r="AA5" i="6"/>
  <c r="AA10" i="6"/>
  <c r="AA6" i="6"/>
  <c r="AA12" i="6"/>
  <c r="AA8" i="6"/>
  <c r="AA9" i="6"/>
  <c r="Z17" i="7"/>
  <c r="AB4" i="2"/>
  <c r="AB9" i="2" s="1"/>
  <c r="Y3" i="3"/>
  <c r="Z4" i="3"/>
  <c r="Z54" i="3" s="1"/>
  <c r="AA8" i="2"/>
  <c r="H59" i="9" l="1"/>
  <c r="Y10" i="38"/>
  <c r="Y15" i="38"/>
  <c r="Y9" i="38"/>
  <c r="Y16" i="38"/>
  <c r="Y19" i="38"/>
  <c r="Y21" i="38"/>
  <c r="Y11" i="38"/>
  <c r="Y17" i="38"/>
  <c r="Y18" i="38"/>
  <c r="Y20" i="38"/>
  <c r="Y22" i="38"/>
  <c r="Y24" i="38"/>
  <c r="Y25" i="38"/>
  <c r="Y26" i="38"/>
  <c r="Y28" i="38"/>
  <c r="Y27" i="38"/>
  <c r="Y29" i="38"/>
  <c r="Y30" i="38"/>
  <c r="Y32" i="38"/>
  <c r="Y34" i="38"/>
  <c r="Y33" i="38"/>
  <c r="Y38" i="38"/>
  <c r="Y37" i="38"/>
  <c r="Y35" i="38"/>
  <c r="Y31" i="38"/>
  <c r="Y41" i="38"/>
  <c r="Y43" i="38"/>
  <c r="Y45" i="38"/>
  <c r="Y49" i="38"/>
  <c r="Y51" i="38"/>
  <c r="Y36" i="38"/>
  <c r="Y39" i="38"/>
  <c r="Y44" i="38"/>
  <c r="Y46" i="38"/>
  <c r="Y50" i="38"/>
  <c r="Y52" i="38"/>
  <c r="Y53" i="38"/>
  <c r="Y55" i="38"/>
  <c r="Y59" i="38"/>
  <c r="Y61" i="38"/>
  <c r="Y63" i="38"/>
  <c r="Y57" i="38"/>
  <c r="Y58" i="38"/>
  <c r="Y60" i="38"/>
  <c r="Y62" i="38"/>
  <c r="Y64" i="38"/>
  <c r="Y67" i="38"/>
  <c r="Y71" i="38"/>
  <c r="Y73" i="38"/>
  <c r="Y56" i="38"/>
  <c r="Y65" i="38"/>
  <c r="Y54" i="38"/>
  <c r="Y66" i="38"/>
  <c r="Y72" i="38"/>
  <c r="Y74" i="38"/>
  <c r="Y76" i="38"/>
  <c r="Y75" i="38"/>
  <c r="Y77" i="38"/>
  <c r="Y80" i="38"/>
  <c r="Y81" i="38"/>
  <c r="Y82" i="38"/>
  <c r="Y79" i="38"/>
  <c r="Y83" i="38"/>
  <c r="Y84" i="38"/>
  <c r="Y78" i="38"/>
  <c r="Y86" i="38"/>
  <c r="R21" i="9"/>
  <c r="R23" i="9" s="1"/>
  <c r="U29" i="9"/>
  <c r="U18" i="9"/>
  <c r="R36" i="9"/>
  <c r="R37" i="9"/>
  <c r="R27" i="9"/>
  <c r="R25" i="9"/>
  <c r="R28" i="9"/>
  <c r="R26" i="9"/>
  <c r="S17" i="9"/>
  <c r="S16" i="9"/>
  <c r="X89" i="38"/>
  <c r="S22" i="9" s="1"/>
  <c r="M30" i="9"/>
  <c r="M31" i="9" s="1"/>
  <c r="X87" i="38"/>
  <c r="S24" i="9" s="1"/>
  <c r="Z8" i="38"/>
  <c r="U9" i="9"/>
  <c r="AB9" i="7"/>
  <c r="AB14" i="7"/>
  <c r="T41" i="9"/>
  <c r="T40" i="9"/>
  <c r="U14" i="9"/>
  <c r="T34" i="9"/>
  <c r="T38" i="9"/>
  <c r="T20" i="9"/>
  <c r="V13" i="9"/>
  <c r="Y120" i="3"/>
  <c r="Z2" i="3"/>
  <c r="Z72" i="3" s="1"/>
  <c r="Y72" i="3"/>
  <c r="T44" i="9"/>
  <c r="T43" i="9"/>
  <c r="AB8" i="7"/>
  <c r="Z61" i="3"/>
  <c r="Z36" i="3"/>
  <c r="Z59" i="3"/>
  <c r="AB8" i="11"/>
  <c r="M75" i="23"/>
  <c r="P74" i="23"/>
  <c r="Q74" i="23"/>
  <c r="AB15" i="6"/>
  <c r="AB16" i="6"/>
  <c r="AB17" i="6"/>
  <c r="AB16" i="7"/>
  <c r="V22" i="3"/>
  <c r="AB11" i="7"/>
  <c r="AB12" i="7"/>
  <c r="AB13" i="7"/>
  <c r="W20" i="3" a="1"/>
  <c r="W20" i="3" s="1"/>
  <c r="U58" i="9" a="1"/>
  <c r="U58" i="9" s="1"/>
  <c r="Z110" i="3" a="1"/>
  <c r="Z110" i="3" s="1"/>
  <c r="AB11" i="2"/>
  <c r="AB13" i="6"/>
  <c r="AB14" i="6"/>
  <c r="AB15" i="7"/>
  <c r="W6" i="3" a="1"/>
  <c r="W6" i="3" s="1"/>
  <c r="W9" i="3" a="1"/>
  <c r="W9" i="3" s="1"/>
  <c r="T62" i="9"/>
  <c r="W21" i="3" s="1" a="1"/>
  <c r="W21" i="3" s="1"/>
  <c r="AA12" i="2"/>
  <c r="X7" i="3" s="1" a="1"/>
  <c r="X7" i="3" s="1"/>
  <c r="AA18" i="6"/>
  <c r="Z12" i="3"/>
  <c r="Z14" i="3"/>
  <c r="Z13" i="3"/>
  <c r="Z16" i="3"/>
  <c r="Z18" i="3"/>
  <c r="Z17" i="3"/>
  <c r="AB7" i="6"/>
  <c r="AB11" i="6"/>
  <c r="AB6" i="2"/>
  <c r="AB7" i="2"/>
  <c r="AB5" i="2"/>
  <c r="AB10" i="2"/>
  <c r="AB5" i="11"/>
  <c r="AC4" i="11"/>
  <c r="Z5" i="3"/>
  <c r="AB7" i="11"/>
  <c r="AB6" i="11"/>
  <c r="AB9" i="11"/>
  <c r="AB11" i="11"/>
  <c r="U11" i="9"/>
  <c r="V15" i="9"/>
  <c r="U10" i="9"/>
  <c r="U12" i="9"/>
  <c r="T39" i="9"/>
  <c r="T48" i="9"/>
  <c r="T35" i="9"/>
  <c r="T46" i="9"/>
  <c r="T42" i="9"/>
  <c r="AC4" i="7"/>
  <c r="AC4" i="6"/>
  <c r="AA17" i="7"/>
  <c r="AB8" i="6"/>
  <c r="AB12" i="6"/>
  <c r="AB9" i="6"/>
  <c r="AB6" i="6"/>
  <c r="AB10" i="6"/>
  <c r="AB5" i="6"/>
  <c r="AB6" i="7"/>
  <c r="AB5" i="7"/>
  <c r="AB10" i="7"/>
  <c r="AB7" i="7"/>
  <c r="AB8" i="2"/>
  <c r="AC4" i="2"/>
  <c r="AC9" i="2" s="1"/>
  <c r="Z3" i="3"/>
  <c r="AA4" i="3"/>
  <c r="X20" i="3" l="1" a="1"/>
  <c r="X20" i="3" s="1"/>
  <c r="Z9" i="38"/>
  <c r="Z11" i="38"/>
  <c r="Z15" i="38"/>
  <c r="Z10" i="38"/>
  <c r="Z16" i="38"/>
  <c r="Z19" i="38"/>
  <c r="Z21" i="38"/>
  <c r="Z17" i="38"/>
  <c r="Z18" i="38"/>
  <c r="Z20" i="38"/>
  <c r="Z22" i="38"/>
  <c r="Z24" i="38"/>
  <c r="Z25" i="38"/>
  <c r="Z26" i="38"/>
  <c r="Z28" i="38"/>
  <c r="Z31" i="38"/>
  <c r="Z33" i="38"/>
  <c r="Z35" i="38"/>
  <c r="Z27" i="38"/>
  <c r="Z29" i="38"/>
  <c r="Z30" i="38"/>
  <c r="Z32" i="38"/>
  <c r="Z34" i="38"/>
  <c r="Z36" i="38"/>
  <c r="Z38" i="38"/>
  <c r="Z37" i="38"/>
  <c r="Z41" i="38"/>
  <c r="Z43" i="38"/>
  <c r="Z45" i="38"/>
  <c r="Z49" i="38"/>
  <c r="Z51" i="38"/>
  <c r="Z39" i="38"/>
  <c r="Z44" i="38"/>
  <c r="Z46" i="38"/>
  <c r="Z50" i="38"/>
  <c r="Z52" i="38"/>
  <c r="Z53" i="38"/>
  <c r="Z55" i="38"/>
  <c r="Z57" i="38"/>
  <c r="Z54" i="38"/>
  <c r="Z56" i="38"/>
  <c r="Z59" i="38"/>
  <c r="Z61" i="38"/>
  <c r="Z63" i="38"/>
  <c r="Z58" i="38"/>
  <c r="Z60" i="38"/>
  <c r="Z64" i="38"/>
  <c r="Z67" i="38"/>
  <c r="Z71" i="38"/>
  <c r="Z73" i="38"/>
  <c r="Z75" i="38"/>
  <c r="Z62" i="38"/>
  <c r="Z65" i="38"/>
  <c r="Z78" i="38"/>
  <c r="Z80" i="38"/>
  <c r="Z82" i="38"/>
  <c r="Z72" i="38"/>
  <c r="Z74" i="38"/>
  <c r="Z76" i="38"/>
  <c r="Z66" i="38"/>
  <c r="Z77" i="38"/>
  <c r="Z79" i="38"/>
  <c r="Z81" i="38"/>
  <c r="Z83" i="38"/>
  <c r="Z86" i="38"/>
  <c r="Z84" i="38"/>
  <c r="T16" i="9"/>
  <c r="T37" i="9" s="1"/>
  <c r="Y89" i="38"/>
  <c r="T22" i="9" s="1"/>
  <c r="Y87" i="38"/>
  <c r="T24" i="9" s="1"/>
  <c r="T17" i="9"/>
  <c r="S37" i="9"/>
  <c r="S36" i="9"/>
  <c r="S26" i="9"/>
  <c r="S27" i="9"/>
  <c r="S25" i="9"/>
  <c r="S28" i="9"/>
  <c r="V29" i="9"/>
  <c r="V18" i="9"/>
  <c r="S21" i="9"/>
  <c r="S23" i="9" s="1"/>
  <c r="AA8" i="38"/>
  <c r="V9" i="9"/>
  <c r="AC9" i="7"/>
  <c r="AC14" i="7"/>
  <c r="U41" i="9"/>
  <c r="U40" i="9"/>
  <c r="AA2" i="3"/>
  <c r="X13" i="9" s="1"/>
  <c r="V14" i="9"/>
  <c r="U34" i="9"/>
  <c r="U38" i="9"/>
  <c r="U20" i="9"/>
  <c r="Y100" i="3"/>
  <c r="Y93" i="3"/>
  <c r="W13" i="9"/>
  <c r="Z120" i="3"/>
  <c r="Z93" i="3" s="1"/>
  <c r="U44" i="9"/>
  <c r="U43" i="9"/>
  <c r="AC8" i="7"/>
  <c r="AA61" i="3"/>
  <c r="AC8" i="11"/>
  <c r="M76" i="23"/>
  <c r="P75" i="23"/>
  <c r="Q75" i="23"/>
  <c r="AC15" i="6"/>
  <c r="AC16" i="6"/>
  <c r="AC17" i="6"/>
  <c r="AC16" i="7"/>
  <c r="AC11" i="7"/>
  <c r="AC13" i="7"/>
  <c r="AC12" i="7"/>
  <c r="M47" i="9"/>
  <c r="M55" i="9"/>
  <c r="M56" i="9" s="1"/>
  <c r="W22" i="3"/>
  <c r="V58" i="9" a="1"/>
  <c r="V58" i="9" s="1"/>
  <c r="AA110" i="3" a="1"/>
  <c r="AA110" i="3" s="1"/>
  <c r="AC11" i="2"/>
  <c r="AC14" i="6"/>
  <c r="AC13" i="6"/>
  <c r="AC15" i="7"/>
  <c r="X6" i="3" a="1"/>
  <c r="X6" i="3" s="1"/>
  <c r="X9" i="3" a="1"/>
  <c r="X9" i="3" s="1"/>
  <c r="AB12" i="2"/>
  <c r="Y7" i="3" s="1" a="1"/>
  <c r="Y7" i="3" s="1"/>
  <c r="AB18" i="6"/>
  <c r="AA12" i="3"/>
  <c r="AA13" i="3"/>
  <c r="AA14" i="3"/>
  <c r="AA16" i="3"/>
  <c r="AA17" i="3"/>
  <c r="AA18" i="3"/>
  <c r="I59" i="9"/>
  <c r="AC7" i="6"/>
  <c r="AC11" i="6"/>
  <c r="AC6" i="2"/>
  <c r="AC7" i="2"/>
  <c r="AC5" i="2"/>
  <c r="AC10" i="2"/>
  <c r="U62" i="9"/>
  <c r="X21" i="3" s="1" a="1"/>
  <c r="X21" i="3" s="1"/>
  <c r="X22" i="3" s="1"/>
  <c r="AC5" i="11"/>
  <c r="AD4" i="11"/>
  <c r="AA5" i="3"/>
  <c r="AC6" i="11"/>
  <c r="AC9" i="11"/>
  <c r="AC7" i="11"/>
  <c r="AC11" i="11"/>
  <c r="V11" i="9"/>
  <c r="V12" i="9"/>
  <c r="W15" i="9"/>
  <c r="V10" i="9"/>
  <c r="U48" i="9"/>
  <c r="U39" i="9"/>
  <c r="U46" i="9"/>
  <c r="U42" i="9"/>
  <c r="U35" i="9"/>
  <c r="AB17" i="7"/>
  <c r="AD4" i="7"/>
  <c r="AD4" i="6"/>
  <c r="AC5" i="6"/>
  <c r="AC8" i="6"/>
  <c r="AC12" i="6"/>
  <c r="AC9" i="6"/>
  <c r="AC6" i="6"/>
  <c r="AC10" i="6"/>
  <c r="AC5" i="7"/>
  <c r="AC7" i="7"/>
  <c r="AC6" i="7"/>
  <c r="AC10" i="7"/>
  <c r="AB2" i="3"/>
  <c r="AC8" i="2"/>
  <c r="AD4" i="2"/>
  <c r="AD9" i="2" s="1"/>
  <c r="AB4" i="3"/>
  <c r="AB54" i="3" s="1"/>
  <c r="AA3" i="3"/>
  <c r="Y20" i="3" l="1" a="1"/>
  <c r="Y20" i="3" s="1"/>
  <c r="AA72" i="3"/>
  <c r="AA9" i="38"/>
  <c r="AA11" i="38"/>
  <c r="AA15" i="38"/>
  <c r="AA10" i="38"/>
  <c r="AA16" i="38"/>
  <c r="AA19" i="38"/>
  <c r="AA20" i="38"/>
  <c r="AA25" i="38"/>
  <c r="AA21" i="38"/>
  <c r="AA17" i="38"/>
  <c r="AA22" i="38"/>
  <c r="AA24" i="38"/>
  <c r="AA18" i="38"/>
  <c r="AA27" i="38"/>
  <c r="AA29" i="38"/>
  <c r="AA26" i="38"/>
  <c r="AA28" i="38"/>
  <c r="AA31" i="38"/>
  <c r="AA33" i="38"/>
  <c r="AA35" i="38"/>
  <c r="AA37" i="38"/>
  <c r="AA30" i="38"/>
  <c r="AA32" i="38"/>
  <c r="AA34" i="38"/>
  <c r="AA36" i="38"/>
  <c r="AA38" i="38"/>
  <c r="AA41" i="38"/>
  <c r="AA43" i="38"/>
  <c r="AA45" i="38"/>
  <c r="AA49" i="38"/>
  <c r="AA51" i="38"/>
  <c r="AA39" i="38"/>
  <c r="AA44" i="38"/>
  <c r="AA46" i="38"/>
  <c r="AA50" i="38"/>
  <c r="AA54" i="38"/>
  <c r="AA56" i="38"/>
  <c r="AA52" i="38"/>
  <c r="AA55" i="38"/>
  <c r="AA53" i="38"/>
  <c r="AA57" i="38"/>
  <c r="AA59" i="38"/>
  <c r="AA61" i="38"/>
  <c r="AA63" i="38"/>
  <c r="AA58" i="38"/>
  <c r="AA60" i="38"/>
  <c r="AA62" i="38"/>
  <c r="AA66" i="38"/>
  <c r="AA72" i="38"/>
  <c r="AA74" i="38"/>
  <c r="AA76" i="38"/>
  <c r="AA64" i="38"/>
  <c r="AA67" i="38"/>
  <c r="AA71" i="38"/>
  <c r="AA73" i="38"/>
  <c r="AA75" i="38"/>
  <c r="AA78" i="38"/>
  <c r="AA80" i="38"/>
  <c r="AA82" i="38"/>
  <c r="AA84" i="38"/>
  <c r="AA65" i="38"/>
  <c r="AA77" i="38"/>
  <c r="AA79" i="38"/>
  <c r="AA81" i="38"/>
  <c r="AA83" i="38"/>
  <c r="AA86" i="38"/>
  <c r="T21" i="9"/>
  <c r="T23" i="9" s="1"/>
  <c r="T27" i="9"/>
  <c r="T36" i="9"/>
  <c r="T26" i="9"/>
  <c r="T28" i="9"/>
  <c r="T25" i="9"/>
  <c r="U17" i="9"/>
  <c r="U16" i="9"/>
  <c r="U25" i="9" s="1"/>
  <c r="W29" i="9"/>
  <c r="W18" i="9"/>
  <c r="Z89" i="38"/>
  <c r="U22" i="9" s="1"/>
  <c r="N30" i="9"/>
  <c r="N31" i="9" s="1"/>
  <c r="Z87" i="38"/>
  <c r="U24" i="9" s="1"/>
  <c r="AB8" i="38"/>
  <c r="W9" i="9"/>
  <c r="AA120" i="3"/>
  <c r="AA100" i="3" s="1"/>
  <c r="AD9" i="7"/>
  <c r="AD14" i="7"/>
  <c r="V41" i="9"/>
  <c r="V40" i="9"/>
  <c r="W14" i="9"/>
  <c r="V34" i="9"/>
  <c r="V38" i="9"/>
  <c r="V20" i="9"/>
  <c r="Z100" i="3"/>
  <c r="Y13" i="9"/>
  <c r="AB120" i="3"/>
  <c r="V44" i="9"/>
  <c r="V43" i="9"/>
  <c r="AD8" i="7"/>
  <c r="AB61" i="3"/>
  <c r="AB36" i="3"/>
  <c r="AB59" i="3"/>
  <c r="AD8" i="11"/>
  <c r="M77" i="23"/>
  <c r="Q76" i="23"/>
  <c r="P76" i="23"/>
  <c r="AD15" i="6"/>
  <c r="AD16" i="6"/>
  <c r="AD17" i="6"/>
  <c r="AD16" i="7"/>
  <c r="AD11" i="7"/>
  <c r="AD12" i="7"/>
  <c r="AD13" i="7"/>
  <c r="J59" i="9"/>
  <c r="W58" i="9" a="1"/>
  <c r="W58" i="9" s="1"/>
  <c r="AB110" i="3" a="1"/>
  <c r="AB110" i="3" s="1"/>
  <c r="AD11" i="2"/>
  <c r="AD13" i="6"/>
  <c r="AD14" i="6"/>
  <c r="AD15" i="7"/>
  <c r="Y6" i="3" a="1"/>
  <c r="Y6" i="3" s="1"/>
  <c r="Y9" i="3" a="1"/>
  <c r="Y9" i="3" s="1"/>
  <c r="V62" i="9"/>
  <c r="Y21" i="3" s="1" a="1"/>
  <c r="Y21" i="3" s="1"/>
  <c r="Y22" i="3" s="1"/>
  <c r="AC12" i="2"/>
  <c r="Z7" i="3" s="1" a="1"/>
  <c r="Z7" i="3" s="1"/>
  <c r="AB72" i="3"/>
  <c r="AC18" i="6"/>
  <c r="AB16" i="3"/>
  <c r="AB14" i="3"/>
  <c r="AB17" i="3"/>
  <c r="AB12" i="3"/>
  <c r="AB13" i="3"/>
  <c r="AB18" i="3"/>
  <c r="AD7" i="6"/>
  <c r="AD11" i="6"/>
  <c r="AD7" i="2"/>
  <c r="AD6" i="2"/>
  <c r="AD5" i="2"/>
  <c r="AD10" i="2"/>
  <c r="AD5" i="11"/>
  <c r="AD9" i="11"/>
  <c r="AD7" i="11"/>
  <c r="AD6" i="11"/>
  <c r="AD11" i="11"/>
  <c r="AE4" i="11"/>
  <c r="AB5" i="3"/>
  <c r="W11" i="9"/>
  <c r="W10" i="9"/>
  <c r="X15" i="9"/>
  <c r="W12" i="9"/>
  <c r="V39" i="9"/>
  <c r="V46" i="9"/>
  <c r="V35" i="9"/>
  <c r="V48" i="9"/>
  <c r="V42" i="9"/>
  <c r="AC17" i="7"/>
  <c r="AD12" i="6"/>
  <c r="AD10" i="6"/>
  <c r="AD5" i="6"/>
  <c r="AD8" i="6"/>
  <c r="AD9" i="6"/>
  <c r="AD6" i="6"/>
  <c r="AD10" i="7"/>
  <c r="AD5" i="7"/>
  <c r="AD7" i="7"/>
  <c r="AD6" i="7"/>
  <c r="AE4" i="7"/>
  <c r="AE4" i="6"/>
  <c r="AE4" i="2"/>
  <c r="AE9" i="2" s="1"/>
  <c r="AC4" i="3"/>
  <c r="AC54" i="3" s="1"/>
  <c r="AB3" i="3"/>
  <c r="AD8" i="2"/>
  <c r="AC2" i="3"/>
  <c r="Z20" i="3" l="1" a="1"/>
  <c r="Z20" i="3" s="1"/>
  <c r="AB9" i="38"/>
  <c r="AB11" i="38"/>
  <c r="AB15" i="38"/>
  <c r="AB10" i="38"/>
  <c r="AB16" i="38"/>
  <c r="AB17" i="38"/>
  <c r="AB20" i="38"/>
  <c r="AB21" i="38"/>
  <c r="AB22" i="38"/>
  <c r="AB18" i="38"/>
  <c r="AB19" i="38"/>
  <c r="AB24" i="38"/>
  <c r="AB25" i="38"/>
  <c r="AB31" i="38"/>
  <c r="AB33" i="38"/>
  <c r="AB35" i="38"/>
  <c r="AB27" i="38"/>
  <c r="AB28" i="38"/>
  <c r="AB29" i="38"/>
  <c r="AB34" i="38"/>
  <c r="AB36" i="38"/>
  <c r="AB38" i="38"/>
  <c r="AB26" i="38"/>
  <c r="AB30" i="38"/>
  <c r="AB37" i="38"/>
  <c r="AB32" i="38"/>
  <c r="AB41" i="38"/>
  <c r="AB43" i="38"/>
  <c r="AB45" i="38"/>
  <c r="AB49" i="38"/>
  <c r="AB39" i="38"/>
  <c r="AB50" i="38"/>
  <c r="AB51" i="38"/>
  <c r="AB54" i="38"/>
  <c r="AB56" i="38"/>
  <c r="AB52" i="38"/>
  <c r="AB53" i="38"/>
  <c r="AB55" i="38"/>
  <c r="AB57" i="38"/>
  <c r="AB46" i="38"/>
  <c r="AB59" i="38"/>
  <c r="AB61" i="38"/>
  <c r="AB63" i="38"/>
  <c r="AB65" i="38"/>
  <c r="AB44" i="38"/>
  <c r="AB66" i="38"/>
  <c r="AB72" i="38"/>
  <c r="AB74" i="38"/>
  <c r="AB64" i="38"/>
  <c r="AB58" i="38"/>
  <c r="AB67" i="38"/>
  <c r="AB71" i="38"/>
  <c r="AB73" i="38"/>
  <c r="AB60" i="38"/>
  <c r="AB78" i="38"/>
  <c r="AB80" i="38"/>
  <c r="AB82" i="38"/>
  <c r="AB84" i="38"/>
  <c r="AB75" i="38"/>
  <c r="AB76" i="38"/>
  <c r="AB62" i="38"/>
  <c r="AB77" i="38"/>
  <c r="AB79" i="38"/>
  <c r="AB81" i="38"/>
  <c r="AB83" i="38"/>
  <c r="AB86" i="38"/>
  <c r="U26" i="9"/>
  <c r="U36" i="9"/>
  <c r="U27" i="9"/>
  <c r="V16" i="9"/>
  <c r="V26" i="9" s="1"/>
  <c r="U28" i="9"/>
  <c r="V17" i="9"/>
  <c r="U37" i="9"/>
  <c r="AA87" i="38"/>
  <c r="V24" i="9" s="1"/>
  <c r="AA89" i="38"/>
  <c r="V22" i="9" s="1"/>
  <c r="X29" i="9"/>
  <c r="X18" i="9"/>
  <c r="U21" i="9"/>
  <c r="U23" i="9" s="1"/>
  <c r="AC8" i="38"/>
  <c r="X9" i="9"/>
  <c r="AA93" i="3"/>
  <c r="AE9" i="7"/>
  <c r="AE14" i="7"/>
  <c r="W41" i="9"/>
  <c r="W40" i="9"/>
  <c r="X14" i="9"/>
  <c r="W34" i="9"/>
  <c r="W38" i="9"/>
  <c r="W20" i="9"/>
  <c r="AB100" i="3"/>
  <c r="AB93" i="3"/>
  <c r="Z13" i="9"/>
  <c r="AC120" i="3"/>
  <c r="W44" i="9"/>
  <c r="W43" i="9"/>
  <c r="AE8" i="7"/>
  <c r="AC61" i="3"/>
  <c r="AC59" i="3"/>
  <c r="AC36" i="3"/>
  <c r="AE8" i="11"/>
  <c r="M78" i="23"/>
  <c r="P77" i="23"/>
  <c r="Q77" i="23"/>
  <c r="AE15" i="6"/>
  <c r="AE16" i="6"/>
  <c r="AE17" i="6"/>
  <c r="AE16" i="7"/>
  <c r="AE11" i="7"/>
  <c r="AE13" i="7"/>
  <c r="AE12" i="7"/>
  <c r="N47" i="9"/>
  <c r="N55" i="9"/>
  <c r="N56" i="9" s="1"/>
  <c r="X58" i="9" a="1"/>
  <c r="X58" i="9" s="1"/>
  <c r="AC110" i="3" a="1"/>
  <c r="AC110" i="3" s="1"/>
  <c r="AE11" i="2"/>
  <c r="AE14" i="6"/>
  <c r="AE13" i="6"/>
  <c r="AE15" i="7"/>
  <c r="Z6" i="3" a="1"/>
  <c r="Z6" i="3" s="1"/>
  <c r="Z9" i="3" a="1"/>
  <c r="Z9" i="3" s="1"/>
  <c r="AD12" i="2"/>
  <c r="AA7" i="3" s="1" a="1"/>
  <c r="AA7" i="3" s="1"/>
  <c r="AC72" i="3"/>
  <c r="AD18" i="6"/>
  <c r="AC12" i="3"/>
  <c r="AC13" i="3"/>
  <c r="AC16" i="3"/>
  <c r="AC14" i="3"/>
  <c r="AC17" i="3"/>
  <c r="AC18" i="3"/>
  <c r="K59" i="9"/>
  <c r="AE7" i="6"/>
  <c r="AE11" i="6"/>
  <c r="AE6" i="2"/>
  <c r="AE7" i="2"/>
  <c r="AE5" i="2"/>
  <c r="AE10" i="2"/>
  <c r="W62" i="9"/>
  <c r="Z21" i="3" s="1" a="1"/>
  <c r="Z21" i="3" s="1"/>
  <c r="Z22" i="3" s="1"/>
  <c r="AE5" i="11"/>
  <c r="AF4" i="11"/>
  <c r="AC5" i="3"/>
  <c r="AE6" i="11"/>
  <c r="AE11" i="11"/>
  <c r="AE9" i="11"/>
  <c r="AE7" i="11"/>
  <c r="W39" i="9"/>
  <c r="W48" i="9"/>
  <c r="W35" i="9"/>
  <c r="W46" i="9"/>
  <c r="W42" i="9"/>
  <c r="X11" i="9"/>
  <c r="X10" i="9"/>
  <c r="Y15" i="9"/>
  <c r="X12" i="9"/>
  <c r="AD17" i="7"/>
  <c r="AE9" i="6"/>
  <c r="AE5" i="6"/>
  <c r="AE10" i="6"/>
  <c r="AE12" i="6"/>
  <c r="AE8" i="6"/>
  <c r="AE6" i="6"/>
  <c r="AF4" i="7"/>
  <c r="AF4" i="6"/>
  <c r="AE6" i="7"/>
  <c r="AE5" i="7"/>
  <c r="AE10" i="7"/>
  <c r="AE7" i="7"/>
  <c r="AD2" i="3"/>
  <c r="AF4" i="2"/>
  <c r="AF9" i="2" s="1"/>
  <c r="AD4" i="3"/>
  <c r="AD54" i="3" s="1"/>
  <c r="AC3" i="3"/>
  <c r="AE8" i="2"/>
  <c r="AA20" i="3" l="1" a="1"/>
  <c r="AA20" i="3" s="1"/>
  <c r="AC9" i="38"/>
  <c r="AC11" i="38"/>
  <c r="AC15" i="38"/>
  <c r="AC18" i="38"/>
  <c r="AC20" i="38"/>
  <c r="AC10" i="38"/>
  <c r="AC16" i="38"/>
  <c r="AC19" i="38"/>
  <c r="AC21" i="38"/>
  <c r="AC17" i="38"/>
  <c r="AC25" i="38"/>
  <c r="AC22" i="38"/>
  <c r="AC27" i="38"/>
  <c r="AC29" i="38"/>
  <c r="AC24" i="38"/>
  <c r="AC26" i="38"/>
  <c r="AC31" i="38"/>
  <c r="AC33" i="38"/>
  <c r="AC35" i="38"/>
  <c r="AC28" i="38"/>
  <c r="AC32" i="38"/>
  <c r="AC34" i="38"/>
  <c r="AC36" i="38"/>
  <c r="AC38" i="38"/>
  <c r="AC30" i="38"/>
  <c r="AC37" i="38"/>
  <c r="AC44" i="38"/>
  <c r="AC46" i="38"/>
  <c r="AC50" i="38"/>
  <c r="AC41" i="38"/>
  <c r="AC43" i="38"/>
  <c r="AC45" i="38"/>
  <c r="AC49" i="38"/>
  <c r="AC51" i="38"/>
  <c r="AC39" i="38"/>
  <c r="AC54" i="38"/>
  <c r="AC58" i="38"/>
  <c r="AC60" i="38"/>
  <c r="AC62" i="38"/>
  <c r="AC64" i="38"/>
  <c r="AC56" i="38"/>
  <c r="AC55" i="38"/>
  <c r="AC53" i="38"/>
  <c r="AC57" i="38"/>
  <c r="AC59" i="38"/>
  <c r="AC61" i="38"/>
  <c r="AC63" i="38"/>
  <c r="AC52" i="38"/>
  <c r="AC65" i="38"/>
  <c r="AC66" i="38"/>
  <c r="AC72" i="38"/>
  <c r="AC74" i="38"/>
  <c r="AC67" i="38"/>
  <c r="AC71" i="38"/>
  <c r="AC73" i="38"/>
  <c r="AC75" i="38"/>
  <c r="AC76" i="38"/>
  <c r="AC79" i="38"/>
  <c r="AC80" i="38"/>
  <c r="AC81" i="38"/>
  <c r="AC86" i="38"/>
  <c r="AC77" i="38"/>
  <c r="AC82" i="38"/>
  <c r="AC83" i="38"/>
  <c r="AC78" i="38"/>
  <c r="AC84" i="38"/>
  <c r="AB87" i="38"/>
  <c r="W24" i="9" s="1"/>
  <c r="W16" i="9"/>
  <c r="W37" i="9" s="1"/>
  <c r="W17" i="9"/>
  <c r="AB89" i="38"/>
  <c r="W22" i="9" s="1"/>
  <c r="V25" i="9"/>
  <c r="V37" i="9"/>
  <c r="V36" i="9"/>
  <c r="V27" i="9"/>
  <c r="V28" i="9"/>
  <c r="V21" i="9"/>
  <c r="V23" i="9" s="1"/>
  <c r="Y29" i="9"/>
  <c r="Y18" i="9"/>
  <c r="O30" i="9"/>
  <c r="O31" i="9" s="1"/>
  <c r="AD8" i="38"/>
  <c r="Y9" i="9"/>
  <c r="AF9" i="7"/>
  <c r="AF14" i="7"/>
  <c r="X41" i="9"/>
  <c r="X40" i="9"/>
  <c r="Y14" i="9"/>
  <c r="X34" i="9"/>
  <c r="X38" i="9"/>
  <c r="X20" i="9"/>
  <c r="AC100" i="3"/>
  <c r="AC93" i="3"/>
  <c r="AA13" i="9"/>
  <c r="AD120" i="3"/>
  <c r="X44" i="9"/>
  <c r="X43" i="9"/>
  <c r="AF8" i="7"/>
  <c r="AD61" i="3"/>
  <c r="AD36" i="3"/>
  <c r="AD59" i="3"/>
  <c r="AF8" i="11"/>
  <c r="M79" i="23"/>
  <c r="P78" i="23"/>
  <c r="Q78" i="23"/>
  <c r="AF15" i="6"/>
  <c r="AF16" i="6"/>
  <c r="AF17" i="6"/>
  <c r="AF16" i="7"/>
  <c r="AF11" i="7"/>
  <c r="AF12" i="7"/>
  <c r="AF13" i="7"/>
  <c r="Y58" i="9" a="1"/>
  <c r="Y58" i="9" s="1"/>
  <c r="AD110" i="3" a="1"/>
  <c r="AD110" i="3" s="1"/>
  <c r="AF11" i="2"/>
  <c r="AF13" i="6"/>
  <c r="AF14" i="6"/>
  <c r="AF15" i="7"/>
  <c r="AA6" i="3" a="1"/>
  <c r="AA6" i="3" s="1"/>
  <c r="AA9" i="3" a="1"/>
  <c r="AA9" i="3" s="1"/>
  <c r="AE12" i="2"/>
  <c r="AB7" i="3" s="1" a="1"/>
  <c r="AB7" i="3" s="1"/>
  <c r="AD72" i="3"/>
  <c r="AE18" i="6"/>
  <c r="AD12" i="3"/>
  <c r="AD17" i="3"/>
  <c r="AD18" i="3"/>
  <c r="AD13" i="3"/>
  <c r="AD14" i="3"/>
  <c r="AD16" i="3"/>
  <c r="L59" i="9"/>
  <c r="AF7" i="6"/>
  <c r="AF11" i="6"/>
  <c r="AF6" i="2"/>
  <c r="AF7" i="2"/>
  <c r="AF5" i="2"/>
  <c r="AF10" i="2"/>
  <c r="X62" i="9"/>
  <c r="AA21" i="3" s="1" a="1"/>
  <c r="AA21" i="3" s="1"/>
  <c r="AA22" i="3" s="1"/>
  <c r="AF5" i="11"/>
  <c r="AF6" i="11"/>
  <c r="AF9" i="11"/>
  <c r="AF7" i="11"/>
  <c r="AG4" i="11"/>
  <c r="AD5" i="3"/>
  <c r="AE4" i="3"/>
  <c r="X42" i="9"/>
  <c r="X48" i="9"/>
  <c r="X39" i="9"/>
  <c r="X46" i="9"/>
  <c r="X35" i="9"/>
  <c r="Y11" i="9"/>
  <c r="Y10" i="9"/>
  <c r="Z15" i="9"/>
  <c r="Y12" i="9"/>
  <c r="AG4" i="7"/>
  <c r="AG4" i="6"/>
  <c r="AE17" i="7"/>
  <c r="AF6" i="6"/>
  <c r="AF9" i="6"/>
  <c r="AF10" i="6"/>
  <c r="AF8" i="6"/>
  <c r="AF12" i="6"/>
  <c r="AF5" i="6"/>
  <c r="AF6" i="7"/>
  <c r="AF5" i="7"/>
  <c r="AF10" i="7"/>
  <c r="AF7" i="7"/>
  <c r="AG4" i="2"/>
  <c r="AG9" i="2" s="1"/>
  <c r="AD3" i="3"/>
  <c r="AF8" i="2"/>
  <c r="AE2" i="3"/>
  <c r="AB20" i="3" l="1" a="1"/>
  <c r="AB20" i="3" s="1"/>
  <c r="W27" i="9"/>
  <c r="W21" i="9"/>
  <c r="W36" i="9"/>
  <c r="AD10" i="38"/>
  <c r="AD16" i="38"/>
  <c r="AD9" i="38"/>
  <c r="AD11" i="38"/>
  <c r="AD15" i="38"/>
  <c r="AD17" i="38"/>
  <c r="AD18" i="38"/>
  <c r="AD20" i="38"/>
  <c r="AD19" i="38"/>
  <c r="AD21" i="38"/>
  <c r="AD26" i="38"/>
  <c r="AD22" i="38"/>
  <c r="AD27" i="38"/>
  <c r="AD30" i="38"/>
  <c r="AD32" i="38"/>
  <c r="AD34" i="38"/>
  <c r="AD25" i="38"/>
  <c r="AD31" i="38"/>
  <c r="AD33" i="38"/>
  <c r="AD28" i="38"/>
  <c r="AD29" i="38"/>
  <c r="AD39" i="38"/>
  <c r="AD24" i="38"/>
  <c r="AD36" i="38"/>
  <c r="AD35" i="38"/>
  <c r="AD38" i="38"/>
  <c r="AD37" i="38"/>
  <c r="AD44" i="38"/>
  <c r="AD46" i="38"/>
  <c r="AD50" i="38"/>
  <c r="AD52" i="38"/>
  <c r="AD41" i="38"/>
  <c r="AD43" i="38"/>
  <c r="AD45" i="38"/>
  <c r="AD49" i="38"/>
  <c r="AD51" i="38"/>
  <c r="AD54" i="38"/>
  <c r="AD56" i="38"/>
  <c r="AD53" i="38"/>
  <c r="AD55" i="38"/>
  <c r="AD58" i="38"/>
  <c r="AD60" i="38"/>
  <c r="AD62" i="38"/>
  <c r="AD57" i="38"/>
  <c r="AD59" i="38"/>
  <c r="AD61" i="38"/>
  <c r="AD63" i="38"/>
  <c r="AD65" i="38"/>
  <c r="AD66" i="38"/>
  <c r="AD72" i="38"/>
  <c r="AD74" i="38"/>
  <c r="AD76" i="38"/>
  <c r="AD64" i="38"/>
  <c r="AD77" i="38"/>
  <c r="AD79" i="38"/>
  <c r="AD81" i="38"/>
  <c r="AD83" i="38"/>
  <c r="AD71" i="38"/>
  <c r="AD73" i="38"/>
  <c r="AD78" i="38"/>
  <c r="AD80" i="38"/>
  <c r="AD82" i="38"/>
  <c r="AD67" i="38"/>
  <c r="AD75" i="38"/>
  <c r="AD84" i="38"/>
  <c r="AD86" i="38"/>
  <c r="W26" i="9"/>
  <c r="W28" i="9"/>
  <c r="W25" i="9"/>
  <c r="AC87" i="38"/>
  <c r="X24" i="9" s="1"/>
  <c r="X17" i="9"/>
  <c r="X16" i="9"/>
  <c r="Z29" i="9"/>
  <c r="Z18" i="9"/>
  <c r="AC89" i="38"/>
  <c r="X22" i="9" s="1"/>
  <c r="AE8" i="38"/>
  <c r="Z9" i="9"/>
  <c r="AG9" i="7"/>
  <c r="AG14" i="7"/>
  <c r="Y41" i="9"/>
  <c r="Y40" i="9"/>
  <c r="Z14" i="9"/>
  <c r="Y34" i="9"/>
  <c r="Y38" i="9"/>
  <c r="Y20" i="9"/>
  <c r="W23" i="9"/>
  <c r="AD100" i="3"/>
  <c r="AD93" i="3"/>
  <c r="AB13" i="9"/>
  <c r="AE120" i="3"/>
  <c r="Y44" i="9"/>
  <c r="Y43" i="9"/>
  <c r="AG8" i="7"/>
  <c r="AE61" i="3"/>
  <c r="AG8" i="11"/>
  <c r="M80" i="23"/>
  <c r="P79" i="23"/>
  <c r="Q79" i="23"/>
  <c r="AG15" i="6"/>
  <c r="AG16" i="6"/>
  <c r="AG17" i="6"/>
  <c r="AG16" i="7"/>
  <c r="AG12" i="7"/>
  <c r="AG13" i="7"/>
  <c r="AG11" i="7"/>
  <c r="O47" i="9"/>
  <c r="O55" i="9"/>
  <c r="O56" i="9" s="1"/>
  <c r="Z58" i="9" a="1"/>
  <c r="Z58" i="9" s="1"/>
  <c r="AE110" i="3" a="1"/>
  <c r="AE110" i="3" s="1"/>
  <c r="AG11" i="2"/>
  <c r="AG14" i="6"/>
  <c r="AG13" i="6"/>
  <c r="AG15" i="7"/>
  <c r="AB6" i="3" a="1"/>
  <c r="AB6" i="3" s="1"/>
  <c r="AB9" i="3" a="1"/>
  <c r="AB9" i="3" s="1"/>
  <c r="AE72" i="3"/>
  <c r="AF12" i="2"/>
  <c r="AC7" i="3" s="1" a="1"/>
  <c r="AC7" i="3" s="1"/>
  <c r="AF18" i="6"/>
  <c r="AE12" i="3"/>
  <c r="AE13" i="3"/>
  <c r="AE14" i="3"/>
  <c r="AE16" i="3"/>
  <c r="AE17" i="3"/>
  <c r="AE18" i="3"/>
  <c r="M59" i="9"/>
  <c r="AG7" i="6"/>
  <c r="AG11" i="6"/>
  <c r="AG7" i="2"/>
  <c r="AG6" i="2"/>
  <c r="AG5" i="2"/>
  <c r="AG10" i="2"/>
  <c r="Y62" i="9"/>
  <c r="AB21" i="3" s="1" a="1"/>
  <c r="AB21" i="3" s="1"/>
  <c r="AB22" i="3" s="1"/>
  <c r="AG5" i="11"/>
  <c r="AG7" i="11"/>
  <c r="AG6" i="11"/>
  <c r="AG9" i="11"/>
  <c r="AF4" i="3"/>
  <c r="AH4" i="11"/>
  <c r="AE5" i="3"/>
  <c r="Z11" i="9"/>
  <c r="Z10" i="9"/>
  <c r="Z12" i="9"/>
  <c r="AA15" i="9"/>
  <c r="Y48" i="9"/>
  <c r="Y35" i="9"/>
  <c r="Y46" i="9"/>
  <c r="Y42" i="9"/>
  <c r="Y39" i="9"/>
  <c r="AG5" i="6"/>
  <c r="AG9" i="6"/>
  <c r="AG6" i="6"/>
  <c r="AG12" i="6"/>
  <c r="AG8" i="6"/>
  <c r="AG10" i="6"/>
  <c r="AF17" i="7"/>
  <c r="AG6" i="7"/>
  <c r="AG7" i="7"/>
  <c r="AG5" i="7"/>
  <c r="AG10" i="7"/>
  <c r="AH4" i="7"/>
  <c r="AH4" i="6"/>
  <c r="AF2" i="3"/>
  <c r="AH4" i="2"/>
  <c r="AH9" i="2" s="1"/>
  <c r="AE3" i="3"/>
  <c r="AG8" i="2"/>
  <c r="AC20" i="3" l="1" a="1"/>
  <c r="AC20" i="3" s="1"/>
  <c r="X21" i="9"/>
  <c r="X23" i="9" s="1"/>
  <c r="AE10" i="38"/>
  <c r="AE16" i="38"/>
  <c r="AE9" i="38"/>
  <c r="AE11" i="38"/>
  <c r="AE15" i="38"/>
  <c r="AE18" i="38"/>
  <c r="AE19" i="38"/>
  <c r="AE22" i="38"/>
  <c r="AE24" i="38"/>
  <c r="AE20" i="38"/>
  <c r="AE21" i="38"/>
  <c r="AE25" i="38"/>
  <c r="AE17" i="38"/>
  <c r="AE26" i="38"/>
  <c r="AE28" i="38"/>
  <c r="AE27" i="38"/>
  <c r="AE30" i="38"/>
  <c r="AE32" i="38"/>
  <c r="AE34" i="38"/>
  <c r="AE36" i="38"/>
  <c r="AE31" i="38"/>
  <c r="AE33" i="38"/>
  <c r="AE35" i="38"/>
  <c r="AE37" i="38"/>
  <c r="AE29" i="38"/>
  <c r="AE39" i="38"/>
  <c r="AE38" i="38"/>
  <c r="AE44" i="38"/>
  <c r="AE46" i="38"/>
  <c r="AE50" i="38"/>
  <c r="AE52" i="38"/>
  <c r="AE41" i="38"/>
  <c r="AE43" i="38"/>
  <c r="AE45" i="38"/>
  <c r="AE49" i="38"/>
  <c r="AE53" i="38"/>
  <c r="AE55" i="38"/>
  <c r="AE57" i="38"/>
  <c r="AE51" i="38"/>
  <c r="AE54" i="38"/>
  <c r="AE56" i="38"/>
  <c r="AE58" i="38"/>
  <c r="AE60" i="38"/>
  <c r="AE62" i="38"/>
  <c r="AE64" i="38"/>
  <c r="AE59" i="38"/>
  <c r="AE61" i="38"/>
  <c r="AE63" i="38"/>
  <c r="AE67" i="38"/>
  <c r="AE71" i="38"/>
  <c r="AE73" i="38"/>
  <c r="AE75" i="38"/>
  <c r="AE65" i="38"/>
  <c r="AE66" i="38"/>
  <c r="AE72" i="38"/>
  <c r="AE74" i="38"/>
  <c r="AE77" i="38"/>
  <c r="AE79" i="38"/>
  <c r="AE81" i="38"/>
  <c r="AE83" i="38"/>
  <c r="AE78" i="38"/>
  <c r="AE80" i="38"/>
  <c r="AE82" i="38"/>
  <c r="AE84" i="38"/>
  <c r="AE76" i="38"/>
  <c r="AE86" i="38"/>
  <c r="Y17" i="9"/>
  <c r="AD87" i="38"/>
  <c r="Y24" i="9" s="1"/>
  <c r="X36" i="9"/>
  <c r="X37" i="9"/>
  <c r="X28" i="9"/>
  <c r="X27" i="9"/>
  <c r="X25" i="9"/>
  <c r="X26" i="9"/>
  <c r="AA29" i="9"/>
  <c r="AA18" i="9"/>
  <c r="AD89" i="38"/>
  <c r="Y22" i="9" s="1"/>
  <c r="Y16" i="9"/>
  <c r="P30" i="9"/>
  <c r="P31" i="9" s="1"/>
  <c r="AF8" i="38"/>
  <c r="AA9" i="9"/>
  <c r="AH9" i="7"/>
  <c r="AH14" i="7"/>
  <c r="Z41" i="9"/>
  <c r="Z40" i="9"/>
  <c r="AA14" i="9"/>
  <c r="Z34" i="9"/>
  <c r="Z38" i="9"/>
  <c r="Z20" i="9"/>
  <c r="AE100" i="3"/>
  <c r="AE93" i="3"/>
  <c r="AC13" i="9"/>
  <c r="AF120" i="3"/>
  <c r="Z44" i="9"/>
  <c r="Z43" i="9"/>
  <c r="AH8" i="7"/>
  <c r="AF61" i="3"/>
  <c r="AH8" i="11"/>
  <c r="M81" i="23"/>
  <c r="Q80" i="23"/>
  <c r="P80" i="23"/>
  <c r="AH15" i="6"/>
  <c r="AH16" i="6"/>
  <c r="AH17" i="6"/>
  <c r="AH16" i="7"/>
  <c r="AH11" i="7"/>
  <c r="AH12" i="7"/>
  <c r="AH13" i="7"/>
  <c r="N59" i="9"/>
  <c r="AA58" i="9" a="1"/>
  <c r="AA58" i="9" s="1"/>
  <c r="AF110" i="3" a="1"/>
  <c r="AF110" i="3" s="1"/>
  <c r="AH11" i="2"/>
  <c r="AH13" i="6"/>
  <c r="AH14" i="6"/>
  <c r="AH15" i="7"/>
  <c r="AC6" i="3" a="1"/>
  <c r="AC6" i="3" s="1"/>
  <c r="AC9" i="3" a="1"/>
  <c r="AC9" i="3" s="1"/>
  <c r="Z62" i="9"/>
  <c r="AC21" i="3" s="1" a="1"/>
  <c r="AC21" i="3" s="1"/>
  <c r="AC22" i="3" s="1"/>
  <c r="AF72" i="3"/>
  <c r="AG12" i="2"/>
  <c r="AD7" i="3" s="1" a="1"/>
  <c r="AD7" i="3" s="1"/>
  <c r="AG18" i="6"/>
  <c r="AF12" i="3"/>
  <c r="AF14" i="3"/>
  <c r="AF13" i="3"/>
  <c r="AF17" i="3"/>
  <c r="AF16" i="3"/>
  <c r="AF18" i="3"/>
  <c r="AH7" i="6"/>
  <c r="AH11" i="6"/>
  <c r="AH7" i="2"/>
  <c r="AH6" i="2"/>
  <c r="AH5" i="2"/>
  <c r="AH10" i="2"/>
  <c r="AH5" i="11"/>
  <c r="AH9" i="11"/>
  <c r="AH7" i="11"/>
  <c r="AI4" i="11"/>
  <c r="AF5" i="3"/>
  <c r="AG4" i="3"/>
  <c r="AA11" i="9"/>
  <c r="AB15" i="9"/>
  <c r="AA10" i="9"/>
  <c r="AA12" i="9"/>
  <c r="Z39" i="9"/>
  <c r="Z35" i="9"/>
  <c r="Z42" i="9"/>
  <c r="Z48" i="9"/>
  <c r="Z46" i="9"/>
  <c r="AG17" i="7"/>
  <c r="AH5" i="6"/>
  <c r="AH10" i="6"/>
  <c r="AH6" i="6"/>
  <c r="AH12" i="6"/>
  <c r="AH8" i="6"/>
  <c r="AH9" i="6"/>
  <c r="AI4" i="7"/>
  <c r="AI4" i="6"/>
  <c r="AH5" i="7"/>
  <c r="AH10" i="7"/>
  <c r="AH6" i="7"/>
  <c r="AH7" i="7"/>
  <c r="AH8" i="2"/>
  <c r="AI4" i="2"/>
  <c r="AI9" i="2" s="1"/>
  <c r="AF3" i="3"/>
  <c r="AG2" i="3"/>
  <c r="AD20" i="3" l="1" a="1"/>
  <c r="AD20" i="3" s="1"/>
  <c r="AF10" i="38"/>
  <c r="AF16" i="38"/>
  <c r="AF9" i="38"/>
  <c r="AF11" i="38"/>
  <c r="AF15" i="38"/>
  <c r="AF19" i="38"/>
  <c r="AF22" i="38"/>
  <c r="AF20" i="38"/>
  <c r="AF21" i="38"/>
  <c r="AF17" i="38"/>
  <c r="AF26" i="38"/>
  <c r="AF18" i="38"/>
  <c r="AF24" i="38"/>
  <c r="AF29" i="38"/>
  <c r="AF30" i="38"/>
  <c r="AF32" i="38"/>
  <c r="AF34" i="38"/>
  <c r="AF25" i="38"/>
  <c r="AF27" i="38"/>
  <c r="AF33" i="38"/>
  <c r="AF37" i="38"/>
  <c r="AF28" i="38"/>
  <c r="AF39" i="38"/>
  <c r="AF36" i="38"/>
  <c r="AF35" i="38"/>
  <c r="AF38" i="38"/>
  <c r="AF44" i="38"/>
  <c r="AF46" i="38"/>
  <c r="AF50" i="38"/>
  <c r="AF49" i="38"/>
  <c r="AF31" i="38"/>
  <c r="AF53" i="38"/>
  <c r="AF55" i="38"/>
  <c r="AF57" i="38"/>
  <c r="AF41" i="38"/>
  <c r="AF51" i="38"/>
  <c r="AF52" i="38"/>
  <c r="AF54" i="38"/>
  <c r="AF56" i="38"/>
  <c r="AF45" i="38"/>
  <c r="AF58" i="38"/>
  <c r="AF60" i="38"/>
  <c r="AF62" i="38"/>
  <c r="AF64" i="38"/>
  <c r="AF43" i="38"/>
  <c r="AF63" i="38"/>
  <c r="AF67" i="38"/>
  <c r="AF71" i="38"/>
  <c r="AF73" i="38"/>
  <c r="AF75" i="38"/>
  <c r="AF65" i="38"/>
  <c r="AF66" i="38"/>
  <c r="AF72" i="38"/>
  <c r="AF74" i="38"/>
  <c r="AF59" i="38"/>
  <c r="AF77" i="38"/>
  <c r="AF79" i="38"/>
  <c r="AF81" i="38"/>
  <c r="AF83" i="38"/>
  <c r="AF61" i="38"/>
  <c r="AF78" i="38"/>
  <c r="AF80" i="38"/>
  <c r="AF82" i="38"/>
  <c r="AF84" i="38"/>
  <c r="AF76" i="38"/>
  <c r="AF86" i="38"/>
  <c r="Y21" i="9"/>
  <c r="Y23" i="9" s="1"/>
  <c r="AE89" i="38"/>
  <c r="Z22" i="9" s="1"/>
  <c r="Z16" i="9"/>
  <c r="Z17" i="9"/>
  <c r="AB29" i="9"/>
  <c r="AB18" i="9"/>
  <c r="Y36" i="9"/>
  <c r="Y37" i="9"/>
  <c r="Y27" i="9"/>
  <c r="Y25" i="9"/>
  <c r="Y26" i="9"/>
  <c r="Y28" i="9"/>
  <c r="AE87" i="38"/>
  <c r="Z24" i="9" s="1"/>
  <c r="AG8" i="38"/>
  <c r="AB9" i="9"/>
  <c r="AI9" i="7"/>
  <c r="AI14" i="7"/>
  <c r="AA41" i="9"/>
  <c r="AA40" i="9"/>
  <c r="AB14" i="9"/>
  <c r="AA34" i="9"/>
  <c r="AA38" i="9"/>
  <c r="AA20" i="9"/>
  <c r="AF100" i="3"/>
  <c r="AF93" i="3"/>
  <c r="AD13" i="9"/>
  <c r="AG120" i="3"/>
  <c r="AA44" i="9"/>
  <c r="AA43" i="9"/>
  <c r="AI8" i="7"/>
  <c r="AG61" i="3"/>
  <c r="AI8" i="11"/>
  <c r="M82" i="23"/>
  <c r="M83" i="23" s="1"/>
  <c r="P81" i="23"/>
  <c r="Q81" i="23"/>
  <c r="AI15" i="6"/>
  <c r="AI16" i="6"/>
  <c r="AI17" i="6"/>
  <c r="AI16" i="7"/>
  <c r="AI11" i="7"/>
  <c r="AI13" i="7"/>
  <c r="AI12" i="7"/>
  <c r="P47" i="9"/>
  <c r="P55" i="9"/>
  <c r="P56" i="9" s="1"/>
  <c r="AB58" i="9" a="1"/>
  <c r="AB58" i="9" s="1"/>
  <c r="AG110" i="3" a="1"/>
  <c r="AG110" i="3" s="1"/>
  <c r="AI11" i="2"/>
  <c r="AI13" i="6"/>
  <c r="AI14" i="6"/>
  <c r="AI15" i="7"/>
  <c r="AD6" i="3" a="1"/>
  <c r="AD6" i="3" s="1"/>
  <c r="AD9" i="3" a="1"/>
  <c r="AD9" i="3" s="1"/>
  <c r="AH12" i="2"/>
  <c r="AE7" i="3" s="1" a="1"/>
  <c r="AE7" i="3" s="1"/>
  <c r="AG72" i="3"/>
  <c r="AH18" i="6"/>
  <c r="AG14" i="3"/>
  <c r="AG16" i="3"/>
  <c r="AG12" i="3"/>
  <c r="AG13" i="3"/>
  <c r="AG17" i="3"/>
  <c r="AG18" i="3"/>
  <c r="O59" i="9"/>
  <c r="AI7" i="6"/>
  <c r="AI11" i="6"/>
  <c r="AI6" i="2"/>
  <c r="AI7" i="2"/>
  <c r="AI5" i="2"/>
  <c r="AI10" i="2"/>
  <c r="AA62" i="9"/>
  <c r="AD21" i="3" s="1" a="1"/>
  <c r="AD21" i="3" s="1"/>
  <c r="AD22" i="3" s="1"/>
  <c r="AI5" i="11"/>
  <c r="AJ4" i="11"/>
  <c r="AG5" i="3"/>
  <c r="AH4" i="3"/>
  <c r="AH54" i="3" s="1"/>
  <c r="AI7" i="11"/>
  <c r="AI6" i="11"/>
  <c r="AI9" i="11"/>
  <c r="AA46" i="9"/>
  <c r="AA48" i="9"/>
  <c r="AA39" i="9"/>
  <c r="AA42" i="9"/>
  <c r="AA35" i="9"/>
  <c r="AB11" i="9"/>
  <c r="AB10" i="9"/>
  <c r="AC15" i="9"/>
  <c r="AB12" i="9"/>
  <c r="AJ4" i="7"/>
  <c r="AJ4" i="6"/>
  <c r="AH17" i="7"/>
  <c r="AI6" i="7"/>
  <c r="AI10" i="7"/>
  <c r="AI7" i="7"/>
  <c r="AI5" i="7"/>
  <c r="AI5" i="6"/>
  <c r="AI10" i="6"/>
  <c r="AI9" i="6"/>
  <c r="AI8" i="6"/>
  <c r="AI12" i="6"/>
  <c r="AI6" i="6"/>
  <c r="AH2" i="3"/>
  <c r="AI8" i="2"/>
  <c r="AJ4" i="2"/>
  <c r="AJ9" i="2" s="1"/>
  <c r="AG3" i="3"/>
  <c r="AE20" i="3" l="1" a="1"/>
  <c r="AE20" i="3" s="1"/>
  <c r="AG10" i="38"/>
  <c r="AG17" i="38"/>
  <c r="AG19" i="38"/>
  <c r="AG21" i="38"/>
  <c r="AG9" i="38"/>
  <c r="AG15" i="38"/>
  <c r="AG11" i="38"/>
  <c r="AG16" i="38"/>
  <c r="AG18" i="38"/>
  <c r="AG20" i="38"/>
  <c r="AG22" i="38"/>
  <c r="AG24" i="38"/>
  <c r="AG25" i="38"/>
  <c r="AG26" i="38"/>
  <c r="AG28" i="38"/>
  <c r="AG29" i="38"/>
  <c r="AG30" i="38"/>
  <c r="AG32" i="38"/>
  <c r="AG34" i="38"/>
  <c r="AG27" i="38"/>
  <c r="AG31" i="38"/>
  <c r="AG38" i="38"/>
  <c r="AG33" i="38"/>
  <c r="AG37" i="38"/>
  <c r="AG36" i="38"/>
  <c r="AG41" i="38"/>
  <c r="AG43" i="38"/>
  <c r="AG45" i="38"/>
  <c r="AG49" i="38"/>
  <c r="AG51" i="38"/>
  <c r="AG35" i="38"/>
  <c r="AG44" i="38"/>
  <c r="AG46" i="38"/>
  <c r="AG50" i="38"/>
  <c r="AG52" i="38"/>
  <c r="AG39" i="38"/>
  <c r="AG53" i="38"/>
  <c r="AG59" i="38"/>
  <c r="AG61" i="38"/>
  <c r="AG63" i="38"/>
  <c r="AG54" i="38"/>
  <c r="AG55" i="38"/>
  <c r="AG56" i="38"/>
  <c r="AG58" i="38"/>
  <c r="AG60" i="38"/>
  <c r="AG62" i="38"/>
  <c r="AG57" i="38"/>
  <c r="AG67" i="38"/>
  <c r="AG71" i="38"/>
  <c r="AG73" i="38"/>
  <c r="AG65" i="38"/>
  <c r="AG64" i="38"/>
  <c r="AG66" i="38"/>
  <c r="AG72" i="38"/>
  <c r="AG74" i="38"/>
  <c r="AG76" i="38"/>
  <c r="AG77" i="38"/>
  <c r="AG75" i="38"/>
  <c r="AG78" i="38"/>
  <c r="AG79" i="38"/>
  <c r="AG84" i="38"/>
  <c r="AG80" i="38"/>
  <c r="AG81" i="38"/>
  <c r="AG82" i="38"/>
  <c r="AG83" i="38"/>
  <c r="AG86" i="38"/>
  <c r="AF89" i="38"/>
  <c r="AA22" i="9" s="1"/>
  <c r="AA17" i="9"/>
  <c r="AA16" i="9"/>
  <c r="AC29" i="9"/>
  <c r="AC18" i="9"/>
  <c r="Z36" i="9"/>
  <c r="Z37" i="9"/>
  <c r="Z26" i="9"/>
  <c r="Z28" i="9"/>
  <c r="Z27" i="9"/>
  <c r="Z25" i="9"/>
  <c r="Q30" i="9"/>
  <c r="Q31" i="9" s="1"/>
  <c r="AF87" i="38"/>
  <c r="AA24" i="9" s="1"/>
  <c r="Z21" i="9"/>
  <c r="Z23" i="9" s="1"/>
  <c r="AH8" i="38"/>
  <c r="AC9" i="9"/>
  <c r="AJ9" i="7"/>
  <c r="AJ14" i="7"/>
  <c r="AB41" i="9"/>
  <c r="AB40" i="9"/>
  <c r="AC14" i="9"/>
  <c r="AB34" i="9"/>
  <c r="AB38" i="9"/>
  <c r="AB20" i="9"/>
  <c r="AG100" i="3"/>
  <c r="AG93" i="3"/>
  <c r="AE13" i="9"/>
  <c r="AH120" i="3"/>
  <c r="P83" i="23"/>
  <c r="Q83" i="23"/>
  <c r="M84" i="23"/>
  <c r="AB44" i="9"/>
  <c r="AB43" i="9"/>
  <c r="AJ8" i="7"/>
  <c r="AH61" i="3"/>
  <c r="AH59" i="3"/>
  <c r="AH36" i="3"/>
  <c r="AJ8" i="11"/>
  <c r="P82" i="23"/>
  <c r="Q82" i="23"/>
  <c r="AJ15" i="6"/>
  <c r="AJ16" i="6"/>
  <c r="AJ17" i="6"/>
  <c r="AJ16" i="7"/>
  <c r="AJ11" i="7"/>
  <c r="AJ12" i="7"/>
  <c r="AJ13" i="7"/>
  <c r="AC58" i="9" a="1"/>
  <c r="AC58" i="9" s="1"/>
  <c r="AH110" i="3" a="1"/>
  <c r="AH110" i="3" s="1"/>
  <c r="AJ11" i="2"/>
  <c r="AJ13" i="6"/>
  <c r="AJ14" i="6"/>
  <c r="AJ15" i="7"/>
  <c r="AE6" i="3" a="1"/>
  <c r="AE6" i="3" s="1"/>
  <c r="AE9" i="3" a="1"/>
  <c r="AE9" i="3" s="1"/>
  <c r="AH72" i="3"/>
  <c r="AI12" i="2"/>
  <c r="AF7" i="3" s="1" a="1"/>
  <c r="AF7" i="3" s="1"/>
  <c r="AI18" i="6"/>
  <c r="AH13" i="3"/>
  <c r="AH14" i="3"/>
  <c r="AH16" i="3"/>
  <c r="AH12" i="3"/>
  <c r="AH18" i="3"/>
  <c r="AH17" i="3"/>
  <c r="P59" i="9"/>
  <c r="AJ7" i="6"/>
  <c r="AJ11" i="6"/>
  <c r="AJ6" i="2"/>
  <c r="AJ7" i="2"/>
  <c r="AJ5" i="2"/>
  <c r="AJ10" i="2"/>
  <c r="AB62" i="9"/>
  <c r="AE21" i="3" s="1" a="1"/>
  <c r="AE21" i="3" s="1"/>
  <c r="AE22" i="3" s="1"/>
  <c r="AJ5" i="11"/>
  <c r="AK4" i="11"/>
  <c r="AH5" i="3"/>
  <c r="AI4" i="3"/>
  <c r="AJ6" i="11"/>
  <c r="AJ7" i="11"/>
  <c r="AJ11" i="11"/>
  <c r="AJ9" i="11"/>
  <c r="AB46" i="9"/>
  <c r="AB39" i="9"/>
  <c r="AB48" i="9"/>
  <c r="AB35" i="9"/>
  <c r="AB42" i="9"/>
  <c r="AC11" i="9"/>
  <c r="AC12" i="9"/>
  <c r="AC10" i="9"/>
  <c r="AD15" i="9"/>
  <c r="AK4" i="7"/>
  <c r="AK4" i="6"/>
  <c r="AI17" i="7"/>
  <c r="AJ6" i="6"/>
  <c r="AJ9" i="6"/>
  <c r="AJ10" i="6"/>
  <c r="AJ12" i="6"/>
  <c r="AJ5" i="6"/>
  <c r="AJ8" i="6"/>
  <c r="AJ5" i="7"/>
  <c r="AJ10" i="7"/>
  <c r="AJ6" i="7"/>
  <c r="AJ7" i="7"/>
  <c r="AK4" i="2"/>
  <c r="AK9" i="2" s="1"/>
  <c r="AH3" i="3"/>
  <c r="AI2" i="3"/>
  <c r="AJ8" i="2"/>
  <c r="AF20" i="3" l="1" a="1"/>
  <c r="AF20" i="3" s="1"/>
  <c r="AH9" i="38"/>
  <c r="AH11" i="38"/>
  <c r="AH15" i="38"/>
  <c r="AH10" i="38"/>
  <c r="AH16" i="38"/>
  <c r="AH17" i="38"/>
  <c r="AH19" i="38"/>
  <c r="AH21" i="38"/>
  <c r="AH18" i="38"/>
  <c r="AH20" i="38"/>
  <c r="AH22" i="38"/>
  <c r="AH24" i="38"/>
  <c r="AH25" i="38"/>
  <c r="AH26" i="38"/>
  <c r="AH28" i="38"/>
  <c r="AH31" i="38"/>
  <c r="AH33" i="38"/>
  <c r="AH35" i="38"/>
  <c r="AH29" i="38"/>
  <c r="AH30" i="38"/>
  <c r="AH32" i="38"/>
  <c r="AH34" i="38"/>
  <c r="AH27" i="38"/>
  <c r="AH38" i="38"/>
  <c r="AH37" i="38"/>
  <c r="AH41" i="38"/>
  <c r="AH43" i="38"/>
  <c r="AH45" i="38"/>
  <c r="AH49" i="38"/>
  <c r="AH51" i="38"/>
  <c r="AH36" i="38"/>
  <c r="AH44" i="38"/>
  <c r="AH46" i="38"/>
  <c r="AH50" i="38"/>
  <c r="AH39" i="38"/>
  <c r="AH53" i="38"/>
  <c r="AH55" i="38"/>
  <c r="AH57" i="38"/>
  <c r="AH54" i="38"/>
  <c r="AH59" i="38"/>
  <c r="AH61" i="38"/>
  <c r="AH63" i="38"/>
  <c r="AH56" i="38"/>
  <c r="AH58" i="38"/>
  <c r="AH60" i="38"/>
  <c r="AH62" i="38"/>
  <c r="AH67" i="38"/>
  <c r="AH71" i="38"/>
  <c r="AH73" i="38"/>
  <c r="AH75" i="38"/>
  <c r="AH52" i="38"/>
  <c r="AH65" i="38"/>
  <c r="AH78" i="38"/>
  <c r="AH80" i="38"/>
  <c r="AH82" i="38"/>
  <c r="AH64" i="38"/>
  <c r="AH76" i="38"/>
  <c r="AH72" i="38"/>
  <c r="AH74" i="38"/>
  <c r="AH77" i="38"/>
  <c r="AH79" i="38"/>
  <c r="AH81" i="38"/>
  <c r="AH83" i="38"/>
  <c r="AH66" i="38"/>
  <c r="AH84" i="38"/>
  <c r="AH86" i="38"/>
  <c r="AG89" i="38"/>
  <c r="AB22" i="9" s="1"/>
  <c r="AB16" i="9"/>
  <c r="AB17" i="9"/>
  <c r="AA37" i="9"/>
  <c r="AA36" i="9"/>
  <c r="AA27" i="9"/>
  <c r="AA26" i="9"/>
  <c r="AA28" i="9"/>
  <c r="AA25" i="9"/>
  <c r="AD29" i="9"/>
  <c r="AD18" i="9"/>
  <c r="AA21" i="9"/>
  <c r="AA23" i="9" s="1"/>
  <c r="AG87" i="38"/>
  <c r="AB24" i="9" s="1"/>
  <c r="AI8" i="38"/>
  <c r="AD9" i="9"/>
  <c r="AK9" i="7"/>
  <c r="AK14" i="7"/>
  <c r="AC41" i="9"/>
  <c r="AC40" i="9"/>
  <c r="AD14" i="9"/>
  <c r="AC34" i="9"/>
  <c r="AC38" i="9"/>
  <c r="AC20" i="9"/>
  <c r="AH100" i="3"/>
  <c r="AH93" i="3"/>
  <c r="AF13" i="9"/>
  <c r="AI120" i="3"/>
  <c r="P84" i="23"/>
  <c r="Q84" i="23"/>
  <c r="M85" i="23"/>
  <c r="AC44" i="9"/>
  <c r="AC43" i="9"/>
  <c r="AK8" i="7"/>
  <c r="AI61" i="3"/>
  <c r="AK8" i="11"/>
  <c r="AK15" i="6"/>
  <c r="AK16" i="6"/>
  <c r="AK17" i="6"/>
  <c r="AK16" i="7"/>
  <c r="AK11" i="7"/>
  <c r="AK13" i="7"/>
  <c r="AK12" i="7"/>
  <c r="Q47" i="9"/>
  <c r="Q55" i="9"/>
  <c r="Q56" i="9" s="1"/>
  <c r="AD58" i="9" a="1"/>
  <c r="AD58" i="9" s="1"/>
  <c r="AI110" i="3" a="1"/>
  <c r="AI110" i="3" s="1"/>
  <c r="AK11" i="2"/>
  <c r="AK14" i="6"/>
  <c r="AK13" i="6"/>
  <c r="AK15" i="7"/>
  <c r="AF6" i="3" a="1"/>
  <c r="AF6" i="3" s="1"/>
  <c r="AF9" i="3" a="1"/>
  <c r="AF9" i="3" s="1"/>
  <c r="AJ12" i="2"/>
  <c r="AG7" i="3" s="1" a="1"/>
  <c r="AG7" i="3" s="1"/>
  <c r="AI72" i="3"/>
  <c r="AJ18" i="6"/>
  <c r="AI12" i="3"/>
  <c r="AI13" i="3"/>
  <c r="AI14" i="3"/>
  <c r="AI16" i="3"/>
  <c r="AI17" i="3"/>
  <c r="AI18" i="3"/>
  <c r="Q59" i="9"/>
  <c r="AK7" i="6"/>
  <c r="AK11" i="6"/>
  <c r="AK7" i="2"/>
  <c r="AK6" i="2"/>
  <c r="AK5" i="2"/>
  <c r="AK10" i="2"/>
  <c r="AC62" i="9"/>
  <c r="AF21" i="3" s="1" a="1"/>
  <c r="AF21" i="3" s="1"/>
  <c r="AF22" i="3" s="1"/>
  <c r="AK5" i="11"/>
  <c r="AK7" i="11"/>
  <c r="AK9" i="11"/>
  <c r="AK6" i="11"/>
  <c r="AL4" i="11"/>
  <c r="AI5" i="3"/>
  <c r="AJ4" i="3"/>
  <c r="AJ54" i="3" s="1"/>
  <c r="AD11" i="9"/>
  <c r="AE15" i="9"/>
  <c r="AD12" i="9"/>
  <c r="AD10" i="9"/>
  <c r="AC39" i="9"/>
  <c r="AC42" i="9"/>
  <c r="AC46" i="9"/>
  <c r="AC48" i="9"/>
  <c r="AC35" i="9"/>
  <c r="AJ17" i="7"/>
  <c r="AL4" i="7"/>
  <c r="AL4" i="6"/>
  <c r="AK5" i="6"/>
  <c r="AK8" i="6"/>
  <c r="AK12" i="6"/>
  <c r="AK6" i="6"/>
  <c r="AK9" i="6"/>
  <c r="AK10" i="6"/>
  <c r="AK5" i="7"/>
  <c r="AK7" i="7"/>
  <c r="AK6" i="7"/>
  <c r="AK10" i="7"/>
  <c r="AL4" i="2"/>
  <c r="AL9" i="2" s="1"/>
  <c r="AI3" i="3"/>
  <c r="AJ2" i="3"/>
  <c r="AK8" i="2"/>
  <c r="AG20" i="3" l="1" a="1"/>
  <c r="AG20" i="3" s="1"/>
  <c r="AI9" i="38"/>
  <c r="AI11" i="38"/>
  <c r="AI15" i="38"/>
  <c r="AI10" i="38"/>
  <c r="AI16" i="38"/>
  <c r="AI17" i="38"/>
  <c r="AI19" i="38"/>
  <c r="AI18" i="38"/>
  <c r="AI25" i="38"/>
  <c r="AI20" i="38"/>
  <c r="AI22" i="38"/>
  <c r="AI24" i="38"/>
  <c r="AI21" i="38"/>
  <c r="AI27" i="38"/>
  <c r="AI29" i="38"/>
  <c r="AI26" i="38"/>
  <c r="AI28" i="38"/>
  <c r="AI31" i="38"/>
  <c r="AI33" i="38"/>
  <c r="AI35" i="38"/>
  <c r="AI37" i="38"/>
  <c r="AI30" i="38"/>
  <c r="AI32" i="38"/>
  <c r="AI34" i="38"/>
  <c r="AI36" i="38"/>
  <c r="AI38" i="38"/>
  <c r="AI39" i="38"/>
  <c r="AI41" i="38"/>
  <c r="AI43" i="38"/>
  <c r="AI45" i="38"/>
  <c r="AI49" i="38"/>
  <c r="AI51" i="38"/>
  <c r="AI44" i="38"/>
  <c r="AI46" i="38"/>
  <c r="AI50" i="38"/>
  <c r="AI54" i="38"/>
  <c r="AI56" i="38"/>
  <c r="AI52" i="38"/>
  <c r="AI59" i="38"/>
  <c r="AI61" i="38"/>
  <c r="AI63" i="38"/>
  <c r="AI53" i="38"/>
  <c r="AI55" i="38"/>
  <c r="AI57" i="38"/>
  <c r="AI58" i="38"/>
  <c r="AI60" i="38"/>
  <c r="AI62" i="38"/>
  <c r="AI64" i="38"/>
  <c r="AI66" i="38"/>
  <c r="AI72" i="38"/>
  <c r="AI74" i="38"/>
  <c r="AI76" i="38"/>
  <c r="AI67" i="38"/>
  <c r="AI71" i="38"/>
  <c r="AI73" i="38"/>
  <c r="AI75" i="38"/>
  <c r="AI65" i="38"/>
  <c r="AI78" i="38"/>
  <c r="AI80" i="38"/>
  <c r="AI82" i="38"/>
  <c r="AI84" i="38"/>
  <c r="AI77" i="38"/>
  <c r="AI79" i="38"/>
  <c r="AI81" i="38"/>
  <c r="AI83" i="38"/>
  <c r="AI86" i="38"/>
  <c r="AH87" i="38"/>
  <c r="AC24" i="9" s="1"/>
  <c r="AC16" i="9"/>
  <c r="AC17" i="9"/>
  <c r="AE29" i="9"/>
  <c r="AE18" i="9"/>
  <c r="AB37" i="9"/>
  <c r="AB36" i="9"/>
  <c r="AB26" i="9"/>
  <c r="AB27" i="9"/>
  <c r="AB25" i="9"/>
  <c r="AB28" i="9"/>
  <c r="R30" i="9"/>
  <c r="R31" i="9" s="1"/>
  <c r="AH89" i="38"/>
  <c r="AC22" i="9" s="1"/>
  <c r="AB21" i="9"/>
  <c r="AB23" i="9" s="1"/>
  <c r="AJ8" i="38"/>
  <c r="AE9" i="9"/>
  <c r="AL9" i="7"/>
  <c r="AL14" i="7"/>
  <c r="AD41" i="9"/>
  <c r="AD40" i="9"/>
  <c r="AE14" i="9"/>
  <c r="AD34" i="9"/>
  <c r="AD38" i="9"/>
  <c r="AD20" i="9"/>
  <c r="AI100" i="3"/>
  <c r="AI93" i="3"/>
  <c r="AG13" i="9"/>
  <c r="AJ120" i="3"/>
  <c r="M86" i="23"/>
  <c r="Q85" i="23"/>
  <c r="P85" i="23"/>
  <c r="AD44" i="9"/>
  <c r="AD43" i="9"/>
  <c r="AL8" i="7"/>
  <c r="AJ61" i="3"/>
  <c r="AJ36" i="3"/>
  <c r="AJ59" i="3"/>
  <c r="AL8" i="11"/>
  <c r="AL15" i="6"/>
  <c r="AL16" i="6"/>
  <c r="AL17" i="6"/>
  <c r="AL16" i="7"/>
  <c r="AL11" i="7"/>
  <c r="AL12" i="7"/>
  <c r="AL13" i="7"/>
  <c r="AE58" i="9" a="1"/>
  <c r="AE58" i="9" s="1"/>
  <c r="AJ110" i="3" a="1"/>
  <c r="AJ110" i="3" s="1"/>
  <c r="AL11" i="2"/>
  <c r="AL13" i="6"/>
  <c r="AL14" i="6"/>
  <c r="AL15" i="7"/>
  <c r="AG6" i="3" a="1"/>
  <c r="AG6" i="3" s="1"/>
  <c r="AG9" i="3" a="1"/>
  <c r="AG9" i="3" s="1"/>
  <c r="AK12" i="2"/>
  <c r="AH7" i="3" s="1" a="1"/>
  <c r="AH7" i="3" s="1"/>
  <c r="AJ72" i="3"/>
  <c r="AK18" i="6"/>
  <c r="AJ17" i="3"/>
  <c r="AJ13" i="3"/>
  <c r="AJ16" i="3"/>
  <c r="AJ12" i="3"/>
  <c r="AJ14" i="3"/>
  <c r="AJ18" i="3"/>
  <c r="R59" i="9"/>
  <c r="AL7" i="6"/>
  <c r="AL11" i="6"/>
  <c r="AL7" i="2"/>
  <c r="AL6" i="2"/>
  <c r="AL5" i="2"/>
  <c r="AL10" i="2"/>
  <c r="AD62" i="9"/>
  <c r="AG21" i="3" s="1" a="1"/>
  <c r="AG21" i="3" s="1"/>
  <c r="AG22" i="3" s="1"/>
  <c r="AL5" i="11"/>
  <c r="AM4" i="11"/>
  <c r="AJ5" i="3"/>
  <c r="AK4" i="3"/>
  <c r="AL9" i="11"/>
  <c r="AL7" i="11"/>
  <c r="AL6" i="11"/>
  <c r="AL11" i="11"/>
  <c r="AE11" i="9"/>
  <c r="AE10" i="9"/>
  <c r="AF15" i="9"/>
  <c r="AE12" i="9"/>
  <c r="AD48" i="9"/>
  <c r="AD39" i="9"/>
  <c r="AD46" i="9"/>
  <c r="AD35" i="9"/>
  <c r="AD42" i="9"/>
  <c r="AK17" i="7"/>
  <c r="AL5" i="7"/>
  <c r="AL10" i="7"/>
  <c r="AL6" i="7"/>
  <c r="AL7" i="7"/>
  <c r="AM4" i="7"/>
  <c r="AM4" i="6"/>
  <c r="AL8" i="6"/>
  <c r="AL10" i="6"/>
  <c r="AL6" i="6"/>
  <c r="AL5" i="6"/>
  <c r="AL12" i="6"/>
  <c r="AL9" i="6"/>
  <c r="AM4" i="2"/>
  <c r="AM9" i="2" s="1"/>
  <c r="AJ3" i="3"/>
  <c r="AK2" i="3"/>
  <c r="AL8" i="2"/>
  <c r="AH20" i="3" l="1" a="1"/>
  <c r="AH20" i="3" s="1"/>
  <c r="AC21" i="9"/>
  <c r="AJ9" i="38"/>
  <c r="AJ11" i="38"/>
  <c r="AJ15" i="38"/>
  <c r="AJ10" i="38"/>
  <c r="AJ16" i="38"/>
  <c r="AJ18" i="38"/>
  <c r="AJ19" i="38"/>
  <c r="AJ20" i="38"/>
  <c r="AJ22" i="38"/>
  <c r="AJ24" i="38"/>
  <c r="AJ25" i="38"/>
  <c r="AJ21" i="38"/>
  <c r="AJ28" i="38"/>
  <c r="AJ26" i="38"/>
  <c r="AJ31" i="38"/>
  <c r="AJ33" i="38"/>
  <c r="AJ35" i="38"/>
  <c r="AJ29" i="38"/>
  <c r="AJ17" i="38"/>
  <c r="AJ32" i="38"/>
  <c r="AJ36" i="38"/>
  <c r="AJ27" i="38"/>
  <c r="AJ34" i="38"/>
  <c r="AJ38" i="38"/>
  <c r="AJ37" i="38"/>
  <c r="AJ39" i="38"/>
  <c r="AJ30" i="38"/>
  <c r="AJ41" i="38"/>
  <c r="AJ43" i="38"/>
  <c r="AJ45" i="38"/>
  <c r="AJ49" i="38"/>
  <c r="AJ46" i="38"/>
  <c r="AJ52" i="38"/>
  <c r="AJ50" i="38"/>
  <c r="AJ54" i="38"/>
  <c r="AJ56" i="38"/>
  <c r="AJ53" i="38"/>
  <c r="AJ55" i="38"/>
  <c r="AJ57" i="38"/>
  <c r="AJ44" i="38"/>
  <c r="AJ59" i="38"/>
  <c r="AJ61" i="38"/>
  <c r="AJ63" i="38"/>
  <c r="AJ65" i="38"/>
  <c r="AJ51" i="38"/>
  <c r="AJ62" i="38"/>
  <c r="AJ64" i="38"/>
  <c r="AJ66" i="38"/>
  <c r="AJ72" i="38"/>
  <c r="AJ74" i="38"/>
  <c r="AJ67" i="38"/>
  <c r="AJ71" i="38"/>
  <c r="AJ73" i="38"/>
  <c r="AJ58" i="38"/>
  <c r="AJ60" i="38"/>
  <c r="AJ76" i="38"/>
  <c r="AJ78" i="38"/>
  <c r="AJ80" i="38"/>
  <c r="AJ82" i="38"/>
  <c r="AJ84" i="38"/>
  <c r="AJ77" i="38"/>
  <c r="AJ79" i="38"/>
  <c r="AJ81" i="38"/>
  <c r="AJ83" i="38"/>
  <c r="AJ86" i="38"/>
  <c r="AJ75" i="38"/>
  <c r="AD16" i="9"/>
  <c r="AD26" i="9" s="1"/>
  <c r="AI87" i="38"/>
  <c r="AD24" i="9" s="1"/>
  <c r="AI89" i="38"/>
  <c r="AD22" i="9" s="1"/>
  <c r="AD17" i="9"/>
  <c r="AC37" i="9"/>
  <c r="AC36" i="9"/>
  <c r="AC25" i="9"/>
  <c r="AC26" i="9"/>
  <c r="AC27" i="9"/>
  <c r="AC28" i="9"/>
  <c r="AF29" i="9"/>
  <c r="AF18" i="9"/>
  <c r="AK8" i="38"/>
  <c r="AF9" i="9"/>
  <c r="AM9" i="7"/>
  <c r="AM14" i="7"/>
  <c r="AE41" i="9"/>
  <c r="AE40" i="9"/>
  <c r="AF14" i="9"/>
  <c r="AE34" i="9"/>
  <c r="AE38" i="9"/>
  <c r="AE20" i="9"/>
  <c r="AC23" i="9"/>
  <c r="AJ100" i="3"/>
  <c r="AJ93" i="3"/>
  <c r="AH13" i="9"/>
  <c r="AK120" i="3"/>
  <c r="P86" i="23"/>
  <c r="Q86" i="23"/>
  <c r="M87" i="23"/>
  <c r="AE44" i="9"/>
  <c r="AE43" i="9"/>
  <c r="AM8" i="7"/>
  <c r="AK61" i="3"/>
  <c r="AM8" i="11"/>
  <c r="AM15" i="6"/>
  <c r="AM16" i="6"/>
  <c r="AM17" i="6"/>
  <c r="AM16" i="7"/>
  <c r="AM11" i="7"/>
  <c r="AM13" i="7"/>
  <c r="AM12" i="7"/>
  <c r="R47" i="9"/>
  <c r="R55" i="9"/>
  <c r="R56" i="9" s="1"/>
  <c r="S59" i="9"/>
  <c r="AF58" i="9" a="1"/>
  <c r="AF58" i="9" s="1"/>
  <c r="AK110" i="3" a="1"/>
  <c r="AK110" i="3" s="1"/>
  <c r="AM11" i="2"/>
  <c r="AM14" i="6"/>
  <c r="AM13" i="6"/>
  <c r="AM15" i="7"/>
  <c r="AH6" i="3" a="1"/>
  <c r="AH6" i="3" s="1"/>
  <c r="AH9" i="3" a="1"/>
  <c r="AH9" i="3" s="1"/>
  <c r="AK72" i="3"/>
  <c r="AL12" i="2"/>
  <c r="AI7" i="3" s="1" a="1"/>
  <c r="AI7" i="3" s="1"/>
  <c r="AL18" i="6"/>
  <c r="AK12" i="3"/>
  <c r="AK14" i="3"/>
  <c r="AK16" i="3"/>
  <c r="AK17" i="3"/>
  <c r="AK18" i="3"/>
  <c r="AK13" i="3"/>
  <c r="AM7" i="6"/>
  <c r="AM11" i="6"/>
  <c r="AM7" i="2"/>
  <c r="AM6" i="2"/>
  <c r="AM5" i="2"/>
  <c r="AM10" i="2"/>
  <c r="AE62" i="9"/>
  <c r="AH21" i="3" s="1" a="1"/>
  <c r="AH21" i="3" s="1"/>
  <c r="AH22" i="3" s="1"/>
  <c r="AM5" i="11"/>
  <c r="AM9" i="11"/>
  <c r="AM7" i="11"/>
  <c r="AM11" i="11"/>
  <c r="AM6" i="11"/>
  <c r="AN4" i="11"/>
  <c r="AK5" i="3"/>
  <c r="AL4" i="3"/>
  <c r="AL54" i="3" s="1"/>
  <c r="AF11" i="9"/>
  <c r="AF10" i="9"/>
  <c r="AG15" i="9"/>
  <c r="AF12" i="9"/>
  <c r="AE48" i="9"/>
  <c r="AE39" i="9"/>
  <c r="AE46" i="9"/>
  <c r="AE35" i="9"/>
  <c r="AE42" i="9"/>
  <c r="AN4" i="7"/>
  <c r="AN4" i="6"/>
  <c r="AL17" i="7"/>
  <c r="AM10" i="6"/>
  <c r="AM6" i="6"/>
  <c r="AM12" i="6"/>
  <c r="AM9" i="6"/>
  <c r="AM5" i="6"/>
  <c r="AM8" i="6"/>
  <c r="AM6" i="7"/>
  <c r="AM7" i="7"/>
  <c r="AM10" i="7"/>
  <c r="AM5" i="7"/>
  <c r="AL2" i="3"/>
  <c r="AM8" i="2"/>
  <c r="AN4" i="2"/>
  <c r="AN9" i="2" s="1"/>
  <c r="AK3" i="3"/>
  <c r="AI20" i="3" l="1" a="1"/>
  <c r="AI20" i="3" s="1"/>
  <c r="AD36" i="9"/>
  <c r="AK9" i="38"/>
  <c r="AK11" i="38"/>
  <c r="AK18" i="38"/>
  <c r="AK20" i="38"/>
  <c r="AK10" i="38"/>
  <c r="AK15" i="38"/>
  <c r="AK17" i="38"/>
  <c r="AK19" i="38"/>
  <c r="AK21" i="38"/>
  <c r="AK25" i="38"/>
  <c r="AK16" i="38"/>
  <c r="AK22" i="38"/>
  <c r="AK24" i="38"/>
  <c r="AK27" i="38"/>
  <c r="AK29" i="38"/>
  <c r="AK28" i="38"/>
  <c r="AK26" i="38"/>
  <c r="AK31" i="38"/>
  <c r="AK33" i="38"/>
  <c r="AK35" i="38"/>
  <c r="AK30" i="38"/>
  <c r="AK32" i="38"/>
  <c r="AK36" i="38"/>
  <c r="AK34" i="38"/>
  <c r="AK37" i="38"/>
  <c r="AK44" i="38"/>
  <c r="AK46" i="38"/>
  <c r="AK50" i="38"/>
  <c r="AK38" i="38"/>
  <c r="AK39" i="38"/>
  <c r="AK41" i="38"/>
  <c r="AK43" i="38"/>
  <c r="AK45" i="38"/>
  <c r="AK49" i="38"/>
  <c r="AK51" i="38"/>
  <c r="AK52" i="38"/>
  <c r="AK58" i="38"/>
  <c r="AK60" i="38"/>
  <c r="AK62" i="38"/>
  <c r="AK64" i="38"/>
  <c r="AK54" i="38"/>
  <c r="AK59" i="38"/>
  <c r="AK61" i="38"/>
  <c r="AK63" i="38"/>
  <c r="AK53" i="38"/>
  <c r="AK55" i="38"/>
  <c r="AK56" i="38"/>
  <c r="AK66" i="38"/>
  <c r="AK72" i="38"/>
  <c r="AK74" i="38"/>
  <c r="AK57" i="38"/>
  <c r="AK67" i="38"/>
  <c r="AK71" i="38"/>
  <c r="AK73" i="38"/>
  <c r="AK75" i="38"/>
  <c r="AK76" i="38"/>
  <c r="AK65" i="38"/>
  <c r="AK78" i="38"/>
  <c r="AK79" i="38"/>
  <c r="AK86" i="38"/>
  <c r="AK80" i="38"/>
  <c r="AK84" i="38"/>
  <c r="AK77" i="38"/>
  <c r="AK81" i="38"/>
  <c r="AK82" i="38"/>
  <c r="AK83" i="38"/>
  <c r="AD25" i="9"/>
  <c r="AD27" i="9"/>
  <c r="AD37" i="9"/>
  <c r="AD28" i="9"/>
  <c r="AD21" i="9"/>
  <c r="AD23" i="9" s="1"/>
  <c r="AJ87" i="38"/>
  <c r="AE24" i="9" s="1"/>
  <c r="AJ89" i="38"/>
  <c r="AE22" i="9" s="1"/>
  <c r="AG29" i="9"/>
  <c r="AG18" i="9"/>
  <c r="AE17" i="9"/>
  <c r="AE16" i="9"/>
  <c r="S30" i="9"/>
  <c r="S31" i="9" s="1"/>
  <c r="AL8" i="38"/>
  <c r="AG9" i="9"/>
  <c r="AN9" i="7"/>
  <c r="AN14" i="7"/>
  <c r="AF41" i="9"/>
  <c r="AF40" i="9"/>
  <c r="AG14" i="9"/>
  <c r="AF34" i="9"/>
  <c r="AF38" i="9"/>
  <c r="AF20" i="9"/>
  <c r="AK100" i="3"/>
  <c r="AK93" i="3"/>
  <c r="AI13" i="9"/>
  <c r="AL120" i="3"/>
  <c r="P87" i="23"/>
  <c r="Q87" i="23"/>
  <c r="M88" i="23"/>
  <c r="AF44" i="9"/>
  <c r="AF43" i="9"/>
  <c r="AN8" i="7"/>
  <c r="AL61" i="3"/>
  <c r="AL59" i="3"/>
  <c r="AL36" i="3"/>
  <c r="AN8" i="11"/>
  <c r="AN15" i="6"/>
  <c r="AN16" i="6"/>
  <c r="AN17" i="6"/>
  <c r="AN16" i="7"/>
  <c r="AN11" i="7"/>
  <c r="AN12" i="7"/>
  <c r="AN13" i="7"/>
  <c r="AG58" i="9" a="1"/>
  <c r="AG58" i="9" s="1"/>
  <c r="AL110" i="3" a="1"/>
  <c r="AL110" i="3" s="1"/>
  <c r="AN11" i="2"/>
  <c r="AN13" i="6"/>
  <c r="AN14" i="6"/>
  <c r="AN15" i="7"/>
  <c r="AI6" i="3" a="1"/>
  <c r="AI6" i="3" s="1"/>
  <c r="AI9" i="3" a="1"/>
  <c r="AI9" i="3" s="1"/>
  <c r="AL72" i="3"/>
  <c r="AM12" i="2"/>
  <c r="AJ7" i="3" s="1" a="1"/>
  <c r="AJ7" i="3" s="1"/>
  <c r="AM18" i="6"/>
  <c r="AL12" i="3"/>
  <c r="AL13" i="3"/>
  <c r="AL16" i="3"/>
  <c r="AL17" i="3"/>
  <c r="AL18" i="3"/>
  <c r="AL14" i="3"/>
  <c r="T59" i="9"/>
  <c r="AN7" i="6"/>
  <c r="AN11" i="6"/>
  <c r="AN6" i="2"/>
  <c r="AN7" i="2"/>
  <c r="AN5" i="2"/>
  <c r="AN10" i="2"/>
  <c r="AF62" i="9"/>
  <c r="AI21" i="3" s="1" a="1"/>
  <c r="AI21" i="3" s="1"/>
  <c r="AI22" i="3" s="1"/>
  <c r="AN5" i="11"/>
  <c r="AO4" i="11"/>
  <c r="AL5" i="3"/>
  <c r="AM4" i="3"/>
  <c r="AN6" i="11"/>
  <c r="AN7" i="11"/>
  <c r="AN9" i="11"/>
  <c r="AN11" i="11"/>
  <c r="AF39" i="9"/>
  <c r="AF46" i="9"/>
  <c r="AF35" i="9"/>
  <c r="AF48" i="9"/>
  <c r="AF42" i="9"/>
  <c r="AG11" i="9"/>
  <c r="AG10" i="9"/>
  <c r="AG12" i="9"/>
  <c r="AH15" i="9"/>
  <c r="AM17" i="7"/>
  <c r="AN8" i="6"/>
  <c r="AN12" i="6"/>
  <c r="AN10" i="6"/>
  <c r="AN9" i="6"/>
  <c r="AN5" i="6"/>
  <c r="AN6" i="6"/>
  <c r="AO4" i="7"/>
  <c r="AO4" i="6"/>
  <c r="AO4" i="2"/>
  <c r="AO9" i="2" s="1"/>
  <c r="AN6" i="7"/>
  <c r="AN5" i="7"/>
  <c r="AN10" i="7"/>
  <c r="AN7" i="7"/>
  <c r="AL3" i="3"/>
  <c r="AM2" i="3"/>
  <c r="AN8" i="2"/>
  <c r="AJ20" i="3" l="1" a="1"/>
  <c r="AJ20" i="3" s="1"/>
  <c r="AL10" i="38"/>
  <c r="AL16" i="38"/>
  <c r="AL9" i="38"/>
  <c r="AL11" i="38"/>
  <c r="AL15" i="38"/>
  <c r="AL18" i="38"/>
  <c r="AL20" i="38"/>
  <c r="AL17" i="38"/>
  <c r="AL19" i="38"/>
  <c r="AL21" i="38"/>
  <c r="AL26" i="38"/>
  <c r="AL24" i="38"/>
  <c r="AL22" i="38"/>
  <c r="AL25" i="38"/>
  <c r="AL27" i="38"/>
  <c r="AL30" i="38"/>
  <c r="AL32" i="38"/>
  <c r="AL34" i="38"/>
  <c r="AL28" i="38"/>
  <c r="AL29" i="38"/>
  <c r="AL31" i="38"/>
  <c r="AL33" i="38"/>
  <c r="AL35" i="38"/>
  <c r="AL39" i="38"/>
  <c r="AL36" i="38"/>
  <c r="AL38" i="38"/>
  <c r="AL37" i="38"/>
  <c r="AL44" i="38"/>
  <c r="AL46" i="38"/>
  <c r="AL50" i="38"/>
  <c r="AL52" i="38"/>
  <c r="AL41" i="38"/>
  <c r="AL43" i="38"/>
  <c r="AL45" i="38"/>
  <c r="AL49" i="38"/>
  <c r="AL54" i="38"/>
  <c r="AL56" i="38"/>
  <c r="AL51" i="38"/>
  <c r="AL53" i="38"/>
  <c r="AL55" i="38"/>
  <c r="AL57" i="38"/>
  <c r="AL58" i="38"/>
  <c r="AL60" i="38"/>
  <c r="AL62" i="38"/>
  <c r="AL59" i="38"/>
  <c r="AL61" i="38"/>
  <c r="AL65" i="38"/>
  <c r="AL63" i="38"/>
  <c r="AL64" i="38"/>
  <c r="AL66" i="38"/>
  <c r="AL72" i="38"/>
  <c r="AL74" i="38"/>
  <c r="AL76" i="38"/>
  <c r="AL77" i="38"/>
  <c r="AL79" i="38"/>
  <c r="AL81" i="38"/>
  <c r="AL83" i="38"/>
  <c r="AL75" i="38"/>
  <c r="AL71" i="38"/>
  <c r="AL73" i="38"/>
  <c r="AL78" i="38"/>
  <c r="AL80" i="38"/>
  <c r="AL82" i="38"/>
  <c r="AL67" i="38"/>
  <c r="AL86" i="38"/>
  <c r="AL84" i="38"/>
  <c r="AE21" i="9"/>
  <c r="AE23" i="9" s="1"/>
  <c r="AF16" i="9"/>
  <c r="AF36" i="9" s="1"/>
  <c r="AF17" i="9"/>
  <c r="AH29" i="9"/>
  <c r="AH18" i="9"/>
  <c r="AE36" i="9"/>
  <c r="AE37" i="9"/>
  <c r="AE27" i="9"/>
  <c r="AE28" i="9"/>
  <c r="AE25" i="9"/>
  <c r="AE26" i="9"/>
  <c r="AK89" i="38"/>
  <c r="AF22" i="9" s="1"/>
  <c r="AK87" i="38"/>
  <c r="AF24" i="9" s="1"/>
  <c r="AM8" i="38"/>
  <c r="AH9" i="9"/>
  <c r="AO9" i="7"/>
  <c r="AO14" i="7"/>
  <c r="AG41" i="9"/>
  <c r="AG40" i="9"/>
  <c r="AH14" i="9"/>
  <c r="AG34" i="9"/>
  <c r="AG38" i="9"/>
  <c r="AG20" i="9"/>
  <c r="AL100" i="3"/>
  <c r="AL93" i="3"/>
  <c r="AJ13" i="9"/>
  <c r="AM120" i="3"/>
  <c r="P88" i="23"/>
  <c r="Q88" i="23"/>
  <c r="M89" i="23"/>
  <c r="AG44" i="9"/>
  <c r="AG43" i="9"/>
  <c r="AO8" i="7"/>
  <c r="AM61" i="3"/>
  <c r="AO8" i="11"/>
  <c r="AO15" i="6"/>
  <c r="AO16" i="6"/>
  <c r="AO17" i="6"/>
  <c r="AO16" i="7"/>
  <c r="AO11" i="7"/>
  <c r="AO12" i="7"/>
  <c r="AO13" i="7"/>
  <c r="S47" i="9"/>
  <c r="S55" i="9"/>
  <c r="S56" i="9" s="1"/>
  <c r="AH58" i="9" a="1"/>
  <c r="AH58" i="9" s="1"/>
  <c r="AM110" i="3" a="1"/>
  <c r="AM110" i="3" s="1"/>
  <c r="AO11" i="2"/>
  <c r="AO14" i="6"/>
  <c r="AO13" i="6"/>
  <c r="AO15" i="7"/>
  <c r="AJ6" i="3" a="1"/>
  <c r="AJ6" i="3" s="1"/>
  <c r="AJ9" i="3" a="1"/>
  <c r="AJ9" i="3" s="1"/>
  <c r="AM72" i="3"/>
  <c r="AN12" i="2"/>
  <c r="AK7" i="3" s="1" a="1"/>
  <c r="AK7" i="3" s="1"/>
  <c r="AN18" i="6"/>
  <c r="AM12" i="3"/>
  <c r="AM13" i="3"/>
  <c r="AM14" i="3"/>
  <c r="AM16" i="3"/>
  <c r="AM17" i="3"/>
  <c r="AM18" i="3"/>
  <c r="U59" i="9"/>
  <c r="AO7" i="6"/>
  <c r="AO11" i="6"/>
  <c r="AO6" i="2"/>
  <c r="AO7" i="2"/>
  <c r="AO5" i="2"/>
  <c r="AO10" i="2"/>
  <c r="AG62" i="9"/>
  <c r="AJ21" i="3" s="1" a="1"/>
  <c r="AJ21" i="3" s="1"/>
  <c r="AJ22" i="3" s="1"/>
  <c r="AO5" i="11"/>
  <c r="AO9" i="11"/>
  <c r="AO7" i="11"/>
  <c r="AO11" i="11"/>
  <c r="AO6" i="11"/>
  <c r="AP4" i="11"/>
  <c r="AM5" i="3"/>
  <c r="AN4" i="3"/>
  <c r="AH11" i="9"/>
  <c r="AH10" i="9"/>
  <c r="AH12" i="9"/>
  <c r="AI15" i="9"/>
  <c r="AG46" i="9"/>
  <c r="AG48" i="9"/>
  <c r="AG35" i="9"/>
  <c r="AG42" i="9"/>
  <c r="AG39" i="9"/>
  <c r="AP4" i="7"/>
  <c r="AP4" i="6"/>
  <c r="AP4" i="2"/>
  <c r="AP9" i="2" s="1"/>
  <c r="AN17" i="7"/>
  <c r="AO8" i="2"/>
  <c r="AO5" i="6"/>
  <c r="AO6" i="6"/>
  <c r="AO12" i="6"/>
  <c r="AO8" i="6"/>
  <c r="AO9" i="6"/>
  <c r="AO10" i="6"/>
  <c r="AO7" i="7"/>
  <c r="AO6" i="7"/>
  <c r="AO5" i="7"/>
  <c r="AO10" i="7"/>
  <c r="AN2" i="3"/>
  <c r="AM3" i="3"/>
  <c r="AK20" i="3" l="1" a="1"/>
  <c r="AK20" i="3" s="1"/>
  <c r="AM10" i="38"/>
  <c r="AM16" i="38"/>
  <c r="AM9" i="38"/>
  <c r="AM11" i="38"/>
  <c r="AM15" i="38"/>
  <c r="AM18" i="38"/>
  <c r="AM17" i="38"/>
  <c r="AM21" i="38"/>
  <c r="AM22" i="38"/>
  <c r="AM24" i="38"/>
  <c r="AM19" i="38"/>
  <c r="AM25" i="38"/>
  <c r="AM20" i="38"/>
  <c r="AM26" i="38"/>
  <c r="AM28" i="38"/>
  <c r="AM27" i="38"/>
  <c r="AM30" i="38"/>
  <c r="AM32" i="38"/>
  <c r="AM34" i="38"/>
  <c r="AM36" i="38"/>
  <c r="AM29" i="38"/>
  <c r="AM31" i="38"/>
  <c r="AM33" i="38"/>
  <c r="AM35" i="38"/>
  <c r="AM38" i="38"/>
  <c r="AM37" i="38"/>
  <c r="AM44" i="38"/>
  <c r="AM46" i="38"/>
  <c r="AM50" i="38"/>
  <c r="AM52" i="38"/>
  <c r="AM39" i="38"/>
  <c r="AM41" i="38"/>
  <c r="AM43" i="38"/>
  <c r="AM45" i="38"/>
  <c r="AM49" i="38"/>
  <c r="AM53" i="38"/>
  <c r="AM55" i="38"/>
  <c r="AM57" i="38"/>
  <c r="AM58" i="38"/>
  <c r="AM60" i="38"/>
  <c r="AM62" i="38"/>
  <c r="AM64" i="38"/>
  <c r="AM54" i="38"/>
  <c r="AM56" i="38"/>
  <c r="AM59" i="38"/>
  <c r="AM61" i="38"/>
  <c r="AM63" i="38"/>
  <c r="AM67" i="38"/>
  <c r="AM71" i="38"/>
  <c r="AM73" i="38"/>
  <c r="AM75" i="38"/>
  <c r="AM65" i="38"/>
  <c r="AM51" i="38"/>
  <c r="AM66" i="38"/>
  <c r="AM72" i="38"/>
  <c r="AM74" i="38"/>
  <c r="AM77" i="38"/>
  <c r="AM79" i="38"/>
  <c r="AM81" i="38"/>
  <c r="AM83" i="38"/>
  <c r="AM76" i="38"/>
  <c r="AM78" i="38"/>
  <c r="AM80" i="38"/>
  <c r="AM82" i="38"/>
  <c r="AM84" i="38"/>
  <c r="AM86" i="38"/>
  <c r="AF27" i="9"/>
  <c r="AF28" i="9"/>
  <c r="AF26" i="9"/>
  <c r="AF25" i="9"/>
  <c r="AF37" i="9"/>
  <c r="AL89" i="38"/>
  <c r="AG22" i="9" s="1"/>
  <c r="AG17" i="9"/>
  <c r="AG16" i="9"/>
  <c r="AI18" i="9"/>
  <c r="T30" i="9"/>
  <c r="T31" i="9" s="1"/>
  <c r="AL87" i="38"/>
  <c r="AG24" i="9" s="1"/>
  <c r="AF21" i="9"/>
  <c r="AF23" i="9" s="1"/>
  <c r="AN8" i="38"/>
  <c r="AI9" i="9"/>
  <c r="AP9" i="7"/>
  <c r="AP14" i="7"/>
  <c r="AH41" i="9"/>
  <c r="AH40" i="9"/>
  <c r="AI14" i="9"/>
  <c r="AH34" i="9"/>
  <c r="AH38" i="9"/>
  <c r="AH20" i="9"/>
  <c r="AM100" i="3"/>
  <c r="AM93" i="3"/>
  <c r="AK13" i="9"/>
  <c r="AN120" i="3"/>
  <c r="M90" i="23"/>
  <c r="P89" i="23"/>
  <c r="Q89" i="23"/>
  <c r="AH44" i="9"/>
  <c r="AH43" i="9"/>
  <c r="AP8" i="7"/>
  <c r="AN61" i="3"/>
  <c r="AP8" i="11"/>
  <c r="AP15" i="6"/>
  <c r="AP16" i="6"/>
  <c r="AP17" i="6"/>
  <c r="AP16" i="7"/>
  <c r="AP11" i="7"/>
  <c r="AP12" i="7"/>
  <c r="AP13" i="7"/>
  <c r="V59" i="9"/>
  <c r="AI58" i="9" a="1"/>
  <c r="AI58" i="9" s="1"/>
  <c r="AN110" i="3" a="1"/>
  <c r="AN110" i="3" s="1"/>
  <c r="AP11" i="2"/>
  <c r="AP13" i="6"/>
  <c r="AP14" i="6"/>
  <c r="AP15" i="7"/>
  <c r="AK6" i="3" a="1"/>
  <c r="AK6" i="3" s="1"/>
  <c r="AK9" i="3" a="1"/>
  <c r="AK9" i="3" s="1"/>
  <c r="AN72" i="3"/>
  <c r="AO12" i="2"/>
  <c r="AL7" i="3" s="1" a="1"/>
  <c r="AL7" i="3" s="1"/>
  <c r="AO18" i="6"/>
  <c r="AN13" i="3"/>
  <c r="AN14" i="3"/>
  <c r="AN12" i="3"/>
  <c r="AN16" i="3"/>
  <c r="AN17" i="3"/>
  <c r="AN18" i="3"/>
  <c r="AP7" i="6"/>
  <c r="AP11" i="6"/>
  <c r="AP7" i="2"/>
  <c r="AP6" i="2"/>
  <c r="AP5" i="2"/>
  <c r="AP10" i="2"/>
  <c r="AH62" i="9"/>
  <c r="AK21" i="3" s="1" a="1"/>
  <c r="AK21" i="3" s="1"/>
  <c r="AK22" i="3" s="1"/>
  <c r="AP5" i="11"/>
  <c r="AQ4" i="11"/>
  <c r="AN5" i="3"/>
  <c r="AO4" i="3"/>
  <c r="AP9" i="11"/>
  <c r="AP11" i="11"/>
  <c r="AP7" i="11"/>
  <c r="AP6" i="11"/>
  <c r="AI11" i="9"/>
  <c r="AI10" i="9"/>
  <c r="AJ15" i="9"/>
  <c r="AI12" i="9"/>
  <c r="AH48" i="9"/>
  <c r="AH35" i="9"/>
  <c r="AH46" i="9"/>
  <c r="AH39" i="9"/>
  <c r="AH42" i="9"/>
  <c r="AQ4" i="7"/>
  <c r="AQ4" i="6"/>
  <c r="AQ4" i="2"/>
  <c r="AQ9" i="2" s="1"/>
  <c r="AP8" i="2"/>
  <c r="AP5" i="6"/>
  <c r="AP10" i="6"/>
  <c r="AP9" i="6"/>
  <c r="AP6" i="6"/>
  <c r="AP12" i="6"/>
  <c r="AP8" i="6"/>
  <c r="AO17" i="7"/>
  <c r="AP5" i="7"/>
  <c r="AP6" i="7"/>
  <c r="AP7" i="7"/>
  <c r="AP10" i="7"/>
  <c r="AN3" i="3"/>
  <c r="AO2" i="3"/>
  <c r="AL20" i="3" l="1" a="1"/>
  <c r="AL20" i="3" s="1"/>
  <c r="AN10" i="38"/>
  <c r="AN16" i="38"/>
  <c r="AN9" i="38"/>
  <c r="AN11" i="38"/>
  <c r="AN15" i="38"/>
  <c r="AN17" i="38"/>
  <c r="AN21" i="38"/>
  <c r="AN22" i="38"/>
  <c r="AN18" i="38"/>
  <c r="AN19" i="38"/>
  <c r="AN26" i="38"/>
  <c r="AN20" i="38"/>
  <c r="AN24" i="38"/>
  <c r="AN25" i="38"/>
  <c r="AN27" i="38"/>
  <c r="AN30" i="38"/>
  <c r="AN32" i="38"/>
  <c r="AN34" i="38"/>
  <c r="AN28" i="38"/>
  <c r="AN37" i="38"/>
  <c r="AN31" i="38"/>
  <c r="AN35" i="38"/>
  <c r="AN29" i="38"/>
  <c r="AN33" i="38"/>
  <c r="AN39" i="38"/>
  <c r="AN36" i="38"/>
  <c r="AN38" i="38"/>
  <c r="AN44" i="38"/>
  <c r="AN46" i="38"/>
  <c r="AN50" i="38"/>
  <c r="AN45" i="38"/>
  <c r="AN49" i="38"/>
  <c r="AN53" i="38"/>
  <c r="AN55" i="38"/>
  <c r="AN57" i="38"/>
  <c r="AN52" i="38"/>
  <c r="AN41" i="38"/>
  <c r="AN54" i="38"/>
  <c r="AN56" i="38"/>
  <c r="AN43" i="38"/>
  <c r="AN51" i="38"/>
  <c r="AN58" i="38"/>
  <c r="AN60" i="38"/>
  <c r="AN62" i="38"/>
  <c r="AN64" i="38"/>
  <c r="AN61" i="38"/>
  <c r="AN67" i="38"/>
  <c r="AN71" i="38"/>
  <c r="AN73" i="38"/>
  <c r="AN75" i="38"/>
  <c r="AN65" i="38"/>
  <c r="AN63" i="38"/>
  <c r="AN66" i="38"/>
  <c r="AN72" i="38"/>
  <c r="AN77" i="38"/>
  <c r="AN79" i="38"/>
  <c r="AN81" i="38"/>
  <c r="AN83" i="38"/>
  <c r="AN74" i="38"/>
  <c r="AN76" i="38"/>
  <c r="AN78" i="38"/>
  <c r="AN80" i="38"/>
  <c r="AN82" i="38"/>
  <c r="AN84" i="38"/>
  <c r="AN59" i="38"/>
  <c r="AN86" i="38"/>
  <c r="AH16" i="9"/>
  <c r="AH36" i="9" s="1"/>
  <c r="AH17" i="9"/>
  <c r="AJ18" i="9"/>
  <c r="AM89" i="38"/>
  <c r="AH22" i="9" s="1"/>
  <c r="AG36" i="9"/>
  <c r="AG37" i="9"/>
  <c r="AG26" i="9"/>
  <c r="AG27" i="9"/>
  <c r="AG25" i="9"/>
  <c r="AG28" i="9"/>
  <c r="AM87" i="38"/>
  <c r="AH24" i="9" s="1"/>
  <c r="AG21" i="9"/>
  <c r="AG23" i="9" s="1"/>
  <c r="AO8" i="38"/>
  <c r="AJ9" i="9"/>
  <c r="AQ9" i="7"/>
  <c r="AQ14" i="7"/>
  <c r="AI41" i="9"/>
  <c r="AI40" i="9"/>
  <c r="AJ14" i="9"/>
  <c r="AI34" i="9"/>
  <c r="AI38" i="9"/>
  <c r="AI20" i="9"/>
  <c r="AN100" i="3"/>
  <c r="AN93" i="3"/>
  <c r="AL13" i="9"/>
  <c r="AO120" i="3"/>
  <c r="P90" i="23"/>
  <c r="M91" i="23"/>
  <c r="Q90" i="23"/>
  <c r="AI44" i="9"/>
  <c r="AI43" i="9"/>
  <c r="AQ8" i="7"/>
  <c r="AO61" i="3"/>
  <c r="AQ8" i="11"/>
  <c r="AQ15" i="6"/>
  <c r="AQ16" i="6"/>
  <c r="AQ17" i="6"/>
  <c r="AQ16" i="7"/>
  <c r="AQ11" i="7"/>
  <c r="AQ13" i="7"/>
  <c r="AQ12" i="7"/>
  <c r="T47" i="9"/>
  <c r="T55" i="9"/>
  <c r="T56" i="9" s="1"/>
  <c r="AJ58" i="9" a="1"/>
  <c r="AJ58" i="9" s="1"/>
  <c r="AO110" i="3" a="1"/>
  <c r="AO110" i="3" s="1"/>
  <c r="AQ11" i="2"/>
  <c r="AQ13" i="6"/>
  <c r="AQ14" i="6"/>
  <c r="AQ15" i="7"/>
  <c r="AL6" i="3" a="1"/>
  <c r="AL6" i="3" s="1"/>
  <c r="AL9" i="3" a="1"/>
  <c r="AL9" i="3" s="1"/>
  <c r="AO72" i="3"/>
  <c r="AP12" i="2"/>
  <c r="AM7" i="3" s="1" a="1"/>
  <c r="AM7" i="3" s="1"/>
  <c r="AP18" i="6"/>
  <c r="AO13" i="3"/>
  <c r="AO14" i="3"/>
  <c r="AO12" i="3"/>
  <c r="AO16" i="3"/>
  <c r="AO17" i="3"/>
  <c r="AO18" i="3"/>
  <c r="W59" i="9"/>
  <c r="AQ7" i="6"/>
  <c r="AQ11" i="6"/>
  <c r="AQ7" i="2"/>
  <c r="AQ6" i="2"/>
  <c r="AQ5" i="2"/>
  <c r="AQ10" i="2"/>
  <c r="AI62" i="9"/>
  <c r="AL21" i="3" s="1" a="1"/>
  <c r="AL21" i="3" s="1"/>
  <c r="AL22" i="3" s="1"/>
  <c r="AQ5" i="11"/>
  <c r="AR4" i="11"/>
  <c r="AO5" i="3"/>
  <c r="AP4" i="3"/>
  <c r="AQ7" i="11"/>
  <c r="AQ6" i="11"/>
  <c r="AQ9" i="11"/>
  <c r="AJ11" i="9"/>
  <c r="AJ10" i="9"/>
  <c r="AK15" i="9"/>
  <c r="AJ12" i="9"/>
  <c r="AI48" i="9"/>
  <c r="AI46" i="9"/>
  <c r="AI35" i="9"/>
  <c r="AI39" i="9"/>
  <c r="AI42" i="9"/>
  <c r="AR4" i="7"/>
  <c r="AR4" i="2"/>
  <c r="AR9" i="2" s="1"/>
  <c r="AR4" i="6"/>
  <c r="AP17" i="7"/>
  <c r="AQ8" i="2"/>
  <c r="AQ5" i="6"/>
  <c r="AQ10" i="6"/>
  <c r="AQ8" i="6"/>
  <c r="AQ9" i="6"/>
  <c r="AQ12" i="6"/>
  <c r="AQ6" i="6"/>
  <c r="AQ6" i="7"/>
  <c r="AQ10" i="7"/>
  <c r="AQ7" i="7"/>
  <c r="AQ5" i="7"/>
  <c r="AP2" i="3"/>
  <c r="AO3" i="3"/>
  <c r="AM20" i="3" l="1" a="1"/>
  <c r="AM20" i="3" s="1"/>
  <c r="AO10" i="38"/>
  <c r="AO17" i="38"/>
  <c r="AO19" i="38"/>
  <c r="AO21" i="38"/>
  <c r="AO9" i="38"/>
  <c r="AO11" i="38"/>
  <c r="AO16" i="38"/>
  <c r="AO18" i="38"/>
  <c r="AO20" i="38"/>
  <c r="AO22" i="38"/>
  <c r="AO24" i="38"/>
  <c r="AO15" i="38"/>
  <c r="AO26" i="38"/>
  <c r="AO28" i="38"/>
  <c r="AO25" i="38"/>
  <c r="AO27" i="38"/>
  <c r="AO30" i="38"/>
  <c r="AO32" i="38"/>
  <c r="AO34" i="38"/>
  <c r="AO37" i="38"/>
  <c r="AO31" i="38"/>
  <c r="AO35" i="38"/>
  <c r="AO29" i="38"/>
  <c r="AO33" i="38"/>
  <c r="AO36" i="38"/>
  <c r="AO41" i="38"/>
  <c r="AO43" i="38"/>
  <c r="AO45" i="38"/>
  <c r="AO49" i="38"/>
  <c r="AO51" i="38"/>
  <c r="AO38" i="38"/>
  <c r="AO39" i="38"/>
  <c r="AO44" i="38"/>
  <c r="AO46" i="38"/>
  <c r="AO50" i="38"/>
  <c r="AO52" i="38"/>
  <c r="AO53" i="38"/>
  <c r="AO59" i="38"/>
  <c r="AO61" i="38"/>
  <c r="AO63" i="38"/>
  <c r="AO57" i="38"/>
  <c r="AO58" i="38"/>
  <c r="AO60" i="38"/>
  <c r="AO62" i="38"/>
  <c r="AO54" i="38"/>
  <c r="AO55" i="38"/>
  <c r="AO67" i="38"/>
  <c r="AO71" i="38"/>
  <c r="AO73" i="38"/>
  <c r="AO64" i="38"/>
  <c r="AO65" i="38"/>
  <c r="AO56" i="38"/>
  <c r="AO66" i="38"/>
  <c r="AO72" i="38"/>
  <c r="AO74" i="38"/>
  <c r="AO75" i="38"/>
  <c r="AO77" i="38"/>
  <c r="AO76" i="38"/>
  <c r="AO78" i="38"/>
  <c r="AO79" i="38"/>
  <c r="AO83" i="38"/>
  <c r="AO80" i="38"/>
  <c r="AO81" i="38"/>
  <c r="AO84" i="38"/>
  <c r="AO82" i="38"/>
  <c r="AO86" i="38"/>
  <c r="AH25" i="9"/>
  <c r="AH37" i="9"/>
  <c r="AI17" i="9"/>
  <c r="AI16" i="9"/>
  <c r="AI36" i="9" s="1"/>
  <c r="AH27" i="9"/>
  <c r="AH28" i="9"/>
  <c r="AH26" i="9"/>
  <c r="AN87" i="38"/>
  <c r="AN89" i="38" s="1"/>
  <c r="AK18" i="9"/>
  <c r="U30" i="9"/>
  <c r="U31" i="9" s="1"/>
  <c r="AH21" i="9"/>
  <c r="AH23" i="9" s="1"/>
  <c r="AP8" i="38"/>
  <c r="AK9" i="9"/>
  <c r="AR9" i="7"/>
  <c r="AR14" i="7"/>
  <c r="AJ41" i="9"/>
  <c r="AJ40" i="9"/>
  <c r="AK14" i="9"/>
  <c r="AJ34" i="9"/>
  <c r="AJ38" i="9"/>
  <c r="AJ20" i="9"/>
  <c r="AO100" i="3"/>
  <c r="AO93" i="3"/>
  <c r="AM13" i="9"/>
  <c r="AP120" i="3"/>
  <c r="M92" i="23"/>
  <c r="P91" i="23"/>
  <c r="Q91" i="23"/>
  <c r="AJ44" i="9"/>
  <c r="AJ43" i="9"/>
  <c r="AR8" i="7"/>
  <c r="AP61" i="3"/>
  <c r="AR8" i="11"/>
  <c r="AR15" i="6"/>
  <c r="AR16" i="6"/>
  <c r="AR17" i="6"/>
  <c r="AR16" i="7"/>
  <c r="AR11" i="7"/>
  <c r="AR12" i="7"/>
  <c r="AR13" i="7"/>
  <c r="AK58" i="9" a="1"/>
  <c r="AK58" i="9" s="1"/>
  <c r="AP110" i="3" a="1"/>
  <c r="AP110" i="3" s="1"/>
  <c r="AR11" i="2"/>
  <c r="AR13" i="6"/>
  <c r="AR14" i="6"/>
  <c r="AR15" i="7"/>
  <c r="AM6" i="3" a="1"/>
  <c r="AM6" i="3" s="1"/>
  <c r="AM9" i="3" a="1"/>
  <c r="AM9" i="3" s="1"/>
  <c r="AP72" i="3"/>
  <c r="AQ12" i="2"/>
  <c r="AN7" i="3" s="1" a="1"/>
  <c r="AN7" i="3" s="1"/>
  <c r="AQ18" i="6"/>
  <c r="AP12" i="3"/>
  <c r="AP14" i="3"/>
  <c r="AP18" i="3"/>
  <c r="AP17" i="3"/>
  <c r="AP13" i="3"/>
  <c r="AP16" i="3"/>
  <c r="X59" i="9"/>
  <c r="AR7" i="6"/>
  <c r="AR11" i="6"/>
  <c r="AR6" i="2"/>
  <c r="AR7" i="2"/>
  <c r="AR5" i="2"/>
  <c r="AR10" i="2"/>
  <c r="AJ62" i="9"/>
  <c r="AM21" i="3" s="1" a="1"/>
  <c r="AM21" i="3" s="1"/>
  <c r="AM22" i="3" s="1"/>
  <c r="AR5" i="11"/>
  <c r="AS4" i="11"/>
  <c r="AP5" i="3"/>
  <c r="AQ4" i="3"/>
  <c r="AR9" i="11"/>
  <c r="AR11" i="11"/>
  <c r="AR6" i="11"/>
  <c r="AR7" i="11"/>
  <c r="AK11" i="9"/>
  <c r="AK12" i="9"/>
  <c r="AK10" i="9"/>
  <c r="AL15" i="9"/>
  <c r="AJ46" i="9"/>
  <c r="AJ35" i="9"/>
  <c r="AJ39" i="9"/>
  <c r="AJ42" i="9"/>
  <c r="AJ48" i="9"/>
  <c r="AQ17" i="7"/>
  <c r="AR12" i="6"/>
  <c r="AR9" i="6"/>
  <c r="AR5" i="6"/>
  <c r="AR6" i="6"/>
  <c r="AR8" i="6"/>
  <c r="AR10" i="6"/>
  <c r="AR8" i="2"/>
  <c r="AS4" i="7"/>
  <c r="AS4" i="6"/>
  <c r="AS4" i="2"/>
  <c r="AS9" i="2" s="1"/>
  <c r="AR6" i="7"/>
  <c r="AR5" i="7"/>
  <c r="AR10" i="7"/>
  <c r="AR7" i="7"/>
  <c r="AP3" i="3"/>
  <c r="AQ2" i="3"/>
  <c r="Y59" i="9" l="1"/>
  <c r="AP9" i="38"/>
  <c r="AP11" i="38"/>
  <c r="AP15" i="38"/>
  <c r="AP10" i="38"/>
  <c r="AP16" i="38"/>
  <c r="AP17" i="38"/>
  <c r="AP19" i="38"/>
  <c r="AP21" i="38"/>
  <c r="AP18" i="38"/>
  <c r="AP20" i="38"/>
  <c r="AP22" i="38"/>
  <c r="AP24" i="38"/>
  <c r="AP26" i="38"/>
  <c r="AP29" i="38"/>
  <c r="AP31" i="38"/>
  <c r="AP33" i="38"/>
  <c r="AP35" i="38"/>
  <c r="AP27" i="38"/>
  <c r="AP28" i="38"/>
  <c r="AP30" i="38"/>
  <c r="AP32" i="38"/>
  <c r="AP34" i="38"/>
  <c r="AP25" i="38"/>
  <c r="AP38" i="38"/>
  <c r="AP37" i="38"/>
  <c r="AP36" i="38"/>
  <c r="AP41" i="38"/>
  <c r="AP43" i="38"/>
  <c r="AP45" i="38"/>
  <c r="AP49" i="38"/>
  <c r="AP51" i="38"/>
  <c r="AP39" i="38"/>
  <c r="AP44" i="38"/>
  <c r="AP46" i="38"/>
  <c r="AP50" i="38"/>
  <c r="AP52" i="38"/>
  <c r="AP53" i="38"/>
  <c r="AP55" i="38"/>
  <c r="AP57" i="38"/>
  <c r="AP54" i="38"/>
  <c r="AP56" i="38"/>
  <c r="AP59" i="38"/>
  <c r="AP61" i="38"/>
  <c r="AP63" i="38"/>
  <c r="AP58" i="38"/>
  <c r="AP60" i="38"/>
  <c r="AP62" i="38"/>
  <c r="AP67" i="38"/>
  <c r="AP71" i="38"/>
  <c r="AP73" i="38"/>
  <c r="AP75" i="38"/>
  <c r="AP64" i="38"/>
  <c r="AP65" i="38"/>
  <c r="AP78" i="38"/>
  <c r="AP80" i="38"/>
  <c r="AP82" i="38"/>
  <c r="AP72" i="38"/>
  <c r="AP77" i="38"/>
  <c r="AP79" i="38"/>
  <c r="AP81" i="38"/>
  <c r="AP83" i="38"/>
  <c r="AP74" i="38"/>
  <c r="AP66" i="38"/>
  <c r="AP86" i="38"/>
  <c r="AP76" i="38"/>
  <c r="AP84" i="38"/>
  <c r="AI24" i="9"/>
  <c r="AI29" i="9" s="1"/>
  <c r="AI37" i="9"/>
  <c r="AI27" i="9"/>
  <c r="AI26" i="9"/>
  <c r="AI28" i="9"/>
  <c r="AI25" i="9"/>
  <c r="AJ16" i="9"/>
  <c r="AJ17" i="9"/>
  <c r="AO87" i="38"/>
  <c r="AJ24" i="9" s="1"/>
  <c r="AL18" i="9"/>
  <c r="AI22" i="9"/>
  <c r="AQ8" i="38"/>
  <c r="AL9" i="9"/>
  <c r="AS9" i="7"/>
  <c r="AS14" i="7"/>
  <c r="AK41" i="9"/>
  <c r="AK40" i="9"/>
  <c r="AL14" i="9"/>
  <c r="AK34" i="9"/>
  <c r="AK38" i="9"/>
  <c r="AK20" i="9"/>
  <c r="AP100" i="3"/>
  <c r="AP93" i="3"/>
  <c r="AN13" i="9"/>
  <c r="AQ120" i="3"/>
  <c r="AQ93" i="3" s="1"/>
  <c r="Q92" i="23"/>
  <c r="M93" i="23"/>
  <c r="P92" i="23"/>
  <c r="AK44" i="9"/>
  <c r="AK43" i="9"/>
  <c r="AS8" i="7"/>
  <c r="AQ61" i="3"/>
  <c r="AS8" i="11"/>
  <c r="AS15" i="6"/>
  <c r="AS16" i="6"/>
  <c r="AS17" i="6"/>
  <c r="AS16" i="7"/>
  <c r="AS11" i="7"/>
  <c r="AS13" i="7"/>
  <c r="AS12" i="7"/>
  <c r="U47" i="9"/>
  <c r="U55" i="9"/>
  <c r="U56" i="9" s="1"/>
  <c r="AN20" i="3" a="1"/>
  <c r="AN20" i="3" s="1"/>
  <c r="AL58" i="9" a="1"/>
  <c r="AL58" i="9" s="1"/>
  <c r="AQ110" i="3" a="1"/>
  <c r="AQ110" i="3" s="1"/>
  <c r="AS11" i="2"/>
  <c r="AS14" i="6"/>
  <c r="AS13" i="6"/>
  <c r="AS15" i="7"/>
  <c r="AN6" i="3" a="1"/>
  <c r="AN6" i="3" s="1"/>
  <c r="AN9" i="3" a="1"/>
  <c r="AN9" i="3" s="1"/>
  <c r="AR12" i="2"/>
  <c r="AO7" i="3" s="1" a="1"/>
  <c r="AO7" i="3" s="1"/>
  <c r="AQ72" i="3"/>
  <c r="AR18" i="6"/>
  <c r="AQ12" i="3"/>
  <c r="AQ13" i="3"/>
  <c r="AQ14" i="3"/>
  <c r="AQ16" i="3"/>
  <c r="AQ17" i="3"/>
  <c r="AQ18" i="3"/>
  <c r="AS7" i="6"/>
  <c r="AS11" i="6"/>
  <c r="AS7" i="2"/>
  <c r="AS6" i="2"/>
  <c r="AS5" i="2"/>
  <c r="AS10" i="2"/>
  <c r="AK62" i="9"/>
  <c r="AN21" i="3" s="1" a="1"/>
  <c r="AN21" i="3" s="1"/>
  <c r="AS5" i="11"/>
  <c r="AS6" i="11"/>
  <c r="AS7" i="11"/>
  <c r="AS11" i="11"/>
  <c r="AS9" i="11"/>
  <c r="AT4" i="11"/>
  <c r="AQ5" i="3"/>
  <c r="AR4" i="3"/>
  <c r="AL11" i="9"/>
  <c r="AL12" i="9"/>
  <c r="AM15" i="9"/>
  <c r="AL10" i="9"/>
  <c r="AK39" i="9"/>
  <c r="AK42" i="9"/>
  <c r="AK48" i="9"/>
  <c r="AK35" i="9"/>
  <c r="AK46" i="9"/>
  <c r="AR17" i="7"/>
  <c r="AT4" i="7"/>
  <c r="AT4" i="6"/>
  <c r="AT4" i="2"/>
  <c r="AT9" i="2" s="1"/>
  <c r="AS8" i="2"/>
  <c r="AS5" i="6"/>
  <c r="AS6" i="6"/>
  <c r="AS9" i="6"/>
  <c r="AS8" i="6"/>
  <c r="AS10" i="6"/>
  <c r="AS12" i="6"/>
  <c r="AS5" i="7"/>
  <c r="AS7" i="7"/>
  <c r="AS6" i="7"/>
  <c r="AS10" i="7"/>
  <c r="AR2" i="3"/>
  <c r="AQ3" i="3"/>
  <c r="AO20" i="3" l="1" a="1"/>
  <c r="AO20" i="3" s="1"/>
  <c r="AI21" i="9"/>
  <c r="AQ9" i="38"/>
  <c r="AQ11" i="38"/>
  <c r="AQ15" i="38"/>
  <c r="AQ10" i="38"/>
  <c r="AQ16" i="38"/>
  <c r="AQ17" i="38"/>
  <c r="AQ19" i="38"/>
  <c r="AQ20" i="38"/>
  <c r="AQ25" i="38"/>
  <c r="AQ21" i="38"/>
  <c r="AQ18" i="38"/>
  <c r="AQ22" i="38"/>
  <c r="AQ24" i="38"/>
  <c r="AQ27" i="38"/>
  <c r="AQ29" i="38"/>
  <c r="AQ26" i="38"/>
  <c r="AQ31" i="38"/>
  <c r="AQ33" i="38"/>
  <c r="AQ35" i="38"/>
  <c r="AQ37" i="38"/>
  <c r="AQ28" i="38"/>
  <c r="AQ30" i="38"/>
  <c r="AQ32" i="38"/>
  <c r="AQ34" i="38"/>
  <c r="AQ38" i="38"/>
  <c r="AQ41" i="38"/>
  <c r="AQ43" i="38"/>
  <c r="AQ45" i="38"/>
  <c r="AQ49" i="38"/>
  <c r="AQ51" i="38"/>
  <c r="AQ36" i="38"/>
  <c r="AQ39" i="38"/>
  <c r="AQ44" i="38"/>
  <c r="AQ46" i="38"/>
  <c r="AQ50" i="38"/>
  <c r="AQ54" i="38"/>
  <c r="AQ56" i="38"/>
  <c r="AQ52" i="38"/>
  <c r="AQ57" i="38"/>
  <c r="AQ59" i="38"/>
  <c r="AQ61" i="38"/>
  <c r="AQ63" i="38"/>
  <c r="AQ53" i="38"/>
  <c r="AQ58" i="38"/>
  <c r="AQ60" i="38"/>
  <c r="AQ62" i="38"/>
  <c r="AQ66" i="38"/>
  <c r="AQ72" i="38"/>
  <c r="AQ74" i="38"/>
  <c r="AQ76" i="38"/>
  <c r="AQ67" i="38"/>
  <c r="AQ71" i="38"/>
  <c r="AQ73" i="38"/>
  <c r="AQ75" i="38"/>
  <c r="AQ55" i="38"/>
  <c r="AQ64" i="38"/>
  <c r="AQ65" i="38"/>
  <c r="AQ78" i="38"/>
  <c r="AQ80" i="38"/>
  <c r="AQ82" i="38"/>
  <c r="AQ84" i="38"/>
  <c r="AQ77" i="38"/>
  <c r="AQ79" i="38"/>
  <c r="AQ81" i="38"/>
  <c r="AQ83" i="38"/>
  <c r="AQ86" i="38"/>
  <c r="AO89" i="38"/>
  <c r="AJ22" i="9" s="1"/>
  <c r="AJ21" i="9" s="1"/>
  <c r="AJ23" i="9" s="1"/>
  <c r="AK16" i="9"/>
  <c r="AK26" i="9" s="1"/>
  <c r="AK17" i="9"/>
  <c r="AJ37" i="9"/>
  <c r="AJ36" i="9"/>
  <c r="AJ26" i="9"/>
  <c r="AJ27" i="9"/>
  <c r="AJ25" i="9"/>
  <c r="AJ28" i="9"/>
  <c r="AP87" i="38"/>
  <c r="AK24" i="9" s="1"/>
  <c r="AM18" i="9"/>
  <c r="AI23" i="9"/>
  <c r="V30" i="9"/>
  <c r="V31" i="9" s="1"/>
  <c r="AJ29" i="9"/>
  <c r="AR8" i="38"/>
  <c r="AM9" i="9"/>
  <c r="AT9" i="7"/>
  <c r="AT14" i="7"/>
  <c r="AL41" i="9"/>
  <c r="AL40" i="9"/>
  <c r="AM14" i="9"/>
  <c r="AL34" i="9"/>
  <c r="AL38" i="9"/>
  <c r="AL20" i="9"/>
  <c r="AQ100" i="3"/>
  <c r="AO13" i="9"/>
  <c r="AR120" i="3"/>
  <c r="M94" i="23"/>
  <c r="P93" i="23"/>
  <c r="Q93" i="23"/>
  <c r="AL44" i="9"/>
  <c r="AL43" i="9"/>
  <c r="AN22" i="3"/>
  <c r="AT8" i="7"/>
  <c r="AR61" i="3"/>
  <c r="AT8" i="11"/>
  <c r="AT15" i="6"/>
  <c r="AT16" i="6"/>
  <c r="AT17" i="6"/>
  <c r="AT16" i="7"/>
  <c r="AT11" i="7"/>
  <c r="AT12" i="7"/>
  <c r="AT13" i="7"/>
  <c r="Z59" i="9"/>
  <c r="AM58" i="9" a="1"/>
  <c r="AM58" i="9" s="1"/>
  <c r="AR110" i="3" a="1"/>
  <c r="AR110" i="3" s="1"/>
  <c r="AT11" i="2"/>
  <c r="AT13" i="6"/>
  <c r="AT14" i="6"/>
  <c r="AT15" i="7"/>
  <c r="AO6" i="3" a="1"/>
  <c r="AO6" i="3" s="1"/>
  <c r="AO9" i="3" a="1"/>
  <c r="AO9" i="3" s="1"/>
  <c r="AS12" i="2"/>
  <c r="AP7" i="3" s="1" a="1"/>
  <c r="AP7" i="3" s="1"/>
  <c r="AR72" i="3"/>
  <c r="AS18" i="6"/>
  <c r="AR16" i="3"/>
  <c r="AR14" i="3"/>
  <c r="AR17" i="3"/>
  <c r="AR18" i="3"/>
  <c r="AR12" i="3"/>
  <c r="AR13" i="3"/>
  <c r="AT7" i="6"/>
  <c r="AT11" i="6"/>
  <c r="AT7" i="2"/>
  <c r="AT6" i="2"/>
  <c r="AT5" i="2"/>
  <c r="AT10" i="2"/>
  <c r="AL62" i="9"/>
  <c r="AO21" i="3" s="1" a="1"/>
  <c r="AO21" i="3" s="1"/>
  <c r="AO22" i="3" s="1"/>
  <c r="AT5" i="11"/>
  <c r="AU4" i="11"/>
  <c r="AR5" i="3"/>
  <c r="AS4" i="3"/>
  <c r="AT9" i="11"/>
  <c r="AT6" i="11"/>
  <c r="AT7" i="11"/>
  <c r="AM11" i="9"/>
  <c r="AM12" i="9"/>
  <c r="AM10" i="9"/>
  <c r="AN15" i="9"/>
  <c r="AL39" i="9"/>
  <c r="AL48" i="9"/>
  <c r="AL46" i="9"/>
  <c r="AL35" i="9"/>
  <c r="AL42" i="9"/>
  <c r="AU4" i="7"/>
  <c r="AU4" i="6"/>
  <c r="AU4" i="2"/>
  <c r="AU9" i="2" s="1"/>
  <c r="AT5" i="7"/>
  <c r="AT10" i="7"/>
  <c r="AT7" i="7"/>
  <c r="AT6" i="7"/>
  <c r="AT8" i="2"/>
  <c r="AS17" i="7"/>
  <c r="AT5" i="6"/>
  <c r="AT9" i="6"/>
  <c r="AT8" i="6"/>
  <c r="AT10" i="6"/>
  <c r="AT12" i="6"/>
  <c r="AT6" i="6"/>
  <c r="AR3" i="3"/>
  <c r="AS2" i="3"/>
  <c r="AA59" i="9" l="1"/>
  <c r="AR9" i="38"/>
  <c r="AR11" i="38"/>
  <c r="AR15" i="38"/>
  <c r="AR10" i="38"/>
  <c r="AR16" i="38"/>
  <c r="AR20" i="38"/>
  <c r="AR17" i="38"/>
  <c r="AR21" i="38"/>
  <c r="AR18" i="38"/>
  <c r="AR19" i="38"/>
  <c r="AR22" i="38"/>
  <c r="AR24" i="38"/>
  <c r="AR29" i="38"/>
  <c r="AR31" i="38"/>
  <c r="AR33" i="38"/>
  <c r="AR35" i="38"/>
  <c r="AR26" i="38"/>
  <c r="AR27" i="38"/>
  <c r="AR36" i="38"/>
  <c r="AR30" i="38"/>
  <c r="AR28" i="38"/>
  <c r="AR32" i="38"/>
  <c r="AR37" i="38"/>
  <c r="AR38" i="38"/>
  <c r="AR25" i="38"/>
  <c r="AR34" i="38"/>
  <c r="AR41" i="38"/>
  <c r="AR43" i="38"/>
  <c r="AR45" i="38"/>
  <c r="AR49" i="38"/>
  <c r="AR44" i="38"/>
  <c r="AR51" i="38"/>
  <c r="AR39" i="38"/>
  <c r="AR46" i="38"/>
  <c r="AR54" i="38"/>
  <c r="AR56" i="38"/>
  <c r="AR50" i="38"/>
  <c r="AR52" i="38"/>
  <c r="AR53" i="38"/>
  <c r="AR55" i="38"/>
  <c r="AR57" i="38"/>
  <c r="AR59" i="38"/>
  <c r="AR61" i="38"/>
  <c r="AR63" i="38"/>
  <c r="AR65" i="38"/>
  <c r="AR60" i="38"/>
  <c r="AR66" i="38"/>
  <c r="AR72" i="38"/>
  <c r="AR74" i="38"/>
  <c r="AR62" i="38"/>
  <c r="AR67" i="38"/>
  <c r="AR71" i="38"/>
  <c r="AR73" i="38"/>
  <c r="AR64" i="38"/>
  <c r="AR76" i="38"/>
  <c r="AR78" i="38"/>
  <c r="AR80" i="38"/>
  <c r="AR82" i="38"/>
  <c r="AR84" i="38"/>
  <c r="AR75" i="38"/>
  <c r="AR58" i="38"/>
  <c r="AR77" i="38"/>
  <c r="AR79" i="38"/>
  <c r="AR81" i="38"/>
  <c r="AR83" i="38"/>
  <c r="AR86" i="38"/>
  <c r="AK27" i="9"/>
  <c r="AK25" i="9"/>
  <c r="AK36" i="9"/>
  <c r="AK37" i="9"/>
  <c r="AP89" i="38"/>
  <c r="AK22" i="9" s="1"/>
  <c r="AK28" i="9"/>
  <c r="AL16" i="9"/>
  <c r="AL17" i="9"/>
  <c r="AQ87" i="38"/>
  <c r="AQ89" i="38" s="1"/>
  <c r="AL22" i="9" s="1"/>
  <c r="AN18" i="9"/>
  <c r="AK29" i="9"/>
  <c r="AS8" i="38"/>
  <c r="AN9" i="9"/>
  <c r="AU9" i="7"/>
  <c r="AU14" i="7"/>
  <c r="AM41" i="9"/>
  <c r="AM40" i="9"/>
  <c r="AN14" i="9"/>
  <c r="AM34" i="9"/>
  <c r="AM38" i="9"/>
  <c r="AM20" i="9"/>
  <c r="AR100" i="3"/>
  <c r="AR93" i="3"/>
  <c r="AP13" i="9"/>
  <c r="AS120" i="3"/>
  <c r="P94" i="23"/>
  <c r="Q94" i="23"/>
  <c r="M95" i="23"/>
  <c r="AM44" i="9"/>
  <c r="AM43" i="9"/>
  <c r="AU8" i="7"/>
  <c r="AS61" i="3"/>
  <c r="AU8" i="11"/>
  <c r="AU15" i="6"/>
  <c r="AU16" i="6"/>
  <c r="AU17" i="6"/>
  <c r="AU16" i="7"/>
  <c r="AU11" i="7"/>
  <c r="AU13" i="7"/>
  <c r="AU12" i="7"/>
  <c r="V47" i="9"/>
  <c r="V55" i="9"/>
  <c r="V56" i="9" s="1"/>
  <c r="AP20" i="3" a="1"/>
  <c r="AP20" i="3" s="1"/>
  <c r="AN58" i="9" a="1"/>
  <c r="AN58" i="9" s="1"/>
  <c r="AS110" i="3" a="1"/>
  <c r="AS110" i="3" s="1"/>
  <c r="AU11" i="2"/>
  <c r="AU14" i="6"/>
  <c r="AU13" i="6"/>
  <c r="AU15" i="7"/>
  <c r="AP6" i="3" a="1"/>
  <c r="AP6" i="3" s="1"/>
  <c r="AP9" i="3" a="1"/>
  <c r="AP9" i="3" s="1"/>
  <c r="AS72" i="3"/>
  <c r="AT12" i="2"/>
  <c r="AQ7" i="3" s="1" a="1"/>
  <c r="AQ7" i="3" s="1"/>
  <c r="AT18" i="6"/>
  <c r="AS13" i="3"/>
  <c r="AS12" i="3"/>
  <c r="AS16" i="3"/>
  <c r="AS18" i="3"/>
  <c r="AS14" i="3"/>
  <c r="AS17" i="3"/>
  <c r="AU7" i="6"/>
  <c r="AU11" i="6"/>
  <c r="AU6" i="2"/>
  <c r="AU7" i="2"/>
  <c r="AU5" i="2"/>
  <c r="AU10" i="2"/>
  <c r="AM62" i="9"/>
  <c r="AP21" i="3" s="1" a="1"/>
  <c r="AP21" i="3" s="1"/>
  <c r="AU5" i="11"/>
  <c r="AU9" i="11"/>
  <c r="AU7" i="11"/>
  <c r="AU6" i="11"/>
  <c r="AU11" i="11"/>
  <c r="AV4" i="11"/>
  <c r="AS5" i="3"/>
  <c r="AT4" i="3"/>
  <c r="AN11" i="9"/>
  <c r="AN10" i="9"/>
  <c r="AO15" i="9"/>
  <c r="AN12" i="9"/>
  <c r="AM42" i="9"/>
  <c r="AM39" i="9"/>
  <c r="AM48" i="9"/>
  <c r="AM46" i="9"/>
  <c r="AM35" i="9"/>
  <c r="AU5" i="6"/>
  <c r="AU9" i="6"/>
  <c r="AU10" i="6"/>
  <c r="AU6" i="6"/>
  <c r="AU12" i="6"/>
  <c r="AU8" i="6"/>
  <c r="AU6" i="7"/>
  <c r="AU5" i="7"/>
  <c r="AU7" i="7"/>
  <c r="AU10" i="7"/>
  <c r="AV4" i="7"/>
  <c r="AV4" i="2"/>
  <c r="AV9" i="2" s="1"/>
  <c r="AV4" i="6"/>
  <c r="AT17" i="7"/>
  <c r="AU8" i="2"/>
  <c r="AT2" i="3"/>
  <c r="AS3" i="3"/>
  <c r="AQ20" i="3" l="1" a="1"/>
  <c r="AQ20" i="3" s="1"/>
  <c r="AS9" i="38"/>
  <c r="AS11" i="38"/>
  <c r="AS18" i="38"/>
  <c r="AS20" i="38"/>
  <c r="AS10" i="38"/>
  <c r="AS15" i="38"/>
  <c r="AS17" i="38"/>
  <c r="AS19" i="38"/>
  <c r="AS21" i="38"/>
  <c r="AS16" i="38"/>
  <c r="AS22" i="38"/>
  <c r="AS25" i="38"/>
  <c r="AS27" i="38"/>
  <c r="AS29" i="38"/>
  <c r="AS24" i="38"/>
  <c r="AS31" i="38"/>
  <c r="AS33" i="38"/>
  <c r="AS35" i="38"/>
  <c r="AS26" i="38"/>
  <c r="AS36" i="38"/>
  <c r="AS30" i="38"/>
  <c r="AS28" i="38"/>
  <c r="AS32" i="38"/>
  <c r="AS37" i="38"/>
  <c r="AS34" i="38"/>
  <c r="AS39" i="38"/>
  <c r="AS44" i="38"/>
  <c r="AS46" i="38"/>
  <c r="AS50" i="38"/>
  <c r="AS38" i="38"/>
  <c r="AS41" i="38"/>
  <c r="AS43" i="38"/>
  <c r="AS45" i="38"/>
  <c r="AS49" i="38"/>
  <c r="AS51" i="38"/>
  <c r="AS55" i="38"/>
  <c r="AS58" i="38"/>
  <c r="AS60" i="38"/>
  <c r="AS62" i="38"/>
  <c r="AS64" i="38"/>
  <c r="AS52" i="38"/>
  <c r="AS56" i="38"/>
  <c r="AS57" i="38"/>
  <c r="AS59" i="38"/>
  <c r="AS61" i="38"/>
  <c r="AS63" i="38"/>
  <c r="AS54" i="38"/>
  <c r="AS53" i="38"/>
  <c r="AS66" i="38"/>
  <c r="AS72" i="38"/>
  <c r="AS74" i="38"/>
  <c r="AS65" i="38"/>
  <c r="AS67" i="38"/>
  <c r="AS71" i="38"/>
  <c r="AS73" i="38"/>
  <c r="AS76" i="38"/>
  <c r="AS75" i="38"/>
  <c r="AS83" i="38"/>
  <c r="AS84" i="38"/>
  <c r="AS86" i="38"/>
  <c r="AS82" i="38"/>
  <c r="AS78" i="38"/>
  <c r="AS79" i="38"/>
  <c r="AS77" i="38"/>
  <c r="AS80" i="38"/>
  <c r="AS81" i="38"/>
  <c r="AL24" i="9"/>
  <c r="AL21" i="9" s="1"/>
  <c r="AL23" i="9" s="1"/>
  <c r="AK21" i="9"/>
  <c r="AK23" i="9" s="1"/>
  <c r="AR87" i="38"/>
  <c r="AM24" i="9" s="1"/>
  <c r="AM17" i="9"/>
  <c r="AM16" i="9"/>
  <c r="AL36" i="9"/>
  <c r="AL37" i="9"/>
  <c r="AL27" i="9"/>
  <c r="AL28" i="9"/>
  <c r="AL25" i="9"/>
  <c r="AL26" i="9"/>
  <c r="AO18" i="9"/>
  <c r="W30" i="9"/>
  <c r="W31" i="9" s="1"/>
  <c r="AT8" i="38"/>
  <c r="AO9" i="9"/>
  <c r="AV9" i="7"/>
  <c r="AV14" i="7"/>
  <c r="AN41" i="9"/>
  <c r="AN40" i="9"/>
  <c r="AO14" i="9"/>
  <c r="AN34" i="9"/>
  <c r="AN38" i="9"/>
  <c r="AN20" i="9"/>
  <c r="AS100" i="3"/>
  <c r="AS93" i="3"/>
  <c r="AQ13" i="9"/>
  <c r="AT120" i="3"/>
  <c r="P95" i="23"/>
  <c r="Q95" i="23"/>
  <c r="M96" i="23"/>
  <c r="AN44" i="9"/>
  <c r="AN43" i="9"/>
  <c r="AV8" i="7"/>
  <c r="AT61" i="3"/>
  <c r="AV8" i="11"/>
  <c r="AV15" i="6"/>
  <c r="AV16" i="6"/>
  <c r="AV17" i="6"/>
  <c r="AV16" i="7"/>
  <c r="AV11" i="7"/>
  <c r="AV12" i="7"/>
  <c r="AV13" i="7"/>
  <c r="AP22" i="3"/>
  <c r="AB59" i="9"/>
  <c r="AO58" i="9" a="1"/>
  <c r="AO58" i="9" s="1"/>
  <c r="AT110" i="3" a="1"/>
  <c r="AT110" i="3" s="1"/>
  <c r="AV11" i="2"/>
  <c r="AV13" i="6"/>
  <c r="AV14" i="6"/>
  <c r="AV15" i="7"/>
  <c r="AQ6" i="3" a="1"/>
  <c r="AQ6" i="3" s="1"/>
  <c r="AQ9" i="3" a="1"/>
  <c r="AQ9" i="3" s="1"/>
  <c r="AT72" i="3"/>
  <c r="AU12" i="2"/>
  <c r="AR7" i="3" s="1" a="1"/>
  <c r="AR7" i="3" s="1"/>
  <c r="AU18" i="6"/>
  <c r="AT13" i="3"/>
  <c r="AT14" i="3"/>
  <c r="AT12" i="3"/>
  <c r="AT18" i="3"/>
  <c r="AT17" i="3"/>
  <c r="AT16" i="3"/>
  <c r="AV7" i="6"/>
  <c r="AV11" i="6"/>
  <c r="AV6" i="2"/>
  <c r="AV7" i="2"/>
  <c r="AV5" i="2"/>
  <c r="AV10" i="2"/>
  <c r="AN62" i="9"/>
  <c r="AQ21" i="3" s="1" a="1"/>
  <c r="AQ21" i="3" s="1"/>
  <c r="AQ22" i="3" s="1"/>
  <c r="AV5" i="11"/>
  <c r="AW4" i="11"/>
  <c r="AT5" i="3"/>
  <c r="AU4" i="3"/>
  <c r="AV7" i="11"/>
  <c r="AV6" i="11"/>
  <c r="AV9" i="11"/>
  <c r="AV11" i="11"/>
  <c r="AO11" i="9"/>
  <c r="AO12" i="9"/>
  <c r="AO10" i="9"/>
  <c r="AP15" i="9"/>
  <c r="AN46" i="9"/>
  <c r="AN35" i="9"/>
  <c r="AN39" i="9"/>
  <c r="AN42" i="9"/>
  <c r="AN48" i="9"/>
  <c r="AV6" i="7"/>
  <c r="AV5" i="7"/>
  <c r="AV7" i="7"/>
  <c r="AV10" i="7"/>
  <c r="AV10" i="6"/>
  <c r="AV12" i="6"/>
  <c r="AV9" i="6"/>
  <c r="AV6" i="6"/>
  <c r="AV8" i="6"/>
  <c r="AV5" i="6"/>
  <c r="AU17" i="7"/>
  <c r="AV8" i="2"/>
  <c r="AW4" i="7"/>
  <c r="AW4" i="6"/>
  <c r="AW4" i="2"/>
  <c r="AW9" i="2" s="1"/>
  <c r="AT3" i="3"/>
  <c r="AU2" i="3"/>
  <c r="AR20" i="3" l="1" a="1"/>
  <c r="AR20" i="3" s="1"/>
  <c r="AL29" i="9"/>
  <c r="AT10" i="38"/>
  <c r="AT16" i="38"/>
  <c r="AT9" i="38"/>
  <c r="AT11" i="38"/>
  <c r="AT15" i="38"/>
  <c r="AT18" i="38"/>
  <c r="AT20" i="38"/>
  <c r="AT17" i="38"/>
  <c r="AT19" i="38"/>
  <c r="AT21" i="38"/>
  <c r="AT26" i="38"/>
  <c r="AT25" i="38"/>
  <c r="AT22" i="38"/>
  <c r="AT27" i="38"/>
  <c r="AT28" i="38"/>
  <c r="AT30" i="38"/>
  <c r="AT32" i="38"/>
  <c r="AT34" i="38"/>
  <c r="AT24" i="38"/>
  <c r="AT29" i="38"/>
  <c r="AT31" i="38"/>
  <c r="AT33" i="38"/>
  <c r="AT39" i="38"/>
  <c r="AT36" i="38"/>
  <c r="AT35" i="38"/>
  <c r="AT37" i="38"/>
  <c r="AT38" i="38"/>
  <c r="AT44" i="38"/>
  <c r="AT46" i="38"/>
  <c r="AT50" i="38"/>
  <c r="AT52" i="38"/>
  <c r="AT41" i="38"/>
  <c r="AT43" i="38"/>
  <c r="AT45" i="38"/>
  <c r="AT49" i="38"/>
  <c r="AT51" i="38"/>
  <c r="AT54" i="38"/>
  <c r="AT56" i="38"/>
  <c r="AT53" i="38"/>
  <c r="AT55" i="38"/>
  <c r="AT58" i="38"/>
  <c r="AT60" i="38"/>
  <c r="AT62" i="38"/>
  <c r="AT57" i="38"/>
  <c r="AT59" i="38"/>
  <c r="AT61" i="38"/>
  <c r="AT66" i="38"/>
  <c r="AT72" i="38"/>
  <c r="AT74" i="38"/>
  <c r="AT76" i="38"/>
  <c r="AT63" i="38"/>
  <c r="AT77" i="38"/>
  <c r="AT79" i="38"/>
  <c r="AT81" i="38"/>
  <c r="AT83" i="38"/>
  <c r="AT64" i="38"/>
  <c r="AT71" i="38"/>
  <c r="AT73" i="38"/>
  <c r="AT78" i="38"/>
  <c r="AT80" i="38"/>
  <c r="AT82" i="38"/>
  <c r="AT75" i="38"/>
  <c r="AT67" i="38"/>
  <c r="AT84" i="38"/>
  <c r="AT86" i="38"/>
  <c r="AT65" i="38"/>
  <c r="AN17" i="9"/>
  <c r="AN16" i="9"/>
  <c r="AN25" i="9" s="1"/>
  <c r="AS87" i="38"/>
  <c r="AS89" i="38" s="1"/>
  <c r="AN22" i="9" s="1"/>
  <c r="AM36" i="9"/>
  <c r="AM37" i="9"/>
  <c r="AM25" i="9"/>
  <c r="AM26" i="9"/>
  <c r="AM28" i="9"/>
  <c r="AM27" i="9"/>
  <c r="AR89" i="38"/>
  <c r="AM22" i="9" s="1"/>
  <c r="AM21" i="9" s="1"/>
  <c r="AM23" i="9" s="1"/>
  <c r="AP18" i="9"/>
  <c r="AM29" i="9"/>
  <c r="AU8" i="38"/>
  <c r="AP9" i="9"/>
  <c r="AW9" i="7"/>
  <c r="AW14" i="7"/>
  <c r="AO41" i="9"/>
  <c r="AO40" i="9"/>
  <c r="AP14" i="9"/>
  <c r="AO34" i="9"/>
  <c r="AO38" i="9"/>
  <c r="AO20" i="9"/>
  <c r="AT100" i="3"/>
  <c r="AT93" i="3"/>
  <c r="AR13" i="9"/>
  <c r="AU120" i="3"/>
  <c r="O96" i="23"/>
  <c r="P96" i="23"/>
  <c r="Q96" i="23"/>
  <c r="M97" i="23"/>
  <c r="AO44" i="9"/>
  <c r="AO43" i="9"/>
  <c r="AW8" i="7"/>
  <c r="AU61" i="3"/>
  <c r="AW8" i="11"/>
  <c r="AW15" i="6"/>
  <c r="AW16" i="6"/>
  <c r="AW17" i="6"/>
  <c r="AW16" i="7"/>
  <c r="AW12" i="7"/>
  <c r="AW13" i="7"/>
  <c r="AW11" i="7"/>
  <c r="W47" i="9"/>
  <c r="W55" i="9"/>
  <c r="W56" i="9" s="1"/>
  <c r="AP58" i="9" a="1"/>
  <c r="AP58" i="9" s="1"/>
  <c r="AU110" i="3" a="1"/>
  <c r="AU110" i="3" s="1"/>
  <c r="AW11" i="2"/>
  <c r="AW14" i="6"/>
  <c r="AW13" i="6"/>
  <c r="AW15" i="7"/>
  <c r="AR6" i="3" a="1"/>
  <c r="AR6" i="3" s="1"/>
  <c r="AR9" i="3" a="1"/>
  <c r="AR9" i="3" s="1"/>
  <c r="AV12" i="2"/>
  <c r="AS7" i="3" s="1" a="1"/>
  <c r="AS7" i="3" s="1"/>
  <c r="AU72" i="3"/>
  <c r="AV18" i="6"/>
  <c r="AU12" i="3"/>
  <c r="AU13" i="3"/>
  <c r="AU14" i="3"/>
  <c r="AU16" i="3"/>
  <c r="AU17" i="3"/>
  <c r="AU18" i="3"/>
  <c r="AC59" i="9"/>
  <c r="AW7" i="6"/>
  <c r="AW11" i="6"/>
  <c r="AW7" i="2"/>
  <c r="AW6" i="2"/>
  <c r="AW5" i="2"/>
  <c r="AW10" i="2"/>
  <c r="AO62" i="9"/>
  <c r="AR21" i="3" s="1" a="1"/>
  <c r="AR21" i="3" s="1"/>
  <c r="AR22" i="3" s="1"/>
  <c r="AW5" i="11"/>
  <c r="AW6" i="11"/>
  <c r="AW9" i="11"/>
  <c r="AW7" i="11"/>
  <c r="AX4" i="11"/>
  <c r="AU5" i="3"/>
  <c r="AV4" i="3"/>
  <c r="AP11" i="9"/>
  <c r="AP10" i="9"/>
  <c r="AQ15" i="9"/>
  <c r="AP12" i="9"/>
  <c r="AO39" i="9"/>
  <c r="AO48" i="9"/>
  <c r="AO35" i="9"/>
  <c r="AO46" i="9"/>
  <c r="AO42" i="9"/>
  <c r="AW5" i="6"/>
  <c r="AW6" i="6"/>
  <c r="AW8" i="6"/>
  <c r="AW12" i="6"/>
  <c r="AW9" i="6"/>
  <c r="AW10" i="6"/>
  <c r="AW6" i="7"/>
  <c r="AW7" i="7"/>
  <c r="AW5" i="7"/>
  <c r="AW10" i="7"/>
  <c r="AW8" i="2"/>
  <c r="AX4" i="7"/>
  <c r="AX4" i="6"/>
  <c r="AX4" i="2"/>
  <c r="AX9" i="2" s="1"/>
  <c r="AV17" i="7"/>
  <c r="AV2" i="3"/>
  <c r="AU3" i="3"/>
  <c r="AD59" i="9" l="1"/>
  <c r="AU10" i="38"/>
  <c r="AU16" i="38"/>
  <c r="AU9" i="38"/>
  <c r="AU11" i="38"/>
  <c r="AU15" i="38"/>
  <c r="AU18" i="38"/>
  <c r="AU22" i="38"/>
  <c r="AU24" i="38"/>
  <c r="AU20" i="38"/>
  <c r="AU17" i="38"/>
  <c r="AU21" i="38"/>
  <c r="AU25" i="38"/>
  <c r="AU19" i="38"/>
  <c r="AU26" i="38"/>
  <c r="AU28" i="38"/>
  <c r="AU27" i="38"/>
  <c r="AU30" i="38"/>
  <c r="AU32" i="38"/>
  <c r="AU34" i="38"/>
  <c r="AU36" i="38"/>
  <c r="AU29" i="38"/>
  <c r="AU31" i="38"/>
  <c r="AU33" i="38"/>
  <c r="AU35" i="38"/>
  <c r="AU37" i="38"/>
  <c r="AU38" i="38"/>
  <c r="AU39" i="38"/>
  <c r="AU44" i="38"/>
  <c r="AU46" i="38"/>
  <c r="AU50" i="38"/>
  <c r="AU52" i="38"/>
  <c r="AU41" i="38"/>
  <c r="AU43" i="38"/>
  <c r="AU45" i="38"/>
  <c r="AU49" i="38"/>
  <c r="AU53" i="38"/>
  <c r="AU55" i="38"/>
  <c r="AU57" i="38"/>
  <c r="AU51" i="38"/>
  <c r="AU56" i="38"/>
  <c r="AU58" i="38"/>
  <c r="AU60" i="38"/>
  <c r="AU62" i="38"/>
  <c r="AU64" i="38"/>
  <c r="AU59" i="38"/>
  <c r="AU61" i="38"/>
  <c r="AU63" i="38"/>
  <c r="AU65" i="38"/>
  <c r="AU67" i="38"/>
  <c r="AU71" i="38"/>
  <c r="AU73" i="38"/>
  <c r="AU75" i="38"/>
  <c r="AU66" i="38"/>
  <c r="AU72" i="38"/>
  <c r="AU74" i="38"/>
  <c r="AU54" i="38"/>
  <c r="AU77" i="38"/>
  <c r="AU79" i="38"/>
  <c r="AU81" i="38"/>
  <c r="AU83" i="38"/>
  <c r="AU76" i="38"/>
  <c r="AU78" i="38"/>
  <c r="AU80" i="38"/>
  <c r="AU82" i="38"/>
  <c r="AU84" i="38"/>
  <c r="AU86" i="38"/>
  <c r="AN24" i="9"/>
  <c r="AN21" i="9" s="1"/>
  <c r="AN23" i="9" s="1"/>
  <c r="AN27" i="9"/>
  <c r="AN28" i="9"/>
  <c r="AN26" i="9"/>
  <c r="AN37" i="9"/>
  <c r="AN36" i="9"/>
  <c r="AQ18" i="9"/>
  <c r="AT87" i="38"/>
  <c r="AT89" i="38" s="1"/>
  <c r="AO22" i="9" s="1"/>
  <c r="AO17" i="9"/>
  <c r="AO16" i="9"/>
  <c r="X30" i="9"/>
  <c r="X31" i="9" s="1"/>
  <c r="AV8" i="38"/>
  <c r="AQ9" i="9"/>
  <c r="AX9" i="7"/>
  <c r="AX14" i="7"/>
  <c r="AP41" i="9"/>
  <c r="AP40" i="9"/>
  <c r="AQ14" i="9"/>
  <c r="AP34" i="9"/>
  <c r="AP38" i="9"/>
  <c r="AP20" i="9"/>
  <c r="AU100" i="3"/>
  <c r="AU93" i="3"/>
  <c r="AS13" i="9"/>
  <c r="AV120" i="3"/>
  <c r="R96" i="23"/>
  <c r="O97" i="23"/>
  <c r="P97" i="23"/>
  <c r="Q97" i="23"/>
  <c r="M98" i="23"/>
  <c r="AP44" i="9"/>
  <c r="AP43" i="9"/>
  <c r="AX8" i="7"/>
  <c r="AV61" i="3"/>
  <c r="AX8" i="11"/>
  <c r="AX15" i="6"/>
  <c r="AX16" i="6"/>
  <c r="AX17" i="6"/>
  <c r="AX16" i="7"/>
  <c r="AX11" i="7"/>
  <c r="AX12" i="7"/>
  <c r="AX13" i="7"/>
  <c r="AS20" i="3" a="1"/>
  <c r="AS20" i="3" s="1"/>
  <c r="AQ58" i="9" a="1"/>
  <c r="AQ58" i="9" s="1"/>
  <c r="AV110" i="3" a="1"/>
  <c r="AV110" i="3" s="1"/>
  <c r="AX11" i="2"/>
  <c r="AX13" i="6"/>
  <c r="AX14" i="6"/>
  <c r="AX15" i="7"/>
  <c r="AS6" i="3" a="1"/>
  <c r="AS6" i="3" s="1"/>
  <c r="AS9" i="3" a="1"/>
  <c r="AS9" i="3" s="1"/>
  <c r="AW12" i="2"/>
  <c r="AT7" i="3" s="1" a="1"/>
  <c r="AT7" i="3" s="1"/>
  <c r="AV72" i="3"/>
  <c r="AW18" i="6"/>
  <c r="AV12" i="3"/>
  <c r="AV14" i="3"/>
  <c r="AV13" i="3"/>
  <c r="AV16" i="3"/>
  <c r="AV18" i="3"/>
  <c r="AV17" i="3"/>
  <c r="AX7" i="6"/>
  <c r="AX11" i="6"/>
  <c r="AX7" i="2"/>
  <c r="AX6" i="2"/>
  <c r="AX5" i="2"/>
  <c r="AX10" i="2"/>
  <c r="AP62" i="9"/>
  <c r="AS21" i="3" s="1" a="1"/>
  <c r="AS21" i="3" s="1"/>
  <c r="AX5" i="11"/>
  <c r="AY4" i="11"/>
  <c r="AV5" i="3"/>
  <c r="AW4" i="3"/>
  <c r="AX9" i="11"/>
  <c r="AX6" i="11"/>
  <c r="AX7" i="11"/>
  <c r="AX11" i="11"/>
  <c r="AQ11" i="9"/>
  <c r="AQ10" i="9"/>
  <c r="AQ12" i="9"/>
  <c r="AR15" i="9"/>
  <c r="AP48" i="9"/>
  <c r="AP46" i="9"/>
  <c r="AP35" i="9"/>
  <c r="AP39" i="9"/>
  <c r="AP42" i="9"/>
  <c r="AX8" i="2"/>
  <c r="AX5" i="6"/>
  <c r="AX12" i="6"/>
  <c r="AX9" i="6"/>
  <c r="AX8" i="6"/>
  <c r="AX6" i="6"/>
  <c r="AX10" i="6"/>
  <c r="AX10" i="7"/>
  <c r="AX7" i="7"/>
  <c r="AX5" i="7"/>
  <c r="AX6" i="7"/>
  <c r="AY4" i="7"/>
  <c r="AY4" i="6"/>
  <c r="AY4" i="2"/>
  <c r="AY9" i="2" s="1"/>
  <c r="AW17" i="7"/>
  <c r="AV3" i="3"/>
  <c r="AW2" i="3"/>
  <c r="AN29" i="9" l="1"/>
  <c r="AT20" i="3" a="1"/>
  <c r="AT20" i="3" s="1"/>
  <c r="AV10" i="38"/>
  <c r="AV16" i="38"/>
  <c r="AV9" i="38"/>
  <c r="AV11" i="38"/>
  <c r="AV15" i="38"/>
  <c r="AV22" i="38"/>
  <c r="AV20" i="38"/>
  <c r="AV17" i="38"/>
  <c r="AV18" i="38"/>
  <c r="AV21" i="38"/>
  <c r="AV25" i="38"/>
  <c r="AV26" i="38"/>
  <c r="AV19" i="38"/>
  <c r="AV28" i="38"/>
  <c r="AV24" i="38"/>
  <c r="AV30" i="38"/>
  <c r="AV32" i="38"/>
  <c r="AV34" i="38"/>
  <c r="AV27" i="38"/>
  <c r="AV29" i="38"/>
  <c r="AV31" i="38"/>
  <c r="AV36" i="38"/>
  <c r="AV39" i="38"/>
  <c r="AV35" i="38"/>
  <c r="AV33" i="38"/>
  <c r="AV37" i="38"/>
  <c r="AV44" i="38"/>
  <c r="AV46" i="38"/>
  <c r="AV50" i="38"/>
  <c r="AV38" i="38"/>
  <c r="AV43" i="38"/>
  <c r="AV45" i="38"/>
  <c r="AV53" i="38"/>
  <c r="AV55" i="38"/>
  <c r="AV57" i="38"/>
  <c r="AV49" i="38"/>
  <c r="AV51" i="38"/>
  <c r="AV41" i="38"/>
  <c r="AV54" i="38"/>
  <c r="AV56" i="38"/>
  <c r="AV52" i="38"/>
  <c r="AV58" i="38"/>
  <c r="AV60" i="38"/>
  <c r="AV62" i="38"/>
  <c r="AV64" i="38"/>
  <c r="AV59" i="38"/>
  <c r="AV61" i="38"/>
  <c r="AV65" i="38"/>
  <c r="AV67" i="38"/>
  <c r="AV71" i="38"/>
  <c r="AV73" i="38"/>
  <c r="AV75" i="38"/>
  <c r="AV63" i="38"/>
  <c r="AV66" i="38"/>
  <c r="AV72" i="38"/>
  <c r="AV77" i="38"/>
  <c r="AV79" i="38"/>
  <c r="AV81" i="38"/>
  <c r="AV83" i="38"/>
  <c r="AV76" i="38"/>
  <c r="AV74" i="38"/>
  <c r="AV78" i="38"/>
  <c r="AV80" i="38"/>
  <c r="AV82" i="38"/>
  <c r="AV84" i="38"/>
  <c r="AV86" i="38"/>
  <c r="AO24" i="9"/>
  <c r="AO29" i="9" s="1"/>
  <c r="AP16" i="9"/>
  <c r="AP27" i="9" s="1"/>
  <c r="AP17" i="9"/>
  <c r="AO36" i="9"/>
  <c r="AO37" i="9"/>
  <c r="AO28" i="9"/>
  <c r="AO27" i="9"/>
  <c r="AO25" i="9"/>
  <c r="AO26" i="9"/>
  <c r="AR18" i="9"/>
  <c r="AU87" i="38"/>
  <c r="AU89" i="38" s="1"/>
  <c r="AP22" i="9" s="1"/>
  <c r="AW8" i="38"/>
  <c r="AR9" i="9"/>
  <c r="AY9" i="7"/>
  <c r="AY14" i="7"/>
  <c r="AQ41" i="9"/>
  <c r="AQ40" i="9"/>
  <c r="AR14" i="9"/>
  <c r="AQ34" i="9"/>
  <c r="AQ38" i="9"/>
  <c r="AQ20" i="9"/>
  <c r="AV100" i="3"/>
  <c r="AV93" i="3"/>
  <c r="AT13" i="9"/>
  <c r="AW120" i="3"/>
  <c r="R97" i="23"/>
  <c r="O98" i="23"/>
  <c r="Q98" i="23"/>
  <c r="M99" i="23"/>
  <c r="P98" i="23"/>
  <c r="AQ44" i="9"/>
  <c r="AQ43" i="9"/>
  <c r="AY8" i="7"/>
  <c r="AW61" i="3"/>
  <c r="AY8" i="11"/>
  <c r="AS22" i="3"/>
  <c r="AY15" i="6"/>
  <c r="AY16" i="6"/>
  <c r="AY17" i="6"/>
  <c r="AY16" i="7"/>
  <c r="AY11" i="7"/>
  <c r="AY13" i="7"/>
  <c r="AY12" i="7"/>
  <c r="X47" i="9"/>
  <c r="X55" i="9"/>
  <c r="X56" i="9" s="1"/>
  <c r="AR58" i="9" a="1"/>
  <c r="AR58" i="9" s="1"/>
  <c r="AY11" i="2"/>
  <c r="AY13" i="6"/>
  <c r="AY14" i="6"/>
  <c r="AY15" i="7"/>
  <c r="AT6" i="3" a="1"/>
  <c r="AT6" i="3" s="1"/>
  <c r="AT9" i="3" a="1"/>
  <c r="AT9" i="3" s="1"/>
  <c r="AW110" i="3" a="1"/>
  <c r="AW110" i="3" s="1"/>
  <c r="AX12" i="2"/>
  <c r="AU7" i="3" s="1" a="1"/>
  <c r="AU7" i="3" s="1"/>
  <c r="AW72" i="3"/>
  <c r="AX18" i="6"/>
  <c r="AW16" i="3"/>
  <c r="AW14" i="3"/>
  <c r="AW12" i="3"/>
  <c r="AW13" i="3"/>
  <c r="AW17" i="3"/>
  <c r="AW18" i="3"/>
  <c r="AE59" i="9"/>
  <c r="AY7" i="6"/>
  <c r="AY11" i="6"/>
  <c r="AY6" i="2"/>
  <c r="AY7" i="2"/>
  <c r="AY5" i="2"/>
  <c r="AY10" i="2"/>
  <c r="AQ62" i="9"/>
  <c r="AT21" i="3" s="1" a="1"/>
  <c r="AT21" i="3" s="1"/>
  <c r="AT22" i="3" s="1"/>
  <c r="AY5" i="11"/>
  <c r="AY9" i="11"/>
  <c r="AY6" i="11"/>
  <c r="AY11" i="11"/>
  <c r="AY7" i="11"/>
  <c r="AZ4" i="11"/>
  <c r="AW5" i="3"/>
  <c r="AX4" i="3"/>
  <c r="AR11" i="9"/>
  <c r="AS15" i="9"/>
  <c r="AR12" i="9"/>
  <c r="AR10" i="9"/>
  <c r="AQ46" i="9"/>
  <c r="AQ35" i="9"/>
  <c r="AQ39" i="9"/>
  <c r="AQ42" i="9"/>
  <c r="AQ48" i="9"/>
  <c r="AY8" i="2"/>
  <c r="AY5" i="6"/>
  <c r="AY10" i="6"/>
  <c r="AY12" i="6"/>
  <c r="AY6" i="6"/>
  <c r="AY9" i="6"/>
  <c r="AY8" i="6"/>
  <c r="AX17" i="7"/>
  <c r="AZ4" i="7"/>
  <c r="AZ4" i="2"/>
  <c r="AZ9" i="2" s="1"/>
  <c r="AZ4" i="6"/>
  <c r="AY6" i="7"/>
  <c r="AY7" i="7"/>
  <c r="AY5" i="7"/>
  <c r="AY10" i="7"/>
  <c r="AX2" i="3"/>
  <c r="AW3" i="3"/>
  <c r="AU20" i="3" l="1" a="1"/>
  <c r="AU20" i="3" s="1"/>
  <c r="AO21" i="9"/>
  <c r="AO23" i="9" s="1"/>
  <c r="AW10" i="38"/>
  <c r="AW17" i="38"/>
  <c r="AW19" i="38"/>
  <c r="AW9" i="38"/>
  <c r="AW11" i="38"/>
  <c r="AW18" i="38"/>
  <c r="AW20" i="38"/>
  <c r="AW15" i="38"/>
  <c r="AW22" i="38"/>
  <c r="AW24" i="38"/>
  <c r="AW16" i="38"/>
  <c r="AW21" i="38"/>
  <c r="AW25" i="38"/>
  <c r="AW26" i="38"/>
  <c r="AW28" i="38"/>
  <c r="AW30" i="38"/>
  <c r="AW32" i="38"/>
  <c r="AW34" i="38"/>
  <c r="AW27" i="38"/>
  <c r="AW29" i="38"/>
  <c r="AW37" i="38"/>
  <c r="AW31" i="38"/>
  <c r="AW36" i="38"/>
  <c r="AW35" i="38"/>
  <c r="AW33" i="38"/>
  <c r="AW41" i="38"/>
  <c r="AW43" i="38"/>
  <c r="AW45" i="38"/>
  <c r="AW49" i="38"/>
  <c r="AW51" i="38"/>
  <c r="AW39" i="38"/>
  <c r="AW44" i="38"/>
  <c r="AW46" i="38"/>
  <c r="AW50" i="38"/>
  <c r="AW52" i="38"/>
  <c r="AW38" i="38"/>
  <c r="AW53" i="38"/>
  <c r="AW54" i="38"/>
  <c r="AW59" i="38"/>
  <c r="AW61" i="38"/>
  <c r="AW63" i="38"/>
  <c r="AW55" i="38"/>
  <c r="AW56" i="38"/>
  <c r="AW58" i="38"/>
  <c r="AW60" i="38"/>
  <c r="AW62" i="38"/>
  <c r="AW57" i="38"/>
  <c r="AW64" i="38"/>
  <c r="AW65" i="38"/>
  <c r="AW67" i="38"/>
  <c r="AW71" i="38"/>
  <c r="AW73" i="38"/>
  <c r="AW66" i="38"/>
  <c r="AW72" i="38"/>
  <c r="AW74" i="38"/>
  <c r="AW77" i="38"/>
  <c r="AW76" i="38"/>
  <c r="AW75" i="38"/>
  <c r="AW82" i="38"/>
  <c r="AW83" i="38"/>
  <c r="AW84" i="38"/>
  <c r="AW78" i="38"/>
  <c r="AW79" i="38"/>
  <c r="AW81" i="38"/>
  <c r="AW80" i="38"/>
  <c r="AW86" i="38"/>
  <c r="AP28" i="9"/>
  <c r="AP26" i="9"/>
  <c r="AP25" i="9"/>
  <c r="AP37" i="9"/>
  <c r="AP36" i="9"/>
  <c r="AP24" i="9"/>
  <c r="AP21" i="9" s="1"/>
  <c r="AP23" i="9" s="1"/>
  <c r="AS18" i="9"/>
  <c r="AV87" i="38"/>
  <c r="AV89" i="38" s="1"/>
  <c r="AQ22" i="9" s="1"/>
  <c r="AQ17" i="9"/>
  <c r="AQ16" i="9"/>
  <c r="Y30" i="9"/>
  <c r="Y31" i="9" s="1"/>
  <c r="AX8" i="38"/>
  <c r="AS9" i="9"/>
  <c r="AZ9" i="7"/>
  <c r="AZ14" i="7"/>
  <c r="AR41" i="9"/>
  <c r="AR40" i="9"/>
  <c r="AS14" i="9"/>
  <c r="AR34" i="9"/>
  <c r="AR38" i="9"/>
  <c r="AR20" i="9"/>
  <c r="AW100" i="3"/>
  <c r="AW93" i="3"/>
  <c r="AU13" i="9"/>
  <c r="AX120" i="3"/>
  <c r="R98" i="23"/>
  <c r="O99" i="23"/>
  <c r="M100" i="23"/>
  <c r="P99" i="23"/>
  <c r="Q99" i="23"/>
  <c r="AR44" i="9"/>
  <c r="AR43" i="9"/>
  <c r="AZ8" i="7"/>
  <c r="AX61" i="3"/>
  <c r="AZ8" i="11"/>
  <c r="AZ15" i="6"/>
  <c r="AZ16" i="6"/>
  <c r="AZ17" i="6"/>
  <c r="AZ16" i="7"/>
  <c r="AZ11" i="7"/>
  <c r="AZ12" i="7"/>
  <c r="AZ13" i="7"/>
  <c r="AF59" i="9"/>
  <c r="AS58" i="9" a="1"/>
  <c r="AS58" i="9" s="1"/>
  <c r="AZ11" i="2"/>
  <c r="AZ13" i="6"/>
  <c r="AZ14" i="6"/>
  <c r="AZ15" i="7"/>
  <c r="AU6" i="3" a="1"/>
  <c r="AU6" i="3" s="1"/>
  <c r="AU9" i="3" a="1"/>
  <c r="AU9" i="3" s="1"/>
  <c r="AX110" i="3" a="1"/>
  <c r="AX110" i="3" s="1"/>
  <c r="AY12" i="2"/>
  <c r="AV7" i="3" s="1" a="1"/>
  <c r="AV7" i="3" s="1"/>
  <c r="AX72" i="3"/>
  <c r="AY18" i="6"/>
  <c r="AX13" i="3"/>
  <c r="AX16" i="3"/>
  <c r="AX12" i="3"/>
  <c r="AX18" i="3"/>
  <c r="AX17" i="3"/>
  <c r="AX14" i="3"/>
  <c r="AZ7" i="6"/>
  <c r="AZ11" i="6"/>
  <c r="AZ6" i="2"/>
  <c r="AZ7" i="2"/>
  <c r="AZ5" i="2"/>
  <c r="AZ10" i="2"/>
  <c r="AR62" i="9"/>
  <c r="AU21" i="3" s="1" a="1"/>
  <c r="AU21" i="3" s="1"/>
  <c r="AU22" i="3" s="1"/>
  <c r="AZ5" i="11"/>
  <c r="BA4" i="11"/>
  <c r="AX5" i="3"/>
  <c r="AY4" i="3"/>
  <c r="AY54" i="3" s="1"/>
  <c r="AZ7" i="11"/>
  <c r="AZ9" i="11"/>
  <c r="AZ6" i="11"/>
  <c r="AZ11" i="11"/>
  <c r="AS11" i="9"/>
  <c r="AT15" i="9"/>
  <c r="AS10" i="9"/>
  <c r="AS12" i="9"/>
  <c r="AR42" i="9"/>
  <c r="AR39" i="9"/>
  <c r="AR46" i="9"/>
  <c r="AR35" i="9"/>
  <c r="AR48" i="9"/>
  <c r="AZ9" i="6"/>
  <c r="AZ10" i="6"/>
  <c r="AZ6" i="6"/>
  <c r="AZ12" i="6"/>
  <c r="AZ8" i="6"/>
  <c r="AZ5" i="6"/>
  <c r="AZ8" i="2"/>
  <c r="BA4" i="7"/>
  <c r="BA4" i="6"/>
  <c r="BA4" i="2"/>
  <c r="BA9" i="2" s="1"/>
  <c r="AY17" i="7"/>
  <c r="AZ5" i="7"/>
  <c r="AZ6" i="7"/>
  <c r="AZ10" i="7"/>
  <c r="AZ7" i="7"/>
  <c r="AX3" i="3"/>
  <c r="AY2" i="3"/>
  <c r="AV20" i="3" l="1" a="1"/>
  <c r="AV20" i="3" s="1"/>
  <c r="AX9" i="38"/>
  <c r="AX11" i="38"/>
  <c r="AX15" i="38"/>
  <c r="AX10" i="38"/>
  <c r="AX16" i="38"/>
  <c r="AX17" i="38"/>
  <c r="AX19" i="38"/>
  <c r="AX18" i="38"/>
  <c r="AX20" i="38"/>
  <c r="AX22" i="38"/>
  <c r="AX24" i="38"/>
  <c r="AX21" i="38"/>
  <c r="AX25" i="38"/>
  <c r="AX26" i="38"/>
  <c r="AX31" i="38"/>
  <c r="AX33" i="38"/>
  <c r="AX35" i="38"/>
  <c r="AX28" i="38"/>
  <c r="AX30" i="38"/>
  <c r="AX32" i="38"/>
  <c r="AX34" i="38"/>
  <c r="AX37" i="38"/>
  <c r="AX38" i="38"/>
  <c r="AX27" i="38"/>
  <c r="AX29" i="38"/>
  <c r="AX36" i="38"/>
  <c r="AX41" i="38"/>
  <c r="AX43" i="38"/>
  <c r="AX45" i="38"/>
  <c r="AX49" i="38"/>
  <c r="AX51" i="38"/>
  <c r="AX39" i="38"/>
  <c r="AX44" i="38"/>
  <c r="AX46" i="38"/>
  <c r="AX50" i="38"/>
  <c r="AX52" i="38"/>
  <c r="AX53" i="38"/>
  <c r="AX55" i="38"/>
  <c r="AX57" i="38"/>
  <c r="AX54" i="38"/>
  <c r="AX59" i="38"/>
  <c r="AX61" i="38"/>
  <c r="AX63" i="38"/>
  <c r="AX56" i="38"/>
  <c r="AX58" i="38"/>
  <c r="AX60" i="38"/>
  <c r="AX64" i="38"/>
  <c r="AX65" i="38"/>
  <c r="AX67" i="38"/>
  <c r="AX71" i="38"/>
  <c r="AX73" i="38"/>
  <c r="AX75" i="38"/>
  <c r="AX62" i="38"/>
  <c r="AX78" i="38"/>
  <c r="AX80" i="38"/>
  <c r="AX82" i="38"/>
  <c r="AX72" i="38"/>
  <c r="AX77" i="38"/>
  <c r="AX79" i="38"/>
  <c r="AX81" i="38"/>
  <c r="AX83" i="38"/>
  <c r="AX76" i="38"/>
  <c r="AX86" i="38"/>
  <c r="AX84" i="38"/>
  <c r="AX74" i="38"/>
  <c r="AX66" i="38"/>
  <c r="AP29" i="9"/>
  <c r="AQ24" i="9"/>
  <c r="AQ21" i="9" s="1"/>
  <c r="AQ23" i="9" s="1"/>
  <c r="AW87" i="38"/>
  <c r="AR24" i="9" s="1"/>
  <c r="AT18" i="9"/>
  <c r="AQ37" i="9"/>
  <c r="AQ36" i="9"/>
  <c r="AQ26" i="9"/>
  <c r="AQ27" i="9"/>
  <c r="AQ25" i="9"/>
  <c r="AQ28" i="9"/>
  <c r="AR17" i="9"/>
  <c r="AR16" i="9"/>
  <c r="AY8" i="38"/>
  <c r="AT9" i="9"/>
  <c r="BA9" i="7"/>
  <c r="BA14" i="7"/>
  <c r="AS41" i="9"/>
  <c r="AS40" i="9"/>
  <c r="AT14" i="9"/>
  <c r="AS34" i="9"/>
  <c r="AS38" i="9"/>
  <c r="AS20" i="9"/>
  <c r="AX100" i="3"/>
  <c r="AX93" i="3"/>
  <c r="AV13" i="9"/>
  <c r="AY120" i="3"/>
  <c r="R99" i="23"/>
  <c r="Q100" i="23"/>
  <c r="M101" i="23"/>
  <c r="O100" i="23"/>
  <c r="P100" i="23"/>
  <c r="AS44" i="9"/>
  <c r="AS43" i="9"/>
  <c r="BA8" i="7"/>
  <c r="AY61" i="3"/>
  <c r="AY36" i="3"/>
  <c r="AY59" i="3"/>
  <c r="BA8" i="11"/>
  <c r="BA15" i="6"/>
  <c r="BA16" i="6"/>
  <c r="BA17" i="6"/>
  <c r="BA16" i="7"/>
  <c r="BA11" i="7"/>
  <c r="BA13" i="7"/>
  <c r="BA12" i="7"/>
  <c r="Y47" i="9"/>
  <c r="Y55" i="9"/>
  <c r="Y56" i="9" s="1"/>
  <c r="AG59" i="9"/>
  <c r="AT58" i="9" a="1"/>
  <c r="AT58" i="9" s="1"/>
  <c r="BA11" i="2"/>
  <c r="BA14" i="6"/>
  <c r="BA13" i="6"/>
  <c r="BA15" i="7"/>
  <c r="AV6" i="3" a="1"/>
  <c r="AV6" i="3" s="1"/>
  <c r="AV9" i="3" a="1"/>
  <c r="AV9" i="3" s="1"/>
  <c r="AY110" i="3" a="1"/>
  <c r="AY110" i="3" s="1"/>
  <c r="AZ12" i="2"/>
  <c r="AW7" i="3" s="1" a="1"/>
  <c r="AW7" i="3" s="1"/>
  <c r="AY72" i="3"/>
  <c r="AZ18" i="6"/>
  <c r="AY12" i="3"/>
  <c r="AY13" i="3"/>
  <c r="AY14" i="3"/>
  <c r="AY16" i="3"/>
  <c r="AY17" i="3"/>
  <c r="AY18" i="3"/>
  <c r="BA7" i="6"/>
  <c r="BA11" i="6"/>
  <c r="BA7" i="2"/>
  <c r="BA6" i="2"/>
  <c r="BA5" i="2"/>
  <c r="BA10" i="2"/>
  <c r="AS62" i="9"/>
  <c r="AV21" i="3" s="1" a="1"/>
  <c r="AV21" i="3" s="1"/>
  <c r="AV22" i="3" s="1"/>
  <c r="BA5" i="11"/>
  <c r="BA9" i="11"/>
  <c r="BA6" i="11"/>
  <c r="BA11" i="11"/>
  <c r="BA7" i="11"/>
  <c r="BB4" i="11"/>
  <c r="AY5" i="3"/>
  <c r="AZ4" i="3"/>
  <c r="AZ54" i="3" s="1"/>
  <c r="AT11" i="9"/>
  <c r="AU15" i="9"/>
  <c r="AT10" i="9"/>
  <c r="AT12" i="9"/>
  <c r="AS46" i="9"/>
  <c r="AS39" i="9"/>
  <c r="AS48" i="9"/>
  <c r="AS35" i="9"/>
  <c r="AS42" i="9"/>
  <c r="AZ17" i="7"/>
  <c r="BA5" i="7"/>
  <c r="BA7" i="7"/>
  <c r="BA6" i="7"/>
  <c r="BA10" i="7"/>
  <c r="BA8" i="2"/>
  <c r="BB4" i="7"/>
  <c r="BB4" i="6"/>
  <c r="BB4" i="2"/>
  <c r="BB9" i="2" s="1"/>
  <c r="BA5" i="6"/>
  <c r="BA9" i="6"/>
  <c r="BA10" i="6"/>
  <c r="BA6" i="6"/>
  <c r="BA12" i="6"/>
  <c r="BA8" i="6"/>
  <c r="AZ2" i="3"/>
  <c r="AY3" i="3"/>
  <c r="AW20" i="3" l="1" a="1"/>
  <c r="AW20" i="3" s="1"/>
  <c r="AQ29" i="9"/>
  <c r="AY9" i="38"/>
  <c r="AY11" i="38"/>
  <c r="AY15" i="38"/>
  <c r="AY10" i="38"/>
  <c r="AY16" i="38"/>
  <c r="AY17" i="38"/>
  <c r="AY19" i="38"/>
  <c r="AY21" i="38"/>
  <c r="AY25" i="38"/>
  <c r="AY20" i="38"/>
  <c r="AY22" i="38"/>
  <c r="AY24" i="38"/>
  <c r="AY18" i="38"/>
  <c r="AY27" i="38"/>
  <c r="AY29" i="38"/>
  <c r="AY26" i="38"/>
  <c r="AY31" i="38"/>
  <c r="AY33" i="38"/>
  <c r="AY35" i="38"/>
  <c r="AY37" i="38"/>
  <c r="AY28" i="38"/>
  <c r="AY30" i="38"/>
  <c r="AY32" i="38"/>
  <c r="AY34" i="38"/>
  <c r="AY38" i="38"/>
  <c r="AY36" i="38"/>
  <c r="AY41" i="38"/>
  <c r="AY43" i="38"/>
  <c r="AY45" i="38"/>
  <c r="AY49" i="38"/>
  <c r="AY51" i="38"/>
  <c r="AY39" i="38"/>
  <c r="AY44" i="38"/>
  <c r="AY46" i="38"/>
  <c r="AY50" i="38"/>
  <c r="AY54" i="38"/>
  <c r="AY56" i="38"/>
  <c r="AY52" i="38"/>
  <c r="AY53" i="38"/>
  <c r="AY55" i="38"/>
  <c r="AY59" i="38"/>
  <c r="AY61" i="38"/>
  <c r="AY63" i="38"/>
  <c r="AY57" i="38"/>
  <c r="AY58" i="38"/>
  <c r="AY60" i="38"/>
  <c r="AY62" i="38"/>
  <c r="AY66" i="38"/>
  <c r="AY72" i="38"/>
  <c r="AY74" i="38"/>
  <c r="AY64" i="38"/>
  <c r="AY65" i="38"/>
  <c r="AY67" i="38"/>
  <c r="AY71" i="38"/>
  <c r="AY73" i="38"/>
  <c r="AY75" i="38"/>
  <c r="AY78" i="38"/>
  <c r="AY80" i="38"/>
  <c r="AY82" i="38"/>
  <c r="AY84" i="38"/>
  <c r="AY77" i="38"/>
  <c r="AY79" i="38"/>
  <c r="AY81" i="38"/>
  <c r="AY83" i="38"/>
  <c r="AY76" i="38"/>
  <c r="AY86" i="38"/>
  <c r="AW89" i="38"/>
  <c r="AR22" i="9" s="1"/>
  <c r="AR21" i="9" s="1"/>
  <c r="AR23" i="9" s="1"/>
  <c r="AX87" i="38"/>
  <c r="AX89" i="38" s="1"/>
  <c r="AS22" i="9" s="1"/>
  <c r="AS16" i="9"/>
  <c r="AS17" i="9"/>
  <c r="AR37" i="9"/>
  <c r="AR36" i="9"/>
  <c r="AR27" i="9"/>
  <c r="AR25" i="9"/>
  <c r="AR28" i="9"/>
  <c r="AR26" i="9"/>
  <c r="AU18" i="9"/>
  <c r="Z30" i="9"/>
  <c r="Z31" i="9" s="1"/>
  <c r="AR29" i="9"/>
  <c r="AZ8" i="38"/>
  <c r="AU9" i="9"/>
  <c r="BB9" i="7"/>
  <c r="BB14" i="7"/>
  <c r="AT41" i="9"/>
  <c r="AT40" i="9"/>
  <c r="AU14" i="9"/>
  <c r="AT34" i="9"/>
  <c r="AT38" i="9"/>
  <c r="AT20" i="9"/>
  <c r="AY100" i="3"/>
  <c r="AY93" i="3"/>
  <c r="AW13" i="9"/>
  <c r="AZ120" i="3"/>
  <c r="R100" i="23"/>
  <c r="P101" i="23"/>
  <c r="M102" i="23"/>
  <c r="Q101" i="23"/>
  <c r="O101" i="23"/>
  <c r="AT44" i="9"/>
  <c r="AT43" i="9"/>
  <c r="BB8" i="7"/>
  <c r="AZ61" i="3"/>
  <c r="AZ59" i="3"/>
  <c r="AZ36" i="3"/>
  <c r="BB8" i="11"/>
  <c r="BB15" i="6"/>
  <c r="BB16" i="6"/>
  <c r="BB17" i="6"/>
  <c r="BB16" i="7"/>
  <c r="BB11" i="7"/>
  <c r="BB12" i="7"/>
  <c r="BB13" i="7"/>
  <c r="AU58" i="9" a="1"/>
  <c r="AU58" i="9" s="1"/>
  <c r="BB11" i="2"/>
  <c r="BB13" i="6"/>
  <c r="BB14" i="6"/>
  <c r="BB15" i="7"/>
  <c r="AW6" i="3" a="1"/>
  <c r="AW6" i="3" s="1"/>
  <c r="AW9" i="3" a="1"/>
  <c r="AW9" i="3" s="1"/>
  <c r="AZ110" i="3" a="1"/>
  <c r="AZ110" i="3" s="1"/>
  <c r="BA12" i="2"/>
  <c r="AX7" i="3" s="1" a="1"/>
  <c r="AX7" i="3" s="1"/>
  <c r="AZ72" i="3"/>
  <c r="BA18" i="6"/>
  <c r="AZ12" i="3"/>
  <c r="AZ14" i="3"/>
  <c r="AZ13" i="3"/>
  <c r="AZ16" i="3"/>
  <c r="AZ17" i="3"/>
  <c r="AZ18" i="3"/>
  <c r="AH59" i="9"/>
  <c r="BB7" i="6"/>
  <c r="BB11" i="6"/>
  <c r="BB7" i="2"/>
  <c r="BB6" i="2"/>
  <c r="BB5" i="2"/>
  <c r="BB10" i="2"/>
  <c r="AT62" i="9"/>
  <c r="AW21" i="3" s="1" a="1"/>
  <c r="AW21" i="3" s="1"/>
  <c r="AW22" i="3" s="1"/>
  <c r="BB5" i="11"/>
  <c r="BB9" i="11"/>
  <c r="BB6" i="11"/>
  <c r="BB7" i="11"/>
  <c r="BC4" i="11"/>
  <c r="AZ5" i="3"/>
  <c r="BA4" i="3"/>
  <c r="AU11" i="9"/>
  <c r="AU10" i="9"/>
  <c r="AV15" i="9"/>
  <c r="AU12" i="9"/>
  <c r="AT48" i="9"/>
  <c r="AT35" i="9"/>
  <c r="AT46" i="9"/>
  <c r="AT39" i="9"/>
  <c r="AT42" i="9"/>
  <c r="BB8" i="2"/>
  <c r="BA17" i="7"/>
  <c r="BC4" i="7"/>
  <c r="BC4" i="6"/>
  <c r="BC4" i="2"/>
  <c r="BC9" i="2" s="1"/>
  <c r="BB6" i="6"/>
  <c r="BB12" i="6"/>
  <c r="BB10" i="6"/>
  <c r="BB9" i="6"/>
  <c r="BB5" i="6"/>
  <c r="BB8" i="6"/>
  <c r="BB7" i="7"/>
  <c r="BB10" i="7"/>
  <c r="BB5" i="7"/>
  <c r="BB6" i="7"/>
  <c r="AZ3" i="3"/>
  <c r="BA2" i="3"/>
  <c r="AX20" i="3" l="1" a="1"/>
  <c r="AX20" i="3" s="1"/>
  <c r="AZ9" i="38"/>
  <c r="AZ11" i="38"/>
  <c r="AZ15" i="38"/>
  <c r="AZ10" i="38"/>
  <c r="AZ16" i="38"/>
  <c r="AZ19" i="38"/>
  <c r="AZ21" i="38"/>
  <c r="AZ17" i="38"/>
  <c r="AZ20" i="38"/>
  <c r="AZ22" i="38"/>
  <c r="AZ24" i="38"/>
  <c r="AZ25" i="38"/>
  <c r="AZ18" i="38"/>
  <c r="AZ31" i="38"/>
  <c r="AZ33" i="38"/>
  <c r="AZ35" i="38"/>
  <c r="AZ28" i="38"/>
  <c r="AZ26" i="38"/>
  <c r="AZ37" i="38"/>
  <c r="AZ30" i="38"/>
  <c r="AZ38" i="38"/>
  <c r="AZ27" i="38"/>
  <c r="AZ32" i="38"/>
  <c r="AZ29" i="38"/>
  <c r="AZ41" i="38"/>
  <c r="AZ43" i="38"/>
  <c r="AZ45" i="38"/>
  <c r="AZ49" i="38"/>
  <c r="AZ34" i="38"/>
  <c r="AZ36" i="38"/>
  <c r="AZ39" i="38"/>
  <c r="AZ44" i="38"/>
  <c r="AZ54" i="38"/>
  <c r="AZ56" i="38"/>
  <c r="AZ46" i="38"/>
  <c r="AZ52" i="38"/>
  <c r="AZ50" i="38"/>
  <c r="AZ53" i="38"/>
  <c r="AZ55" i="38"/>
  <c r="AZ57" i="38"/>
  <c r="AZ51" i="38"/>
  <c r="AZ59" i="38"/>
  <c r="AZ61" i="38"/>
  <c r="AZ63" i="38"/>
  <c r="AZ65" i="38"/>
  <c r="AZ58" i="38"/>
  <c r="AZ60" i="38"/>
  <c r="AZ66" i="38"/>
  <c r="AZ72" i="38"/>
  <c r="AZ74" i="38"/>
  <c r="AZ64" i="38"/>
  <c r="AZ62" i="38"/>
  <c r="AZ67" i="38"/>
  <c r="AZ71" i="38"/>
  <c r="AZ73" i="38"/>
  <c r="AZ78" i="38"/>
  <c r="AZ80" i="38"/>
  <c r="AZ82" i="38"/>
  <c r="AZ84" i="38"/>
  <c r="AZ77" i="38"/>
  <c r="AZ79" i="38"/>
  <c r="AZ81" i="38"/>
  <c r="AZ83" i="38"/>
  <c r="AZ86" i="38"/>
  <c r="AZ75" i="38"/>
  <c r="AZ76" i="38"/>
  <c r="AS24" i="9"/>
  <c r="AS21" i="9" s="1"/>
  <c r="AS23" i="9" s="1"/>
  <c r="AY87" i="38"/>
  <c r="AT24" i="9" s="1"/>
  <c r="AV18" i="9"/>
  <c r="AS37" i="9"/>
  <c r="AS36" i="9"/>
  <c r="AS26" i="9"/>
  <c r="AS27" i="9"/>
  <c r="AS28" i="9"/>
  <c r="AS25" i="9"/>
  <c r="AT16" i="9"/>
  <c r="AT17" i="9"/>
  <c r="BA8" i="38"/>
  <c r="AV9" i="9"/>
  <c r="BC9" i="7"/>
  <c r="BC14" i="7"/>
  <c r="AU41" i="9"/>
  <c r="AU40" i="9"/>
  <c r="AV14" i="9"/>
  <c r="AU34" i="9"/>
  <c r="AU38" i="9"/>
  <c r="AU20" i="9"/>
  <c r="AZ100" i="3"/>
  <c r="AZ93" i="3"/>
  <c r="AX13" i="9"/>
  <c r="BA120" i="3"/>
  <c r="P102" i="23"/>
  <c r="Q102" i="23"/>
  <c r="M103" i="23"/>
  <c r="O102" i="23"/>
  <c r="R101" i="23"/>
  <c r="AU44" i="9"/>
  <c r="AU43" i="9"/>
  <c r="BC8" i="7"/>
  <c r="BA61" i="3"/>
  <c r="BC8" i="11"/>
  <c r="BC15" i="6"/>
  <c r="BC16" i="6"/>
  <c r="BC17" i="6"/>
  <c r="BC16" i="7"/>
  <c r="BC11" i="7"/>
  <c r="BC13" i="7"/>
  <c r="BC12" i="7"/>
  <c r="Z47" i="9"/>
  <c r="Z55" i="9"/>
  <c r="Z56" i="9" s="1"/>
  <c r="AI59" i="9"/>
  <c r="BC11" i="2"/>
  <c r="BC14" i="6"/>
  <c r="BC13" i="6"/>
  <c r="BC15" i="7"/>
  <c r="AX6" i="3" a="1"/>
  <c r="AX6" i="3" s="1"/>
  <c r="AX9" i="3" a="1"/>
  <c r="AX9" i="3" s="1"/>
  <c r="BA110" i="3" a="1"/>
  <c r="BA110" i="3" s="1"/>
  <c r="BB12" i="2"/>
  <c r="AY7" i="3" s="1" a="1"/>
  <c r="AY7" i="3" s="1"/>
  <c r="BA72" i="3"/>
  <c r="BB18" i="6"/>
  <c r="AV58" i="9" a="1"/>
  <c r="AV58" i="9" s="1"/>
  <c r="BA12" i="3"/>
  <c r="BA14" i="3"/>
  <c r="BA13" i="3"/>
  <c r="BA17" i="3"/>
  <c r="BA16" i="3"/>
  <c r="BA18" i="3"/>
  <c r="BC7" i="6"/>
  <c r="BC11" i="6"/>
  <c r="BC7" i="2"/>
  <c r="BC6" i="2"/>
  <c r="BC5" i="2"/>
  <c r="BC10" i="2"/>
  <c r="BC10" i="11"/>
  <c r="AU62" i="9"/>
  <c r="AX21" i="3" s="1" a="1"/>
  <c r="AX21" i="3" s="1"/>
  <c r="AX22" i="3" s="1"/>
  <c r="BC5" i="11"/>
  <c r="BD4" i="11"/>
  <c r="BA5" i="3"/>
  <c r="BB4" i="3"/>
  <c r="BB54" i="3" s="1"/>
  <c r="BC9" i="11"/>
  <c r="BC7" i="11"/>
  <c r="BC11" i="11"/>
  <c r="BC6" i="11"/>
  <c r="AV11" i="9"/>
  <c r="AW15" i="9"/>
  <c r="AV12" i="9"/>
  <c r="AV10" i="9"/>
  <c r="AU39" i="9"/>
  <c r="AU48" i="9"/>
  <c r="AU46" i="9"/>
  <c r="AU35" i="9"/>
  <c r="AU42" i="9"/>
  <c r="BB17" i="7"/>
  <c r="BD4" i="7"/>
  <c r="BD4" i="2"/>
  <c r="BD9" i="2" s="1"/>
  <c r="BD4" i="6"/>
  <c r="BC8" i="2"/>
  <c r="BC5" i="6"/>
  <c r="BC12" i="6"/>
  <c r="BC8" i="6"/>
  <c r="BC9" i="6"/>
  <c r="BC10" i="6"/>
  <c r="BC6" i="6"/>
  <c r="BC6" i="7"/>
  <c r="BC7" i="7"/>
  <c r="BC5" i="7"/>
  <c r="BC10" i="7"/>
  <c r="BA3" i="3"/>
  <c r="BB2" i="3"/>
  <c r="AY89" i="38" l="1"/>
  <c r="AT22" i="9" s="1"/>
  <c r="AJ59" i="9"/>
  <c r="BA9" i="38"/>
  <c r="BA11" i="38"/>
  <c r="BA18" i="38"/>
  <c r="BA20" i="38"/>
  <c r="BA10" i="38"/>
  <c r="BA17" i="38"/>
  <c r="BA19" i="38"/>
  <c r="BA21" i="38"/>
  <c r="BA15" i="38"/>
  <c r="BA22" i="38"/>
  <c r="BA24" i="38"/>
  <c r="BA27" i="38"/>
  <c r="BA29" i="38"/>
  <c r="BA16" i="38"/>
  <c r="BA31" i="38"/>
  <c r="BA33" i="38"/>
  <c r="BA35" i="38"/>
  <c r="BA28" i="38"/>
  <c r="BA34" i="38"/>
  <c r="BA36" i="38"/>
  <c r="BA37" i="38"/>
  <c r="BA30" i="38"/>
  <c r="BA26" i="38"/>
  <c r="BA25" i="38"/>
  <c r="BA32" i="38"/>
  <c r="BA44" i="38"/>
  <c r="BA46" i="38"/>
  <c r="BA50" i="38"/>
  <c r="BA41" i="38"/>
  <c r="BA43" i="38"/>
  <c r="BA45" i="38"/>
  <c r="BA49" i="38"/>
  <c r="BA51" i="38"/>
  <c r="BA39" i="38"/>
  <c r="BA38" i="38"/>
  <c r="BA52" i="38"/>
  <c r="BA58" i="38"/>
  <c r="BA60" i="38"/>
  <c r="BA62" i="38"/>
  <c r="BA64" i="38"/>
  <c r="BA53" i="38"/>
  <c r="BA54" i="38"/>
  <c r="BA55" i="38"/>
  <c r="BA59" i="38"/>
  <c r="BA61" i="38"/>
  <c r="BA63" i="38"/>
  <c r="BA56" i="38"/>
  <c r="BA66" i="38"/>
  <c r="BA72" i="38"/>
  <c r="BA74" i="38"/>
  <c r="BA57" i="38"/>
  <c r="BA65" i="38"/>
  <c r="BA67" i="38"/>
  <c r="BA71" i="38"/>
  <c r="BA73" i="38"/>
  <c r="BA75" i="38"/>
  <c r="BA76" i="38"/>
  <c r="BA81" i="38"/>
  <c r="BA82" i="38"/>
  <c r="BA83" i="38"/>
  <c r="BA86" i="38"/>
  <c r="BA84" i="38"/>
  <c r="BA78" i="38"/>
  <c r="BA77" i="38"/>
  <c r="BA79" i="38"/>
  <c r="BA80" i="38"/>
  <c r="AS29" i="9"/>
  <c r="AZ87" i="38"/>
  <c r="AZ89" i="38" s="1"/>
  <c r="AU22" i="9" s="1"/>
  <c r="AU17" i="9"/>
  <c r="AT36" i="9"/>
  <c r="AT37" i="9"/>
  <c r="AT28" i="9"/>
  <c r="AT25" i="9"/>
  <c r="AT27" i="9"/>
  <c r="AT26" i="9"/>
  <c r="AW18" i="9"/>
  <c r="AU16" i="9"/>
  <c r="AA30" i="9"/>
  <c r="AA31" i="9" s="1"/>
  <c r="AT21" i="9"/>
  <c r="AT23" i="9" s="1"/>
  <c r="AT29" i="9"/>
  <c r="BB8" i="38"/>
  <c r="AW9" i="9"/>
  <c r="BD9" i="7"/>
  <c r="BD14" i="7"/>
  <c r="AV41" i="9"/>
  <c r="AV40" i="9"/>
  <c r="AW14" i="9"/>
  <c r="AV34" i="9"/>
  <c r="AV38" i="9"/>
  <c r="AV20" i="9"/>
  <c r="BA100" i="3"/>
  <c r="BA93" i="3"/>
  <c r="AY13" i="9"/>
  <c r="BB120" i="3"/>
  <c r="M104" i="23"/>
  <c r="Q103" i="23"/>
  <c r="P103" i="23"/>
  <c r="O103" i="23"/>
  <c r="R102" i="23"/>
  <c r="AV44" i="9"/>
  <c r="AV43" i="9"/>
  <c r="BD8" i="7"/>
  <c r="BB61" i="3"/>
  <c r="BB36" i="3"/>
  <c r="BB59" i="3"/>
  <c r="BD8" i="11"/>
  <c r="BD15" i="6"/>
  <c r="BD16" i="6"/>
  <c r="BD17" i="6"/>
  <c r="BD16" i="7"/>
  <c r="BD11" i="7"/>
  <c r="BD12" i="7"/>
  <c r="BD13" i="7"/>
  <c r="AY20" i="3" a="1"/>
  <c r="AY20" i="3" s="1"/>
  <c r="BB110" i="3" a="1"/>
  <c r="BB110" i="3" s="1"/>
  <c r="BD11" i="2"/>
  <c r="BD13" i="6"/>
  <c r="BD14" i="6"/>
  <c r="BD15" i="7"/>
  <c r="AY6" i="3" a="1"/>
  <c r="AY6" i="3" s="1"/>
  <c r="AY9" i="3" a="1"/>
  <c r="AY9" i="3" s="1"/>
  <c r="BB72" i="3"/>
  <c r="BC12" i="11"/>
  <c r="BC12" i="2"/>
  <c r="AZ7" i="3" s="1" a="1"/>
  <c r="AZ7" i="3" s="1"/>
  <c r="BC18" i="6"/>
  <c r="AW58" i="9" a="1"/>
  <c r="AW58" i="9" s="1"/>
  <c r="BB14" i="3"/>
  <c r="BB16" i="3"/>
  <c r="BB12" i="3"/>
  <c r="BB13" i="3"/>
  <c r="BB17" i="3"/>
  <c r="BB18" i="3"/>
  <c r="BD7" i="6"/>
  <c r="BD11" i="6"/>
  <c r="BD6" i="2"/>
  <c r="BD7" i="2"/>
  <c r="BD5" i="2"/>
  <c r="BD10" i="2"/>
  <c r="BD10" i="11"/>
  <c r="AV62" i="9"/>
  <c r="AY21" i="3" s="1" a="1"/>
  <c r="AY21" i="3" s="1"/>
  <c r="BD5" i="11"/>
  <c r="BD9" i="11"/>
  <c r="BD6" i="11"/>
  <c r="BD11" i="11"/>
  <c r="BD7" i="11"/>
  <c r="BE4" i="11"/>
  <c r="BB5" i="3"/>
  <c r="BC4" i="3"/>
  <c r="AW11" i="9"/>
  <c r="AW10" i="9"/>
  <c r="AW12" i="9"/>
  <c r="AX15" i="9"/>
  <c r="AV46" i="9"/>
  <c r="AV48" i="9"/>
  <c r="AV35" i="9"/>
  <c r="AV39" i="9"/>
  <c r="AV42" i="9"/>
  <c r="BC17" i="7"/>
  <c r="BD6" i="7"/>
  <c r="BD5" i="7"/>
  <c r="BD10" i="7"/>
  <c r="BD7" i="7"/>
  <c r="BD10" i="6"/>
  <c r="BD12" i="6"/>
  <c r="BD9" i="6"/>
  <c r="BD5" i="6"/>
  <c r="BD8" i="6"/>
  <c r="BD6" i="6"/>
  <c r="BE4" i="7"/>
  <c r="BE4" i="6"/>
  <c r="BE4" i="2"/>
  <c r="BE9" i="2" s="1"/>
  <c r="BD8" i="2"/>
  <c r="BB3" i="3"/>
  <c r="BC2" i="3"/>
  <c r="AK59" i="9" l="1"/>
  <c r="BB10" i="38"/>
  <c r="BB16" i="38"/>
  <c r="BB9" i="38"/>
  <c r="BB11" i="38"/>
  <c r="BB15" i="38"/>
  <c r="BB18" i="38"/>
  <c r="BB20" i="38"/>
  <c r="BB17" i="38"/>
  <c r="BB19" i="38"/>
  <c r="BB21" i="38"/>
  <c r="BB26" i="38"/>
  <c r="BB24" i="38"/>
  <c r="BB27" i="38"/>
  <c r="BB22" i="38"/>
  <c r="BB25" i="38"/>
  <c r="BB29" i="38"/>
  <c r="BB30" i="38"/>
  <c r="BB32" i="38"/>
  <c r="BB34" i="38"/>
  <c r="BB31" i="38"/>
  <c r="BB33" i="38"/>
  <c r="BB36" i="38"/>
  <c r="BB39" i="38"/>
  <c r="BB37" i="38"/>
  <c r="BB28" i="38"/>
  <c r="BB38" i="38"/>
  <c r="BB35" i="38"/>
  <c r="BB44" i="38"/>
  <c r="BB46" i="38"/>
  <c r="BB50" i="38"/>
  <c r="BB52" i="38"/>
  <c r="BB41" i="38"/>
  <c r="BB43" i="38"/>
  <c r="BB45" i="38"/>
  <c r="BB49" i="38"/>
  <c r="BB54" i="38"/>
  <c r="BB56" i="38"/>
  <c r="BB51" i="38"/>
  <c r="BB53" i="38"/>
  <c r="BB55" i="38"/>
  <c r="BB57" i="38"/>
  <c r="BB58" i="38"/>
  <c r="BB60" i="38"/>
  <c r="BB62" i="38"/>
  <c r="BB59" i="38"/>
  <c r="BB61" i="38"/>
  <c r="BB66" i="38"/>
  <c r="BB72" i="38"/>
  <c r="BB74" i="38"/>
  <c r="BB76" i="38"/>
  <c r="BB64" i="38"/>
  <c r="BB63" i="38"/>
  <c r="BB65" i="38"/>
  <c r="BB67" i="38"/>
  <c r="BB77" i="38"/>
  <c r="BB79" i="38"/>
  <c r="BB81" i="38"/>
  <c r="BB83" i="38"/>
  <c r="BB75" i="38"/>
  <c r="BB71" i="38"/>
  <c r="BB78" i="38"/>
  <c r="BB80" i="38"/>
  <c r="BB82" i="38"/>
  <c r="BB73" i="38"/>
  <c r="BB86" i="38"/>
  <c r="BB84" i="38"/>
  <c r="AU24" i="9"/>
  <c r="AU21" i="9" s="1"/>
  <c r="AU23" i="9" s="1"/>
  <c r="AV17" i="9"/>
  <c r="BA87" i="38"/>
  <c r="BA89" i="38" s="1"/>
  <c r="AV22" i="9" s="1"/>
  <c r="AU36" i="9"/>
  <c r="AU37" i="9"/>
  <c r="AU25" i="9"/>
  <c r="AU26" i="9"/>
  <c r="AU28" i="9"/>
  <c r="AU27" i="9"/>
  <c r="AV16" i="9"/>
  <c r="AX18" i="9"/>
  <c r="BC8" i="38"/>
  <c r="AX9" i="9"/>
  <c r="BE9" i="7"/>
  <c r="BE14" i="7"/>
  <c r="AW41" i="9"/>
  <c r="AW40" i="9"/>
  <c r="AX14" i="9"/>
  <c r="AW34" i="9"/>
  <c r="AW38" i="9"/>
  <c r="AW20" i="9"/>
  <c r="BB100" i="3"/>
  <c r="BB93" i="3"/>
  <c r="AZ13" i="9"/>
  <c r="BC120" i="3"/>
  <c r="R103" i="23"/>
  <c r="O104" i="23"/>
  <c r="Q104" i="23"/>
  <c r="M105" i="23"/>
  <c r="P104" i="23"/>
  <c r="AW44" i="9"/>
  <c r="AW43" i="9"/>
  <c r="BE8" i="7"/>
  <c r="BC61" i="3"/>
  <c r="BE8" i="11"/>
  <c r="BE15" i="6"/>
  <c r="BE16" i="6"/>
  <c r="BE17" i="6"/>
  <c r="BE16" i="7"/>
  <c r="BE11" i="7"/>
  <c r="BE12" i="7"/>
  <c r="BE13" i="7"/>
  <c r="AA47" i="9"/>
  <c r="AA55" i="9"/>
  <c r="AA56" i="9" s="1"/>
  <c r="AX58" i="9" a="1"/>
  <c r="AX58" i="9" s="1"/>
  <c r="AZ20" i="3" a="1"/>
  <c r="AZ20" i="3" s="1"/>
  <c r="AY22" i="3"/>
  <c r="BC110" i="3" a="1"/>
  <c r="BC110" i="3" s="1"/>
  <c r="BE11" i="2"/>
  <c r="BE14" i="6"/>
  <c r="BE13" i="6"/>
  <c r="BE15" i="7"/>
  <c r="AZ8" i="3" a="1"/>
  <c r="AZ8" i="3" s="1"/>
  <c r="AZ6" i="3" a="1"/>
  <c r="AZ6" i="3" s="1"/>
  <c r="AZ9" i="3" a="1"/>
  <c r="AZ9" i="3" s="1"/>
  <c r="BC72" i="3"/>
  <c r="BD12" i="11"/>
  <c r="BD12" i="2"/>
  <c r="BA7" i="3" s="1" a="1"/>
  <c r="BA7" i="3" s="1"/>
  <c r="BD18" i="6"/>
  <c r="BC12" i="3"/>
  <c r="BC13" i="3"/>
  <c r="BC14" i="3"/>
  <c r="BC16" i="3"/>
  <c r="BC17" i="3"/>
  <c r="BC18" i="3"/>
  <c r="BE7" i="6"/>
  <c r="BE11" i="6"/>
  <c r="BE6" i="2"/>
  <c r="BE7" i="2"/>
  <c r="BE5" i="2"/>
  <c r="BE10" i="2"/>
  <c r="BE10" i="11"/>
  <c r="AW62" i="9"/>
  <c r="AZ21" i="3" s="1" a="1"/>
  <c r="AZ21" i="3" s="1"/>
  <c r="BE5" i="11"/>
  <c r="BE11" i="11"/>
  <c r="BE9" i="11"/>
  <c r="BE7" i="11"/>
  <c r="BE6" i="11"/>
  <c r="BF4" i="11"/>
  <c r="BC5" i="3"/>
  <c r="BD4" i="3"/>
  <c r="AX11" i="9"/>
  <c r="AY15" i="9"/>
  <c r="AX12" i="9"/>
  <c r="AX10" i="9"/>
  <c r="AW39" i="9"/>
  <c r="AW48" i="9"/>
  <c r="AW35" i="9"/>
  <c r="AW46" i="9"/>
  <c r="AW42" i="9"/>
  <c r="BF4" i="7"/>
  <c r="BF4" i="6"/>
  <c r="BF4" i="2"/>
  <c r="BF9" i="2" s="1"/>
  <c r="BE8" i="2"/>
  <c r="BE5" i="6"/>
  <c r="BE8" i="6"/>
  <c r="BE12" i="6"/>
  <c r="BE10" i="6"/>
  <c r="BE9" i="6"/>
  <c r="BE6" i="6"/>
  <c r="BE7" i="7"/>
  <c r="BE6" i="7"/>
  <c r="BE5" i="7"/>
  <c r="BE10" i="7"/>
  <c r="BD17" i="7"/>
  <c r="BC3" i="3"/>
  <c r="BD2" i="3"/>
  <c r="BA20" i="3" l="1" a="1"/>
  <c r="BA20" i="3" s="1"/>
  <c r="AU29" i="9"/>
  <c r="BC10" i="38"/>
  <c r="BC16" i="38"/>
  <c r="BC9" i="38"/>
  <c r="BC11" i="38"/>
  <c r="BC15" i="38"/>
  <c r="BC18" i="38"/>
  <c r="BC22" i="38"/>
  <c r="BC24" i="38"/>
  <c r="BC19" i="38"/>
  <c r="BC21" i="38"/>
  <c r="BC25" i="38"/>
  <c r="BC17" i="38"/>
  <c r="BC20" i="38"/>
  <c r="BC26" i="38"/>
  <c r="BC28" i="38"/>
  <c r="BC27" i="38"/>
  <c r="BC29" i="38"/>
  <c r="BC30" i="38"/>
  <c r="BC32" i="38"/>
  <c r="BC34" i="38"/>
  <c r="BC36" i="38"/>
  <c r="BC31" i="38"/>
  <c r="BC33" i="38"/>
  <c r="BC35" i="38"/>
  <c r="BC37" i="38"/>
  <c r="BC38" i="38"/>
  <c r="BC44" i="38"/>
  <c r="BC46" i="38"/>
  <c r="BC50" i="38"/>
  <c r="BC52" i="38"/>
  <c r="BC41" i="38"/>
  <c r="BC43" i="38"/>
  <c r="BC45" i="38"/>
  <c r="BC49" i="38"/>
  <c r="BC53" i="38"/>
  <c r="BC55" i="38"/>
  <c r="BC57" i="38"/>
  <c r="BC39" i="38"/>
  <c r="BC51" i="38"/>
  <c r="BC54" i="38"/>
  <c r="BC58" i="38"/>
  <c r="BC60" i="38"/>
  <c r="BC62" i="38"/>
  <c r="BC64" i="38"/>
  <c r="BC56" i="38"/>
  <c r="BC59" i="38"/>
  <c r="BC61" i="38"/>
  <c r="BC63" i="38"/>
  <c r="BC67" i="38"/>
  <c r="BC71" i="38"/>
  <c r="BC73" i="38"/>
  <c r="BC75" i="38"/>
  <c r="BC66" i="38"/>
  <c r="BC72" i="38"/>
  <c r="BC74" i="38"/>
  <c r="BC65" i="38"/>
  <c r="BC76" i="38"/>
  <c r="BC77" i="38"/>
  <c r="BC79" i="38"/>
  <c r="BC81" i="38"/>
  <c r="BC83" i="38"/>
  <c r="BC78" i="38"/>
  <c r="BC80" i="38"/>
  <c r="BC82" i="38"/>
  <c r="BC84" i="38"/>
  <c r="BC86" i="38"/>
  <c r="AV24" i="9"/>
  <c r="AV29" i="9" s="1"/>
  <c r="AY18" i="9"/>
  <c r="AW17" i="9"/>
  <c r="AW16" i="9"/>
  <c r="BB87" i="38"/>
  <c r="BB89" i="38" s="1"/>
  <c r="AW22" i="9" s="1"/>
  <c r="AV36" i="9"/>
  <c r="AV37" i="9"/>
  <c r="AV28" i="9"/>
  <c r="AV27" i="9"/>
  <c r="AV25" i="9"/>
  <c r="AV26" i="9"/>
  <c r="AB30" i="9"/>
  <c r="AB31" i="9" s="1"/>
  <c r="BD8" i="38"/>
  <c r="AY9" i="9"/>
  <c r="BF9" i="7"/>
  <c r="BF14" i="7"/>
  <c r="AX41" i="9"/>
  <c r="AX40" i="9"/>
  <c r="AY14" i="9"/>
  <c r="AX34" i="9"/>
  <c r="AX38" i="9"/>
  <c r="AX20" i="9"/>
  <c r="BC100" i="3"/>
  <c r="BC93" i="3"/>
  <c r="BA13" i="9"/>
  <c r="BD120" i="3"/>
  <c r="R104" i="23"/>
  <c r="P105" i="23"/>
  <c r="M106" i="23"/>
  <c r="O105" i="23"/>
  <c r="Q105" i="23"/>
  <c r="AX44" i="9"/>
  <c r="AX43" i="9"/>
  <c r="BF8" i="7"/>
  <c r="BD61" i="3"/>
  <c r="BF8" i="11"/>
  <c r="BF15" i="6"/>
  <c r="BF16" i="6"/>
  <c r="BF17" i="6"/>
  <c r="BF16" i="7"/>
  <c r="BF11" i="7"/>
  <c r="BF12" i="7"/>
  <c r="BF13" i="7"/>
  <c r="AL59" i="9"/>
  <c r="AZ22" i="3"/>
  <c r="BD110" i="3" a="1"/>
  <c r="BD110" i="3" s="1"/>
  <c r="BF11" i="2"/>
  <c r="BF13" i="6"/>
  <c r="BF14" i="6"/>
  <c r="AZ10" i="3"/>
  <c r="AZ29" i="3" s="1"/>
  <c r="BF15" i="7"/>
  <c r="BA8" i="3" a="1"/>
  <c r="BA8" i="3" s="1"/>
  <c r="BA6" i="3" a="1"/>
  <c r="BA6" i="3" s="1"/>
  <c r="BA9" i="3" a="1"/>
  <c r="BA9" i="3" s="1"/>
  <c r="BD72" i="3"/>
  <c r="BE12" i="11"/>
  <c r="BE12" i="2"/>
  <c r="BB7" i="3" s="1" a="1"/>
  <c r="BB7" i="3" s="1"/>
  <c r="BE18" i="6"/>
  <c r="AY58" i="9" a="1"/>
  <c r="AY58" i="9" s="1"/>
  <c r="BD13" i="3"/>
  <c r="BD14" i="3"/>
  <c r="BD16" i="3"/>
  <c r="BD12" i="3"/>
  <c r="BD17" i="3"/>
  <c r="BD18" i="3"/>
  <c r="BF7" i="6"/>
  <c r="BF11" i="6"/>
  <c r="BF7" i="2"/>
  <c r="BF6" i="2"/>
  <c r="BF5" i="2"/>
  <c r="BF10" i="2"/>
  <c r="BF10" i="11"/>
  <c r="AX62" i="9"/>
  <c r="BA21" i="3" s="1" a="1"/>
  <c r="BA21" i="3" s="1"/>
  <c r="BA22" i="3" s="1"/>
  <c r="BF5" i="11"/>
  <c r="BF9" i="11"/>
  <c r="BF7" i="11"/>
  <c r="BF11" i="11"/>
  <c r="BF6" i="11"/>
  <c r="BG4" i="11"/>
  <c r="BD5" i="3"/>
  <c r="BE4" i="3"/>
  <c r="AY12" i="9"/>
  <c r="AY11" i="9"/>
  <c r="AZ15" i="9"/>
  <c r="AY10" i="9"/>
  <c r="AX46" i="9"/>
  <c r="AX42" i="9"/>
  <c r="AX39" i="9"/>
  <c r="AX48" i="9"/>
  <c r="AX35" i="9"/>
  <c r="BG4" i="7"/>
  <c r="BG4" i="6"/>
  <c r="BG4" i="2"/>
  <c r="BG9" i="2" s="1"/>
  <c r="BF8" i="2"/>
  <c r="BE17" i="7"/>
  <c r="BF8" i="6"/>
  <c r="BF5" i="6"/>
  <c r="BF9" i="6"/>
  <c r="BF6" i="6"/>
  <c r="BF10" i="6"/>
  <c r="BF12" i="6"/>
  <c r="BF5" i="7"/>
  <c r="BF7" i="7"/>
  <c r="BF10" i="7"/>
  <c r="BF6" i="7"/>
  <c r="BE2" i="3"/>
  <c r="BD3" i="3"/>
  <c r="AV21" i="9" l="1"/>
  <c r="AV23" i="9" s="1"/>
  <c r="AM59" i="9"/>
  <c r="BD10" i="38"/>
  <c r="BD16" i="38"/>
  <c r="BD9" i="38"/>
  <c r="BD11" i="38"/>
  <c r="BD15" i="38"/>
  <c r="BD18" i="38"/>
  <c r="BD22" i="38"/>
  <c r="BD19" i="38"/>
  <c r="BD21" i="38"/>
  <c r="BD17" i="38"/>
  <c r="BD25" i="38"/>
  <c r="BD26" i="38"/>
  <c r="BD20" i="38"/>
  <c r="BD24" i="38"/>
  <c r="BD27" i="38"/>
  <c r="BD29" i="38"/>
  <c r="BD30" i="38"/>
  <c r="BD32" i="38"/>
  <c r="BD34" i="38"/>
  <c r="BD36" i="38"/>
  <c r="BD39" i="38"/>
  <c r="BD31" i="38"/>
  <c r="BD28" i="38"/>
  <c r="BD37" i="38"/>
  <c r="BD33" i="38"/>
  <c r="BD38" i="38"/>
  <c r="BD35" i="38"/>
  <c r="BD44" i="38"/>
  <c r="BD46" i="38"/>
  <c r="BD50" i="38"/>
  <c r="BD43" i="38"/>
  <c r="BD53" i="38"/>
  <c r="BD55" i="38"/>
  <c r="BD57" i="38"/>
  <c r="BD45" i="38"/>
  <c r="BD49" i="38"/>
  <c r="BD41" i="38"/>
  <c r="BD54" i="38"/>
  <c r="BD56" i="38"/>
  <c r="BD51" i="38"/>
  <c r="BD52" i="38"/>
  <c r="BD58" i="38"/>
  <c r="BD60" i="38"/>
  <c r="BD62" i="38"/>
  <c r="BD64" i="38"/>
  <c r="BD65" i="38"/>
  <c r="BD59" i="38"/>
  <c r="BD67" i="38"/>
  <c r="BD71" i="38"/>
  <c r="BD73" i="38"/>
  <c r="BD75" i="38"/>
  <c r="BD61" i="38"/>
  <c r="BD66" i="38"/>
  <c r="BD72" i="38"/>
  <c r="BD74" i="38"/>
  <c r="BD76" i="38"/>
  <c r="BD77" i="38"/>
  <c r="BD79" i="38"/>
  <c r="BD81" i="38"/>
  <c r="BD83" i="38"/>
  <c r="BD63" i="38"/>
  <c r="BD78" i="38"/>
  <c r="BD80" i="38"/>
  <c r="BD82" i="38"/>
  <c r="BD84" i="38"/>
  <c r="BD86" i="38"/>
  <c r="AW24" i="9"/>
  <c r="AW29" i="9" s="1"/>
  <c r="AX16" i="9"/>
  <c r="AX17" i="9"/>
  <c r="BC87" i="38"/>
  <c r="BC89" i="38" s="1"/>
  <c r="AX22" i="9" s="1"/>
  <c r="AZ18" i="9"/>
  <c r="AW36" i="9"/>
  <c r="AW37" i="9"/>
  <c r="AW25" i="9"/>
  <c r="AW26" i="9"/>
  <c r="AW28" i="9"/>
  <c r="AW27" i="9"/>
  <c r="AW21" i="9"/>
  <c r="AW23" i="9" s="1"/>
  <c r="BE8" i="38"/>
  <c r="AZ9" i="9"/>
  <c r="BG9" i="7"/>
  <c r="BG14" i="7"/>
  <c r="AY41" i="9"/>
  <c r="AY40" i="9"/>
  <c r="AZ14" i="9"/>
  <c r="AY34" i="9"/>
  <c r="AY38" i="9"/>
  <c r="AY20" i="9"/>
  <c r="BD100" i="3"/>
  <c r="BD93" i="3"/>
  <c r="BB13" i="9"/>
  <c r="BE120" i="3"/>
  <c r="O106" i="23"/>
  <c r="P106" i="23"/>
  <c r="M107" i="23"/>
  <c r="Q106" i="23"/>
  <c r="R105" i="23"/>
  <c r="AY44" i="9"/>
  <c r="AY43" i="9"/>
  <c r="BG8" i="7"/>
  <c r="BE61" i="3"/>
  <c r="BG8" i="11"/>
  <c r="AZ34" i="3"/>
  <c r="BG15" i="6"/>
  <c r="BG16" i="6"/>
  <c r="BG17" i="6"/>
  <c r="BG16" i="7"/>
  <c r="BG11" i="7"/>
  <c r="BG13" i="7"/>
  <c r="BG12" i="7"/>
  <c r="AB47" i="9"/>
  <c r="AB55" i="9"/>
  <c r="AB56" i="9" s="1"/>
  <c r="AZ58" i="9" a="1"/>
  <c r="AZ58" i="9" s="1"/>
  <c r="BB20" i="3" a="1"/>
  <c r="BB20" i="3" s="1"/>
  <c r="BE110" i="3" a="1"/>
  <c r="BE110" i="3" s="1"/>
  <c r="BG11" i="2"/>
  <c r="BG13" i="6"/>
  <c r="BG14" i="6"/>
  <c r="BG15" i="7"/>
  <c r="BB8" i="3" a="1"/>
  <c r="BB8" i="3" s="1"/>
  <c r="BA10" i="3"/>
  <c r="BA29" i="3" s="1"/>
  <c r="BB6" i="3" a="1"/>
  <c r="BB6" i="3" s="1"/>
  <c r="BB9" i="3" a="1"/>
  <c r="BB9" i="3" s="1"/>
  <c r="BE72" i="3"/>
  <c r="BF12" i="11"/>
  <c r="BF12" i="2"/>
  <c r="BC7" i="3" s="1" a="1"/>
  <c r="BC7" i="3" s="1"/>
  <c r="BF18" i="6"/>
  <c r="BE14" i="3"/>
  <c r="BE18" i="3"/>
  <c r="BE12" i="3"/>
  <c r="BE13" i="3"/>
  <c r="BE17" i="3"/>
  <c r="BE16" i="3"/>
  <c r="BG7" i="6"/>
  <c r="BG11" i="6"/>
  <c r="BG7" i="2"/>
  <c r="BG6" i="2"/>
  <c r="BG5" i="2"/>
  <c r="BG10" i="2"/>
  <c r="BG10" i="11"/>
  <c r="AY62" i="9"/>
  <c r="BB21" i="3" s="1" a="1"/>
  <c r="BB21" i="3" s="1"/>
  <c r="BG5" i="11"/>
  <c r="BH4" i="11"/>
  <c r="BE5" i="3"/>
  <c r="BF4" i="3"/>
  <c r="BG7" i="11"/>
  <c r="BG6" i="11"/>
  <c r="BG9" i="11"/>
  <c r="BG11" i="11"/>
  <c r="AZ10" i="9"/>
  <c r="AZ11" i="9"/>
  <c r="AZ12" i="9"/>
  <c r="BA15" i="9"/>
  <c r="AY48" i="9"/>
  <c r="AY35" i="9"/>
  <c r="AY46" i="9"/>
  <c r="AY39" i="9"/>
  <c r="AY42" i="9"/>
  <c r="BG8" i="2"/>
  <c r="BH4" i="7"/>
  <c r="BH4" i="2"/>
  <c r="BH9" i="2" s="1"/>
  <c r="BH4" i="6"/>
  <c r="BF17" i="7"/>
  <c r="BG10" i="6"/>
  <c r="BG5" i="6"/>
  <c r="BG8" i="6"/>
  <c r="BG6" i="6"/>
  <c r="BG9" i="6"/>
  <c r="BG12" i="6"/>
  <c r="BG6" i="7"/>
  <c r="BG10" i="7"/>
  <c r="BG7" i="7"/>
  <c r="BG5" i="7"/>
  <c r="BE3" i="3"/>
  <c r="BF2" i="3"/>
  <c r="BC20" i="3" l="1" a="1"/>
  <c r="BC20" i="3" s="1"/>
  <c r="BE10" i="38"/>
  <c r="BE15" i="38"/>
  <c r="BE16" i="38"/>
  <c r="BE17" i="38"/>
  <c r="BE19" i="38"/>
  <c r="BE9" i="38"/>
  <c r="BE18" i="38"/>
  <c r="BE20" i="38"/>
  <c r="BE11" i="38"/>
  <c r="BE22" i="38"/>
  <c r="BE24" i="38"/>
  <c r="BE21" i="38"/>
  <c r="BE25" i="38"/>
  <c r="BE26" i="38"/>
  <c r="BE28" i="38"/>
  <c r="BE27" i="38"/>
  <c r="BE29" i="38"/>
  <c r="BE30" i="38"/>
  <c r="BE32" i="38"/>
  <c r="BE34" i="38"/>
  <c r="BE33" i="38"/>
  <c r="BE35" i="38"/>
  <c r="BE36" i="38"/>
  <c r="BE31" i="38"/>
  <c r="BE39" i="38"/>
  <c r="BE41" i="38"/>
  <c r="BE43" i="38"/>
  <c r="BE45" i="38"/>
  <c r="BE49" i="38"/>
  <c r="BE51" i="38"/>
  <c r="BE38" i="38"/>
  <c r="BE37" i="38"/>
  <c r="BE44" i="38"/>
  <c r="BE46" i="38"/>
  <c r="BE50" i="38"/>
  <c r="BE52" i="38"/>
  <c r="BE53" i="38"/>
  <c r="BE59" i="38"/>
  <c r="BE61" i="38"/>
  <c r="BE63" i="38"/>
  <c r="BE57" i="38"/>
  <c r="BE54" i="38"/>
  <c r="BE55" i="38"/>
  <c r="BE58" i="38"/>
  <c r="BE60" i="38"/>
  <c r="BE62" i="38"/>
  <c r="BE65" i="38"/>
  <c r="BE67" i="38"/>
  <c r="BE71" i="38"/>
  <c r="BE73" i="38"/>
  <c r="BE56" i="38"/>
  <c r="BE64" i="38"/>
  <c r="BE66" i="38"/>
  <c r="BE72" i="38"/>
  <c r="BE74" i="38"/>
  <c r="BE75" i="38"/>
  <c r="BE76" i="38"/>
  <c r="BE77" i="38"/>
  <c r="BE80" i="38"/>
  <c r="BE81" i="38"/>
  <c r="BE82" i="38"/>
  <c r="BE83" i="38"/>
  <c r="BE79" i="38"/>
  <c r="BE84" i="38"/>
  <c r="BE78" i="38"/>
  <c r="BE86" i="38"/>
  <c r="AX24" i="9"/>
  <c r="AX21" i="9" s="1"/>
  <c r="AX23" i="9" s="1"/>
  <c r="AY17" i="9"/>
  <c r="BA18" i="9"/>
  <c r="AY16" i="9"/>
  <c r="BD87" i="38"/>
  <c r="AY24" i="9" s="1"/>
  <c r="AX36" i="9"/>
  <c r="AX37" i="9"/>
  <c r="AX27" i="9"/>
  <c r="AX25" i="9"/>
  <c r="AX26" i="9"/>
  <c r="AX28" i="9"/>
  <c r="AC30" i="9"/>
  <c r="AC31" i="9" s="1"/>
  <c r="BF8" i="38"/>
  <c r="BA9" i="9"/>
  <c r="BH9" i="7"/>
  <c r="BH14" i="7"/>
  <c r="AZ41" i="9"/>
  <c r="AZ40" i="9"/>
  <c r="BA14" i="9"/>
  <c r="AZ34" i="9"/>
  <c r="AZ38" i="9"/>
  <c r="AZ20" i="9"/>
  <c r="BE100" i="3"/>
  <c r="BE93" i="3"/>
  <c r="BC13" i="9"/>
  <c r="BF120" i="3"/>
  <c r="R106" i="23"/>
  <c r="O107" i="23"/>
  <c r="M108" i="23"/>
  <c r="P107" i="23"/>
  <c r="Q107" i="23"/>
  <c r="AZ35" i="3"/>
  <c r="AZ44" i="9"/>
  <c r="AZ43" i="9"/>
  <c r="BH8" i="7"/>
  <c r="BF61" i="3"/>
  <c r="BH8" i="11"/>
  <c r="BA34" i="3"/>
  <c r="BH15" i="6"/>
  <c r="BH16" i="6"/>
  <c r="BH17" i="6"/>
  <c r="BH16" i="7"/>
  <c r="BH11" i="7"/>
  <c r="BH12" i="7"/>
  <c r="BH13" i="7"/>
  <c r="AN59" i="9"/>
  <c r="BA58" i="9" a="1"/>
  <c r="BA58" i="9" s="1"/>
  <c r="BB22" i="3"/>
  <c r="BF110" i="3" a="1"/>
  <c r="BF110" i="3" s="1"/>
  <c r="BH11" i="2"/>
  <c r="BH13" i="6"/>
  <c r="BH14" i="6"/>
  <c r="BH15" i="7"/>
  <c r="BB10" i="3"/>
  <c r="BB29" i="3" s="1"/>
  <c r="BC8" i="3" a="1"/>
  <c r="BC8" i="3" s="1"/>
  <c r="BC6" i="3" a="1"/>
  <c r="BC6" i="3" s="1"/>
  <c r="BC9" i="3" a="1"/>
  <c r="BC9" i="3" s="1"/>
  <c r="BG12" i="11"/>
  <c r="BG12" i="2"/>
  <c r="BD7" i="3" s="1" a="1"/>
  <c r="BD7" i="3" s="1"/>
  <c r="BF72" i="3"/>
  <c r="BG18" i="6"/>
  <c r="BF12" i="3"/>
  <c r="BF14" i="3"/>
  <c r="BF16" i="3"/>
  <c r="BF18" i="3"/>
  <c r="BF13" i="3"/>
  <c r="BF17" i="3"/>
  <c r="BH7" i="6"/>
  <c r="BH11" i="6"/>
  <c r="BH6" i="2"/>
  <c r="BH7" i="2"/>
  <c r="BH5" i="2"/>
  <c r="BH10" i="2"/>
  <c r="BH10" i="11"/>
  <c r="AZ62" i="9"/>
  <c r="BC21" i="3" s="1" a="1"/>
  <c r="BC21" i="3" s="1"/>
  <c r="BC22" i="3" s="1"/>
  <c r="BH5" i="11"/>
  <c r="BI4" i="11"/>
  <c r="BF5" i="3"/>
  <c r="BG4" i="3"/>
  <c r="BH9" i="11"/>
  <c r="BH7" i="11"/>
  <c r="BH6" i="11"/>
  <c r="BH11" i="11"/>
  <c r="AZ46" i="9"/>
  <c r="AZ35" i="9"/>
  <c r="AZ48" i="9"/>
  <c r="AZ39" i="9"/>
  <c r="AZ42" i="9"/>
  <c r="BA10" i="9"/>
  <c r="BA12" i="9"/>
  <c r="BA11" i="9"/>
  <c r="BB15" i="9"/>
  <c r="BG17" i="7"/>
  <c r="BI4" i="7"/>
  <c r="BI4" i="6"/>
  <c r="BI4" i="2"/>
  <c r="BI9" i="2" s="1"/>
  <c r="BH8" i="2"/>
  <c r="BH6" i="7"/>
  <c r="BH5" i="7"/>
  <c r="BH10" i="7"/>
  <c r="BH7" i="7"/>
  <c r="BH12" i="6"/>
  <c r="BH6" i="6"/>
  <c r="BH9" i="6"/>
  <c r="BH8" i="6"/>
  <c r="BH10" i="6"/>
  <c r="BH5" i="6"/>
  <c r="BF3" i="3"/>
  <c r="BG2" i="3"/>
  <c r="AO59" i="9" l="1"/>
  <c r="BF9" i="38"/>
  <c r="BF11" i="38"/>
  <c r="BF15" i="38"/>
  <c r="BF10" i="38"/>
  <c r="BF16" i="38"/>
  <c r="BF17" i="38"/>
  <c r="BF19" i="38"/>
  <c r="BF18" i="38"/>
  <c r="BF20" i="38"/>
  <c r="BF22" i="38"/>
  <c r="BF25" i="38"/>
  <c r="BF26" i="38"/>
  <c r="BF21" i="38"/>
  <c r="BF24" i="38"/>
  <c r="BF28" i="38"/>
  <c r="BF31" i="38"/>
  <c r="BF33" i="38"/>
  <c r="BF35" i="38"/>
  <c r="BF27" i="38"/>
  <c r="BF29" i="38"/>
  <c r="BF30" i="38"/>
  <c r="BF32" i="38"/>
  <c r="BF34" i="38"/>
  <c r="BF37" i="38"/>
  <c r="BF38" i="38"/>
  <c r="BF36" i="38"/>
  <c r="BF39" i="38"/>
  <c r="BF41" i="38"/>
  <c r="BF43" i="38"/>
  <c r="BF45" i="38"/>
  <c r="BF49" i="38"/>
  <c r="BF51" i="38"/>
  <c r="BF44" i="38"/>
  <c r="BF46" i="38"/>
  <c r="BF50" i="38"/>
  <c r="BF53" i="38"/>
  <c r="BF55" i="38"/>
  <c r="BF57" i="38"/>
  <c r="BF52" i="38"/>
  <c r="BF54" i="38"/>
  <c r="BF56" i="38"/>
  <c r="BF59" i="38"/>
  <c r="BF61" i="38"/>
  <c r="BF63" i="38"/>
  <c r="BF58" i="38"/>
  <c r="BF60" i="38"/>
  <c r="BF65" i="38"/>
  <c r="BF67" i="38"/>
  <c r="BF71" i="38"/>
  <c r="BF73" i="38"/>
  <c r="BF75" i="38"/>
  <c r="BF62" i="38"/>
  <c r="BF64" i="38"/>
  <c r="BF66" i="38"/>
  <c r="BF78" i="38"/>
  <c r="BF80" i="38"/>
  <c r="BF82" i="38"/>
  <c r="BF74" i="38"/>
  <c r="BF76" i="38"/>
  <c r="BF77" i="38"/>
  <c r="BF79" i="38"/>
  <c r="BF81" i="38"/>
  <c r="BF83" i="38"/>
  <c r="BF72" i="38"/>
  <c r="BF86" i="38"/>
  <c r="BF84" i="38"/>
  <c r="AX29" i="9"/>
  <c r="AZ16" i="9"/>
  <c r="AZ36" i="9" s="1"/>
  <c r="BD89" i="38"/>
  <c r="AY22" i="9" s="1"/>
  <c r="AY21" i="9" s="1"/>
  <c r="AY23" i="9" s="1"/>
  <c r="BE87" i="38"/>
  <c r="AZ24" i="9" s="1"/>
  <c r="AZ17" i="9"/>
  <c r="AY37" i="9"/>
  <c r="AY36" i="9"/>
  <c r="AY26" i="9"/>
  <c r="AY27" i="9"/>
  <c r="AY25" i="9"/>
  <c r="AY28" i="9"/>
  <c r="BB18" i="9"/>
  <c r="AY29" i="9"/>
  <c r="BG8" i="38"/>
  <c r="BB9" i="9"/>
  <c r="BI9" i="7"/>
  <c r="BI14" i="7"/>
  <c r="BA41" i="9"/>
  <c r="BA40" i="9"/>
  <c r="BB14" i="9"/>
  <c r="BA34" i="9"/>
  <c r="BA38" i="9"/>
  <c r="BA20" i="9"/>
  <c r="BF100" i="3"/>
  <c r="BF93" i="3"/>
  <c r="BD13" i="9"/>
  <c r="BG120" i="3"/>
  <c r="R107" i="23"/>
  <c r="P108" i="23"/>
  <c r="O108" i="23"/>
  <c r="Q108" i="23"/>
  <c r="H80" i="3"/>
  <c r="H62" i="3" s="1"/>
  <c r="G80" i="3"/>
  <c r="G62" i="3" s="1"/>
  <c r="G60" i="3"/>
  <c r="H60" i="3"/>
  <c r="BA35" i="3"/>
  <c r="BA44" i="9"/>
  <c r="BA43" i="9"/>
  <c r="BI8" i="7"/>
  <c r="BG61" i="3"/>
  <c r="BI8" i="11"/>
  <c r="BB34" i="3"/>
  <c r="BI15" i="6"/>
  <c r="BI16" i="6"/>
  <c r="BI17" i="6"/>
  <c r="BI16" i="7"/>
  <c r="BI13" i="7"/>
  <c r="BI12" i="7"/>
  <c r="BI11" i="7"/>
  <c r="AC47" i="9"/>
  <c r="AC55" i="9"/>
  <c r="AC56" i="9" s="1"/>
  <c r="BD20" i="3" a="1"/>
  <c r="BD20" i="3" s="1"/>
  <c r="BB58" i="9" a="1"/>
  <c r="BB58" i="9" s="1"/>
  <c r="BG110" i="3" a="1"/>
  <c r="BG110" i="3" s="1"/>
  <c r="BI11" i="2"/>
  <c r="BI14" i="6"/>
  <c r="BI13" i="6"/>
  <c r="BC10" i="3"/>
  <c r="BC29" i="3" s="1"/>
  <c r="BI15" i="7"/>
  <c r="BD8" i="3" a="1"/>
  <c r="BD8" i="3" s="1"/>
  <c r="BD6" i="3" a="1"/>
  <c r="BD6" i="3" s="1"/>
  <c r="BD9" i="3" a="1"/>
  <c r="BD9" i="3" s="1"/>
  <c r="BG72" i="3"/>
  <c r="BH12" i="11"/>
  <c r="BH12" i="2"/>
  <c r="BE7" i="3" s="1" a="1"/>
  <c r="BE7" i="3" s="1"/>
  <c r="BH18" i="6"/>
  <c r="BG12" i="3"/>
  <c r="BG13" i="3"/>
  <c r="BG14" i="3"/>
  <c r="BG16" i="3"/>
  <c r="BG17" i="3"/>
  <c r="BG18" i="3"/>
  <c r="BI7" i="6"/>
  <c r="BI11" i="6"/>
  <c r="BI6" i="2"/>
  <c r="BI7" i="2"/>
  <c r="BI5" i="2"/>
  <c r="BI10" i="2"/>
  <c r="BI10" i="11"/>
  <c r="BA62" i="9"/>
  <c r="BD21" i="3" s="1" a="1"/>
  <c r="BD21" i="3" s="1"/>
  <c r="BI5" i="11"/>
  <c r="BJ4" i="11"/>
  <c r="BG5" i="3"/>
  <c r="BH4" i="3"/>
  <c r="BH54" i="3" s="1"/>
  <c r="BI7" i="11"/>
  <c r="BI6" i="11"/>
  <c r="BI9" i="11"/>
  <c r="BI11" i="11"/>
  <c r="BB10" i="9"/>
  <c r="BC15" i="9"/>
  <c r="BB11" i="9"/>
  <c r="BB12" i="9"/>
  <c r="BA46" i="9"/>
  <c r="BA48" i="9"/>
  <c r="BA35" i="9"/>
  <c r="BA39" i="9"/>
  <c r="BA42" i="9"/>
  <c r="BI8" i="2"/>
  <c r="BJ4" i="7"/>
  <c r="BJ4" i="6"/>
  <c r="BJ4" i="2"/>
  <c r="BJ9" i="2" s="1"/>
  <c r="BI5" i="6"/>
  <c r="BI9" i="6"/>
  <c r="BI6" i="6"/>
  <c r="BI12" i="6"/>
  <c r="BI10" i="6"/>
  <c r="BI8" i="6"/>
  <c r="BI5" i="7"/>
  <c r="BI7" i="7"/>
  <c r="BI6" i="7"/>
  <c r="BI10" i="7"/>
  <c r="BH17" i="7"/>
  <c r="BH2" i="3"/>
  <c r="BG3" i="3"/>
  <c r="BE20" i="3" l="1" a="1"/>
  <c r="BE20" i="3" s="1"/>
  <c r="BG9" i="38"/>
  <c r="BG11" i="38"/>
  <c r="BG15" i="38"/>
  <c r="BG10" i="38"/>
  <c r="BG16" i="38"/>
  <c r="BG17" i="38"/>
  <c r="BG19" i="38"/>
  <c r="BG20" i="38"/>
  <c r="BG21" i="38"/>
  <c r="BG25" i="38"/>
  <c r="BG18" i="38"/>
  <c r="BG22" i="38"/>
  <c r="BG24" i="38"/>
  <c r="BG27" i="38"/>
  <c r="BG29" i="38"/>
  <c r="BG26" i="38"/>
  <c r="BG28" i="38"/>
  <c r="BG31" i="38"/>
  <c r="BG33" i="38"/>
  <c r="BG35" i="38"/>
  <c r="BG37" i="38"/>
  <c r="BG30" i="38"/>
  <c r="BG32" i="38"/>
  <c r="BG34" i="38"/>
  <c r="BG38" i="38"/>
  <c r="BG36" i="38"/>
  <c r="BG39" i="38"/>
  <c r="BG41" i="38"/>
  <c r="BG43" i="38"/>
  <c r="BG45" i="38"/>
  <c r="BG49" i="38"/>
  <c r="BG51" i="38"/>
  <c r="BG44" i="38"/>
  <c r="BG46" i="38"/>
  <c r="BG50" i="38"/>
  <c r="BG54" i="38"/>
  <c r="BG56" i="38"/>
  <c r="BG53" i="38"/>
  <c r="BG57" i="38"/>
  <c r="BG59" i="38"/>
  <c r="BG61" i="38"/>
  <c r="BG63" i="38"/>
  <c r="BG52" i="38"/>
  <c r="BG55" i="38"/>
  <c r="BG58" i="38"/>
  <c r="BG60" i="38"/>
  <c r="BG62" i="38"/>
  <c r="BG66" i="38"/>
  <c r="BG72" i="38"/>
  <c r="BG74" i="38"/>
  <c r="BG65" i="38"/>
  <c r="BG67" i="38"/>
  <c r="BG71" i="38"/>
  <c r="BG73" i="38"/>
  <c r="BG75" i="38"/>
  <c r="BG78" i="38"/>
  <c r="BG80" i="38"/>
  <c r="BG82" i="38"/>
  <c r="BG84" i="38"/>
  <c r="BG64" i="38"/>
  <c r="BG76" i="38"/>
  <c r="BG77" i="38"/>
  <c r="BG79" i="38"/>
  <c r="BG81" i="38"/>
  <c r="BG83" i="38"/>
  <c r="BG86" i="38"/>
  <c r="BE89" i="38"/>
  <c r="AZ22" i="9" s="1"/>
  <c r="AZ21" i="9" s="1"/>
  <c r="AZ23" i="9" s="1"/>
  <c r="AZ28" i="9"/>
  <c r="AZ27" i="9"/>
  <c r="AZ26" i="9"/>
  <c r="AZ37" i="9"/>
  <c r="AZ25" i="9"/>
  <c r="BF87" i="38"/>
  <c r="BF89" i="38" s="1"/>
  <c r="BA22" i="9" s="1"/>
  <c r="BC18" i="9"/>
  <c r="BA16" i="9"/>
  <c r="BA17" i="9"/>
  <c r="AD30" i="9"/>
  <c r="AD31" i="9" s="1"/>
  <c r="AZ29" i="9"/>
  <c r="BH8" i="38"/>
  <c r="BC9" i="9"/>
  <c r="BJ9" i="7"/>
  <c r="BJ14" i="7"/>
  <c r="BB41" i="9"/>
  <c r="BB40" i="9"/>
  <c r="BC14" i="9"/>
  <c r="BB34" i="9"/>
  <c r="BB38" i="9"/>
  <c r="BB20" i="9"/>
  <c r="G63" i="3"/>
  <c r="H58" i="3" s="1"/>
  <c r="BG100" i="3"/>
  <c r="BG93" i="3"/>
  <c r="BE13" i="9"/>
  <c r="BH120" i="3"/>
  <c r="R108" i="23"/>
  <c r="BB35" i="3"/>
  <c r="BB44" i="9"/>
  <c r="BB43" i="9"/>
  <c r="BJ8" i="7"/>
  <c r="BH61" i="3"/>
  <c r="BH36" i="3"/>
  <c r="BH59" i="3"/>
  <c r="BJ8" i="11"/>
  <c r="BC34" i="3"/>
  <c r="BD22" i="3"/>
  <c r="BJ15" i="6"/>
  <c r="BJ16" i="6"/>
  <c r="BJ17" i="6"/>
  <c r="BJ16" i="7"/>
  <c r="BJ11" i="7"/>
  <c r="BJ12" i="7"/>
  <c r="BJ13" i="7"/>
  <c r="AP59" i="9"/>
  <c r="BC58" i="9" a="1"/>
  <c r="BC58" i="9" s="1"/>
  <c r="BH110" i="3" a="1"/>
  <c r="BH110" i="3" s="1"/>
  <c r="BJ11" i="2"/>
  <c r="BJ13" i="6"/>
  <c r="BJ14" i="6"/>
  <c r="BJ15" i="7"/>
  <c r="BD10" i="3"/>
  <c r="BD29" i="3" s="1"/>
  <c r="BE8" i="3" a="1"/>
  <c r="BE8" i="3" s="1"/>
  <c r="BE6" i="3" a="1"/>
  <c r="BE6" i="3" s="1"/>
  <c r="BE9" i="3" a="1"/>
  <c r="BE9" i="3" s="1"/>
  <c r="BI12" i="11"/>
  <c r="BH72" i="3"/>
  <c r="BI12" i="2"/>
  <c r="BF7" i="3" s="1" a="1"/>
  <c r="BF7" i="3" s="1"/>
  <c r="BI18" i="6"/>
  <c r="BH12" i="3"/>
  <c r="BH13" i="3"/>
  <c r="BH16" i="3"/>
  <c r="BH17" i="3"/>
  <c r="BH14" i="3"/>
  <c r="BH18" i="3"/>
  <c r="BJ7" i="6"/>
  <c r="BJ11" i="6"/>
  <c r="BJ7" i="2"/>
  <c r="BJ6" i="2"/>
  <c r="BJ5" i="2"/>
  <c r="BJ10" i="2"/>
  <c r="BB62" i="9"/>
  <c r="BE21" i="3" s="1" a="1"/>
  <c r="BE21" i="3" s="1"/>
  <c r="BE22" i="3" s="1"/>
  <c r="BJ10" i="11"/>
  <c r="BJ5" i="11"/>
  <c r="BJ9" i="11"/>
  <c r="BJ7" i="11"/>
  <c r="BJ11" i="11"/>
  <c r="BJ6" i="11"/>
  <c r="BK4" i="11"/>
  <c r="BH5" i="3"/>
  <c r="BI4" i="3"/>
  <c r="BB48" i="9"/>
  <c r="BB35" i="9"/>
  <c r="BB42" i="9"/>
  <c r="BB39" i="9"/>
  <c r="BB46" i="9"/>
  <c r="BC11" i="9"/>
  <c r="BD15" i="9"/>
  <c r="BC10" i="9"/>
  <c r="BC12" i="9"/>
  <c r="BJ6" i="7"/>
  <c r="BJ7" i="7"/>
  <c r="BJ10" i="7"/>
  <c r="BJ5" i="7"/>
  <c r="BK4" i="7"/>
  <c r="BK4" i="6"/>
  <c r="BK4" i="2"/>
  <c r="BK9" i="2" s="1"/>
  <c r="BI17" i="7"/>
  <c r="BJ8" i="2"/>
  <c r="BJ5" i="6"/>
  <c r="BJ10" i="6"/>
  <c r="BJ9" i="6"/>
  <c r="BJ8" i="6"/>
  <c r="BJ12" i="6"/>
  <c r="BJ6" i="6"/>
  <c r="BH3" i="3"/>
  <c r="BI2" i="3"/>
  <c r="BF20" i="3" l="1" a="1"/>
  <c r="BF20" i="3" s="1"/>
  <c r="BH9" i="38"/>
  <c r="BH11" i="38"/>
  <c r="BH15" i="38"/>
  <c r="BH10" i="38"/>
  <c r="BH16" i="38"/>
  <c r="BH17" i="38"/>
  <c r="BH20" i="38"/>
  <c r="BH21" i="38"/>
  <c r="BH18" i="38"/>
  <c r="BH19" i="38"/>
  <c r="BH22" i="38"/>
  <c r="BH25" i="38"/>
  <c r="BH28" i="38"/>
  <c r="BH31" i="38"/>
  <c r="BH33" i="38"/>
  <c r="BH35" i="38"/>
  <c r="BH24" i="38"/>
  <c r="BH27" i="38"/>
  <c r="BH29" i="38"/>
  <c r="BH34" i="38"/>
  <c r="BH37" i="38"/>
  <c r="BH38" i="38"/>
  <c r="BH30" i="38"/>
  <c r="BH26" i="38"/>
  <c r="BH36" i="38"/>
  <c r="BH39" i="38"/>
  <c r="BH41" i="38"/>
  <c r="BH43" i="38"/>
  <c r="BH45" i="38"/>
  <c r="BH49" i="38"/>
  <c r="BH32" i="38"/>
  <c r="BH51" i="38"/>
  <c r="BH54" i="38"/>
  <c r="BH56" i="38"/>
  <c r="BH44" i="38"/>
  <c r="BH46" i="38"/>
  <c r="BH53" i="38"/>
  <c r="BH55" i="38"/>
  <c r="BH57" i="38"/>
  <c r="BH52" i="38"/>
  <c r="BH50" i="38"/>
  <c r="BH59" i="38"/>
  <c r="BH61" i="38"/>
  <c r="BH63" i="38"/>
  <c r="BH65" i="38"/>
  <c r="BH64" i="38"/>
  <c r="BH58" i="38"/>
  <c r="BH66" i="38"/>
  <c r="BH72" i="38"/>
  <c r="BH74" i="38"/>
  <c r="BH60" i="38"/>
  <c r="BH67" i="38"/>
  <c r="BH71" i="38"/>
  <c r="BH73" i="38"/>
  <c r="BH78" i="38"/>
  <c r="BH80" i="38"/>
  <c r="BH82" i="38"/>
  <c r="BH84" i="38"/>
  <c r="BH75" i="38"/>
  <c r="BH76" i="38"/>
  <c r="BH77" i="38"/>
  <c r="BH79" i="38"/>
  <c r="BH81" i="38"/>
  <c r="BH83" i="38"/>
  <c r="BH62" i="38"/>
  <c r="BH86" i="38"/>
  <c r="BA24" i="9"/>
  <c r="BA21" i="9" s="1"/>
  <c r="BA23" i="9" s="1"/>
  <c r="BG87" i="38"/>
  <c r="BB24" i="9" s="1"/>
  <c r="BD18" i="9"/>
  <c r="BB16" i="9"/>
  <c r="BB17" i="9"/>
  <c r="BA37" i="9"/>
  <c r="BA36" i="9"/>
  <c r="BA26" i="9"/>
  <c r="BA27" i="9"/>
  <c r="BA28" i="9"/>
  <c r="BA25" i="9"/>
  <c r="BI8" i="38"/>
  <c r="BD9" i="9"/>
  <c r="BK9" i="7"/>
  <c r="BK14" i="7"/>
  <c r="BC41" i="9"/>
  <c r="BC40" i="9"/>
  <c r="BD14" i="9"/>
  <c r="BC34" i="9"/>
  <c r="BC38" i="9"/>
  <c r="BC20" i="9"/>
  <c r="BH100" i="3"/>
  <c r="BH93" i="3"/>
  <c r="BF13" i="9"/>
  <c r="BI120" i="3"/>
  <c r="BI93" i="3" s="1"/>
  <c r="BC35" i="3"/>
  <c r="BC44" i="9"/>
  <c r="BC43" i="9"/>
  <c r="BK8" i="7"/>
  <c r="BI61" i="3"/>
  <c r="BK8" i="11"/>
  <c r="BD34" i="3"/>
  <c r="BK15" i="6"/>
  <c r="BK16" i="6"/>
  <c r="BK17" i="6"/>
  <c r="BK16" i="7"/>
  <c r="BK11" i="7"/>
  <c r="BK13" i="7"/>
  <c r="BK12" i="7"/>
  <c r="AD47" i="9"/>
  <c r="AD55" i="9"/>
  <c r="AD56" i="9" s="1"/>
  <c r="AQ59" i="9"/>
  <c r="BD58" i="9" a="1"/>
  <c r="BD58" i="9" s="1"/>
  <c r="BI110" i="3" a="1"/>
  <c r="BI110" i="3" s="1"/>
  <c r="BK11" i="2"/>
  <c r="BK14" i="6"/>
  <c r="BK13" i="6"/>
  <c r="BK15" i="7"/>
  <c r="BE10" i="3"/>
  <c r="BE29" i="3" s="1"/>
  <c r="BF8" i="3" a="1"/>
  <c r="BF8" i="3" s="1"/>
  <c r="BF6" i="3" a="1"/>
  <c r="BF6" i="3" s="1"/>
  <c r="BF9" i="3" a="1"/>
  <c r="BF9" i="3" s="1"/>
  <c r="BJ12" i="11"/>
  <c r="BJ12" i="2"/>
  <c r="BG7" i="3" s="1" a="1"/>
  <c r="BG7" i="3" s="1"/>
  <c r="BI72" i="3"/>
  <c r="BJ18" i="6"/>
  <c r="BI13" i="3"/>
  <c r="BI14" i="3"/>
  <c r="BI12" i="3"/>
  <c r="BI16" i="3"/>
  <c r="BI17" i="3"/>
  <c r="BI18" i="3"/>
  <c r="BK7" i="6"/>
  <c r="BK11" i="6"/>
  <c r="BK6" i="2"/>
  <c r="BK7" i="2"/>
  <c r="BK5" i="2"/>
  <c r="BK10" i="2"/>
  <c r="BK10" i="11"/>
  <c r="BC62" i="9"/>
  <c r="BF21" i="3" s="1" a="1"/>
  <c r="BF21" i="3" s="1"/>
  <c r="BF22" i="3" s="1"/>
  <c r="BK5" i="11"/>
  <c r="BL4" i="11"/>
  <c r="BI5" i="3"/>
  <c r="BJ4" i="3"/>
  <c r="BK11" i="11"/>
  <c r="BK9" i="11"/>
  <c r="BK7" i="11"/>
  <c r="BK6" i="11"/>
  <c r="BD11" i="9"/>
  <c r="BD10" i="9"/>
  <c r="BD12" i="9"/>
  <c r="BE15" i="9"/>
  <c r="BC48" i="9"/>
  <c r="BC46" i="9"/>
  <c r="BC39" i="9"/>
  <c r="BC42" i="9"/>
  <c r="BC35" i="9"/>
  <c r="BJ17" i="7"/>
  <c r="BL4" i="7"/>
  <c r="BL4" i="2"/>
  <c r="BL9" i="2" s="1"/>
  <c r="BL4" i="6"/>
  <c r="BK6" i="7"/>
  <c r="BK10" i="7"/>
  <c r="BK5" i="7"/>
  <c r="BK7" i="7"/>
  <c r="BK8" i="2"/>
  <c r="BK5" i="6"/>
  <c r="BK10" i="6"/>
  <c r="BK9" i="6"/>
  <c r="BK6" i="6"/>
  <c r="BK12" i="6"/>
  <c r="BK8" i="6"/>
  <c r="BJ2" i="3"/>
  <c r="BI3" i="3"/>
  <c r="BG20" i="3" l="1" a="1"/>
  <c r="BG20" i="3" s="1"/>
  <c r="BA29" i="9"/>
  <c r="BI9" i="38"/>
  <c r="BI11" i="38"/>
  <c r="BI15" i="38"/>
  <c r="BI18" i="38"/>
  <c r="BI20" i="38"/>
  <c r="BI16" i="38"/>
  <c r="BI17" i="38"/>
  <c r="BI19" i="38"/>
  <c r="BI10" i="38"/>
  <c r="BI21" i="38"/>
  <c r="BI22" i="38"/>
  <c r="BI27" i="38"/>
  <c r="BI25" i="38"/>
  <c r="BI26" i="38"/>
  <c r="BI28" i="38"/>
  <c r="BI31" i="38"/>
  <c r="BI33" i="38"/>
  <c r="BI35" i="38"/>
  <c r="BI24" i="38"/>
  <c r="BI32" i="38"/>
  <c r="BI34" i="38"/>
  <c r="BI37" i="38"/>
  <c r="BI30" i="38"/>
  <c r="BI29" i="38"/>
  <c r="BI44" i="38"/>
  <c r="BI46" i="38"/>
  <c r="BI50" i="38"/>
  <c r="BI38" i="38"/>
  <c r="BI39" i="38"/>
  <c r="BI41" i="38"/>
  <c r="BI43" i="38"/>
  <c r="BI45" i="38"/>
  <c r="BI49" i="38"/>
  <c r="BI51" i="38"/>
  <c r="BI36" i="38"/>
  <c r="BI52" i="38"/>
  <c r="BI58" i="38"/>
  <c r="BI60" i="38"/>
  <c r="BI62" i="38"/>
  <c r="BI64" i="38"/>
  <c r="BI56" i="38"/>
  <c r="BI53" i="38"/>
  <c r="BI57" i="38"/>
  <c r="BI54" i="38"/>
  <c r="BI59" i="38"/>
  <c r="BI61" i="38"/>
  <c r="BI63" i="38"/>
  <c r="BI55" i="38"/>
  <c r="BI66" i="38"/>
  <c r="BI72" i="38"/>
  <c r="BI74" i="38"/>
  <c r="BI65" i="38"/>
  <c r="BI67" i="38"/>
  <c r="BI71" i="38"/>
  <c r="BI73" i="38"/>
  <c r="BI75" i="38"/>
  <c r="BI79" i="38"/>
  <c r="BI80" i="38"/>
  <c r="BI77" i="38"/>
  <c r="BI78" i="38"/>
  <c r="BI81" i="38"/>
  <c r="BI86" i="38"/>
  <c r="BI82" i="38"/>
  <c r="BI76" i="38"/>
  <c r="BI84" i="38"/>
  <c r="BI83" i="38"/>
  <c r="BH87" i="38"/>
  <c r="BC24" i="9" s="1"/>
  <c r="BG89" i="38"/>
  <c r="BB22" i="9" s="1"/>
  <c r="BB21" i="9" s="1"/>
  <c r="BB23" i="9" s="1"/>
  <c r="BC17" i="9"/>
  <c r="BC16" i="9"/>
  <c r="BC26" i="9" s="1"/>
  <c r="BE18" i="9"/>
  <c r="BB36" i="9"/>
  <c r="BB37" i="9"/>
  <c r="BB25" i="9"/>
  <c r="BB26" i="9"/>
  <c r="BB27" i="9"/>
  <c r="BB28" i="9"/>
  <c r="AE30" i="9"/>
  <c r="AE31" i="9" s="1"/>
  <c r="BB29" i="9"/>
  <c r="BJ8" i="38"/>
  <c r="BE9" i="9"/>
  <c r="BL9" i="7"/>
  <c r="BL14" i="7"/>
  <c r="BD41" i="9"/>
  <c r="BD40" i="9"/>
  <c r="BE14" i="9"/>
  <c r="BD34" i="9"/>
  <c r="BD38" i="9"/>
  <c r="BD20" i="9"/>
  <c r="BI100" i="3"/>
  <c r="BG13" i="9"/>
  <c r="BJ120" i="3"/>
  <c r="BD35" i="3"/>
  <c r="BD44" i="9"/>
  <c r="BD43" i="9"/>
  <c r="BL8" i="7"/>
  <c r="BJ61" i="3"/>
  <c r="BL8" i="11"/>
  <c r="BE34" i="3"/>
  <c r="BL15" i="6"/>
  <c r="BL16" i="6"/>
  <c r="BL17" i="6"/>
  <c r="BL16" i="7"/>
  <c r="BL11" i="7"/>
  <c r="BL12" i="7"/>
  <c r="BL13" i="7"/>
  <c r="AR59" i="9"/>
  <c r="BE58" i="9" a="1"/>
  <c r="BE58" i="9" s="1"/>
  <c r="BJ110" i="3" a="1"/>
  <c r="BJ110" i="3" s="1"/>
  <c r="BL11" i="2"/>
  <c r="BL13" i="6"/>
  <c r="BL14" i="6"/>
  <c r="BL15" i="7"/>
  <c r="BG8" i="3" a="1"/>
  <c r="BG8" i="3" s="1"/>
  <c r="BF10" i="3"/>
  <c r="BF29" i="3" s="1"/>
  <c r="BG6" i="3" a="1"/>
  <c r="BG6" i="3" s="1"/>
  <c r="BG9" i="3" a="1"/>
  <c r="BG9" i="3" s="1"/>
  <c r="BJ72" i="3"/>
  <c r="BK12" i="11"/>
  <c r="BK12" i="2"/>
  <c r="BH7" i="3" s="1" a="1"/>
  <c r="BH7" i="3" s="1"/>
  <c r="BK18" i="6"/>
  <c r="BJ13" i="3"/>
  <c r="BJ14" i="3"/>
  <c r="BJ12" i="3"/>
  <c r="BJ18" i="3"/>
  <c r="BJ16" i="3"/>
  <c r="BJ17" i="3"/>
  <c r="BL7" i="6"/>
  <c r="BL11" i="6"/>
  <c r="BL6" i="2"/>
  <c r="BL7" i="2"/>
  <c r="BL5" i="2"/>
  <c r="BL10" i="2"/>
  <c r="BL10" i="11"/>
  <c r="BD62" i="9"/>
  <c r="BG21" i="3" s="1" a="1"/>
  <c r="BG21" i="3" s="1"/>
  <c r="BG22" i="3" s="1"/>
  <c r="BL5" i="11"/>
  <c r="BM4" i="11"/>
  <c r="BJ5" i="3"/>
  <c r="BK4" i="3"/>
  <c r="BL7" i="11"/>
  <c r="BL6" i="11"/>
  <c r="BL9" i="11"/>
  <c r="BL11" i="11"/>
  <c r="BE10" i="9"/>
  <c r="BF15" i="9"/>
  <c r="BE12" i="9"/>
  <c r="BE11" i="9"/>
  <c r="BD48" i="9"/>
  <c r="BD46" i="9"/>
  <c r="BD39" i="9"/>
  <c r="BD42" i="9"/>
  <c r="BD35" i="9"/>
  <c r="BM4" i="7"/>
  <c r="BM4" i="6"/>
  <c r="BM4" i="2"/>
  <c r="BM9" i="2" s="1"/>
  <c r="BL10" i="6"/>
  <c r="BL12" i="6"/>
  <c r="BL9" i="6"/>
  <c r="BL6" i="6"/>
  <c r="BL8" i="6"/>
  <c r="BL5" i="6"/>
  <c r="BK17" i="7"/>
  <c r="BL8" i="2"/>
  <c r="BL6" i="7"/>
  <c r="BL5" i="7"/>
  <c r="BL7" i="7"/>
  <c r="BL10" i="7"/>
  <c r="BJ3" i="3"/>
  <c r="BK2" i="3"/>
  <c r="BH20" i="3" l="1" a="1"/>
  <c r="BH20" i="3" s="1"/>
  <c r="BH89" i="38"/>
  <c r="BC22" i="9" s="1"/>
  <c r="BJ10" i="38"/>
  <c r="BJ16" i="38"/>
  <c r="BJ9" i="38"/>
  <c r="BJ11" i="38"/>
  <c r="BJ15" i="38"/>
  <c r="BJ18" i="38"/>
  <c r="BJ20" i="38"/>
  <c r="BJ17" i="38"/>
  <c r="BJ19" i="38"/>
  <c r="BJ21" i="38"/>
  <c r="BJ24" i="38"/>
  <c r="BJ26" i="38"/>
  <c r="BJ27" i="38"/>
  <c r="BJ25" i="38"/>
  <c r="BJ30" i="38"/>
  <c r="BJ32" i="38"/>
  <c r="BJ34" i="38"/>
  <c r="BJ28" i="38"/>
  <c r="BJ31" i="38"/>
  <c r="BJ33" i="38"/>
  <c r="BJ22" i="38"/>
  <c r="BJ29" i="38"/>
  <c r="BJ36" i="38"/>
  <c r="BJ35" i="38"/>
  <c r="BJ39" i="38"/>
  <c r="BJ37" i="38"/>
  <c r="BJ38" i="38"/>
  <c r="BJ44" i="38"/>
  <c r="BJ46" i="38"/>
  <c r="BJ50" i="38"/>
  <c r="BJ52" i="38"/>
  <c r="BJ41" i="38"/>
  <c r="BJ43" i="38"/>
  <c r="BJ45" i="38"/>
  <c r="BJ49" i="38"/>
  <c r="BJ51" i="38"/>
  <c r="BJ54" i="38"/>
  <c r="BJ56" i="38"/>
  <c r="BJ53" i="38"/>
  <c r="BJ55" i="38"/>
  <c r="BJ58" i="38"/>
  <c r="BJ60" i="38"/>
  <c r="BJ62" i="38"/>
  <c r="BJ57" i="38"/>
  <c r="BJ59" i="38"/>
  <c r="BJ61" i="38"/>
  <c r="BJ63" i="38"/>
  <c r="BJ64" i="38"/>
  <c r="BJ66" i="38"/>
  <c r="BJ72" i="38"/>
  <c r="BJ74" i="38"/>
  <c r="BJ76" i="38"/>
  <c r="BJ65" i="38"/>
  <c r="BJ77" i="38"/>
  <c r="BJ79" i="38"/>
  <c r="BJ81" i="38"/>
  <c r="BJ83" i="38"/>
  <c r="BJ67" i="38"/>
  <c r="BJ78" i="38"/>
  <c r="BJ80" i="38"/>
  <c r="BJ82" i="38"/>
  <c r="BJ71" i="38"/>
  <c r="BJ75" i="38"/>
  <c r="BJ73" i="38"/>
  <c r="BJ84" i="38"/>
  <c r="BJ86" i="38"/>
  <c r="BC27" i="9"/>
  <c r="BC28" i="9"/>
  <c r="BC37" i="9"/>
  <c r="BC36" i="9"/>
  <c r="BC25" i="9"/>
  <c r="BI87" i="38"/>
  <c r="BI89" i="38" s="1"/>
  <c r="BF18" i="9"/>
  <c r="BD17" i="9"/>
  <c r="BD16" i="9"/>
  <c r="BC21" i="9"/>
  <c r="BC23" i="9" s="1"/>
  <c r="BC29" i="9"/>
  <c r="BK8" i="38"/>
  <c r="BF9" i="9"/>
  <c r="BM9" i="7"/>
  <c r="BM14" i="7"/>
  <c r="BE41" i="9"/>
  <c r="BE40" i="9"/>
  <c r="BF14" i="9"/>
  <c r="BE34" i="9"/>
  <c r="BE38" i="9"/>
  <c r="BE20" i="9"/>
  <c r="BJ100" i="3"/>
  <c r="BJ93" i="3"/>
  <c r="BH13" i="9"/>
  <c r="BK120" i="3"/>
  <c r="BE35" i="3"/>
  <c r="BE44" i="9"/>
  <c r="BE43" i="9"/>
  <c r="BM8" i="7"/>
  <c r="BK61" i="3"/>
  <c r="BM8" i="11"/>
  <c r="BF34" i="3"/>
  <c r="BM15" i="6"/>
  <c r="BM16" i="6"/>
  <c r="BM17" i="6"/>
  <c r="BM16" i="7"/>
  <c r="BM13" i="7"/>
  <c r="BM12" i="7"/>
  <c r="BM11" i="7"/>
  <c r="AE47" i="9"/>
  <c r="AE55" i="9"/>
  <c r="AE56" i="9" s="1"/>
  <c r="AS59" i="9"/>
  <c r="BF58" i="9" a="1"/>
  <c r="BF58" i="9" s="1"/>
  <c r="BK110" i="3" a="1"/>
  <c r="BK110" i="3" s="1"/>
  <c r="BM11" i="2"/>
  <c r="BM14" i="6"/>
  <c r="BM13" i="6"/>
  <c r="BM15" i="7"/>
  <c r="BG10" i="3"/>
  <c r="BG29" i="3" s="1"/>
  <c r="BH8" i="3" a="1"/>
  <c r="BH8" i="3" s="1"/>
  <c r="BH6" i="3" a="1"/>
  <c r="BH6" i="3" s="1"/>
  <c r="BH9" i="3" a="1"/>
  <c r="BH9" i="3" s="1"/>
  <c r="BK72" i="3"/>
  <c r="BL12" i="11"/>
  <c r="BL12" i="2"/>
  <c r="BI7" i="3" s="1" a="1"/>
  <c r="BI7" i="3" s="1"/>
  <c r="BL18" i="6"/>
  <c r="BK12" i="3"/>
  <c r="BK13" i="3"/>
  <c r="BK14" i="3"/>
  <c r="BK16" i="3"/>
  <c r="BK17" i="3"/>
  <c r="BK18" i="3"/>
  <c r="BM7" i="6"/>
  <c r="BM11" i="6"/>
  <c r="BM7" i="2"/>
  <c r="BM6" i="2"/>
  <c r="BM5" i="2"/>
  <c r="BM10" i="2"/>
  <c r="BM10" i="11"/>
  <c r="BE62" i="9"/>
  <c r="BH21" i="3" s="1" a="1"/>
  <c r="BH21" i="3" s="1"/>
  <c r="BH22" i="3" s="1"/>
  <c r="BM5" i="11"/>
  <c r="BM6" i="11"/>
  <c r="BM9" i="11"/>
  <c r="BM11" i="11"/>
  <c r="BM7" i="11"/>
  <c r="BN4" i="11"/>
  <c r="BK5" i="3"/>
  <c r="BL4" i="3"/>
  <c r="BF10" i="9"/>
  <c r="BF12" i="9"/>
  <c r="BG15" i="9"/>
  <c r="BF11" i="9"/>
  <c r="BE46" i="9"/>
  <c r="BE39" i="9"/>
  <c r="BE48" i="9"/>
  <c r="BE35" i="9"/>
  <c r="BE42" i="9"/>
  <c r="BM5" i="6"/>
  <c r="BM9" i="6"/>
  <c r="BM12" i="6"/>
  <c r="BM8" i="6"/>
  <c r="BM6" i="6"/>
  <c r="BM10" i="6"/>
  <c r="BN4" i="7"/>
  <c r="BN4" i="6"/>
  <c r="BN4" i="2"/>
  <c r="BN9" i="2" s="1"/>
  <c r="BL17" i="7"/>
  <c r="BM6" i="7"/>
  <c r="BM7" i="7"/>
  <c r="BM5" i="7"/>
  <c r="BM10" i="7"/>
  <c r="BM8" i="2"/>
  <c r="BL2" i="3"/>
  <c r="BK3" i="3"/>
  <c r="BI20" i="3" l="1" a="1"/>
  <c r="BI20" i="3" s="1"/>
  <c r="BD24" i="9"/>
  <c r="BK10" i="38"/>
  <c r="BK16" i="38"/>
  <c r="BK9" i="38"/>
  <c r="BK11" i="38"/>
  <c r="BK15" i="38"/>
  <c r="BK18" i="38"/>
  <c r="BK22" i="38"/>
  <c r="BK24" i="38"/>
  <c r="BK17" i="38"/>
  <c r="BK20" i="38"/>
  <c r="BK19" i="38"/>
  <c r="BK21" i="38"/>
  <c r="BK26" i="38"/>
  <c r="BK28" i="38"/>
  <c r="BK27" i="38"/>
  <c r="BK29" i="38"/>
  <c r="BK25" i="38"/>
  <c r="BK30" i="38"/>
  <c r="BK32" i="38"/>
  <c r="BK34" i="38"/>
  <c r="BK36" i="38"/>
  <c r="BK31" i="38"/>
  <c r="BK33" i="38"/>
  <c r="BK35" i="38"/>
  <c r="BK37" i="38"/>
  <c r="BK38" i="38"/>
  <c r="BK44" i="38"/>
  <c r="BK46" i="38"/>
  <c r="BK50" i="38"/>
  <c r="BK52" i="38"/>
  <c r="BK39" i="38"/>
  <c r="BK41" i="38"/>
  <c r="BK43" i="38"/>
  <c r="BK45" i="38"/>
  <c r="BK49" i="38"/>
  <c r="BK53" i="38"/>
  <c r="BK55" i="38"/>
  <c r="BK57" i="38"/>
  <c r="BK51" i="38"/>
  <c r="BK56" i="38"/>
  <c r="BK58" i="38"/>
  <c r="BK60" i="38"/>
  <c r="BK62" i="38"/>
  <c r="BK64" i="38"/>
  <c r="BK54" i="38"/>
  <c r="BK59" i="38"/>
  <c r="BK61" i="38"/>
  <c r="BK63" i="38"/>
  <c r="BK67" i="38"/>
  <c r="BK71" i="38"/>
  <c r="BK73" i="38"/>
  <c r="BK75" i="38"/>
  <c r="BK66" i="38"/>
  <c r="BK72" i="38"/>
  <c r="BK74" i="38"/>
  <c r="BK65" i="38"/>
  <c r="BK76" i="38"/>
  <c r="BK77" i="38"/>
  <c r="BK79" i="38"/>
  <c r="BK81" i="38"/>
  <c r="BK83" i="38"/>
  <c r="BK78" i="38"/>
  <c r="BK80" i="38"/>
  <c r="BK82" i="38"/>
  <c r="BK84" i="38"/>
  <c r="BK86" i="38"/>
  <c r="BD36" i="9"/>
  <c r="BD37" i="9"/>
  <c r="BD28" i="9"/>
  <c r="BD27" i="9"/>
  <c r="BD25" i="9"/>
  <c r="BD26" i="9"/>
  <c r="BE17" i="9"/>
  <c r="BE16" i="9"/>
  <c r="BG18" i="9"/>
  <c r="BJ87" i="38"/>
  <c r="BJ89" i="38" s="1"/>
  <c r="BE22" i="9" s="1"/>
  <c r="AF30" i="9"/>
  <c r="AF31" i="9" s="1"/>
  <c r="BD29" i="9"/>
  <c r="BD22" i="9"/>
  <c r="BD21" i="9" s="1"/>
  <c r="BL8" i="38"/>
  <c r="BG9" i="9"/>
  <c r="BN9" i="7"/>
  <c r="BN14" i="7"/>
  <c r="BF41" i="9"/>
  <c r="BF40" i="9"/>
  <c r="BG14" i="9"/>
  <c r="BF34" i="9"/>
  <c r="BF38" i="9"/>
  <c r="BF20" i="9"/>
  <c r="BK100" i="3"/>
  <c r="BK93" i="3"/>
  <c r="BI13" i="9"/>
  <c r="BL120" i="3"/>
  <c r="BF35" i="3"/>
  <c r="BF44" i="9"/>
  <c r="BF43" i="9"/>
  <c r="BN8" i="7"/>
  <c r="BL61" i="3"/>
  <c r="BN8" i="11"/>
  <c r="BG34" i="3"/>
  <c r="BN15" i="6"/>
  <c r="BN16" i="6"/>
  <c r="BN17" i="6"/>
  <c r="BN16" i="7"/>
  <c r="BN11" i="7"/>
  <c r="BN12" i="7"/>
  <c r="BN13" i="7"/>
  <c r="AT59" i="9"/>
  <c r="BG58" i="9" a="1"/>
  <c r="BG58" i="9" s="1"/>
  <c r="BL110" i="3" a="1"/>
  <c r="BL110" i="3" s="1"/>
  <c r="BN11" i="2"/>
  <c r="BN13" i="6"/>
  <c r="BN14" i="6"/>
  <c r="BN15" i="7"/>
  <c r="BH10" i="3"/>
  <c r="BH29" i="3" s="1"/>
  <c r="BI8" i="3" a="1"/>
  <c r="BI8" i="3" s="1"/>
  <c r="BI6" i="3" a="1"/>
  <c r="BI6" i="3" s="1"/>
  <c r="BI9" i="3" a="1"/>
  <c r="BI9" i="3" s="1"/>
  <c r="BL72" i="3"/>
  <c r="BM12" i="11"/>
  <c r="BM12" i="2"/>
  <c r="BJ7" i="3" s="1" a="1"/>
  <c r="BJ7" i="3" s="1"/>
  <c r="BM18" i="6"/>
  <c r="BL12" i="3"/>
  <c r="BL14" i="3"/>
  <c r="BL13" i="3"/>
  <c r="BL17" i="3"/>
  <c r="BL16" i="3"/>
  <c r="BL18" i="3"/>
  <c r="BN7" i="6"/>
  <c r="BN11" i="6"/>
  <c r="BN7" i="2"/>
  <c r="BN6" i="2"/>
  <c r="BN5" i="2"/>
  <c r="BN10" i="2"/>
  <c r="BN10" i="11"/>
  <c r="BF62" i="9"/>
  <c r="BI21" i="3" s="1" a="1"/>
  <c r="BI21" i="3" s="1"/>
  <c r="BI22" i="3" s="1"/>
  <c r="BN5" i="11"/>
  <c r="BN6" i="11"/>
  <c r="BN9" i="11"/>
  <c r="BN7" i="11"/>
  <c r="BN11" i="11"/>
  <c r="BO4" i="11"/>
  <c r="BL5" i="3"/>
  <c r="BM4" i="3"/>
  <c r="BG11" i="9"/>
  <c r="BH15" i="9"/>
  <c r="BG12" i="9"/>
  <c r="BG10" i="9"/>
  <c r="BF48" i="9"/>
  <c r="BF35" i="9"/>
  <c r="BF39" i="9"/>
  <c r="BF42" i="9"/>
  <c r="BF46" i="9"/>
  <c r="BO4" i="7"/>
  <c r="BO4" i="6"/>
  <c r="BO4" i="2"/>
  <c r="BO9" i="2" s="1"/>
  <c r="BN5" i="6"/>
  <c r="BN6" i="6"/>
  <c r="BN10" i="6"/>
  <c r="BN12" i="6"/>
  <c r="BN9" i="6"/>
  <c r="BN8" i="6"/>
  <c r="BM17" i="7"/>
  <c r="BN5" i="7"/>
  <c r="BN6" i="7"/>
  <c r="BN10" i="7"/>
  <c r="BN7" i="7"/>
  <c r="BN8" i="2"/>
  <c r="BL3" i="3"/>
  <c r="BM2" i="3"/>
  <c r="BJ20" i="3" l="1" a="1"/>
  <c r="BJ20" i="3" s="1"/>
  <c r="BL10" i="38"/>
  <c r="BL16" i="38"/>
  <c r="BL9" i="38"/>
  <c r="BL11" i="38"/>
  <c r="BL15" i="38"/>
  <c r="BL22" i="38"/>
  <c r="BL17" i="38"/>
  <c r="BL18" i="38"/>
  <c r="BL20" i="38"/>
  <c r="BL19" i="38"/>
  <c r="BL21" i="38"/>
  <c r="BL24" i="38"/>
  <c r="BL26" i="38"/>
  <c r="BL29" i="38"/>
  <c r="BL25" i="38"/>
  <c r="BL30" i="38"/>
  <c r="BL32" i="38"/>
  <c r="BL34" i="38"/>
  <c r="BL27" i="38"/>
  <c r="BL28" i="38"/>
  <c r="BL33" i="38"/>
  <c r="BL36" i="38"/>
  <c r="BL35" i="38"/>
  <c r="BL39" i="38"/>
  <c r="BL37" i="38"/>
  <c r="BL31" i="38"/>
  <c r="BL38" i="38"/>
  <c r="BL44" i="38"/>
  <c r="BL46" i="38"/>
  <c r="BL50" i="38"/>
  <c r="BL52" i="38"/>
  <c r="BL53" i="38"/>
  <c r="BL55" i="38"/>
  <c r="BL57" i="38"/>
  <c r="BL43" i="38"/>
  <c r="BL45" i="38"/>
  <c r="BL51" i="38"/>
  <c r="BL49" i="38"/>
  <c r="BL54" i="38"/>
  <c r="BL56" i="38"/>
  <c r="BL58" i="38"/>
  <c r="BL60" i="38"/>
  <c r="BL62" i="38"/>
  <c r="BL64" i="38"/>
  <c r="BL63" i="38"/>
  <c r="BL67" i="38"/>
  <c r="BL71" i="38"/>
  <c r="BL73" i="38"/>
  <c r="BL75" i="38"/>
  <c r="BL59" i="38"/>
  <c r="BL61" i="38"/>
  <c r="BL41" i="38"/>
  <c r="BL66" i="38"/>
  <c r="BL72" i="38"/>
  <c r="BL65" i="38"/>
  <c r="BL76" i="38"/>
  <c r="BL74" i="38"/>
  <c r="BL77" i="38"/>
  <c r="BL79" i="38"/>
  <c r="BL81" i="38"/>
  <c r="BL83" i="38"/>
  <c r="BL78" i="38"/>
  <c r="BL80" i="38"/>
  <c r="BL82" i="38"/>
  <c r="BL84" i="38"/>
  <c r="BL86" i="38"/>
  <c r="BE24" i="9"/>
  <c r="BE21" i="9" s="1"/>
  <c r="BE23" i="9" s="1"/>
  <c r="BE36" i="9"/>
  <c r="BE37" i="9"/>
  <c r="BE27" i="9"/>
  <c r="BE28" i="9"/>
  <c r="BE25" i="9"/>
  <c r="BE26" i="9"/>
  <c r="BH18" i="9"/>
  <c r="BF16" i="9"/>
  <c r="BF17" i="9"/>
  <c r="BK87" i="38"/>
  <c r="BK89" i="38" s="1"/>
  <c r="BF22" i="9" s="1"/>
  <c r="BD23" i="9"/>
  <c r="BM8" i="38"/>
  <c r="BH9" i="9"/>
  <c r="BO9" i="7"/>
  <c r="BO14" i="7"/>
  <c r="BG41" i="9"/>
  <c r="BG40" i="9"/>
  <c r="BH14" i="9"/>
  <c r="BG34" i="9"/>
  <c r="BG38" i="9"/>
  <c r="AG30" i="9"/>
  <c r="BG20" i="9"/>
  <c r="BL100" i="3"/>
  <c r="BL93" i="3"/>
  <c r="BJ13" i="9"/>
  <c r="BM120" i="3"/>
  <c r="BG35" i="3"/>
  <c r="BG44" i="9"/>
  <c r="BG43" i="9"/>
  <c r="BO8" i="7"/>
  <c r="BM61" i="3"/>
  <c r="BO8" i="11"/>
  <c r="BH34" i="3"/>
  <c r="BO15" i="6"/>
  <c r="BO16" i="6"/>
  <c r="BO17" i="6"/>
  <c r="BO16" i="7"/>
  <c r="BO11" i="7"/>
  <c r="BO13" i="7"/>
  <c r="BO12" i="7"/>
  <c r="AF47" i="9"/>
  <c r="AF55" i="9"/>
  <c r="AF56" i="9" s="1"/>
  <c r="AU59" i="9"/>
  <c r="BH58" i="9" a="1"/>
  <c r="BH58" i="9" s="1"/>
  <c r="BM110" i="3" a="1"/>
  <c r="BM110" i="3" s="1"/>
  <c r="BO11" i="2"/>
  <c r="BO13" i="6"/>
  <c r="BO14" i="6"/>
  <c r="BO15" i="7"/>
  <c r="BI10" i="3"/>
  <c r="BI29" i="3" s="1"/>
  <c r="BJ8" i="3" a="1"/>
  <c r="BJ8" i="3" s="1"/>
  <c r="BJ6" i="3" a="1"/>
  <c r="BJ6" i="3" s="1"/>
  <c r="BJ9" i="3" a="1"/>
  <c r="BJ9" i="3" s="1"/>
  <c r="BN12" i="11"/>
  <c r="BM72" i="3"/>
  <c r="BN12" i="2"/>
  <c r="BK7" i="3" s="1" a="1"/>
  <c r="BK7" i="3" s="1"/>
  <c r="BN18" i="6"/>
  <c r="BM16" i="3"/>
  <c r="BM17" i="3"/>
  <c r="BM18" i="3"/>
  <c r="BM13" i="3"/>
  <c r="BM12" i="3"/>
  <c r="BM14" i="3"/>
  <c r="BO7" i="6"/>
  <c r="BO11" i="6"/>
  <c r="BO6" i="2"/>
  <c r="BO7" i="2"/>
  <c r="BO5" i="2"/>
  <c r="BO10" i="2"/>
  <c r="BO10" i="11"/>
  <c r="BG62" i="9"/>
  <c r="BJ21" i="3" s="1" a="1"/>
  <c r="BJ21" i="3" s="1"/>
  <c r="BJ22" i="3" s="1"/>
  <c r="BO5" i="11"/>
  <c r="BP4" i="11"/>
  <c r="BM5" i="3"/>
  <c r="BN4" i="3"/>
  <c r="BO9" i="11"/>
  <c r="BO6" i="11"/>
  <c r="BO11" i="11"/>
  <c r="BO7" i="11"/>
  <c r="BH11" i="9"/>
  <c r="BH12" i="9"/>
  <c r="BI15" i="9"/>
  <c r="BH10" i="9"/>
  <c r="BG48" i="9"/>
  <c r="BG39" i="9"/>
  <c r="BG42" i="9"/>
  <c r="BG46" i="9"/>
  <c r="BG35" i="9"/>
  <c r="BO8" i="2"/>
  <c r="BO5" i="6"/>
  <c r="BO10" i="6"/>
  <c r="BO12" i="6"/>
  <c r="BO6" i="6"/>
  <c r="BO8" i="6"/>
  <c r="BO9" i="6"/>
  <c r="BP4" i="7"/>
  <c r="BP4" i="2"/>
  <c r="BP9" i="2" s="1"/>
  <c r="BP4" i="6"/>
  <c r="BN17" i="7"/>
  <c r="BO6" i="7"/>
  <c r="BO7" i="7"/>
  <c r="BO5" i="7"/>
  <c r="BO10" i="7"/>
  <c r="BN2" i="3"/>
  <c r="BM3" i="3"/>
  <c r="BK20" i="3" l="1" a="1"/>
  <c r="BK20" i="3" s="1"/>
  <c r="BE29" i="9"/>
  <c r="BM10" i="38"/>
  <c r="BM17" i="38"/>
  <c r="BM19" i="38"/>
  <c r="BM15" i="38"/>
  <c r="BM16" i="38"/>
  <c r="BM18" i="38"/>
  <c r="BM20" i="38"/>
  <c r="BM9" i="38"/>
  <c r="BM22" i="38"/>
  <c r="BM24" i="38"/>
  <c r="BM11" i="38"/>
  <c r="BM21" i="38"/>
  <c r="BM25" i="38"/>
  <c r="BM26" i="38"/>
  <c r="BM28" i="38"/>
  <c r="BM29" i="38"/>
  <c r="BM30" i="38"/>
  <c r="BM32" i="38"/>
  <c r="BM34" i="38"/>
  <c r="BM27" i="38"/>
  <c r="BM31" i="38"/>
  <c r="BM33" i="38"/>
  <c r="BM36" i="38"/>
  <c r="BM35" i="38"/>
  <c r="BM37" i="38"/>
  <c r="BM41" i="38"/>
  <c r="BM43" i="38"/>
  <c r="BM45" i="38"/>
  <c r="BM49" i="38"/>
  <c r="BM51" i="38"/>
  <c r="BM38" i="38"/>
  <c r="BM44" i="38"/>
  <c r="BM46" i="38"/>
  <c r="BM50" i="38"/>
  <c r="BM52" i="38"/>
  <c r="BM39" i="38"/>
  <c r="BM59" i="38"/>
  <c r="BM61" i="38"/>
  <c r="BM63" i="38"/>
  <c r="BM56" i="38"/>
  <c r="BM53" i="38"/>
  <c r="BM58" i="38"/>
  <c r="BM60" i="38"/>
  <c r="BM62" i="38"/>
  <c r="BM57" i="38"/>
  <c r="BM54" i="38"/>
  <c r="BM65" i="38"/>
  <c r="BM64" i="38"/>
  <c r="BM67" i="38"/>
  <c r="BM71" i="38"/>
  <c r="BM73" i="38"/>
  <c r="BM55" i="38"/>
  <c r="BM66" i="38"/>
  <c r="BM72" i="38"/>
  <c r="BM74" i="38"/>
  <c r="BM76" i="38"/>
  <c r="BM77" i="38"/>
  <c r="BM75" i="38"/>
  <c r="BM78" i="38"/>
  <c r="BM79" i="38"/>
  <c r="BM84" i="38"/>
  <c r="BM80" i="38"/>
  <c r="BM81" i="38"/>
  <c r="BM82" i="38"/>
  <c r="BM83" i="38"/>
  <c r="BM86" i="38"/>
  <c r="BF24" i="9"/>
  <c r="BF29" i="9" s="1"/>
  <c r="BL87" i="38"/>
  <c r="BG24" i="9" s="1"/>
  <c r="BG17" i="9"/>
  <c r="BG16" i="9"/>
  <c r="BF36" i="9"/>
  <c r="BF37" i="9"/>
  <c r="BF27" i="9"/>
  <c r="BF25" i="9"/>
  <c r="BF28" i="9"/>
  <c r="BF26" i="9"/>
  <c r="BI18" i="9"/>
  <c r="AG31" i="9"/>
  <c r="BN8" i="38"/>
  <c r="BI9" i="9"/>
  <c r="BP9" i="7"/>
  <c r="BP14" i="7"/>
  <c r="BH41" i="9"/>
  <c r="BH40" i="9"/>
  <c r="BI14" i="9"/>
  <c r="BH34" i="9"/>
  <c r="BH38" i="9"/>
  <c r="BH20" i="9"/>
  <c r="BM100" i="3"/>
  <c r="BM93" i="3"/>
  <c r="BK13" i="9"/>
  <c r="BN120" i="3"/>
  <c r="BH35" i="3"/>
  <c r="BH44" i="9"/>
  <c r="BH43" i="9"/>
  <c r="BP8" i="7"/>
  <c r="BN61" i="3"/>
  <c r="BP8" i="11"/>
  <c r="BI34" i="3"/>
  <c r="BP15" i="6"/>
  <c r="BP16" i="6"/>
  <c r="BP17" i="6"/>
  <c r="BP16" i="7"/>
  <c r="BP11" i="7"/>
  <c r="BP12" i="7"/>
  <c r="BP13" i="7"/>
  <c r="AV59" i="9"/>
  <c r="BI58" i="9" a="1"/>
  <c r="BI58" i="9" s="1"/>
  <c r="BN110" i="3" a="1"/>
  <c r="BN110" i="3" s="1"/>
  <c r="BP11" i="2"/>
  <c r="BP13" i="6"/>
  <c r="BP14" i="6"/>
  <c r="BP15" i="7"/>
  <c r="BJ10" i="3"/>
  <c r="BJ29" i="3" s="1"/>
  <c r="BK8" i="3" a="1"/>
  <c r="BK8" i="3" s="1"/>
  <c r="BK6" i="3" a="1"/>
  <c r="BK6" i="3" s="1"/>
  <c r="BK9" i="3" a="1"/>
  <c r="BK9" i="3" s="1"/>
  <c r="BN72" i="3"/>
  <c r="BO12" i="11"/>
  <c r="BO12" i="2"/>
  <c r="BL7" i="3" s="1" a="1"/>
  <c r="BL7" i="3" s="1"/>
  <c r="BO18" i="6"/>
  <c r="BN13" i="3"/>
  <c r="BN12" i="3"/>
  <c r="BN16" i="3"/>
  <c r="BN18" i="3"/>
  <c r="BN17" i="3"/>
  <c r="BN14" i="3"/>
  <c r="BP7" i="6"/>
  <c r="BP11" i="6"/>
  <c r="BP6" i="2"/>
  <c r="BP7" i="2"/>
  <c r="BP5" i="2"/>
  <c r="BP10" i="2"/>
  <c r="BP10" i="11"/>
  <c r="BH62" i="9"/>
  <c r="BK21" i="3" s="1" a="1"/>
  <c r="BK21" i="3" s="1"/>
  <c r="BK22" i="3" s="1"/>
  <c r="BP5" i="11"/>
  <c r="BQ4" i="11"/>
  <c r="BN5" i="3"/>
  <c r="BO4" i="3"/>
  <c r="BO54" i="3" s="1"/>
  <c r="BP7" i="11"/>
  <c r="BP6" i="11"/>
  <c r="BP11" i="11"/>
  <c r="BP9" i="11"/>
  <c r="BI10" i="9"/>
  <c r="BI12" i="9"/>
  <c r="BI11" i="9"/>
  <c r="BJ15" i="9"/>
  <c r="BH48" i="9"/>
  <c r="BH39" i="9"/>
  <c r="BH42" i="9"/>
  <c r="BH46" i="9"/>
  <c r="BH35" i="9"/>
  <c r="BP5" i="7"/>
  <c r="BP6" i="7"/>
  <c r="BP7" i="7"/>
  <c r="BP10" i="7"/>
  <c r="BP10" i="6"/>
  <c r="BP12" i="6"/>
  <c r="BP8" i="6"/>
  <c r="BP9" i="6"/>
  <c r="BP6" i="6"/>
  <c r="BP5" i="6"/>
  <c r="BQ4" i="7"/>
  <c r="BQ4" i="6"/>
  <c r="BQ4" i="2"/>
  <c r="BQ9" i="2" s="1"/>
  <c r="BO17" i="7"/>
  <c r="BP8" i="2"/>
  <c r="BN3" i="3"/>
  <c r="BO2" i="3"/>
  <c r="BL20" i="3" l="1" a="1"/>
  <c r="BL20" i="3" s="1"/>
  <c r="BF21" i="9"/>
  <c r="BF23" i="9" s="1"/>
  <c r="BN9" i="38"/>
  <c r="BN11" i="38"/>
  <c r="BN15" i="38"/>
  <c r="BN10" i="38"/>
  <c r="BN16" i="38"/>
  <c r="BN17" i="38"/>
  <c r="BN19" i="38"/>
  <c r="BN18" i="38"/>
  <c r="BN20" i="38"/>
  <c r="BN22" i="38"/>
  <c r="BN25" i="38"/>
  <c r="BN24" i="38"/>
  <c r="BN26" i="38"/>
  <c r="BN31" i="38"/>
  <c r="BN33" i="38"/>
  <c r="BN35" i="38"/>
  <c r="BN21" i="38"/>
  <c r="BN29" i="38"/>
  <c r="BN30" i="38"/>
  <c r="BN32" i="38"/>
  <c r="BN34" i="38"/>
  <c r="BN38" i="38"/>
  <c r="BN36" i="38"/>
  <c r="BN27" i="38"/>
  <c r="BN41" i="38"/>
  <c r="BN43" i="38"/>
  <c r="BN45" i="38"/>
  <c r="BN49" i="38"/>
  <c r="BN51" i="38"/>
  <c r="BN37" i="38"/>
  <c r="BN28" i="38"/>
  <c r="BN44" i="38"/>
  <c r="BN46" i="38"/>
  <c r="BN50" i="38"/>
  <c r="BN52" i="38"/>
  <c r="BN39" i="38"/>
  <c r="BN53" i="38"/>
  <c r="BN55" i="38"/>
  <c r="BN57" i="38"/>
  <c r="BN54" i="38"/>
  <c r="BN59" i="38"/>
  <c r="BN61" i="38"/>
  <c r="BN63" i="38"/>
  <c r="BN56" i="38"/>
  <c r="BN58" i="38"/>
  <c r="BN60" i="38"/>
  <c r="BN62" i="38"/>
  <c r="BN65" i="38"/>
  <c r="BN64" i="38"/>
  <c r="BN67" i="38"/>
  <c r="BN71" i="38"/>
  <c r="BN73" i="38"/>
  <c r="BN75" i="38"/>
  <c r="BN78" i="38"/>
  <c r="BN80" i="38"/>
  <c r="BN82" i="38"/>
  <c r="BN66" i="38"/>
  <c r="BN74" i="38"/>
  <c r="BN76" i="38"/>
  <c r="BN77" i="38"/>
  <c r="BN79" i="38"/>
  <c r="BN81" i="38"/>
  <c r="BN83" i="38"/>
  <c r="BN72" i="38"/>
  <c r="BN84" i="38"/>
  <c r="BN86" i="38"/>
  <c r="BL89" i="38"/>
  <c r="BG22" i="9" s="1"/>
  <c r="BG21" i="9" s="1"/>
  <c r="BG23" i="9" s="1"/>
  <c r="BG37" i="9"/>
  <c r="BG36" i="9"/>
  <c r="BG26" i="9"/>
  <c r="BG27" i="9"/>
  <c r="BG25" i="9"/>
  <c r="BG28" i="9"/>
  <c r="BJ18" i="9"/>
  <c r="BH16" i="9"/>
  <c r="BH17" i="9"/>
  <c r="BM87" i="38"/>
  <c r="BM89" i="38" s="1"/>
  <c r="BH22" i="9" s="1"/>
  <c r="BG29" i="9"/>
  <c r="BO8" i="38"/>
  <c r="BJ9" i="9"/>
  <c r="BQ9" i="7"/>
  <c r="BQ14" i="7"/>
  <c r="BI41" i="9"/>
  <c r="BI40" i="9"/>
  <c r="BJ14" i="9"/>
  <c r="BI34" i="9"/>
  <c r="BI38" i="9"/>
  <c r="BI20" i="9"/>
  <c r="BN100" i="3"/>
  <c r="BN93" i="3"/>
  <c r="BL13" i="9"/>
  <c r="BO120" i="3"/>
  <c r="BI35" i="3"/>
  <c r="BI44" i="9"/>
  <c r="BI43" i="9"/>
  <c r="BQ8" i="7"/>
  <c r="BO59" i="3"/>
  <c r="BQ8" i="11"/>
  <c r="BJ34" i="3"/>
  <c r="BQ15" i="6"/>
  <c r="BQ16" i="6"/>
  <c r="BQ17" i="6"/>
  <c r="BQ16" i="7"/>
  <c r="BQ11" i="7"/>
  <c r="BQ12" i="7"/>
  <c r="BQ13" i="7"/>
  <c r="AG47" i="9"/>
  <c r="AG55" i="9"/>
  <c r="AG56" i="9" s="1"/>
  <c r="AW59" i="9"/>
  <c r="BJ58" i="9" a="1"/>
  <c r="BJ58" i="9" s="1"/>
  <c r="BO110" i="3" a="1"/>
  <c r="BO110" i="3" s="1"/>
  <c r="BQ11" i="2"/>
  <c r="BQ14" i="6"/>
  <c r="BQ13" i="6"/>
  <c r="BQ15" i="7"/>
  <c r="BK10" i="3"/>
  <c r="BK29" i="3" s="1"/>
  <c r="BL8" i="3" a="1"/>
  <c r="BL8" i="3" s="1"/>
  <c r="BL6" i="3" a="1"/>
  <c r="BL6" i="3" s="1"/>
  <c r="BL9" i="3" a="1"/>
  <c r="BL9" i="3" s="1"/>
  <c r="BO72" i="3"/>
  <c r="BP12" i="11"/>
  <c r="BP12" i="2"/>
  <c r="BM7" i="3" s="1" a="1"/>
  <c r="BM7" i="3" s="1"/>
  <c r="BP18" i="6"/>
  <c r="BQ7" i="6"/>
  <c r="BQ11" i="6"/>
  <c r="BQ7" i="2"/>
  <c r="BQ6" i="2"/>
  <c r="BQ5" i="2"/>
  <c r="BQ10" i="2"/>
  <c r="BQ10" i="11"/>
  <c r="BI62" i="9"/>
  <c r="BL21" i="3" s="1" a="1"/>
  <c r="BL21" i="3" s="1"/>
  <c r="BL22" i="3" s="1"/>
  <c r="BQ5" i="11"/>
  <c r="BQ7" i="11"/>
  <c r="BQ6" i="11"/>
  <c r="BQ11" i="11"/>
  <c r="BQ9" i="11"/>
  <c r="BR4" i="11"/>
  <c r="BO5" i="3"/>
  <c r="BP4" i="3"/>
  <c r="BJ10" i="9"/>
  <c r="BK15" i="9"/>
  <c r="BJ11" i="9"/>
  <c r="BJ12" i="9"/>
  <c r="BI46" i="9"/>
  <c r="BI48" i="9"/>
  <c r="BI35" i="9"/>
  <c r="BI39" i="9"/>
  <c r="BI42" i="9"/>
  <c r="BQ5" i="7"/>
  <c r="BQ7" i="7"/>
  <c r="BQ6" i="7"/>
  <c r="BQ10" i="7"/>
  <c r="BQ8" i="2"/>
  <c r="BP17" i="7"/>
  <c r="BR4" i="7"/>
  <c r="BR4" i="6"/>
  <c r="BR4" i="2"/>
  <c r="BR9" i="2" s="1"/>
  <c r="BQ5" i="6"/>
  <c r="BQ6" i="6"/>
  <c r="BQ10" i="6"/>
  <c r="BQ12" i="6"/>
  <c r="BQ8" i="6"/>
  <c r="BQ9" i="6"/>
  <c r="BP2" i="3"/>
  <c r="BO3" i="3"/>
  <c r="AX59" i="9" l="1"/>
  <c r="BO9" i="38"/>
  <c r="BO11" i="38"/>
  <c r="BO15" i="38"/>
  <c r="BO10" i="38"/>
  <c r="BO16" i="38"/>
  <c r="BO17" i="38"/>
  <c r="BO19" i="38"/>
  <c r="BO21" i="38"/>
  <c r="BO25" i="38"/>
  <c r="BO18" i="38"/>
  <c r="BO20" i="38"/>
  <c r="BO22" i="38"/>
  <c r="BO24" i="38"/>
  <c r="BO27" i="38"/>
  <c r="BO29" i="38"/>
  <c r="BO26" i="38"/>
  <c r="BO31" i="38"/>
  <c r="BO33" i="38"/>
  <c r="BO35" i="38"/>
  <c r="BO37" i="38"/>
  <c r="BO30" i="38"/>
  <c r="BO32" i="38"/>
  <c r="BO34" i="38"/>
  <c r="BO28" i="38"/>
  <c r="BO38" i="38"/>
  <c r="BO36" i="38"/>
  <c r="BO39" i="38"/>
  <c r="BO41" i="38"/>
  <c r="BO43" i="38"/>
  <c r="BO45" i="38"/>
  <c r="BO49" i="38"/>
  <c r="BO51" i="38"/>
  <c r="BO44" i="38"/>
  <c r="BO46" i="38"/>
  <c r="BO50" i="38"/>
  <c r="BO54" i="38"/>
  <c r="BO56" i="38"/>
  <c r="BO52" i="38"/>
  <c r="BO55" i="38"/>
  <c r="BO59" i="38"/>
  <c r="BO61" i="38"/>
  <c r="BO63" i="38"/>
  <c r="BO53" i="38"/>
  <c r="BO57" i="38"/>
  <c r="BO58" i="38"/>
  <c r="BO60" i="38"/>
  <c r="BO62" i="38"/>
  <c r="BO66" i="38"/>
  <c r="BO72" i="38"/>
  <c r="BO74" i="38"/>
  <c r="BO65" i="38"/>
  <c r="BO64" i="38"/>
  <c r="BO67" i="38"/>
  <c r="BO71" i="38"/>
  <c r="BO73" i="38"/>
  <c r="BO75" i="38"/>
  <c r="BO78" i="38"/>
  <c r="BO80" i="38"/>
  <c r="BO82" i="38"/>
  <c r="BO84" i="38"/>
  <c r="BO76" i="38"/>
  <c r="BO77" i="38"/>
  <c r="BO79" i="38"/>
  <c r="BO81" i="38"/>
  <c r="BO83" i="38"/>
  <c r="BO86" i="38"/>
  <c r="BH24" i="9"/>
  <c r="BH21" i="9" s="1"/>
  <c r="BH23" i="9" s="1"/>
  <c r="BK18" i="9"/>
  <c r="BN87" i="38"/>
  <c r="BI24" i="9" s="1"/>
  <c r="BH37" i="9"/>
  <c r="BH36" i="9"/>
  <c r="BH26" i="9"/>
  <c r="BH27" i="9"/>
  <c r="BH25" i="9"/>
  <c r="BH28" i="9"/>
  <c r="BI16" i="9"/>
  <c r="BI17" i="9"/>
  <c r="AH30" i="9"/>
  <c r="AH31" i="9" s="1"/>
  <c r="BP8" i="38"/>
  <c r="BK9" i="9"/>
  <c r="BR9" i="7"/>
  <c r="BR14" i="7"/>
  <c r="BJ41" i="9"/>
  <c r="BJ40" i="9"/>
  <c r="BK14" i="9"/>
  <c r="BJ34" i="9"/>
  <c r="BJ38" i="9"/>
  <c r="BJ20" i="9"/>
  <c r="BO100" i="3"/>
  <c r="BO93" i="3"/>
  <c r="BM13" i="9"/>
  <c r="BP120" i="3"/>
  <c r="BJ35" i="3"/>
  <c r="BJ44" i="9"/>
  <c r="BJ43" i="9"/>
  <c r="BR8" i="7"/>
  <c r="BP76" i="3"/>
  <c r="BP41" i="3"/>
  <c r="BP61" i="3"/>
  <c r="BR8" i="11"/>
  <c r="BK34" i="3"/>
  <c r="BR15" i="6"/>
  <c r="BR16" i="6"/>
  <c r="BR17" i="6"/>
  <c r="BR16" i="7"/>
  <c r="BR11" i="7"/>
  <c r="BR12" i="7"/>
  <c r="BR13" i="7"/>
  <c r="BM20" i="3" a="1"/>
  <c r="BM20" i="3" s="1"/>
  <c r="BK58" i="9" a="1"/>
  <c r="BK58" i="9" s="1"/>
  <c r="BR11" i="2"/>
  <c r="BR13" i="6"/>
  <c r="BR14" i="6"/>
  <c r="BR15" i="7"/>
  <c r="BL10" i="3"/>
  <c r="BL29" i="3" s="1"/>
  <c r="BM8" i="3" a="1"/>
  <c r="BM8" i="3" s="1"/>
  <c r="BM6" i="3" a="1"/>
  <c r="BM6" i="3" s="1"/>
  <c r="BM9" i="3" a="1"/>
  <c r="BM9" i="3" s="1"/>
  <c r="BP110" i="3" a="1"/>
  <c r="BP110" i="3" s="1"/>
  <c r="BQ12" i="11"/>
  <c r="BP72" i="3"/>
  <c r="BQ12" i="2"/>
  <c r="BN7" i="3" s="1" a="1"/>
  <c r="BN7" i="3" s="1"/>
  <c r="BQ18" i="6"/>
  <c r="BP13" i="3"/>
  <c r="BP14" i="3"/>
  <c r="BP12" i="3"/>
  <c r="BP16" i="3"/>
  <c r="BP17" i="3"/>
  <c r="BP18" i="3"/>
  <c r="BP28" i="3" s="1"/>
  <c r="BR7" i="6"/>
  <c r="BR11" i="6"/>
  <c r="BR7" i="2"/>
  <c r="BR6" i="2"/>
  <c r="BR5" i="2"/>
  <c r="BR10" i="2"/>
  <c r="BR10" i="11"/>
  <c r="BJ62" i="9"/>
  <c r="BM21" i="3" s="1" a="1"/>
  <c r="BM21" i="3" s="1"/>
  <c r="BR5" i="11"/>
  <c r="BR9" i="11"/>
  <c r="BR7" i="11"/>
  <c r="BR6" i="11"/>
  <c r="BR11" i="11"/>
  <c r="BS4" i="11"/>
  <c r="BP5" i="3"/>
  <c r="BQ4" i="3"/>
  <c r="BJ48" i="9"/>
  <c r="BJ35" i="9"/>
  <c r="BJ42" i="9"/>
  <c r="BJ39" i="9"/>
  <c r="BJ46" i="9"/>
  <c r="BK11" i="9"/>
  <c r="BL15" i="9"/>
  <c r="BK12" i="9"/>
  <c r="BK10" i="9"/>
  <c r="BR8" i="2"/>
  <c r="BS4" i="7"/>
  <c r="BS4" i="6"/>
  <c r="BS4" i="2"/>
  <c r="BS9" i="2" s="1"/>
  <c r="BR9" i="6"/>
  <c r="BR5" i="6"/>
  <c r="BR8" i="6"/>
  <c r="BR6" i="6"/>
  <c r="BR10" i="6"/>
  <c r="BR12" i="6"/>
  <c r="BQ17" i="7"/>
  <c r="BR10" i="7"/>
  <c r="BR5" i="7"/>
  <c r="BR6" i="7"/>
  <c r="BR7" i="7"/>
  <c r="BP3" i="3"/>
  <c r="BQ2" i="3"/>
  <c r="BN20" i="3" l="1" a="1"/>
  <c r="BN20" i="3" s="1"/>
  <c r="BH29" i="9"/>
  <c r="BP9" i="38"/>
  <c r="BP11" i="38"/>
  <c r="BP15" i="38"/>
  <c r="BP10" i="38"/>
  <c r="BP16" i="38"/>
  <c r="BP21" i="38"/>
  <c r="BP17" i="38"/>
  <c r="BP18" i="38"/>
  <c r="BP20" i="38"/>
  <c r="BP22" i="38"/>
  <c r="BP19" i="38"/>
  <c r="BP25" i="38"/>
  <c r="BP24" i="38"/>
  <c r="BP28" i="38"/>
  <c r="BP26" i="38"/>
  <c r="BP31" i="38"/>
  <c r="BP33" i="38"/>
  <c r="BP35" i="38"/>
  <c r="BP29" i="38"/>
  <c r="BP37" i="38"/>
  <c r="BP32" i="38"/>
  <c r="BP34" i="38"/>
  <c r="BP38" i="38"/>
  <c r="BP36" i="38"/>
  <c r="BP27" i="38"/>
  <c r="BP39" i="38"/>
  <c r="BP41" i="38"/>
  <c r="BP43" i="38"/>
  <c r="BP45" i="38"/>
  <c r="BP49" i="38"/>
  <c r="BP30" i="38"/>
  <c r="BP54" i="38"/>
  <c r="BP56" i="38"/>
  <c r="BP44" i="38"/>
  <c r="BP46" i="38"/>
  <c r="BP50" i="38"/>
  <c r="BP53" i="38"/>
  <c r="BP55" i="38"/>
  <c r="BP57" i="38"/>
  <c r="BP51" i="38"/>
  <c r="BP59" i="38"/>
  <c r="BP61" i="38"/>
  <c r="BP63" i="38"/>
  <c r="BP65" i="38"/>
  <c r="BP52" i="38"/>
  <c r="BP62" i="38"/>
  <c r="BP66" i="38"/>
  <c r="BP72" i="38"/>
  <c r="BP74" i="38"/>
  <c r="BP58" i="38"/>
  <c r="BP60" i="38"/>
  <c r="BP64" i="38"/>
  <c r="BP67" i="38"/>
  <c r="BP71" i="38"/>
  <c r="BP73" i="38"/>
  <c r="BP78" i="38"/>
  <c r="BP80" i="38"/>
  <c r="BP82" i="38"/>
  <c r="BP84" i="38"/>
  <c r="BP76" i="38"/>
  <c r="BP77" i="38"/>
  <c r="BP79" i="38"/>
  <c r="BP81" i="38"/>
  <c r="BP83" i="38"/>
  <c r="BP86" i="38"/>
  <c r="BP75" i="38"/>
  <c r="BN89" i="38"/>
  <c r="BI22" i="9" s="1"/>
  <c r="BI21" i="9" s="1"/>
  <c r="BI23" i="9" s="1"/>
  <c r="BJ16" i="9"/>
  <c r="BJ25" i="9" s="1"/>
  <c r="BI37" i="9"/>
  <c r="BI36" i="9"/>
  <c r="BI25" i="9"/>
  <c r="BI26" i="9"/>
  <c r="BI27" i="9"/>
  <c r="BI28" i="9"/>
  <c r="BJ17" i="9"/>
  <c r="BL18" i="9"/>
  <c r="BO87" i="38"/>
  <c r="BJ24" i="9" s="1"/>
  <c r="BI29" i="9"/>
  <c r="BQ8" i="38"/>
  <c r="BL9" i="9"/>
  <c r="BS9" i="7"/>
  <c r="BS14" i="7"/>
  <c r="BK41" i="9"/>
  <c r="BK40" i="9"/>
  <c r="BL14" i="9"/>
  <c r="BK34" i="9"/>
  <c r="BK38" i="9"/>
  <c r="BK20" i="9"/>
  <c r="BP100" i="3"/>
  <c r="BP93" i="3"/>
  <c r="BN13" i="9"/>
  <c r="BQ120" i="3"/>
  <c r="BK35" i="3"/>
  <c r="BK44" i="9"/>
  <c r="BK43" i="9"/>
  <c r="BQ41" i="3"/>
  <c r="BQ76" i="3"/>
  <c r="BS8" i="7"/>
  <c r="BQ61" i="3"/>
  <c r="BS8" i="11"/>
  <c r="BL34" i="3"/>
  <c r="BS15" i="6"/>
  <c r="BS16" i="6"/>
  <c r="BS17" i="6"/>
  <c r="BS16" i="7"/>
  <c r="BS11" i="7"/>
  <c r="BS13" i="7"/>
  <c r="BS12" i="7"/>
  <c r="AH47" i="9"/>
  <c r="AH55" i="9"/>
  <c r="AH56" i="9" s="1"/>
  <c r="BM22" i="3"/>
  <c r="AY59" i="9"/>
  <c r="BL58" i="9" a="1"/>
  <c r="BL58" i="9" s="1"/>
  <c r="BS11" i="2"/>
  <c r="BS14" i="6"/>
  <c r="BS13" i="6"/>
  <c r="BS15" i="7"/>
  <c r="BM10" i="3"/>
  <c r="BM29" i="3" s="1"/>
  <c r="BN8" i="3" a="1"/>
  <c r="BN8" i="3" s="1"/>
  <c r="BN6" i="3" a="1"/>
  <c r="BN6" i="3" s="1"/>
  <c r="BN9" i="3" a="1"/>
  <c r="BN9" i="3" s="1"/>
  <c r="BQ110" i="3" a="1"/>
  <c r="BQ110" i="3" s="1"/>
  <c r="BR12" i="11"/>
  <c r="BR12" i="2"/>
  <c r="BO7" i="3" s="1" a="1"/>
  <c r="BO7" i="3" s="1"/>
  <c r="BQ72" i="3"/>
  <c r="BR18" i="6"/>
  <c r="BQ12" i="3"/>
  <c r="BQ14" i="3"/>
  <c r="BQ13" i="3"/>
  <c r="BQ16" i="3"/>
  <c r="BQ17" i="3"/>
  <c r="BQ18" i="3"/>
  <c r="BQ28" i="3" s="1"/>
  <c r="BS7" i="6"/>
  <c r="BS11" i="6"/>
  <c r="BS7" i="2"/>
  <c r="BS6" i="2"/>
  <c r="BS5" i="2"/>
  <c r="BS10" i="2"/>
  <c r="BS10" i="11"/>
  <c r="BK62" i="9"/>
  <c r="BN21" i="3" s="1" a="1"/>
  <c r="BN21" i="3" s="1"/>
  <c r="BN22" i="3" s="1"/>
  <c r="BS5" i="11"/>
  <c r="BS9" i="11"/>
  <c r="BS7" i="11"/>
  <c r="BS11" i="11"/>
  <c r="BS6" i="11"/>
  <c r="BT4" i="11"/>
  <c r="BQ5" i="3"/>
  <c r="BR4" i="3"/>
  <c r="BL11" i="9"/>
  <c r="BL12" i="9"/>
  <c r="BM15" i="9"/>
  <c r="BL10" i="9"/>
  <c r="BK48" i="9"/>
  <c r="BK39" i="9"/>
  <c r="BK42" i="9"/>
  <c r="BK46" i="9"/>
  <c r="BK35" i="9"/>
  <c r="BR17" i="7"/>
  <c r="BS5" i="6"/>
  <c r="BS8" i="6"/>
  <c r="BS6" i="6"/>
  <c r="BS9" i="6"/>
  <c r="BS10" i="6"/>
  <c r="BS12" i="6"/>
  <c r="BT4" i="7"/>
  <c r="BT4" i="2"/>
  <c r="BT9" i="2" s="1"/>
  <c r="BT4" i="6"/>
  <c r="BS6" i="7"/>
  <c r="BS7" i="7"/>
  <c r="BS5" i="7"/>
  <c r="BS10" i="7"/>
  <c r="BS8" i="2"/>
  <c r="BR2" i="3"/>
  <c r="BQ3" i="3"/>
  <c r="BO20" i="3" l="1" a="1"/>
  <c r="BO20" i="3" s="1"/>
  <c r="BQ9" i="38"/>
  <c r="BQ11" i="38"/>
  <c r="BQ18" i="38"/>
  <c r="BQ20" i="38"/>
  <c r="BQ15" i="38"/>
  <c r="BQ17" i="38"/>
  <c r="BQ19" i="38"/>
  <c r="BQ16" i="38"/>
  <c r="BQ10" i="38"/>
  <c r="BQ21" i="38"/>
  <c r="BQ22" i="38"/>
  <c r="BQ25" i="38"/>
  <c r="BQ27" i="38"/>
  <c r="BQ24" i="38"/>
  <c r="BQ28" i="38"/>
  <c r="BQ26" i="38"/>
  <c r="BQ31" i="38"/>
  <c r="BQ33" i="38"/>
  <c r="BQ35" i="38"/>
  <c r="BQ29" i="38"/>
  <c r="BQ30" i="38"/>
  <c r="BQ37" i="38"/>
  <c r="BQ32" i="38"/>
  <c r="BQ34" i="38"/>
  <c r="BQ36" i="38"/>
  <c r="BQ44" i="38"/>
  <c r="BQ46" i="38"/>
  <c r="BQ50" i="38"/>
  <c r="BQ39" i="38"/>
  <c r="BQ41" i="38"/>
  <c r="BQ43" i="38"/>
  <c r="BQ45" i="38"/>
  <c r="BQ49" i="38"/>
  <c r="BQ51" i="38"/>
  <c r="BQ38" i="38"/>
  <c r="BQ52" i="38"/>
  <c r="BQ58" i="38"/>
  <c r="BQ60" i="38"/>
  <c r="BQ62" i="38"/>
  <c r="BQ55" i="38"/>
  <c r="BQ59" i="38"/>
  <c r="BQ61" i="38"/>
  <c r="BQ63" i="38"/>
  <c r="BQ56" i="38"/>
  <c r="BQ53" i="38"/>
  <c r="BQ54" i="38"/>
  <c r="BQ66" i="38"/>
  <c r="BQ72" i="38"/>
  <c r="BQ74" i="38"/>
  <c r="BQ65" i="38"/>
  <c r="BQ57" i="38"/>
  <c r="BQ64" i="38"/>
  <c r="BQ67" i="38"/>
  <c r="BQ71" i="38"/>
  <c r="BQ73" i="38"/>
  <c r="BQ75" i="38"/>
  <c r="BQ76" i="38"/>
  <c r="BQ77" i="38"/>
  <c r="BQ78" i="38"/>
  <c r="BQ79" i="38"/>
  <c r="BQ86" i="38"/>
  <c r="BQ80" i="38"/>
  <c r="BQ84" i="38"/>
  <c r="BQ81" i="38"/>
  <c r="BQ82" i="38"/>
  <c r="BQ83" i="38"/>
  <c r="BJ28" i="9"/>
  <c r="BJ27" i="9"/>
  <c r="BJ36" i="9"/>
  <c r="BO89" i="38"/>
  <c r="BJ22" i="9" s="1"/>
  <c r="BJ21" i="9" s="1"/>
  <c r="BJ23" i="9" s="1"/>
  <c r="BJ37" i="9"/>
  <c r="BP87" i="38"/>
  <c r="BK24" i="9" s="1"/>
  <c r="BJ26" i="9"/>
  <c r="BK17" i="9"/>
  <c r="BK16" i="9"/>
  <c r="BM18" i="9"/>
  <c r="AI30" i="9"/>
  <c r="AI31" i="9" s="1"/>
  <c r="BJ29" i="9"/>
  <c r="BR8" i="38"/>
  <c r="BM9" i="9"/>
  <c r="BT9" i="7"/>
  <c r="BT14" i="7"/>
  <c r="BL41" i="9"/>
  <c r="BL40" i="9"/>
  <c r="BM14" i="9"/>
  <c r="BL34" i="9"/>
  <c r="BL38" i="9"/>
  <c r="BL20" i="9"/>
  <c r="BQ100" i="3"/>
  <c r="BQ93" i="3"/>
  <c r="BO13" i="9"/>
  <c r="BR120" i="3"/>
  <c r="BL35" i="3"/>
  <c r="BL44" i="9"/>
  <c r="BL43" i="9"/>
  <c r="BR76" i="3"/>
  <c r="BR41" i="3"/>
  <c r="BT8" i="7"/>
  <c r="BR61" i="3"/>
  <c r="BT8" i="11"/>
  <c r="BM34" i="3"/>
  <c r="BT15" i="6"/>
  <c r="BT16" i="6"/>
  <c r="BT17" i="6"/>
  <c r="BT16" i="7"/>
  <c r="BT11" i="7"/>
  <c r="BT12" i="7"/>
  <c r="BT13" i="7"/>
  <c r="AZ59" i="9"/>
  <c r="BM58" i="9" a="1"/>
  <c r="BM58" i="9" s="1"/>
  <c r="BT11" i="2"/>
  <c r="BT13" i="6"/>
  <c r="BT14" i="6"/>
  <c r="BT15" i="7"/>
  <c r="BN10" i="3"/>
  <c r="BN29" i="3" s="1"/>
  <c r="BO8" i="3" a="1"/>
  <c r="BO8" i="3" s="1"/>
  <c r="BO6" i="3" a="1"/>
  <c r="BO6" i="3" s="1"/>
  <c r="BO9" i="3" a="1"/>
  <c r="BO9" i="3" s="1"/>
  <c r="BR110" i="3" a="1"/>
  <c r="BR110" i="3" s="1"/>
  <c r="BR72" i="3"/>
  <c r="BS12" i="11"/>
  <c r="BS12" i="2"/>
  <c r="BP7" i="3" s="1" a="1"/>
  <c r="BP7" i="3" s="1"/>
  <c r="BS18" i="6"/>
  <c r="BR16" i="3"/>
  <c r="BR14" i="3"/>
  <c r="BR12" i="3"/>
  <c r="BR17" i="3"/>
  <c r="BR18" i="3"/>
  <c r="BR28" i="3" s="1"/>
  <c r="BR13" i="3"/>
  <c r="BT7" i="6"/>
  <c r="BT11" i="6"/>
  <c r="BT6" i="2"/>
  <c r="BT7" i="2"/>
  <c r="BT5" i="2"/>
  <c r="BT10" i="2"/>
  <c r="BT10" i="11"/>
  <c r="BL62" i="9"/>
  <c r="BO21" i="3" s="1" a="1"/>
  <c r="BO21" i="3" s="1"/>
  <c r="BO22" i="3" s="1"/>
  <c r="BT5" i="11"/>
  <c r="BU4" i="11"/>
  <c r="BR5" i="3"/>
  <c r="BS4" i="3"/>
  <c r="BT9" i="11"/>
  <c r="BT7" i="11"/>
  <c r="BT11" i="11"/>
  <c r="BT6" i="11"/>
  <c r="BM10" i="9"/>
  <c r="BN15" i="9"/>
  <c r="BM11" i="9"/>
  <c r="BM12" i="9"/>
  <c r="BL48" i="9"/>
  <c r="BL39" i="9"/>
  <c r="BL42" i="9"/>
  <c r="BL46" i="9"/>
  <c r="BL35" i="9"/>
  <c r="BT6" i="7"/>
  <c r="BT5" i="7"/>
  <c r="BT10" i="7"/>
  <c r="BT7" i="7"/>
  <c r="BT12" i="6"/>
  <c r="BT9" i="6"/>
  <c r="BT10" i="6"/>
  <c r="BT8" i="6"/>
  <c r="BT6" i="6"/>
  <c r="BT5" i="6"/>
  <c r="BU4" i="7"/>
  <c r="BU4" i="6"/>
  <c r="BU4" i="2"/>
  <c r="BU9" i="2" s="1"/>
  <c r="BS17" i="7"/>
  <c r="BT8" i="2"/>
  <c r="BR3" i="3"/>
  <c r="BS2" i="3"/>
  <c r="BP20" i="3" l="1" a="1"/>
  <c r="BP20" i="3" s="1"/>
  <c r="BR10" i="38"/>
  <c r="BR16" i="38"/>
  <c r="BR9" i="38"/>
  <c r="BR11" i="38"/>
  <c r="BR15" i="38"/>
  <c r="BR18" i="38"/>
  <c r="BR20" i="38"/>
  <c r="BR17" i="38"/>
  <c r="BR19" i="38"/>
  <c r="BR21" i="38"/>
  <c r="BR26" i="38"/>
  <c r="BR25" i="38"/>
  <c r="BR27" i="38"/>
  <c r="BR24" i="38"/>
  <c r="BR30" i="38"/>
  <c r="BR32" i="38"/>
  <c r="BR34" i="38"/>
  <c r="BR28" i="38"/>
  <c r="BR31" i="38"/>
  <c r="BR33" i="38"/>
  <c r="BR22" i="38"/>
  <c r="BR29" i="38"/>
  <c r="BR39" i="38"/>
  <c r="BR37" i="38"/>
  <c r="BR35" i="38"/>
  <c r="BR38" i="38"/>
  <c r="BR44" i="38"/>
  <c r="BR46" i="38"/>
  <c r="BR50" i="38"/>
  <c r="BR52" i="38"/>
  <c r="BR41" i="38"/>
  <c r="BR43" i="38"/>
  <c r="BR45" i="38"/>
  <c r="BR49" i="38"/>
  <c r="BR36" i="38"/>
  <c r="BR54" i="38"/>
  <c r="BR56" i="38"/>
  <c r="BR51" i="38"/>
  <c r="BR53" i="38"/>
  <c r="BR55" i="38"/>
  <c r="BR57" i="38"/>
  <c r="BR58" i="38"/>
  <c r="BR60" i="38"/>
  <c r="BR62" i="38"/>
  <c r="BR59" i="38"/>
  <c r="BR61" i="38"/>
  <c r="BR63" i="38"/>
  <c r="BR66" i="38"/>
  <c r="BR72" i="38"/>
  <c r="BR74" i="38"/>
  <c r="BR76" i="38"/>
  <c r="BR65" i="38"/>
  <c r="BR77" i="38"/>
  <c r="BR79" i="38"/>
  <c r="BR81" i="38"/>
  <c r="BR83" i="38"/>
  <c r="BR75" i="38"/>
  <c r="BR67" i="38"/>
  <c r="BR64" i="38"/>
  <c r="BR78" i="38"/>
  <c r="BR80" i="38"/>
  <c r="BR82" i="38"/>
  <c r="BR71" i="38"/>
  <c r="BR73" i="38"/>
  <c r="BR86" i="38"/>
  <c r="BR84" i="38"/>
  <c r="BP89" i="38"/>
  <c r="BK22" i="9" s="1"/>
  <c r="BK21" i="9" s="1"/>
  <c r="BK23" i="9" s="1"/>
  <c r="BQ87" i="38"/>
  <c r="BQ89" i="38" s="1"/>
  <c r="BL22" i="9" s="1"/>
  <c r="BN18" i="9"/>
  <c r="BL17" i="9"/>
  <c r="BL16" i="9"/>
  <c r="BK36" i="9"/>
  <c r="BK37" i="9"/>
  <c r="BK25" i="9"/>
  <c r="BK26" i="9"/>
  <c r="BK27" i="9"/>
  <c r="BK28" i="9"/>
  <c r="BK29" i="9"/>
  <c r="BS8" i="38"/>
  <c r="BN9" i="9"/>
  <c r="BU9" i="7"/>
  <c r="BU14" i="7"/>
  <c r="BM41" i="9"/>
  <c r="BM40" i="9"/>
  <c r="BN14" i="9"/>
  <c r="BM34" i="9"/>
  <c r="BM38" i="9"/>
  <c r="BM20" i="9"/>
  <c r="BR100" i="3"/>
  <c r="BR93" i="3"/>
  <c r="BP13" i="9"/>
  <c r="BS120" i="3"/>
  <c r="BM35" i="3"/>
  <c r="BM44" i="9"/>
  <c r="BM43" i="9"/>
  <c r="BS76" i="3"/>
  <c r="BS41" i="3"/>
  <c r="BU8" i="7"/>
  <c r="BS61" i="3"/>
  <c r="BU8" i="11"/>
  <c r="BN34" i="3"/>
  <c r="BU15" i="6"/>
  <c r="BU16" i="6"/>
  <c r="BU17" i="6"/>
  <c r="BU16" i="7"/>
  <c r="BU13" i="7"/>
  <c r="BU11" i="7"/>
  <c r="BU12" i="7"/>
  <c r="AI47" i="9"/>
  <c r="AI55" i="9"/>
  <c r="AI56" i="9" s="1"/>
  <c r="BA59" i="9"/>
  <c r="BN58" i="9" a="1"/>
  <c r="BN58" i="9" s="1"/>
  <c r="BU11" i="2"/>
  <c r="BU14" i="6"/>
  <c r="BU13" i="6"/>
  <c r="BO10" i="3"/>
  <c r="BO29" i="3" s="1"/>
  <c r="BU15" i="7"/>
  <c r="BP8" i="3" a="1"/>
  <c r="BP8" i="3" s="1"/>
  <c r="BP6" i="3" a="1"/>
  <c r="BP6" i="3" s="1"/>
  <c r="BP9" i="3" a="1"/>
  <c r="BP9" i="3" s="1"/>
  <c r="BS110" i="3" a="1"/>
  <c r="BS110" i="3" s="1"/>
  <c r="BT12" i="11"/>
  <c r="BT12" i="2"/>
  <c r="BQ7" i="3" s="1" a="1"/>
  <c r="BQ7" i="3" s="1"/>
  <c r="BS72" i="3"/>
  <c r="BT18" i="6"/>
  <c r="BS12" i="3"/>
  <c r="BS13" i="3"/>
  <c r="BS14" i="3"/>
  <c r="BS16" i="3"/>
  <c r="BS17" i="3"/>
  <c r="BS18" i="3"/>
  <c r="BS28" i="3" s="1"/>
  <c r="BU7" i="6"/>
  <c r="BU11" i="6"/>
  <c r="BU6" i="2"/>
  <c r="BU7" i="2"/>
  <c r="BU5" i="2"/>
  <c r="BU10" i="2"/>
  <c r="BU10" i="11"/>
  <c r="BM62" i="9"/>
  <c r="BP21" i="3" s="1" a="1"/>
  <c r="BP21" i="3" s="1"/>
  <c r="BP22" i="3" s="1"/>
  <c r="BU5" i="11"/>
  <c r="BU7" i="11"/>
  <c r="BU11" i="11"/>
  <c r="BU9" i="11"/>
  <c r="BU6" i="11"/>
  <c r="BV4" i="11"/>
  <c r="BS5" i="3"/>
  <c r="BT4" i="3"/>
  <c r="BM46" i="9"/>
  <c r="BM48" i="9"/>
  <c r="BM35" i="9"/>
  <c r="BM39" i="9"/>
  <c r="BM42" i="9"/>
  <c r="BN10" i="9"/>
  <c r="BO15" i="9"/>
  <c r="BN11" i="9"/>
  <c r="BN12" i="9"/>
  <c r="BU5" i="6"/>
  <c r="BU12" i="6"/>
  <c r="BU9" i="6"/>
  <c r="BU6" i="6"/>
  <c r="BU8" i="6"/>
  <c r="BU10" i="6"/>
  <c r="BT17" i="7"/>
  <c r="BU7" i="7"/>
  <c r="BU6" i="7"/>
  <c r="BU5" i="7"/>
  <c r="BU10" i="7"/>
  <c r="BV4" i="7"/>
  <c r="BV4" i="6"/>
  <c r="BV4" i="2"/>
  <c r="BV9" i="2" s="1"/>
  <c r="BU8" i="2"/>
  <c r="BT2" i="3"/>
  <c r="BS3" i="3"/>
  <c r="BQ20" i="3" l="1" a="1"/>
  <c r="BQ20" i="3" s="1"/>
  <c r="BS10" i="38"/>
  <c r="BS16" i="38"/>
  <c r="BS9" i="38"/>
  <c r="BS11" i="38"/>
  <c r="BS15" i="38"/>
  <c r="BS18" i="38"/>
  <c r="BS22" i="38"/>
  <c r="BS24" i="38"/>
  <c r="BS17" i="38"/>
  <c r="BS21" i="38"/>
  <c r="BS20" i="38"/>
  <c r="BS26" i="38"/>
  <c r="BS28" i="38"/>
  <c r="BS19" i="38"/>
  <c r="BS25" i="38"/>
  <c r="BS27" i="38"/>
  <c r="BS30" i="38"/>
  <c r="BS32" i="38"/>
  <c r="BS34" i="38"/>
  <c r="BS36" i="38"/>
  <c r="BS31" i="38"/>
  <c r="BS33" i="38"/>
  <c r="BS35" i="38"/>
  <c r="BS29" i="38"/>
  <c r="BS37" i="38"/>
  <c r="BS38" i="38"/>
  <c r="BS44" i="38"/>
  <c r="BS46" i="38"/>
  <c r="BS50" i="38"/>
  <c r="BS52" i="38"/>
  <c r="BS39" i="38"/>
  <c r="BS41" i="38"/>
  <c r="BS43" i="38"/>
  <c r="BS45" i="38"/>
  <c r="BS49" i="38"/>
  <c r="BS53" i="38"/>
  <c r="BS55" i="38"/>
  <c r="BS57" i="38"/>
  <c r="BS54" i="38"/>
  <c r="BS58" i="38"/>
  <c r="BS60" i="38"/>
  <c r="BS62" i="38"/>
  <c r="BS64" i="38"/>
  <c r="BS51" i="38"/>
  <c r="BS56" i="38"/>
  <c r="BS59" i="38"/>
  <c r="BS61" i="38"/>
  <c r="BS63" i="38"/>
  <c r="BS67" i="38"/>
  <c r="BS71" i="38"/>
  <c r="BS73" i="38"/>
  <c r="BS75" i="38"/>
  <c r="BS66" i="38"/>
  <c r="BS72" i="38"/>
  <c r="BS74" i="38"/>
  <c r="BS65" i="38"/>
  <c r="BS77" i="38"/>
  <c r="BS79" i="38"/>
  <c r="BS81" i="38"/>
  <c r="BS83" i="38"/>
  <c r="BS78" i="38"/>
  <c r="BS80" i="38"/>
  <c r="BS82" i="38"/>
  <c r="BS84" i="38"/>
  <c r="BS76" i="38"/>
  <c r="BS86" i="38"/>
  <c r="BL24" i="9"/>
  <c r="BL21" i="9" s="1"/>
  <c r="BL23" i="9" s="1"/>
  <c r="BR87" i="38"/>
  <c r="BM24" i="9" s="1"/>
  <c r="BL36" i="9"/>
  <c r="BL37" i="9"/>
  <c r="BL27" i="9"/>
  <c r="BL25" i="9"/>
  <c r="BL28" i="9"/>
  <c r="BL26" i="9"/>
  <c r="BO18" i="9"/>
  <c r="BM17" i="9"/>
  <c r="BM16" i="9"/>
  <c r="AJ30" i="9"/>
  <c r="AJ31" i="9" s="1"/>
  <c r="BT8" i="38"/>
  <c r="BO9" i="9"/>
  <c r="BV9" i="7"/>
  <c r="BV14" i="7"/>
  <c r="BN41" i="9"/>
  <c r="BN40" i="9"/>
  <c r="BO14" i="9"/>
  <c r="BN34" i="9"/>
  <c r="BN38" i="9"/>
  <c r="BN20" i="9"/>
  <c r="BS100" i="3"/>
  <c r="BS93" i="3"/>
  <c r="BQ13" i="9"/>
  <c r="BT120" i="3"/>
  <c r="BN35" i="3"/>
  <c r="BN44" i="9"/>
  <c r="BN43" i="9"/>
  <c r="BV8" i="7"/>
  <c r="BT41" i="3"/>
  <c r="BT76" i="3"/>
  <c r="BT61" i="3"/>
  <c r="BV8" i="11"/>
  <c r="BO34" i="3"/>
  <c r="BV15" i="6"/>
  <c r="BV16" i="6"/>
  <c r="BV17" i="6"/>
  <c r="BV16" i="7"/>
  <c r="BV11" i="7"/>
  <c r="BV12" i="7"/>
  <c r="BV13" i="7"/>
  <c r="BB59" i="9"/>
  <c r="BO58" i="9" a="1"/>
  <c r="BO58" i="9" s="1"/>
  <c r="BV11" i="2"/>
  <c r="BV13" i="6"/>
  <c r="BV14" i="6"/>
  <c r="BP10" i="3"/>
  <c r="BP29" i="3" s="1"/>
  <c r="BV15" i="7"/>
  <c r="BQ8" i="3" a="1"/>
  <c r="BQ8" i="3" s="1"/>
  <c r="BQ6" i="3" a="1"/>
  <c r="BQ6" i="3" s="1"/>
  <c r="BQ9" i="3" a="1"/>
  <c r="BQ9" i="3" s="1"/>
  <c r="BT110" i="3" a="1"/>
  <c r="BT110" i="3" s="1"/>
  <c r="BT72" i="3"/>
  <c r="BU12" i="11"/>
  <c r="BU12" i="2"/>
  <c r="BR7" i="3" s="1" a="1"/>
  <c r="BR7" i="3" s="1"/>
  <c r="BU18" i="6"/>
  <c r="BT13" i="3"/>
  <c r="BT16" i="3"/>
  <c r="BT14" i="3"/>
  <c r="BT12" i="3"/>
  <c r="BT17" i="3"/>
  <c r="BT18" i="3"/>
  <c r="BV7" i="6"/>
  <c r="BV11" i="6"/>
  <c r="BV7" i="2"/>
  <c r="BV6" i="2"/>
  <c r="BV5" i="2"/>
  <c r="BV10" i="2"/>
  <c r="BV10" i="11"/>
  <c r="BN62" i="9"/>
  <c r="BQ21" i="3" s="1" a="1"/>
  <c r="BQ21" i="3" s="1"/>
  <c r="BQ22" i="3" s="1"/>
  <c r="BV5" i="11"/>
  <c r="BV9" i="11"/>
  <c r="BV7" i="11"/>
  <c r="BV6" i="11"/>
  <c r="BV11" i="11"/>
  <c r="BW4" i="11"/>
  <c r="BT5" i="3"/>
  <c r="BU4" i="3"/>
  <c r="BN48" i="9"/>
  <c r="BN35" i="9"/>
  <c r="BN42" i="9"/>
  <c r="BN39" i="9"/>
  <c r="BN46" i="9"/>
  <c r="BO11" i="9"/>
  <c r="BP15" i="9"/>
  <c r="BO12" i="9"/>
  <c r="BO10" i="9"/>
  <c r="BV8" i="2"/>
  <c r="BV5" i="6"/>
  <c r="BV10" i="6"/>
  <c r="BV12" i="6"/>
  <c r="BV9" i="6"/>
  <c r="BV6" i="6"/>
  <c r="BV8" i="6"/>
  <c r="BW4" i="7"/>
  <c r="BW4" i="6"/>
  <c r="BW4" i="2"/>
  <c r="BW9" i="2" s="1"/>
  <c r="BV10" i="7"/>
  <c r="BV5" i="7"/>
  <c r="BV7" i="7"/>
  <c r="BV6" i="7"/>
  <c r="BU17" i="7"/>
  <c r="BT3" i="3"/>
  <c r="BU2" i="3"/>
  <c r="BR20" i="3" l="1" a="1"/>
  <c r="BR20" i="3" s="1"/>
  <c r="BL29" i="9"/>
  <c r="BT10" i="38"/>
  <c r="BT16" i="38"/>
  <c r="BT9" i="38"/>
  <c r="BT11" i="38"/>
  <c r="BT15" i="38"/>
  <c r="BT19" i="38"/>
  <c r="BT22" i="38"/>
  <c r="BT17" i="38"/>
  <c r="BT21" i="38"/>
  <c r="BT18" i="38"/>
  <c r="BT20" i="38"/>
  <c r="BT27" i="38"/>
  <c r="BT29" i="38"/>
  <c r="BT30" i="38"/>
  <c r="BT32" i="38"/>
  <c r="BT34" i="38"/>
  <c r="BT25" i="38"/>
  <c r="BT26" i="38"/>
  <c r="BT28" i="38"/>
  <c r="BT24" i="38"/>
  <c r="BT36" i="38"/>
  <c r="BT31" i="38"/>
  <c r="BT33" i="38"/>
  <c r="BT39" i="38"/>
  <c r="BT37" i="38"/>
  <c r="BT35" i="38"/>
  <c r="BT44" i="38"/>
  <c r="BT46" i="38"/>
  <c r="BT50" i="38"/>
  <c r="BT38" i="38"/>
  <c r="BT53" i="38"/>
  <c r="BT55" i="38"/>
  <c r="BT57" i="38"/>
  <c r="BT43" i="38"/>
  <c r="BT45" i="38"/>
  <c r="BT49" i="38"/>
  <c r="BT54" i="38"/>
  <c r="BT56" i="38"/>
  <c r="BT41" i="38"/>
  <c r="BT51" i="38"/>
  <c r="BT58" i="38"/>
  <c r="BT60" i="38"/>
  <c r="BT62" i="38"/>
  <c r="BT64" i="38"/>
  <c r="BT52" i="38"/>
  <c r="BT67" i="38"/>
  <c r="BT71" i="38"/>
  <c r="BT73" i="38"/>
  <c r="BT75" i="38"/>
  <c r="BT59" i="38"/>
  <c r="BT63" i="38"/>
  <c r="BT61" i="38"/>
  <c r="BT66" i="38"/>
  <c r="BT72" i="38"/>
  <c r="BT65" i="38"/>
  <c r="BT76" i="38"/>
  <c r="BT77" i="38"/>
  <c r="BT79" i="38"/>
  <c r="BT81" i="38"/>
  <c r="BT83" i="38"/>
  <c r="BT74" i="38"/>
  <c r="BT78" i="38"/>
  <c r="BT80" i="38"/>
  <c r="BT82" i="38"/>
  <c r="BT84" i="38"/>
  <c r="BT86" i="38"/>
  <c r="BR89" i="38"/>
  <c r="BM22" i="9" s="1"/>
  <c r="BN16" i="9"/>
  <c r="BN36" i="9" s="1"/>
  <c r="BP18" i="9"/>
  <c r="BM36" i="9"/>
  <c r="BM37" i="9"/>
  <c r="BM27" i="9"/>
  <c r="BM25" i="9"/>
  <c r="BM26" i="9"/>
  <c r="BM28" i="9"/>
  <c r="BS87" i="38"/>
  <c r="BN24" i="9" s="1"/>
  <c r="BN17" i="9"/>
  <c r="BM21" i="9"/>
  <c r="BM23" i="9" s="1"/>
  <c r="BM29" i="9"/>
  <c r="BU8" i="38"/>
  <c r="BP9" i="9"/>
  <c r="BW9" i="7"/>
  <c r="BW14" i="7"/>
  <c r="BO41" i="9"/>
  <c r="BO40" i="9"/>
  <c r="BP14" i="9"/>
  <c r="BO34" i="9"/>
  <c r="BO38" i="9"/>
  <c r="BO20" i="9"/>
  <c r="BT100" i="3"/>
  <c r="BT93" i="3"/>
  <c r="BR13" i="9"/>
  <c r="BU120" i="3"/>
  <c r="BT28" i="3"/>
  <c r="BO35" i="3"/>
  <c r="BO44" i="9"/>
  <c r="BO43" i="9"/>
  <c r="BU76" i="3"/>
  <c r="BU41" i="3"/>
  <c r="BW8" i="7"/>
  <c r="BU61" i="3"/>
  <c r="BW8" i="11"/>
  <c r="BP34" i="3"/>
  <c r="BW15" i="6"/>
  <c r="BW16" i="6"/>
  <c r="BW17" i="6"/>
  <c r="BW16" i="7"/>
  <c r="BW11" i="7"/>
  <c r="BW13" i="7"/>
  <c r="BW12" i="7"/>
  <c r="AJ47" i="9"/>
  <c r="AJ55" i="9"/>
  <c r="AJ56" i="9" s="1"/>
  <c r="BC59" i="9"/>
  <c r="BP58" i="9" a="1"/>
  <c r="BP58" i="9" s="1"/>
  <c r="BW11" i="2"/>
  <c r="BW13" i="6"/>
  <c r="BW14" i="6"/>
  <c r="BW15" i="7"/>
  <c r="BQ10" i="3"/>
  <c r="BQ29" i="3" s="1"/>
  <c r="BR8" i="3" a="1"/>
  <c r="BR8" i="3" s="1"/>
  <c r="BR6" i="3" a="1"/>
  <c r="BR6" i="3" s="1"/>
  <c r="BR9" i="3" a="1"/>
  <c r="BR9" i="3" s="1"/>
  <c r="BU110" i="3" a="1"/>
  <c r="BU110" i="3" s="1"/>
  <c r="BV12" i="11"/>
  <c r="BV12" i="2"/>
  <c r="BS7" i="3" s="1" a="1"/>
  <c r="BS7" i="3" s="1"/>
  <c r="BU72" i="3"/>
  <c r="BV18" i="6"/>
  <c r="BU12" i="3"/>
  <c r="BU18" i="3"/>
  <c r="BU14" i="3"/>
  <c r="BU16" i="3"/>
  <c r="BU13" i="3"/>
  <c r="BU17" i="3"/>
  <c r="BW7" i="6"/>
  <c r="BW11" i="6"/>
  <c r="BW7" i="2"/>
  <c r="BW6" i="2"/>
  <c r="BW5" i="2"/>
  <c r="BW10" i="2"/>
  <c r="BW10" i="11"/>
  <c r="BO62" i="9"/>
  <c r="BR21" i="3" s="1" a="1"/>
  <c r="BR21" i="3" s="1"/>
  <c r="BR22" i="3" s="1"/>
  <c r="BW5" i="11"/>
  <c r="BX4" i="11"/>
  <c r="BU5" i="3"/>
  <c r="BV4" i="3"/>
  <c r="BW7" i="11"/>
  <c r="BW9" i="11"/>
  <c r="BW6" i="11"/>
  <c r="BW11" i="11"/>
  <c r="BP10" i="9"/>
  <c r="BP11" i="9"/>
  <c r="BP12" i="9"/>
  <c r="BQ15" i="9"/>
  <c r="BO46" i="9"/>
  <c r="BO35" i="9"/>
  <c r="BO48" i="9"/>
  <c r="BO39" i="9"/>
  <c r="BO42" i="9"/>
  <c r="BV17" i="7"/>
  <c r="BW6" i="7"/>
  <c r="BW10" i="7"/>
  <c r="BW7" i="7"/>
  <c r="BW5" i="7"/>
  <c r="BW8" i="2"/>
  <c r="BX4" i="7"/>
  <c r="BX4" i="6"/>
  <c r="BX4" i="2"/>
  <c r="BX9" i="2" s="1"/>
  <c r="BW10" i="6"/>
  <c r="BW5" i="6"/>
  <c r="BW8" i="6"/>
  <c r="BW9" i="6"/>
  <c r="BW12" i="6"/>
  <c r="BW6" i="6"/>
  <c r="BV2" i="3"/>
  <c r="BU3" i="3"/>
  <c r="BS20" i="3" l="1" a="1"/>
  <c r="BS20" i="3" s="1"/>
  <c r="BU10" i="38"/>
  <c r="BU11" i="38"/>
  <c r="BU17" i="38"/>
  <c r="BU19" i="38"/>
  <c r="BU16" i="38"/>
  <c r="BU18" i="38"/>
  <c r="BU20" i="38"/>
  <c r="BU9" i="38"/>
  <c r="BU22" i="38"/>
  <c r="BU24" i="38"/>
  <c r="BU15" i="38"/>
  <c r="BU21" i="38"/>
  <c r="BU26" i="38"/>
  <c r="BU28" i="38"/>
  <c r="BU27" i="38"/>
  <c r="BU29" i="38"/>
  <c r="BU30" i="38"/>
  <c r="BU32" i="38"/>
  <c r="BU34" i="38"/>
  <c r="BU25" i="38"/>
  <c r="BU36" i="38"/>
  <c r="BU31" i="38"/>
  <c r="BU33" i="38"/>
  <c r="BU37" i="38"/>
  <c r="BU35" i="38"/>
  <c r="BU41" i="38"/>
  <c r="BU43" i="38"/>
  <c r="BU45" i="38"/>
  <c r="BU49" i="38"/>
  <c r="BU51" i="38"/>
  <c r="BU39" i="38"/>
  <c r="BU44" i="38"/>
  <c r="BU46" i="38"/>
  <c r="BU50" i="38"/>
  <c r="BU52" i="38"/>
  <c r="BU38" i="38"/>
  <c r="BU59" i="38"/>
  <c r="BU61" i="38"/>
  <c r="BU63" i="38"/>
  <c r="BU54" i="38"/>
  <c r="BU57" i="38"/>
  <c r="BU55" i="38"/>
  <c r="BU58" i="38"/>
  <c r="BU60" i="38"/>
  <c r="BU62" i="38"/>
  <c r="BU64" i="38"/>
  <c r="BU53" i="38"/>
  <c r="BU67" i="38"/>
  <c r="BU71" i="38"/>
  <c r="BU73" i="38"/>
  <c r="BU56" i="38"/>
  <c r="BU66" i="38"/>
  <c r="BU72" i="38"/>
  <c r="BU74" i="38"/>
  <c r="BU76" i="38"/>
  <c r="BU65" i="38"/>
  <c r="BU75" i="38"/>
  <c r="BU83" i="38"/>
  <c r="BU77" i="38"/>
  <c r="BU78" i="38"/>
  <c r="BU79" i="38"/>
  <c r="BU80" i="38"/>
  <c r="BU81" i="38"/>
  <c r="BU84" i="38"/>
  <c r="BU82" i="38"/>
  <c r="BU86" i="38"/>
  <c r="BN28" i="9"/>
  <c r="BN26" i="9"/>
  <c r="BN27" i="9"/>
  <c r="BN25" i="9"/>
  <c r="BN37" i="9"/>
  <c r="BS89" i="38"/>
  <c r="BN22" i="9" s="1"/>
  <c r="BN21" i="9" s="1"/>
  <c r="BN23" i="9" s="1"/>
  <c r="BQ18" i="9"/>
  <c r="BO17" i="9"/>
  <c r="BO16" i="9"/>
  <c r="BT87" i="38"/>
  <c r="BO24" i="9" s="1"/>
  <c r="AK30" i="9"/>
  <c r="AK31" i="9" s="1"/>
  <c r="BN29" i="9"/>
  <c r="BV8" i="38"/>
  <c r="BQ9" i="9"/>
  <c r="BX9" i="7"/>
  <c r="BX14" i="7"/>
  <c r="BP41" i="9"/>
  <c r="BP40" i="9"/>
  <c r="BQ14" i="9"/>
  <c r="BP34" i="9"/>
  <c r="BP38" i="9"/>
  <c r="BP20" i="9"/>
  <c r="BU100" i="3"/>
  <c r="BU93" i="3"/>
  <c r="BS13" i="9"/>
  <c r="BV120" i="3"/>
  <c r="BU28" i="3"/>
  <c r="BP35" i="3"/>
  <c r="BP44" i="9"/>
  <c r="BP43" i="9"/>
  <c r="BX8" i="7"/>
  <c r="BV41" i="3"/>
  <c r="BV76" i="3"/>
  <c r="BV61" i="3"/>
  <c r="BX8" i="11"/>
  <c r="BQ34" i="3"/>
  <c r="BX15" i="6"/>
  <c r="BX16" i="6"/>
  <c r="BX17" i="6"/>
  <c r="BX16" i="7"/>
  <c r="BX11" i="7"/>
  <c r="BX12" i="7"/>
  <c r="BX13" i="7"/>
  <c r="BD59" i="9"/>
  <c r="BQ58" i="9" a="1"/>
  <c r="BQ58" i="9" s="1"/>
  <c r="BX11" i="2"/>
  <c r="BX13" i="6"/>
  <c r="BX14" i="6"/>
  <c r="BR10" i="3"/>
  <c r="BR29" i="3" s="1"/>
  <c r="BX15" i="7"/>
  <c r="BS8" i="3" a="1"/>
  <c r="BS8" i="3" s="1"/>
  <c r="BS6" i="3" a="1"/>
  <c r="BS6" i="3" s="1"/>
  <c r="BS9" i="3" a="1"/>
  <c r="BS9" i="3" s="1"/>
  <c r="BV110" i="3" a="1"/>
  <c r="BV110" i="3" s="1"/>
  <c r="BV72" i="3"/>
  <c r="BW12" i="11"/>
  <c r="BW12" i="2"/>
  <c r="BT7" i="3" s="1" a="1"/>
  <c r="BT7" i="3" s="1"/>
  <c r="BW18" i="6"/>
  <c r="BV12" i="3"/>
  <c r="BV14" i="3"/>
  <c r="BV13" i="3"/>
  <c r="BV17" i="3"/>
  <c r="BV18" i="3"/>
  <c r="BV28" i="3" s="1"/>
  <c r="BV16" i="3"/>
  <c r="BX7" i="6"/>
  <c r="BX11" i="6"/>
  <c r="BX6" i="2"/>
  <c r="BX7" i="2"/>
  <c r="BX5" i="2"/>
  <c r="BX10" i="2"/>
  <c r="BX10" i="11"/>
  <c r="BP62" i="9"/>
  <c r="BS21" i="3" s="1" a="1"/>
  <c r="BS21" i="3" s="1"/>
  <c r="BS22" i="3" s="1"/>
  <c r="BX5" i="11"/>
  <c r="BY4" i="11"/>
  <c r="BV5" i="3"/>
  <c r="BW4" i="3"/>
  <c r="BX9" i="11"/>
  <c r="BX7" i="11"/>
  <c r="BX11" i="11"/>
  <c r="BX6" i="11"/>
  <c r="BP48" i="9"/>
  <c r="BP39" i="9"/>
  <c r="BP42" i="9"/>
  <c r="BP46" i="9"/>
  <c r="BP35" i="9"/>
  <c r="BQ10" i="9"/>
  <c r="BQ12" i="9"/>
  <c r="BQ11" i="9"/>
  <c r="BR15" i="9"/>
  <c r="BW17" i="7"/>
  <c r="BY4" i="7"/>
  <c r="BY4" i="6"/>
  <c r="BY4" i="2"/>
  <c r="BY9" i="2" s="1"/>
  <c r="BX5" i="6"/>
  <c r="BX6" i="6"/>
  <c r="BX8" i="6"/>
  <c r="BX10" i="6"/>
  <c r="BX12" i="6"/>
  <c r="BX9" i="6"/>
  <c r="BX6" i="7"/>
  <c r="BX5" i="7"/>
  <c r="BX10" i="7"/>
  <c r="BX7" i="7"/>
  <c r="BX8" i="2"/>
  <c r="BV3" i="3"/>
  <c r="BW2" i="3"/>
  <c r="BT20" i="3" l="1" a="1"/>
  <c r="BT20" i="3" s="1"/>
  <c r="BV9" i="38"/>
  <c r="BV11" i="38"/>
  <c r="BV15" i="38"/>
  <c r="BV10" i="38"/>
  <c r="BV16" i="38"/>
  <c r="BV17" i="38"/>
  <c r="BV19" i="38"/>
  <c r="BV18" i="38"/>
  <c r="BV20" i="38"/>
  <c r="BV22" i="38"/>
  <c r="BV25" i="38"/>
  <c r="BV26" i="38"/>
  <c r="BV31" i="38"/>
  <c r="BV33" i="38"/>
  <c r="BV35" i="38"/>
  <c r="BV21" i="38"/>
  <c r="BV27" i="38"/>
  <c r="BV29" i="38"/>
  <c r="BV28" i="38"/>
  <c r="BV30" i="38"/>
  <c r="BV32" i="38"/>
  <c r="BV34" i="38"/>
  <c r="BV24" i="38"/>
  <c r="BV38" i="38"/>
  <c r="BV36" i="38"/>
  <c r="BV37" i="38"/>
  <c r="BV41" i="38"/>
  <c r="BV43" i="38"/>
  <c r="BV45" i="38"/>
  <c r="BV49" i="38"/>
  <c r="BV51" i="38"/>
  <c r="BV39" i="38"/>
  <c r="BV44" i="38"/>
  <c r="BV46" i="38"/>
  <c r="BV50" i="38"/>
  <c r="BV53" i="38"/>
  <c r="BV55" i="38"/>
  <c r="BV57" i="38"/>
  <c r="BV52" i="38"/>
  <c r="BV54" i="38"/>
  <c r="BV56" i="38"/>
  <c r="BV59" i="38"/>
  <c r="BV61" i="38"/>
  <c r="BV63" i="38"/>
  <c r="BV58" i="38"/>
  <c r="BV60" i="38"/>
  <c r="BV65" i="38"/>
  <c r="BV64" i="38"/>
  <c r="BV62" i="38"/>
  <c r="BV67" i="38"/>
  <c r="BV71" i="38"/>
  <c r="BV73" i="38"/>
  <c r="BV75" i="38"/>
  <c r="BV78" i="38"/>
  <c r="BV80" i="38"/>
  <c r="BV82" i="38"/>
  <c r="BV66" i="38"/>
  <c r="BV76" i="38"/>
  <c r="BV77" i="38"/>
  <c r="BV79" i="38"/>
  <c r="BV81" i="38"/>
  <c r="BV83" i="38"/>
  <c r="BV74" i="38"/>
  <c r="BV72" i="38"/>
  <c r="BV86" i="38"/>
  <c r="BV84" i="38"/>
  <c r="BU87" i="38"/>
  <c r="BP24" i="9" s="1"/>
  <c r="BP16" i="9"/>
  <c r="BP37" i="9" s="1"/>
  <c r="BP17" i="9"/>
  <c r="BT89" i="38"/>
  <c r="BO22" i="9" s="1"/>
  <c r="BO21" i="9" s="1"/>
  <c r="BO23" i="9" s="1"/>
  <c r="BR18" i="9"/>
  <c r="BO37" i="9"/>
  <c r="BO36" i="9"/>
  <c r="BO26" i="9"/>
  <c r="BO27" i="9"/>
  <c r="BO25" i="9"/>
  <c r="BO28" i="9"/>
  <c r="BO29" i="9"/>
  <c r="BW8" i="38"/>
  <c r="BR9" i="9"/>
  <c r="BY9" i="7"/>
  <c r="BY14" i="7"/>
  <c r="BQ41" i="9"/>
  <c r="BQ40" i="9"/>
  <c r="BR14" i="9"/>
  <c r="BQ34" i="9"/>
  <c r="BQ38" i="9"/>
  <c r="BQ20" i="9"/>
  <c r="BV100" i="3"/>
  <c r="BV93" i="3"/>
  <c r="BT13" i="9"/>
  <c r="BW120" i="3"/>
  <c r="BQ35" i="3"/>
  <c r="BQ44" i="9"/>
  <c r="BQ43" i="9"/>
  <c r="BW54" i="3"/>
  <c r="BW36" i="3" s="1"/>
  <c r="BW76" i="3"/>
  <c r="BW41" i="3"/>
  <c r="BY8" i="7"/>
  <c r="BW61" i="3"/>
  <c r="BW59" i="3"/>
  <c r="BY8" i="11"/>
  <c r="BR34" i="3"/>
  <c r="BY15" i="6"/>
  <c r="BY16" i="6"/>
  <c r="BY17" i="6"/>
  <c r="BY16" i="7"/>
  <c r="BY11" i="7"/>
  <c r="BY12" i="7"/>
  <c r="BY13" i="7"/>
  <c r="AK47" i="9"/>
  <c r="AK55" i="9"/>
  <c r="AK56" i="9" s="1"/>
  <c r="BE59" i="9"/>
  <c r="BR58" i="9" a="1"/>
  <c r="BR58" i="9" s="1"/>
  <c r="BY11" i="2"/>
  <c r="BY14" i="6"/>
  <c r="BY13" i="6"/>
  <c r="BY15" i="7"/>
  <c r="BS10" i="3"/>
  <c r="BS29" i="3" s="1"/>
  <c r="BT8" i="3" a="1"/>
  <c r="BT8" i="3" s="1"/>
  <c r="BT6" i="3" a="1"/>
  <c r="BT6" i="3" s="1"/>
  <c r="BT9" i="3" a="1"/>
  <c r="BT9" i="3" s="1"/>
  <c r="BW110" i="3" a="1"/>
  <c r="BW110" i="3" s="1"/>
  <c r="BX12" i="2"/>
  <c r="BU7" i="3" s="1" a="1"/>
  <c r="BU7" i="3" s="1"/>
  <c r="BX12" i="11"/>
  <c r="BW72" i="3"/>
  <c r="BX18" i="6"/>
  <c r="BW12" i="3"/>
  <c r="BW13" i="3"/>
  <c r="BW14" i="3"/>
  <c r="BW16" i="3"/>
  <c r="BW17" i="3"/>
  <c r="BW18" i="3"/>
  <c r="BW28" i="3" s="1"/>
  <c r="BY7" i="6"/>
  <c r="BY11" i="6"/>
  <c r="BY7" i="2"/>
  <c r="BY6" i="2"/>
  <c r="BY5" i="2"/>
  <c r="BY10" i="2"/>
  <c r="BY10" i="11"/>
  <c r="BQ62" i="9"/>
  <c r="BT21" i="3" s="1" a="1"/>
  <c r="BT21" i="3" s="1"/>
  <c r="BT22" i="3" s="1"/>
  <c r="BY5" i="11"/>
  <c r="BZ4" i="11"/>
  <c r="BW5" i="3"/>
  <c r="BX4" i="3"/>
  <c r="BY6" i="11"/>
  <c r="BY9" i="11"/>
  <c r="BY7" i="11"/>
  <c r="BY11" i="11"/>
  <c r="BR10" i="9"/>
  <c r="BS15" i="9"/>
  <c r="BR11" i="9"/>
  <c r="BR12" i="9"/>
  <c r="BQ46" i="9"/>
  <c r="BQ48" i="9"/>
  <c r="BQ35" i="9"/>
  <c r="BQ39" i="9"/>
  <c r="BQ42" i="9"/>
  <c r="BY5" i="7"/>
  <c r="BY7" i="7"/>
  <c r="BY6" i="7"/>
  <c r="BY10" i="7"/>
  <c r="BX17" i="7"/>
  <c r="BZ4" i="7"/>
  <c r="BZ4" i="6"/>
  <c r="BZ4" i="2"/>
  <c r="BZ9" i="2" s="1"/>
  <c r="BY8" i="2"/>
  <c r="BY12" i="6"/>
  <c r="BY9" i="6"/>
  <c r="BY5" i="6"/>
  <c r="BY6" i="6"/>
  <c r="BY8" i="6"/>
  <c r="BY10" i="6"/>
  <c r="BX2" i="3"/>
  <c r="BW3" i="3"/>
  <c r="BU20" i="3" l="1" a="1"/>
  <c r="BU20" i="3" s="1"/>
  <c r="BU89" i="38"/>
  <c r="BP22" i="9" s="1"/>
  <c r="BP21" i="9" s="1"/>
  <c r="BP23" i="9" s="1"/>
  <c r="BP26" i="9"/>
  <c r="BP27" i="9"/>
  <c r="BW9" i="38"/>
  <c r="BW11" i="38"/>
  <c r="BW15" i="38"/>
  <c r="BW10" i="38"/>
  <c r="BW16" i="38"/>
  <c r="BW17" i="38"/>
  <c r="BW19" i="38"/>
  <c r="BW20" i="38"/>
  <c r="BW21" i="38"/>
  <c r="BW25" i="38"/>
  <c r="BW22" i="38"/>
  <c r="BW24" i="38"/>
  <c r="BW27" i="38"/>
  <c r="BW29" i="38"/>
  <c r="BW26" i="38"/>
  <c r="BW31" i="38"/>
  <c r="BW33" i="38"/>
  <c r="BW35" i="38"/>
  <c r="BW37" i="38"/>
  <c r="BW18" i="38"/>
  <c r="BW28" i="38"/>
  <c r="BW30" i="38"/>
  <c r="BW32" i="38"/>
  <c r="BW34" i="38"/>
  <c r="BW38" i="38"/>
  <c r="BW36" i="38"/>
  <c r="BW41" i="38"/>
  <c r="BW43" i="38"/>
  <c r="BW45" i="38"/>
  <c r="BW49" i="38"/>
  <c r="BW51" i="38"/>
  <c r="BW39" i="38"/>
  <c r="BW44" i="38"/>
  <c r="BW46" i="38"/>
  <c r="BW50" i="38"/>
  <c r="BW52" i="38"/>
  <c r="BW54" i="38"/>
  <c r="BW56" i="38"/>
  <c r="BW53" i="38"/>
  <c r="BW57" i="38"/>
  <c r="BW59" i="38"/>
  <c r="BW61" i="38"/>
  <c r="BW63" i="38"/>
  <c r="BW55" i="38"/>
  <c r="BW58" i="38"/>
  <c r="BW60" i="38"/>
  <c r="BW62" i="38"/>
  <c r="BW66" i="38"/>
  <c r="BW72" i="38"/>
  <c r="BW74" i="38"/>
  <c r="BW65" i="38"/>
  <c r="BW64" i="38"/>
  <c r="BW67" i="38"/>
  <c r="BW71" i="38"/>
  <c r="BW73" i="38"/>
  <c r="BW75" i="38"/>
  <c r="BW78" i="38"/>
  <c r="BW80" i="38"/>
  <c r="BW82" i="38"/>
  <c r="BW84" i="38"/>
  <c r="BW76" i="38"/>
  <c r="BW77" i="38"/>
  <c r="BW79" i="38"/>
  <c r="BW81" i="38"/>
  <c r="BW83" i="38"/>
  <c r="BW86" i="38"/>
  <c r="BP28" i="9"/>
  <c r="BP25" i="9"/>
  <c r="BP36" i="9"/>
  <c r="BV87" i="38"/>
  <c r="BQ24" i="9" s="1"/>
  <c r="BQ16" i="9"/>
  <c r="BQ17" i="9"/>
  <c r="BS18" i="9"/>
  <c r="AL30" i="9"/>
  <c r="AL31" i="9" s="1"/>
  <c r="BP29" i="9"/>
  <c r="BX8" i="38"/>
  <c r="BS9" i="9"/>
  <c r="BZ9" i="7"/>
  <c r="BZ14" i="7"/>
  <c r="BR41" i="9"/>
  <c r="BR40" i="9"/>
  <c r="BS14" i="9"/>
  <c r="BR34" i="9"/>
  <c r="BR38" i="9"/>
  <c r="BR20" i="9"/>
  <c r="BW100" i="3"/>
  <c r="BW93" i="3"/>
  <c r="BU13" i="9"/>
  <c r="BX120" i="3"/>
  <c r="BR35" i="3"/>
  <c r="BR44" i="9"/>
  <c r="BR43" i="9"/>
  <c r="BZ8" i="7"/>
  <c r="BX54" i="3"/>
  <c r="BX36" i="3" s="1"/>
  <c r="BX76" i="3"/>
  <c r="BX41" i="3"/>
  <c r="BX61" i="3"/>
  <c r="BX59" i="3"/>
  <c r="BZ8" i="11"/>
  <c r="BS34" i="3"/>
  <c r="BZ15" i="6"/>
  <c r="BZ16" i="6"/>
  <c r="BZ17" i="6"/>
  <c r="BZ16" i="7"/>
  <c r="BZ11" i="7"/>
  <c r="BZ12" i="7"/>
  <c r="BZ13" i="7"/>
  <c r="BF59" i="9"/>
  <c r="BS58" i="9" a="1"/>
  <c r="BS58" i="9" s="1"/>
  <c r="BZ11" i="2"/>
  <c r="BZ13" i="6"/>
  <c r="BZ14" i="6"/>
  <c r="BZ15" i="7"/>
  <c r="BT10" i="3"/>
  <c r="BT29" i="3" s="1"/>
  <c r="BU8" i="3" a="1"/>
  <c r="BU8" i="3" s="1"/>
  <c r="BU6" i="3" a="1"/>
  <c r="BU6" i="3" s="1"/>
  <c r="BU9" i="3" a="1"/>
  <c r="BU9" i="3" s="1"/>
  <c r="BX110" i="3" a="1"/>
  <c r="BX110" i="3" s="1"/>
  <c r="BX72" i="3"/>
  <c r="BY12" i="11"/>
  <c r="BY12" i="2"/>
  <c r="BV7" i="3" s="1" a="1"/>
  <c r="BV7" i="3" s="1"/>
  <c r="BY18" i="6"/>
  <c r="BX14" i="3"/>
  <c r="BX12" i="3"/>
  <c r="BX13" i="3"/>
  <c r="BX16" i="3"/>
  <c r="BX17" i="3"/>
  <c r="BX18" i="3"/>
  <c r="BX28" i="3" s="1"/>
  <c r="BZ7" i="6"/>
  <c r="BZ11" i="6"/>
  <c r="BZ7" i="2"/>
  <c r="BZ6" i="2"/>
  <c r="BZ5" i="2"/>
  <c r="BZ10" i="2"/>
  <c r="BZ10" i="11"/>
  <c r="BR62" i="9"/>
  <c r="BU21" i="3" s="1" a="1"/>
  <c r="BU21" i="3" s="1"/>
  <c r="BU22" i="3" s="1"/>
  <c r="BZ5" i="11"/>
  <c r="CA4" i="11"/>
  <c r="BX5" i="3"/>
  <c r="BY4" i="3"/>
  <c r="BZ9" i="11"/>
  <c r="BZ6" i="11"/>
  <c r="BZ11" i="11"/>
  <c r="BZ7" i="11"/>
  <c r="BR48" i="9"/>
  <c r="BR35" i="9"/>
  <c r="BR42" i="9"/>
  <c r="BR39" i="9"/>
  <c r="BR46" i="9"/>
  <c r="BS11" i="9"/>
  <c r="BT15" i="9"/>
  <c r="BS12" i="9"/>
  <c r="BS10" i="9"/>
  <c r="BZ6" i="7"/>
  <c r="BZ5" i="7"/>
  <c r="BZ10" i="7"/>
  <c r="BZ7" i="7"/>
  <c r="BZ8" i="2"/>
  <c r="BY17" i="7"/>
  <c r="CA4" i="7"/>
  <c r="CA4" i="6"/>
  <c r="CA4" i="2"/>
  <c r="CA9" i="2" s="1"/>
  <c r="BZ10" i="6"/>
  <c r="BZ12" i="6"/>
  <c r="BZ9" i="6"/>
  <c r="BZ5" i="6"/>
  <c r="BZ6" i="6"/>
  <c r="BZ8" i="6"/>
  <c r="BX3" i="3"/>
  <c r="BY2" i="3"/>
  <c r="BV20" i="3" l="1" a="1"/>
  <c r="BV20" i="3" s="1"/>
  <c r="BX9" i="38"/>
  <c r="BX11" i="38"/>
  <c r="BX15" i="38"/>
  <c r="BX10" i="38"/>
  <c r="BX16" i="38"/>
  <c r="BX18" i="38"/>
  <c r="BX19" i="38"/>
  <c r="BX20" i="38"/>
  <c r="BX21" i="38"/>
  <c r="BX22" i="38"/>
  <c r="BX17" i="38"/>
  <c r="BX24" i="38"/>
  <c r="BX25" i="38"/>
  <c r="BX31" i="38"/>
  <c r="BX33" i="38"/>
  <c r="BX35" i="38"/>
  <c r="BX27" i="38"/>
  <c r="BX29" i="38"/>
  <c r="BX26" i="38"/>
  <c r="BX28" i="38"/>
  <c r="BX30" i="38"/>
  <c r="BX32" i="38"/>
  <c r="BX38" i="38"/>
  <c r="BX36" i="38"/>
  <c r="BX34" i="38"/>
  <c r="BX41" i="38"/>
  <c r="BX43" i="38"/>
  <c r="BX45" i="38"/>
  <c r="BX49" i="38"/>
  <c r="BX37" i="38"/>
  <c r="BX51" i="38"/>
  <c r="BX52" i="38"/>
  <c r="BX54" i="38"/>
  <c r="BX56" i="38"/>
  <c r="BX39" i="38"/>
  <c r="BX44" i="38"/>
  <c r="BX46" i="38"/>
  <c r="BX53" i="38"/>
  <c r="BX55" i="38"/>
  <c r="BX57" i="38"/>
  <c r="BX50" i="38"/>
  <c r="BX59" i="38"/>
  <c r="BX61" i="38"/>
  <c r="BX63" i="38"/>
  <c r="BX65" i="38"/>
  <c r="BX66" i="38"/>
  <c r="BX72" i="38"/>
  <c r="BX74" i="38"/>
  <c r="BX58" i="38"/>
  <c r="BX62" i="38"/>
  <c r="BX64" i="38"/>
  <c r="BX60" i="38"/>
  <c r="BX67" i="38"/>
  <c r="BX71" i="38"/>
  <c r="BX73" i="38"/>
  <c r="BX78" i="38"/>
  <c r="BX80" i="38"/>
  <c r="BX82" i="38"/>
  <c r="BX84" i="38"/>
  <c r="BX75" i="38"/>
  <c r="BX76" i="38"/>
  <c r="BX77" i="38"/>
  <c r="BX79" i="38"/>
  <c r="BX81" i="38"/>
  <c r="BX83" i="38"/>
  <c r="BX86" i="38"/>
  <c r="BV89" i="38"/>
  <c r="BQ22" i="9" s="1"/>
  <c r="BQ21" i="9" s="1"/>
  <c r="BQ23" i="9" s="1"/>
  <c r="BW87" i="38"/>
  <c r="BR24" i="9" s="1"/>
  <c r="BR16" i="9"/>
  <c r="BR26" i="9" s="1"/>
  <c r="BT18" i="9"/>
  <c r="BR17" i="9"/>
  <c r="BQ37" i="9"/>
  <c r="BQ36" i="9"/>
  <c r="BQ26" i="9"/>
  <c r="BQ27" i="9"/>
  <c r="BQ25" i="9"/>
  <c r="BQ28" i="9"/>
  <c r="BQ29" i="9"/>
  <c r="BY8" i="38"/>
  <c r="BT9" i="9"/>
  <c r="CA9" i="7"/>
  <c r="CA14" i="7"/>
  <c r="BS41" i="9"/>
  <c r="BS40" i="9"/>
  <c r="BT14" i="9"/>
  <c r="BS34" i="9"/>
  <c r="BS38" i="9"/>
  <c r="BS20" i="9"/>
  <c r="BX100" i="3"/>
  <c r="BX93" i="3"/>
  <c r="BV13" i="9"/>
  <c r="BY120" i="3"/>
  <c r="BS35" i="3"/>
  <c r="BS44" i="9"/>
  <c r="BS43" i="9"/>
  <c r="BY54" i="3"/>
  <c r="BY36" i="3" s="1"/>
  <c r="BY76" i="3"/>
  <c r="BY41" i="3"/>
  <c r="CA8" i="7"/>
  <c r="BY61" i="3"/>
  <c r="BY59" i="3"/>
  <c r="CA8" i="11"/>
  <c r="BT34" i="3"/>
  <c r="CA15" i="6"/>
  <c r="CA16" i="6"/>
  <c r="CA17" i="6"/>
  <c r="CA16" i="7"/>
  <c r="CA11" i="7"/>
  <c r="CA13" i="7"/>
  <c r="CA12" i="7"/>
  <c r="AL47" i="9"/>
  <c r="AL55" i="9"/>
  <c r="AL56" i="9" s="1"/>
  <c r="BG59" i="9"/>
  <c r="BT58" i="9" a="1"/>
  <c r="BT58" i="9" s="1"/>
  <c r="CA11" i="2"/>
  <c r="CA14" i="6"/>
  <c r="CA13" i="6"/>
  <c r="CA15" i="7"/>
  <c r="BV8" i="3" a="1"/>
  <c r="BV8" i="3" s="1"/>
  <c r="BU10" i="3"/>
  <c r="BU29" i="3" s="1"/>
  <c r="BV6" i="3" a="1"/>
  <c r="BV6" i="3" s="1"/>
  <c r="BV9" i="3" a="1"/>
  <c r="BV9" i="3" s="1"/>
  <c r="BY110" i="3" a="1"/>
  <c r="BY110" i="3" s="1"/>
  <c r="BZ12" i="11"/>
  <c r="BZ12" i="2"/>
  <c r="BW7" i="3" s="1" a="1"/>
  <c r="BW7" i="3" s="1"/>
  <c r="BY72" i="3"/>
  <c r="BZ18" i="6"/>
  <c r="BY13" i="3"/>
  <c r="BY14" i="3"/>
  <c r="BY12" i="3"/>
  <c r="BY16" i="3"/>
  <c r="BY17" i="3"/>
  <c r="BY18" i="3"/>
  <c r="BY28" i="3" s="1"/>
  <c r="CA7" i="6"/>
  <c r="CA11" i="6"/>
  <c r="CA6" i="2"/>
  <c r="CA7" i="2"/>
  <c r="CA5" i="2"/>
  <c r="CA10" i="2"/>
  <c r="CA10" i="11"/>
  <c r="BS62" i="9"/>
  <c r="BV21" i="3" s="1" a="1"/>
  <c r="BV21" i="3" s="1"/>
  <c r="BV22" i="3" s="1"/>
  <c r="CA5" i="11"/>
  <c r="CB4" i="11"/>
  <c r="BY5" i="3"/>
  <c r="BZ4" i="3"/>
  <c r="CA9" i="11"/>
  <c r="CA7" i="11"/>
  <c r="CA11" i="11"/>
  <c r="CA6" i="11"/>
  <c r="BT10" i="9"/>
  <c r="BT11" i="9"/>
  <c r="BT12" i="9"/>
  <c r="BU15" i="9"/>
  <c r="BS46" i="9"/>
  <c r="BS35" i="9"/>
  <c r="BS48" i="9"/>
  <c r="BS39" i="9"/>
  <c r="BS42" i="9"/>
  <c r="CA6" i="7"/>
  <c r="CA5" i="7"/>
  <c r="CA7" i="7"/>
  <c r="CA10" i="7"/>
  <c r="BZ17" i="7"/>
  <c r="CB4" i="7"/>
  <c r="CB4" i="6"/>
  <c r="CB4" i="2"/>
  <c r="CB9" i="2" s="1"/>
  <c r="CA8" i="2"/>
  <c r="CA9" i="6"/>
  <c r="CA6" i="6"/>
  <c r="CA5" i="6"/>
  <c r="CA12" i="6"/>
  <c r="CA8" i="6"/>
  <c r="CA10" i="6"/>
  <c r="BZ2" i="3"/>
  <c r="BY3" i="3"/>
  <c r="BW20" i="3" l="1" a="1"/>
  <c r="BW20" i="3" s="1"/>
  <c r="BY9" i="38"/>
  <c r="BY11" i="38"/>
  <c r="BY10" i="38"/>
  <c r="BY18" i="38"/>
  <c r="BY20" i="38"/>
  <c r="BY15" i="38"/>
  <c r="BY17" i="38"/>
  <c r="BY19" i="38"/>
  <c r="BY16" i="38"/>
  <c r="BY21" i="38"/>
  <c r="BY22" i="38"/>
  <c r="BY24" i="38"/>
  <c r="BY25" i="38"/>
  <c r="BY27" i="38"/>
  <c r="BY31" i="38"/>
  <c r="BY33" i="38"/>
  <c r="BY35" i="38"/>
  <c r="BY29" i="38"/>
  <c r="BY26" i="38"/>
  <c r="BY37" i="38"/>
  <c r="BY28" i="38"/>
  <c r="BY30" i="38"/>
  <c r="BY32" i="38"/>
  <c r="BY36" i="38"/>
  <c r="BY34" i="38"/>
  <c r="BY38" i="38"/>
  <c r="BY39" i="38"/>
  <c r="BY44" i="38"/>
  <c r="BY46" i="38"/>
  <c r="BY50" i="38"/>
  <c r="BY41" i="38"/>
  <c r="BY43" i="38"/>
  <c r="BY45" i="38"/>
  <c r="BY49" i="38"/>
  <c r="BY51" i="38"/>
  <c r="BY52" i="38"/>
  <c r="BY58" i="38"/>
  <c r="BY60" i="38"/>
  <c r="BY62" i="38"/>
  <c r="BY53" i="38"/>
  <c r="BY56" i="38"/>
  <c r="BY54" i="38"/>
  <c r="BY57" i="38"/>
  <c r="BY55" i="38"/>
  <c r="BY59" i="38"/>
  <c r="BY61" i="38"/>
  <c r="BY63" i="38"/>
  <c r="BY65" i="38"/>
  <c r="BY66" i="38"/>
  <c r="BY72" i="38"/>
  <c r="BY74" i="38"/>
  <c r="BY64" i="38"/>
  <c r="BY67" i="38"/>
  <c r="BY71" i="38"/>
  <c r="BY73" i="38"/>
  <c r="BY75" i="38"/>
  <c r="BY76" i="38"/>
  <c r="BY83" i="38"/>
  <c r="BY77" i="38"/>
  <c r="BY86" i="38"/>
  <c r="BY84" i="38"/>
  <c r="BY78" i="38"/>
  <c r="BY79" i="38"/>
  <c r="BY80" i="38"/>
  <c r="BY81" i="38"/>
  <c r="BY82" i="38"/>
  <c r="BW89" i="38"/>
  <c r="BR22" i="9" s="1"/>
  <c r="BR21" i="9" s="1"/>
  <c r="BR23" i="9" s="1"/>
  <c r="BR28" i="9"/>
  <c r="BR27" i="9"/>
  <c r="BR37" i="9"/>
  <c r="BR36" i="9"/>
  <c r="BR25" i="9"/>
  <c r="BU18" i="9"/>
  <c r="BX87" i="38"/>
  <c r="BX89" i="38" s="1"/>
  <c r="BS22" i="9" s="1"/>
  <c r="BS17" i="9"/>
  <c r="BS16" i="9"/>
  <c r="AM30" i="9"/>
  <c r="AM31" i="9" s="1"/>
  <c r="BR29" i="9"/>
  <c r="BZ8" i="38"/>
  <c r="BU9" i="9"/>
  <c r="CB9" i="7"/>
  <c r="CB14" i="7"/>
  <c r="BT41" i="9"/>
  <c r="BT40" i="9"/>
  <c r="BU14" i="9"/>
  <c r="BT34" i="9"/>
  <c r="BT38" i="9"/>
  <c r="BT20" i="9"/>
  <c r="BY100" i="3"/>
  <c r="BY93" i="3"/>
  <c r="BW13" i="9"/>
  <c r="BZ120" i="3"/>
  <c r="BT35" i="3"/>
  <c r="BT44" i="9"/>
  <c r="BT43" i="9"/>
  <c r="CB8" i="7"/>
  <c r="BZ54" i="3"/>
  <c r="BZ36" i="3" s="1"/>
  <c r="BZ41" i="3"/>
  <c r="BZ76" i="3"/>
  <c r="BZ61" i="3"/>
  <c r="BZ59" i="3"/>
  <c r="CB8" i="11"/>
  <c r="BU34" i="3"/>
  <c r="CB15" i="6"/>
  <c r="CB16" i="6"/>
  <c r="CB17" i="6"/>
  <c r="CB16" i="7"/>
  <c r="CB11" i="7"/>
  <c r="CB12" i="7"/>
  <c r="CB13" i="7"/>
  <c r="BH59" i="9"/>
  <c r="BU58" i="9" a="1"/>
  <c r="BU58" i="9" s="1"/>
  <c r="CB11" i="2"/>
  <c r="CB13" i="6"/>
  <c r="CB14" i="6"/>
  <c r="CB15" i="7"/>
  <c r="BW8" i="3" a="1"/>
  <c r="BW8" i="3" s="1"/>
  <c r="BV10" i="3"/>
  <c r="BV29" i="3" s="1"/>
  <c r="BW6" i="3" a="1"/>
  <c r="BW6" i="3" s="1"/>
  <c r="BW9" i="3" a="1"/>
  <c r="BW9" i="3" s="1"/>
  <c r="BZ110" i="3" a="1"/>
  <c r="BZ110" i="3" s="1"/>
  <c r="BZ72" i="3"/>
  <c r="CA12" i="11"/>
  <c r="CA12" i="2"/>
  <c r="BX7" i="3" s="1" a="1"/>
  <c r="BX7" i="3" s="1"/>
  <c r="CA18" i="6"/>
  <c r="BZ12" i="3"/>
  <c r="BZ13" i="3"/>
  <c r="BZ16" i="3"/>
  <c r="BZ17" i="3"/>
  <c r="BZ18" i="3"/>
  <c r="BZ14" i="3"/>
  <c r="CB7" i="6"/>
  <c r="CB11" i="6"/>
  <c r="CB6" i="2"/>
  <c r="CB7" i="2"/>
  <c r="CB5" i="2"/>
  <c r="CB10" i="2"/>
  <c r="CB10" i="11"/>
  <c r="BT62" i="9"/>
  <c r="BW21" i="3" s="1" a="1"/>
  <c r="BW21" i="3" s="1"/>
  <c r="BW22" i="3" s="1"/>
  <c r="CB5" i="11"/>
  <c r="CC4" i="11"/>
  <c r="BZ5" i="3"/>
  <c r="CA4" i="3"/>
  <c r="CB11" i="11"/>
  <c r="CB9" i="11"/>
  <c r="CB7" i="11"/>
  <c r="CB6" i="11"/>
  <c r="BT48" i="9"/>
  <c r="BT39" i="9"/>
  <c r="BT42" i="9"/>
  <c r="BT46" i="9"/>
  <c r="BT35" i="9"/>
  <c r="BU10" i="9"/>
  <c r="BU12" i="9"/>
  <c r="BU11" i="9"/>
  <c r="BV15" i="9"/>
  <c r="CA2" i="3"/>
  <c r="CB8" i="2"/>
  <c r="CB6" i="6"/>
  <c r="CB8" i="6"/>
  <c r="CB10" i="6"/>
  <c r="CB12" i="6"/>
  <c r="CB5" i="6"/>
  <c r="CB9" i="6"/>
  <c r="CC4" i="7"/>
  <c r="CC4" i="6"/>
  <c r="CC4" i="2"/>
  <c r="CC9" i="2" s="1"/>
  <c r="CB6" i="7"/>
  <c r="CB5" i="7"/>
  <c r="CB7" i="7"/>
  <c r="CB10" i="7"/>
  <c r="CA17" i="7"/>
  <c r="BZ3" i="3"/>
  <c r="BX20" i="3" l="1" a="1"/>
  <c r="BX20" i="3" s="1"/>
  <c r="BZ10" i="38"/>
  <c r="BZ16" i="38"/>
  <c r="BZ9" i="38"/>
  <c r="BZ11" i="38"/>
  <c r="BZ15" i="38"/>
  <c r="BZ18" i="38"/>
  <c r="BZ20" i="38"/>
  <c r="BZ17" i="38"/>
  <c r="BZ19" i="38"/>
  <c r="BZ21" i="38"/>
  <c r="BZ22" i="38"/>
  <c r="BZ26" i="38"/>
  <c r="BZ24" i="38"/>
  <c r="BZ25" i="38"/>
  <c r="BZ27" i="38"/>
  <c r="BZ28" i="38"/>
  <c r="BZ30" i="38"/>
  <c r="BZ32" i="38"/>
  <c r="BZ34" i="38"/>
  <c r="BZ31" i="38"/>
  <c r="BZ33" i="38"/>
  <c r="BZ29" i="38"/>
  <c r="BZ37" i="38"/>
  <c r="BZ39" i="38"/>
  <c r="BZ38" i="38"/>
  <c r="BZ36" i="38"/>
  <c r="BZ44" i="38"/>
  <c r="BZ46" i="38"/>
  <c r="BZ50" i="38"/>
  <c r="BZ35" i="38"/>
  <c r="BZ41" i="38"/>
  <c r="BZ43" i="38"/>
  <c r="BZ45" i="38"/>
  <c r="BZ49" i="38"/>
  <c r="BZ51" i="38"/>
  <c r="BZ52" i="38"/>
  <c r="BZ54" i="38"/>
  <c r="BZ56" i="38"/>
  <c r="BZ53" i="38"/>
  <c r="BZ55" i="38"/>
  <c r="BZ58" i="38"/>
  <c r="BZ60" i="38"/>
  <c r="BZ62" i="38"/>
  <c r="BZ57" i="38"/>
  <c r="BZ59" i="38"/>
  <c r="BZ61" i="38"/>
  <c r="BZ65" i="38"/>
  <c r="BZ66" i="38"/>
  <c r="BZ72" i="38"/>
  <c r="BZ74" i="38"/>
  <c r="BZ76" i="38"/>
  <c r="BZ63" i="38"/>
  <c r="BZ64" i="38"/>
  <c r="BZ73" i="38"/>
  <c r="BZ77" i="38"/>
  <c r="BZ79" i="38"/>
  <c r="BZ81" i="38"/>
  <c r="BZ83" i="38"/>
  <c r="BZ67" i="38"/>
  <c r="BZ78" i="38"/>
  <c r="BZ80" i="38"/>
  <c r="BZ82" i="38"/>
  <c r="BZ75" i="38"/>
  <c r="BZ84" i="38"/>
  <c r="BZ71" i="38"/>
  <c r="BZ86" i="38"/>
  <c r="BS24" i="9"/>
  <c r="BS21" i="9" s="1"/>
  <c r="BS23" i="9" s="1"/>
  <c r="BV18" i="9"/>
  <c r="BY87" i="38"/>
  <c r="BY89" i="38" s="1"/>
  <c r="BT22" i="9" s="1"/>
  <c r="BS36" i="9"/>
  <c r="BS37" i="9"/>
  <c r="BS25" i="9"/>
  <c r="BS26" i="9"/>
  <c r="BS27" i="9"/>
  <c r="BS28" i="9"/>
  <c r="BT16" i="9"/>
  <c r="BT17" i="9"/>
  <c r="BS29" i="9"/>
  <c r="CA8" i="38"/>
  <c r="BV9" i="9"/>
  <c r="CC9" i="7"/>
  <c r="CC14" i="7"/>
  <c r="BU41" i="9"/>
  <c r="BU40" i="9"/>
  <c r="BV14" i="9"/>
  <c r="BU34" i="9"/>
  <c r="BU38" i="9"/>
  <c r="BU20" i="9"/>
  <c r="BZ100" i="3"/>
  <c r="BZ93" i="3"/>
  <c r="BX13" i="9"/>
  <c r="CA120" i="3"/>
  <c r="BZ28" i="3"/>
  <c r="BU35" i="3"/>
  <c r="BU44" i="9"/>
  <c r="BU43" i="9"/>
  <c r="CC8" i="7"/>
  <c r="CA41" i="3"/>
  <c r="CA76" i="3"/>
  <c r="CA54" i="3"/>
  <c r="CA36" i="3" s="1"/>
  <c r="CA61" i="3"/>
  <c r="CA59" i="3"/>
  <c r="CC8" i="11"/>
  <c r="BV34" i="3"/>
  <c r="CC15" i="6"/>
  <c r="CC16" i="6"/>
  <c r="CC17" i="6"/>
  <c r="CC16" i="7"/>
  <c r="CC13" i="7"/>
  <c r="CC12" i="7"/>
  <c r="CC11" i="7"/>
  <c r="AM47" i="9"/>
  <c r="AM55" i="9"/>
  <c r="AM56" i="9" s="1"/>
  <c r="BI59" i="9"/>
  <c r="BV58" i="9" a="1"/>
  <c r="BV58" i="9" s="1"/>
  <c r="CC11" i="2"/>
  <c r="CC14" i="6"/>
  <c r="CC13" i="6"/>
  <c r="CC15" i="7"/>
  <c r="BX8" i="3" a="1"/>
  <c r="BX8" i="3" s="1"/>
  <c r="BW10" i="3"/>
  <c r="BW29" i="3" s="1"/>
  <c r="BX6" i="3" a="1"/>
  <c r="BX6" i="3" s="1"/>
  <c r="BX9" i="3" a="1"/>
  <c r="BX9" i="3" s="1"/>
  <c r="CA110" i="3" a="1"/>
  <c r="CA110" i="3" s="1"/>
  <c r="CB12" i="11"/>
  <c r="CB12" i="2"/>
  <c r="BY7" i="3" s="1" a="1"/>
  <c r="BY7" i="3" s="1"/>
  <c r="CA72" i="3"/>
  <c r="CB18" i="6"/>
  <c r="CA12" i="3"/>
  <c r="CA13" i="3"/>
  <c r="CA14" i="3"/>
  <c r="CA16" i="3"/>
  <c r="CA17" i="3"/>
  <c r="CA18" i="3"/>
  <c r="CA28" i="3" s="1"/>
  <c r="CC7" i="6"/>
  <c r="CC11" i="6"/>
  <c r="CC7" i="2"/>
  <c r="CC6" i="2"/>
  <c r="CC5" i="2"/>
  <c r="CC10" i="2"/>
  <c r="CC10" i="11"/>
  <c r="BU62" i="9"/>
  <c r="BX21" i="3" s="1" a="1"/>
  <c r="BX21" i="3" s="1"/>
  <c r="BX22" i="3" s="1"/>
  <c r="CC5" i="11"/>
  <c r="CD4" i="11"/>
  <c r="CA5" i="3"/>
  <c r="CD4" i="7"/>
  <c r="CD4" i="6"/>
  <c r="CB4" i="3"/>
  <c r="CD4" i="2"/>
  <c r="CD9" i="2" s="1"/>
  <c r="CC6" i="11"/>
  <c r="CC9" i="11"/>
  <c r="CC7" i="11"/>
  <c r="CC11" i="11"/>
  <c r="BV10" i="9"/>
  <c r="BW15" i="9"/>
  <c r="BV11" i="9"/>
  <c r="BV12" i="9"/>
  <c r="BU46" i="9"/>
  <c r="BU48" i="9"/>
  <c r="BU35" i="9"/>
  <c r="BU39" i="9"/>
  <c r="BU42" i="9"/>
  <c r="CA3" i="3"/>
  <c r="CB2" i="3"/>
  <c r="CB17" i="7"/>
  <c r="CC6" i="7"/>
  <c r="CC7" i="7"/>
  <c r="CC5" i="7"/>
  <c r="CC10" i="7"/>
  <c r="CC5" i="6"/>
  <c r="CC9" i="6"/>
  <c r="CC6" i="6"/>
  <c r="CC8" i="6"/>
  <c r="CC10" i="6"/>
  <c r="CC12" i="6"/>
  <c r="CC8" i="2"/>
  <c r="BY20" i="3" l="1" a="1"/>
  <c r="BY20" i="3" s="1"/>
  <c r="CA10" i="38"/>
  <c r="CA16" i="38"/>
  <c r="CA9" i="38"/>
  <c r="CA11" i="38"/>
  <c r="CA15" i="38"/>
  <c r="CA18" i="38"/>
  <c r="CA22" i="38"/>
  <c r="CA24" i="38"/>
  <c r="CA19" i="38"/>
  <c r="CA20" i="38"/>
  <c r="CA21" i="38"/>
  <c r="CA17" i="38"/>
  <c r="CA26" i="38"/>
  <c r="CA28" i="38"/>
  <c r="CA25" i="38"/>
  <c r="CA27" i="38"/>
  <c r="CA30" i="38"/>
  <c r="CA32" i="38"/>
  <c r="CA34" i="38"/>
  <c r="CA36" i="38"/>
  <c r="CA31" i="38"/>
  <c r="CA33" i="38"/>
  <c r="CA35" i="38"/>
  <c r="CA37" i="38"/>
  <c r="CA29" i="38"/>
  <c r="CA38" i="38"/>
  <c r="CA39" i="38"/>
  <c r="CA44" i="38"/>
  <c r="CA46" i="38"/>
  <c r="CA50" i="38"/>
  <c r="CA41" i="38"/>
  <c r="CA43" i="38"/>
  <c r="CA45" i="38"/>
  <c r="CA49" i="38"/>
  <c r="CA53" i="38"/>
  <c r="CA55" i="38"/>
  <c r="CA57" i="38"/>
  <c r="CA51" i="38"/>
  <c r="CA56" i="38"/>
  <c r="CA58" i="38"/>
  <c r="CA60" i="38"/>
  <c r="CA62" i="38"/>
  <c r="CA64" i="38"/>
  <c r="CA54" i="38"/>
  <c r="CA52" i="38"/>
  <c r="CA59" i="38"/>
  <c r="CA61" i="38"/>
  <c r="CA63" i="38"/>
  <c r="CA67" i="38"/>
  <c r="CA71" i="38"/>
  <c r="CA73" i="38"/>
  <c r="CA75" i="38"/>
  <c r="CA65" i="38"/>
  <c r="CA66" i="38"/>
  <c r="CA72" i="38"/>
  <c r="CA74" i="38"/>
  <c r="CA77" i="38"/>
  <c r="CA79" i="38"/>
  <c r="CA81" i="38"/>
  <c r="CA83" i="38"/>
  <c r="CA78" i="38"/>
  <c r="CA80" i="38"/>
  <c r="CA82" i="38"/>
  <c r="CA84" i="38"/>
  <c r="CA76" i="38"/>
  <c r="CA86" i="38"/>
  <c r="BT24" i="9"/>
  <c r="BT29" i="9" s="1"/>
  <c r="BZ87" i="38"/>
  <c r="BU24" i="9" s="1"/>
  <c r="BU17" i="9"/>
  <c r="BU16" i="9"/>
  <c r="BW18" i="9"/>
  <c r="BT36" i="9"/>
  <c r="BT37" i="9"/>
  <c r="BT25" i="9"/>
  <c r="BT26" i="9"/>
  <c r="BT28" i="9"/>
  <c r="BT27" i="9"/>
  <c r="AN30" i="9"/>
  <c r="AN31" i="9" s="1"/>
  <c r="CB8" i="38"/>
  <c r="BW9" i="9"/>
  <c r="CD9" i="7"/>
  <c r="CD14" i="7"/>
  <c r="BV41" i="9"/>
  <c r="BV40" i="9"/>
  <c r="BW14" i="9"/>
  <c r="BV34" i="9"/>
  <c r="BV38" i="9"/>
  <c r="BV20" i="9"/>
  <c r="CA100" i="3"/>
  <c r="CA93" i="3"/>
  <c r="BY13" i="9"/>
  <c r="CB120" i="3"/>
  <c r="BV35" i="3"/>
  <c r="BV44" i="9"/>
  <c r="BV43" i="9"/>
  <c r="CB76" i="3"/>
  <c r="CB41" i="3"/>
  <c r="CB54" i="3"/>
  <c r="CB36" i="3" s="1"/>
  <c r="CD8" i="7"/>
  <c r="CB61" i="3"/>
  <c r="CB59" i="3"/>
  <c r="CD8" i="11"/>
  <c r="BW34" i="3"/>
  <c r="CD15" i="6"/>
  <c r="CD16" i="6"/>
  <c r="CD17" i="6"/>
  <c r="CD16" i="7"/>
  <c r="CD11" i="7"/>
  <c r="CD12" i="7"/>
  <c r="CD13" i="7"/>
  <c r="BW58" i="9" a="1"/>
  <c r="BW58" i="9" s="1"/>
  <c r="BJ59" i="9"/>
  <c r="CD11" i="2"/>
  <c r="CD13" i="6"/>
  <c r="CD14" i="6"/>
  <c r="BX10" i="3"/>
  <c r="BX29" i="3" s="1"/>
  <c r="CD15" i="7"/>
  <c r="BY8" i="3" a="1"/>
  <c r="BY8" i="3" s="1"/>
  <c r="BY6" i="3" a="1"/>
  <c r="BY6" i="3" s="1"/>
  <c r="BY9" i="3" a="1"/>
  <c r="BY9" i="3" s="1"/>
  <c r="CB110" i="3" a="1"/>
  <c r="CB110" i="3" s="1"/>
  <c r="CB72" i="3"/>
  <c r="CC12" i="11"/>
  <c r="CC12" i="2"/>
  <c r="BZ7" i="3" s="1" a="1"/>
  <c r="BZ7" i="3" s="1"/>
  <c r="CC18" i="6"/>
  <c r="CB12" i="3"/>
  <c r="CB14" i="3"/>
  <c r="CB16" i="3"/>
  <c r="CB13" i="3"/>
  <c r="CB17" i="3"/>
  <c r="CB18" i="3"/>
  <c r="CD7" i="6"/>
  <c r="CD11" i="6"/>
  <c r="CD7" i="2"/>
  <c r="CD6" i="2"/>
  <c r="CD5" i="2"/>
  <c r="CD10" i="2"/>
  <c r="CD10" i="11"/>
  <c r="BV62" i="9"/>
  <c r="BY21" i="3" s="1" a="1"/>
  <c r="BY21" i="3" s="1"/>
  <c r="BY22" i="3" s="1"/>
  <c r="CD5" i="11"/>
  <c r="CD5" i="6"/>
  <c r="CD9" i="6"/>
  <c r="CD8" i="6"/>
  <c r="CD6" i="6"/>
  <c r="CD10" i="6"/>
  <c r="CD12" i="6"/>
  <c r="CD8" i="2"/>
  <c r="CE4" i="11"/>
  <c r="CB5" i="3"/>
  <c r="CE4" i="7"/>
  <c r="CE4" i="6"/>
  <c r="CC4" i="3"/>
  <c r="CE4" i="2"/>
  <c r="CE9" i="2" s="1"/>
  <c r="CD5" i="7"/>
  <c r="CD6" i="7"/>
  <c r="CD10" i="7"/>
  <c r="CD7" i="7"/>
  <c r="CD6" i="11"/>
  <c r="CD9" i="11"/>
  <c r="CD7" i="11"/>
  <c r="CD11" i="11"/>
  <c r="BV48" i="9"/>
  <c r="BV35" i="9"/>
  <c r="BV39" i="9"/>
  <c r="BV42" i="9"/>
  <c r="BV46" i="9"/>
  <c r="BW11" i="9"/>
  <c r="BX15" i="9"/>
  <c r="BW12" i="9"/>
  <c r="BW10" i="9"/>
  <c r="CB3" i="3"/>
  <c r="CC2" i="3"/>
  <c r="CC17" i="7"/>
  <c r="BK59" i="9" l="1"/>
  <c r="BT21" i="9"/>
  <c r="BT23" i="9" s="1"/>
  <c r="CB10" i="38"/>
  <c r="CB16" i="38"/>
  <c r="CB9" i="38"/>
  <c r="CB11" i="38"/>
  <c r="CB15" i="38"/>
  <c r="CB17" i="38"/>
  <c r="CB18" i="38"/>
  <c r="CB22" i="38"/>
  <c r="CB19" i="38"/>
  <c r="CB20" i="38"/>
  <c r="CB21" i="38"/>
  <c r="CB24" i="38"/>
  <c r="CB25" i="38"/>
  <c r="CB28" i="38"/>
  <c r="CB30" i="38"/>
  <c r="CB32" i="38"/>
  <c r="CB34" i="38"/>
  <c r="CB27" i="38"/>
  <c r="CB35" i="38"/>
  <c r="CB31" i="38"/>
  <c r="CB37" i="38"/>
  <c r="CB39" i="38"/>
  <c r="CB29" i="38"/>
  <c r="CB33" i="38"/>
  <c r="CB26" i="38"/>
  <c r="CB38" i="38"/>
  <c r="CB44" i="38"/>
  <c r="CB46" i="38"/>
  <c r="CB50" i="38"/>
  <c r="CB41" i="38"/>
  <c r="CB53" i="38"/>
  <c r="CB55" i="38"/>
  <c r="CB57" i="38"/>
  <c r="CB51" i="38"/>
  <c r="CB43" i="38"/>
  <c r="CB36" i="38"/>
  <c r="CB45" i="38"/>
  <c r="CB52" i="38"/>
  <c r="CB54" i="38"/>
  <c r="CB56" i="38"/>
  <c r="CB58" i="38"/>
  <c r="CB60" i="38"/>
  <c r="CB62" i="38"/>
  <c r="CB64" i="38"/>
  <c r="CB49" i="38"/>
  <c r="CB67" i="38"/>
  <c r="CB71" i="38"/>
  <c r="CB73" i="38"/>
  <c r="CB75" i="38"/>
  <c r="CB59" i="38"/>
  <c r="CB61" i="38"/>
  <c r="CB63" i="38"/>
  <c r="CB65" i="38"/>
  <c r="CB66" i="38"/>
  <c r="CB72" i="38"/>
  <c r="CB77" i="38"/>
  <c r="CB79" i="38"/>
  <c r="CB81" i="38"/>
  <c r="CB83" i="38"/>
  <c r="CB74" i="38"/>
  <c r="CB78" i="38"/>
  <c r="CB80" i="38"/>
  <c r="CB82" i="38"/>
  <c r="CB84" i="38"/>
  <c r="CB76" i="38"/>
  <c r="CB86" i="38"/>
  <c r="BZ89" i="38"/>
  <c r="BU22" i="9" s="1"/>
  <c r="BU21" i="9" s="1"/>
  <c r="BU23" i="9" s="1"/>
  <c r="CA87" i="38"/>
  <c r="CA89" i="38" s="1"/>
  <c r="BV22" i="9" s="1"/>
  <c r="BV16" i="9"/>
  <c r="BV36" i="9" s="1"/>
  <c r="BU36" i="9"/>
  <c r="BU37" i="9"/>
  <c r="BU26" i="9"/>
  <c r="BU27" i="9"/>
  <c r="BU25" i="9"/>
  <c r="BU28" i="9"/>
  <c r="BV17" i="9"/>
  <c r="BX18" i="9"/>
  <c r="BU29" i="9"/>
  <c r="CC8" i="38"/>
  <c r="BX9" i="9"/>
  <c r="CE9" i="7"/>
  <c r="CE14" i="7"/>
  <c r="BW41" i="9"/>
  <c r="BW40" i="9"/>
  <c r="BX14" i="9"/>
  <c r="BW34" i="9"/>
  <c r="BW38" i="9"/>
  <c r="BW20" i="9"/>
  <c r="CB100" i="3"/>
  <c r="CB93" i="3"/>
  <c r="BZ13" i="9"/>
  <c r="CC120" i="3"/>
  <c r="CB28" i="3"/>
  <c r="BW35" i="3"/>
  <c r="BW44" i="9"/>
  <c r="BW43" i="9"/>
  <c r="CC76" i="3"/>
  <c r="CC41" i="3"/>
  <c r="CC54" i="3"/>
  <c r="CC36" i="3" s="1"/>
  <c r="CE8" i="7"/>
  <c r="CC61" i="3"/>
  <c r="CC59" i="3"/>
  <c r="CE8" i="11"/>
  <c r="BX34" i="3"/>
  <c r="CE15" i="6"/>
  <c r="CE16" i="6"/>
  <c r="CE17" i="6"/>
  <c r="CE16" i="7"/>
  <c r="CE11" i="7"/>
  <c r="CE13" i="7"/>
  <c r="CE12" i="7"/>
  <c r="AN47" i="9"/>
  <c r="AN55" i="9"/>
  <c r="AN56" i="9" s="1"/>
  <c r="BZ20" i="3" a="1"/>
  <c r="BZ20" i="3" s="1"/>
  <c r="BX58" i="9" a="1"/>
  <c r="BX58" i="9" s="1"/>
  <c r="CE11" i="2"/>
  <c r="CE13" i="6"/>
  <c r="CE14" i="6"/>
  <c r="CE15" i="7"/>
  <c r="BZ8" i="3" a="1"/>
  <c r="BZ8" i="3" s="1"/>
  <c r="BY10" i="3"/>
  <c r="BY29" i="3" s="1"/>
  <c r="BZ6" i="3" a="1"/>
  <c r="BZ6" i="3" s="1"/>
  <c r="BZ9" i="3" a="1"/>
  <c r="BZ9" i="3" s="1"/>
  <c r="CC110" i="3" a="1"/>
  <c r="CC110" i="3" s="1"/>
  <c r="CC72" i="3"/>
  <c r="CD12" i="11"/>
  <c r="CD12" i="2"/>
  <c r="CA7" i="3" s="1" a="1"/>
  <c r="CA7" i="3" s="1"/>
  <c r="CD18" i="6"/>
  <c r="CC12" i="3"/>
  <c r="CC13" i="3"/>
  <c r="CC14" i="3"/>
  <c r="CC17" i="3"/>
  <c r="CC18" i="3"/>
  <c r="CC28" i="3" s="1"/>
  <c r="CC16" i="3"/>
  <c r="CE7" i="6"/>
  <c r="CE11" i="6"/>
  <c r="CE6" i="2"/>
  <c r="CE7" i="2"/>
  <c r="CE5" i="2"/>
  <c r="CE10" i="2"/>
  <c r="CE10" i="11"/>
  <c r="BW62" i="9"/>
  <c r="BZ21" i="3" s="1" a="1"/>
  <c r="BZ21" i="3" s="1"/>
  <c r="CE5" i="11"/>
  <c r="CF4" i="11"/>
  <c r="CF4" i="6"/>
  <c r="CC5" i="3"/>
  <c r="CF4" i="7"/>
  <c r="CD4" i="3"/>
  <c r="CF4" i="2"/>
  <c r="CF9" i="2" s="1"/>
  <c r="CE9" i="11"/>
  <c r="CE7" i="11"/>
  <c r="CE6" i="11"/>
  <c r="CE11" i="11"/>
  <c r="CE5" i="6"/>
  <c r="CE12" i="6"/>
  <c r="CE10" i="6"/>
  <c r="CE6" i="6"/>
  <c r="CE9" i="6"/>
  <c r="CE8" i="6"/>
  <c r="CE8" i="2"/>
  <c r="CD17" i="7"/>
  <c r="CE7" i="7"/>
  <c r="CE10" i="7"/>
  <c r="CE5" i="7"/>
  <c r="CE6" i="7"/>
  <c r="BX10" i="9"/>
  <c r="BX11" i="9"/>
  <c r="BX12" i="9"/>
  <c r="BY15" i="9"/>
  <c r="BW46" i="9"/>
  <c r="BW35" i="9"/>
  <c r="BW48" i="9"/>
  <c r="BW39" i="9"/>
  <c r="BW42" i="9"/>
  <c r="CD2" i="3"/>
  <c r="CC3" i="3"/>
  <c r="CA20" i="3" l="1" a="1"/>
  <c r="CA20" i="3" s="1"/>
  <c r="CC10" i="38"/>
  <c r="CC9" i="38"/>
  <c r="CC11" i="38"/>
  <c r="CC17" i="38"/>
  <c r="CC19" i="38"/>
  <c r="CC18" i="38"/>
  <c r="CC20" i="38"/>
  <c r="CC15" i="38"/>
  <c r="CC16" i="38"/>
  <c r="CC22" i="38"/>
  <c r="CC24" i="38"/>
  <c r="CC21" i="38"/>
  <c r="CC26" i="38"/>
  <c r="CC28" i="38"/>
  <c r="CC29" i="38"/>
  <c r="CC30" i="38"/>
  <c r="CC32" i="38"/>
  <c r="CC34" i="38"/>
  <c r="CC25" i="38"/>
  <c r="CC27" i="38"/>
  <c r="CC36" i="38"/>
  <c r="CC35" i="38"/>
  <c r="CC31" i="38"/>
  <c r="CC37" i="38"/>
  <c r="CC33" i="38"/>
  <c r="CC41" i="38"/>
  <c r="CC43" i="38"/>
  <c r="CC45" i="38"/>
  <c r="CC49" i="38"/>
  <c r="CC51" i="38"/>
  <c r="CC38" i="38"/>
  <c r="CC39" i="38"/>
  <c r="CC44" i="38"/>
  <c r="CC46" i="38"/>
  <c r="CC50" i="38"/>
  <c r="CC59" i="38"/>
  <c r="CC61" i="38"/>
  <c r="CC63" i="38"/>
  <c r="CC53" i="38"/>
  <c r="CC56" i="38"/>
  <c r="CC54" i="38"/>
  <c r="CC58" i="38"/>
  <c r="CC60" i="38"/>
  <c r="CC62" i="38"/>
  <c r="CC55" i="38"/>
  <c r="CC57" i="38"/>
  <c r="CC67" i="38"/>
  <c r="CC71" i="38"/>
  <c r="CC73" i="38"/>
  <c r="CC52" i="38"/>
  <c r="CC64" i="38"/>
  <c r="CC65" i="38"/>
  <c r="CC66" i="38"/>
  <c r="CC72" i="38"/>
  <c r="CC74" i="38"/>
  <c r="CC76" i="38"/>
  <c r="CC75" i="38"/>
  <c r="CC82" i="38"/>
  <c r="CC83" i="38"/>
  <c r="CC84" i="38"/>
  <c r="CC77" i="38"/>
  <c r="CC78" i="38"/>
  <c r="CC79" i="38"/>
  <c r="CC80" i="38"/>
  <c r="CC86" i="38"/>
  <c r="CC81" i="38"/>
  <c r="BV26" i="9"/>
  <c r="BV24" i="9"/>
  <c r="BV21" i="9" s="1"/>
  <c r="BV23" i="9" s="1"/>
  <c r="BV28" i="9"/>
  <c r="BV25" i="9"/>
  <c r="BW17" i="9"/>
  <c r="BV27" i="9"/>
  <c r="BV37" i="9"/>
  <c r="BW16" i="9"/>
  <c r="BW36" i="9" s="1"/>
  <c r="CB87" i="38"/>
  <c r="BW24" i="9" s="1"/>
  <c r="BY18" i="9"/>
  <c r="AO30" i="9"/>
  <c r="AO31" i="9" s="1"/>
  <c r="CD8" i="38"/>
  <c r="BY9" i="9"/>
  <c r="CF9" i="7"/>
  <c r="CF14" i="7"/>
  <c r="BX41" i="9"/>
  <c r="BX40" i="9"/>
  <c r="BY14" i="9"/>
  <c r="BX34" i="9"/>
  <c r="BX38" i="9"/>
  <c r="BX20" i="9"/>
  <c r="CC100" i="3"/>
  <c r="CC93" i="3"/>
  <c r="CA13" i="9"/>
  <c r="CD120" i="3"/>
  <c r="BX35" i="3"/>
  <c r="BX44" i="9"/>
  <c r="BX43" i="9"/>
  <c r="CD76" i="3"/>
  <c r="CD41" i="3"/>
  <c r="CF8" i="7"/>
  <c r="CD61" i="3"/>
  <c r="CF8" i="11"/>
  <c r="BY34" i="3"/>
  <c r="CF15" i="6"/>
  <c r="CF16" i="6"/>
  <c r="CF17" i="6"/>
  <c r="BL59" i="9"/>
  <c r="BZ22" i="3"/>
  <c r="CF16" i="7"/>
  <c r="CF11" i="7"/>
  <c r="CF12" i="7"/>
  <c r="CF13" i="7"/>
  <c r="BY58" i="9" a="1"/>
  <c r="BY58" i="9" s="1"/>
  <c r="CF11" i="2"/>
  <c r="CF13" i="6"/>
  <c r="CF14" i="6"/>
  <c r="CF15" i="7"/>
  <c r="BZ10" i="3"/>
  <c r="BZ29" i="3" s="1"/>
  <c r="CA8" i="3" a="1"/>
  <c r="CA8" i="3" s="1"/>
  <c r="CA6" i="3" a="1"/>
  <c r="CA6" i="3" s="1"/>
  <c r="CA9" i="3" a="1"/>
  <c r="CA9" i="3" s="1"/>
  <c r="CD110" i="3" a="1"/>
  <c r="CD110" i="3" s="1"/>
  <c r="CD72" i="3"/>
  <c r="CE12" i="11"/>
  <c r="CE12" i="2"/>
  <c r="CB7" i="3" s="1" a="1"/>
  <c r="CB7" i="3" s="1"/>
  <c r="CE18" i="6"/>
  <c r="CD13" i="3"/>
  <c r="CD14" i="3"/>
  <c r="CD12" i="3"/>
  <c r="CD17" i="3"/>
  <c r="CD18" i="3"/>
  <c r="CD28" i="3" s="1"/>
  <c r="CD16" i="3"/>
  <c r="CF7" i="6"/>
  <c r="CF11" i="6"/>
  <c r="CF6" i="2"/>
  <c r="CF7" i="2"/>
  <c r="CF5" i="2"/>
  <c r="CF10" i="2"/>
  <c r="CF10" i="11"/>
  <c r="BX62" i="9"/>
  <c r="CA21" i="3" s="1" a="1"/>
  <c r="CA21" i="3" s="1"/>
  <c r="CA22" i="3" s="1"/>
  <c r="CF5" i="11"/>
  <c r="CE17" i="7"/>
  <c r="CF8" i="2"/>
  <c r="CF6" i="7"/>
  <c r="CF5" i="7"/>
  <c r="CF7" i="7"/>
  <c r="CF10" i="7"/>
  <c r="CF7" i="11"/>
  <c r="CF6" i="11"/>
  <c r="CF9" i="11"/>
  <c r="CF11" i="11"/>
  <c r="CG4" i="11"/>
  <c r="CD5" i="3"/>
  <c r="CG4" i="7"/>
  <c r="CG4" i="6"/>
  <c r="CE4" i="3"/>
  <c r="CG4" i="2"/>
  <c r="CG9" i="2" s="1"/>
  <c r="CF10" i="6"/>
  <c r="CF5" i="6"/>
  <c r="CF6" i="6"/>
  <c r="CF9" i="6"/>
  <c r="CF12" i="6"/>
  <c r="CF8" i="6"/>
  <c r="BX48" i="9"/>
  <c r="BX39" i="9"/>
  <c r="BX42" i="9"/>
  <c r="BX46" i="9"/>
  <c r="BX35" i="9"/>
  <c r="BY10" i="9"/>
  <c r="BY12" i="9"/>
  <c r="BY11" i="9"/>
  <c r="BZ15" i="9"/>
  <c r="CD3" i="3"/>
  <c r="CE2" i="3"/>
  <c r="CB20" i="3" l="1" a="1"/>
  <c r="CB20" i="3" s="1"/>
  <c r="CD9" i="38"/>
  <c r="CD11" i="38"/>
  <c r="CD15" i="38"/>
  <c r="CD10" i="38"/>
  <c r="CD16" i="38"/>
  <c r="CD17" i="38"/>
  <c r="CD19" i="38"/>
  <c r="CD18" i="38"/>
  <c r="CD20" i="38"/>
  <c r="CD22" i="38"/>
  <c r="CD21" i="38"/>
  <c r="CD24" i="38"/>
  <c r="CD26" i="38"/>
  <c r="CD31" i="38"/>
  <c r="CD33" i="38"/>
  <c r="CD35" i="38"/>
  <c r="CD29" i="38"/>
  <c r="CD28" i="38"/>
  <c r="CD30" i="38"/>
  <c r="CD32" i="38"/>
  <c r="CD36" i="38"/>
  <c r="CD38" i="38"/>
  <c r="CD37" i="38"/>
  <c r="CD25" i="38"/>
  <c r="CD41" i="38"/>
  <c r="CD43" i="38"/>
  <c r="CD45" i="38"/>
  <c r="CD49" i="38"/>
  <c r="CD51" i="38"/>
  <c r="CD27" i="38"/>
  <c r="CD39" i="38"/>
  <c r="CD34" i="38"/>
  <c r="CD44" i="38"/>
  <c r="CD46" i="38"/>
  <c r="CD50" i="38"/>
  <c r="CD53" i="38"/>
  <c r="CD55" i="38"/>
  <c r="CD57" i="38"/>
  <c r="CD52" i="38"/>
  <c r="CD54" i="38"/>
  <c r="CD59" i="38"/>
  <c r="CD61" i="38"/>
  <c r="CD56" i="38"/>
  <c r="CD58" i="38"/>
  <c r="CD60" i="38"/>
  <c r="CD67" i="38"/>
  <c r="CD71" i="38"/>
  <c r="CD73" i="38"/>
  <c r="CD75" i="38"/>
  <c r="CD62" i="38"/>
  <c r="CD63" i="38"/>
  <c r="CD72" i="38"/>
  <c r="CD78" i="38"/>
  <c r="CD80" i="38"/>
  <c r="CD82" i="38"/>
  <c r="CD76" i="38"/>
  <c r="CD65" i="38"/>
  <c r="CD66" i="38"/>
  <c r="CD77" i="38"/>
  <c r="CD79" i="38"/>
  <c r="CD81" i="38"/>
  <c r="CD83" i="38"/>
  <c r="CD64" i="38"/>
  <c r="CD84" i="38"/>
  <c r="CD86" i="38"/>
  <c r="CD74" i="38"/>
  <c r="BV29" i="9"/>
  <c r="CB89" i="38"/>
  <c r="BW22" i="9" s="1"/>
  <c r="BW21" i="9" s="1"/>
  <c r="BW23" i="9" s="1"/>
  <c r="BW26" i="9"/>
  <c r="BW37" i="9"/>
  <c r="BW27" i="9"/>
  <c r="BW25" i="9"/>
  <c r="BW28" i="9"/>
  <c r="CC87" i="38"/>
  <c r="BX24" i="9" s="1"/>
  <c r="BX16" i="9"/>
  <c r="BX17" i="9"/>
  <c r="BZ18" i="9"/>
  <c r="BW29" i="9"/>
  <c r="CE8" i="38"/>
  <c r="BZ9" i="9"/>
  <c r="CG9" i="7"/>
  <c r="CG14" i="7"/>
  <c r="BY41" i="9"/>
  <c r="BY40" i="9"/>
  <c r="BZ14" i="9"/>
  <c r="BY34" i="9"/>
  <c r="BY38" i="9"/>
  <c r="BY20" i="9"/>
  <c r="CD100" i="3"/>
  <c r="CD93" i="3"/>
  <c r="CB13" i="9"/>
  <c r="CE120" i="3"/>
  <c r="BY35" i="3"/>
  <c r="BY44" i="9"/>
  <c r="BY43" i="9"/>
  <c r="CE41" i="3"/>
  <c r="CE76" i="3"/>
  <c r="CE54" i="3"/>
  <c r="CE36" i="3" s="1"/>
  <c r="CG8" i="7"/>
  <c r="CE61" i="3"/>
  <c r="CE59" i="3"/>
  <c r="CG8" i="11"/>
  <c r="BZ34" i="3"/>
  <c r="CG15" i="6"/>
  <c r="CG16" i="6"/>
  <c r="CG17" i="6"/>
  <c r="BM59" i="9"/>
  <c r="CG16" i="7"/>
  <c r="CG11" i="7"/>
  <c r="CG12" i="7"/>
  <c r="CG13" i="7"/>
  <c r="AO47" i="9"/>
  <c r="AO55" i="9"/>
  <c r="AO56" i="9" s="1"/>
  <c r="BZ58" i="9" a="1"/>
  <c r="BZ58" i="9" s="1"/>
  <c r="CG11" i="2"/>
  <c r="CG14" i="6"/>
  <c r="CG13" i="6"/>
  <c r="CA10" i="3"/>
  <c r="CA29" i="3" s="1"/>
  <c r="CG15" i="7"/>
  <c r="CB8" i="3" a="1"/>
  <c r="CB8" i="3" s="1"/>
  <c r="CB6" i="3" a="1"/>
  <c r="CB6" i="3" s="1"/>
  <c r="CB9" i="3" a="1"/>
  <c r="CB9" i="3" s="1"/>
  <c r="CE110" i="3" a="1"/>
  <c r="CE110" i="3" s="1"/>
  <c r="CE72" i="3"/>
  <c r="CF12" i="11"/>
  <c r="CF12" i="2"/>
  <c r="CC7" i="3" s="1" a="1"/>
  <c r="CC7" i="3" s="1"/>
  <c r="CF18" i="6"/>
  <c r="CE12" i="3"/>
  <c r="CE13" i="3"/>
  <c r="CE14" i="3"/>
  <c r="CE16" i="3"/>
  <c r="CE17" i="3"/>
  <c r="CE18" i="3"/>
  <c r="CE28" i="3" s="1"/>
  <c r="CG7" i="6"/>
  <c r="CG11" i="6"/>
  <c r="CG7" i="2"/>
  <c r="CG6" i="2"/>
  <c r="CG5" i="2"/>
  <c r="CG10" i="2"/>
  <c r="CG10" i="11"/>
  <c r="BY62" i="9"/>
  <c r="CB21" i="3" s="1" a="1"/>
  <c r="CB21" i="3" s="1"/>
  <c r="CB22" i="3" s="1"/>
  <c r="CF17" i="7"/>
  <c r="CG5" i="11"/>
  <c r="CH4" i="11"/>
  <c r="CE5" i="3"/>
  <c r="CH4" i="7"/>
  <c r="CH4" i="6"/>
  <c r="CF4" i="3"/>
  <c r="CH4" i="2"/>
  <c r="CH9" i="2" s="1"/>
  <c r="CG9" i="11"/>
  <c r="CG11" i="11"/>
  <c r="CG7" i="11"/>
  <c r="CG6" i="11"/>
  <c r="CG8" i="2"/>
  <c r="CG5" i="6"/>
  <c r="CG8" i="6"/>
  <c r="CG10" i="6"/>
  <c r="CG6" i="6"/>
  <c r="CG12" i="6"/>
  <c r="CG9" i="6"/>
  <c r="CG10" i="7"/>
  <c r="CG6" i="7"/>
  <c r="CG7" i="7"/>
  <c r="CG5" i="7"/>
  <c r="BZ10" i="9"/>
  <c r="CA15" i="9"/>
  <c r="BZ11" i="9"/>
  <c r="BZ12" i="9"/>
  <c r="BY46" i="9"/>
  <c r="BY48" i="9"/>
  <c r="BY35" i="9"/>
  <c r="BY39" i="9"/>
  <c r="BY42" i="9"/>
  <c r="CF2" i="3"/>
  <c r="CE3" i="3"/>
  <c r="CC20" i="3" l="1" a="1"/>
  <c r="CC20" i="3" s="1"/>
  <c r="CE9" i="38"/>
  <c r="CE11" i="38"/>
  <c r="CE15" i="38"/>
  <c r="CE10" i="38"/>
  <c r="CE16" i="38"/>
  <c r="CE17" i="38"/>
  <c r="CE19" i="38"/>
  <c r="CE21" i="38"/>
  <c r="CE25" i="38"/>
  <c r="CE18" i="38"/>
  <c r="CE20" i="38"/>
  <c r="CE22" i="38"/>
  <c r="CE24" i="38"/>
  <c r="CE27" i="38"/>
  <c r="CE29" i="38"/>
  <c r="CE26" i="38"/>
  <c r="CE31" i="38"/>
  <c r="CE33" i="38"/>
  <c r="CE35" i="38"/>
  <c r="CE28" i="38"/>
  <c r="CE30" i="38"/>
  <c r="CE32" i="38"/>
  <c r="CE34" i="38"/>
  <c r="CE36" i="38"/>
  <c r="CE38" i="38"/>
  <c r="CE37" i="38"/>
  <c r="CE41" i="38"/>
  <c r="CE43" i="38"/>
  <c r="CE45" i="38"/>
  <c r="CE49" i="38"/>
  <c r="CE51" i="38"/>
  <c r="CE39" i="38"/>
  <c r="CE44" i="38"/>
  <c r="CE46" i="38"/>
  <c r="CE50" i="38"/>
  <c r="CE52" i="38"/>
  <c r="CE54" i="38"/>
  <c r="CE56" i="38"/>
  <c r="CE59" i="38"/>
  <c r="CE61" i="38"/>
  <c r="CE63" i="38"/>
  <c r="CE53" i="38"/>
  <c r="CE55" i="38"/>
  <c r="CE57" i="38"/>
  <c r="CE58" i="38"/>
  <c r="CE60" i="38"/>
  <c r="CE62" i="38"/>
  <c r="CE64" i="38"/>
  <c r="CE65" i="38"/>
  <c r="CE66" i="38"/>
  <c r="CE72" i="38"/>
  <c r="CE74" i="38"/>
  <c r="CE67" i="38"/>
  <c r="CE71" i="38"/>
  <c r="CE73" i="38"/>
  <c r="CE75" i="38"/>
  <c r="CE78" i="38"/>
  <c r="CE80" i="38"/>
  <c r="CE82" i="38"/>
  <c r="CE84" i="38"/>
  <c r="CE76" i="38"/>
  <c r="CE77" i="38"/>
  <c r="CE79" i="38"/>
  <c r="CE81" i="38"/>
  <c r="CE83" i="38"/>
  <c r="CE86" i="38"/>
  <c r="CC89" i="38"/>
  <c r="BX22" i="9" s="1"/>
  <c r="BX21" i="9" s="1"/>
  <c r="BX23" i="9" s="1"/>
  <c r="BY16" i="9"/>
  <c r="BY26" i="9" s="1"/>
  <c r="CD87" i="38"/>
  <c r="BY24" i="9" s="1"/>
  <c r="BX37" i="9"/>
  <c r="BX36" i="9"/>
  <c r="BX27" i="9"/>
  <c r="BX25" i="9"/>
  <c r="BX28" i="9"/>
  <c r="BX26" i="9"/>
  <c r="BY17" i="9"/>
  <c r="CA18" i="9"/>
  <c r="AP30" i="9"/>
  <c r="AP31" i="9" s="1"/>
  <c r="BX29" i="9"/>
  <c r="CF8" i="38"/>
  <c r="CA9" i="9"/>
  <c r="CH9" i="7"/>
  <c r="CH14" i="7"/>
  <c r="BZ41" i="9"/>
  <c r="BZ40" i="9"/>
  <c r="CA14" i="9"/>
  <c r="BZ34" i="9"/>
  <c r="BZ38" i="9"/>
  <c r="BZ20" i="9"/>
  <c r="CE100" i="3"/>
  <c r="CE93" i="3"/>
  <c r="CC13" i="9"/>
  <c r="CF120" i="3"/>
  <c r="BZ35" i="3"/>
  <c r="BZ44" i="9"/>
  <c r="BZ43" i="9"/>
  <c r="CF76" i="3"/>
  <c r="CF41" i="3"/>
  <c r="CH8" i="7"/>
  <c r="CF61" i="3"/>
  <c r="CH8" i="11"/>
  <c r="CA34" i="3"/>
  <c r="CH15" i="6"/>
  <c r="CH16" i="6"/>
  <c r="CH17" i="6"/>
  <c r="CH16" i="7"/>
  <c r="CH11" i="7"/>
  <c r="CH12" i="7"/>
  <c r="CH13" i="7"/>
  <c r="BN59" i="9"/>
  <c r="CA58" i="9" a="1"/>
  <c r="CA58" i="9" s="1"/>
  <c r="CH11" i="2"/>
  <c r="CH13" i="6"/>
  <c r="CH14" i="6"/>
  <c r="CH15" i="7"/>
  <c r="CC8" i="3" a="1"/>
  <c r="CC8" i="3" s="1"/>
  <c r="CC6" i="3" a="1"/>
  <c r="CC6" i="3" s="1"/>
  <c r="CB10" i="3"/>
  <c r="CB29" i="3" s="1"/>
  <c r="CC9" i="3" a="1"/>
  <c r="CC9" i="3" s="1"/>
  <c r="CF110" i="3" a="1"/>
  <c r="CF110" i="3" s="1"/>
  <c r="CG12" i="2"/>
  <c r="CD7" i="3" s="1" a="1"/>
  <c r="CD7" i="3" s="1"/>
  <c r="CG12" i="11"/>
  <c r="CF72" i="3"/>
  <c r="CG18" i="6"/>
  <c r="CF13" i="3"/>
  <c r="CF14" i="3"/>
  <c r="CF16" i="3"/>
  <c r="CF12" i="3"/>
  <c r="CF17" i="3"/>
  <c r="CF18" i="3"/>
  <c r="CF28" i="3" s="1"/>
  <c r="CH7" i="6"/>
  <c r="CH11" i="6"/>
  <c r="CH7" i="2"/>
  <c r="CH6" i="2"/>
  <c r="CH5" i="2"/>
  <c r="CH10" i="2"/>
  <c r="CH10" i="11"/>
  <c r="BZ62" i="9"/>
  <c r="CC21" i="3" s="1" a="1"/>
  <c r="CC21" i="3" s="1"/>
  <c r="CC22" i="3" s="1"/>
  <c r="CH5" i="11"/>
  <c r="CI4" i="11"/>
  <c r="CF5" i="3"/>
  <c r="CI4" i="7"/>
  <c r="CI4" i="6"/>
  <c r="CG4" i="3"/>
  <c r="CI4" i="2"/>
  <c r="CI9" i="2" s="1"/>
  <c r="CH9" i="11"/>
  <c r="CH7" i="11"/>
  <c r="CH6" i="11"/>
  <c r="CH11" i="11"/>
  <c r="CH5" i="6"/>
  <c r="CH12" i="6"/>
  <c r="CH8" i="6"/>
  <c r="CH9" i="6"/>
  <c r="CH10" i="6"/>
  <c r="CH6" i="6"/>
  <c r="CH5" i="7"/>
  <c r="CH10" i="7"/>
  <c r="CH7" i="7"/>
  <c r="CH6" i="7"/>
  <c r="CG17" i="7"/>
  <c r="CH8" i="2"/>
  <c r="BZ42" i="9"/>
  <c r="BZ39" i="9"/>
  <c r="BZ46" i="9"/>
  <c r="BZ48" i="9"/>
  <c r="BZ35" i="9"/>
  <c r="CB15" i="9"/>
  <c r="CA12" i="9"/>
  <c r="CA10" i="9"/>
  <c r="CA11" i="9"/>
  <c r="CF3" i="3"/>
  <c r="CG2" i="3"/>
  <c r="BO59" i="9" l="1"/>
  <c r="CF9" i="38"/>
  <c r="CF11" i="38"/>
  <c r="CF15" i="38"/>
  <c r="CF10" i="38"/>
  <c r="CF16" i="38"/>
  <c r="CF17" i="38"/>
  <c r="CF21" i="38"/>
  <c r="CF18" i="38"/>
  <c r="CF19" i="38"/>
  <c r="CF20" i="38"/>
  <c r="CF22" i="38"/>
  <c r="CF25" i="38"/>
  <c r="CF24" i="38"/>
  <c r="CF29" i="38"/>
  <c r="CF31" i="38"/>
  <c r="CF33" i="38"/>
  <c r="CF35" i="38"/>
  <c r="CF28" i="38"/>
  <c r="CF26" i="38"/>
  <c r="CF27" i="38"/>
  <c r="CF34" i="38"/>
  <c r="CF30" i="38"/>
  <c r="CF36" i="38"/>
  <c r="CF38" i="38"/>
  <c r="CF32" i="38"/>
  <c r="CF41" i="38"/>
  <c r="CF43" i="38"/>
  <c r="CF45" i="38"/>
  <c r="CF49" i="38"/>
  <c r="CF39" i="38"/>
  <c r="CF37" i="38"/>
  <c r="CF52" i="38"/>
  <c r="CF54" i="38"/>
  <c r="CF56" i="38"/>
  <c r="CF44" i="38"/>
  <c r="CF53" i="38"/>
  <c r="CF55" i="38"/>
  <c r="CF57" i="38"/>
  <c r="CF50" i="38"/>
  <c r="CF59" i="38"/>
  <c r="CF61" i="38"/>
  <c r="CF63" i="38"/>
  <c r="CF65" i="38"/>
  <c r="CF46" i="38"/>
  <c r="CF51" i="38"/>
  <c r="CF64" i="38"/>
  <c r="CF66" i="38"/>
  <c r="CF72" i="38"/>
  <c r="CF74" i="38"/>
  <c r="CF58" i="38"/>
  <c r="CF60" i="38"/>
  <c r="CF62" i="38"/>
  <c r="CF67" i="38"/>
  <c r="CF71" i="38"/>
  <c r="CF73" i="38"/>
  <c r="CF78" i="38"/>
  <c r="CF80" i="38"/>
  <c r="CF82" i="38"/>
  <c r="CF76" i="38"/>
  <c r="CF77" i="38"/>
  <c r="CF79" i="38"/>
  <c r="CF81" i="38"/>
  <c r="CF83" i="38"/>
  <c r="CF86" i="38"/>
  <c r="CF84" i="38"/>
  <c r="CF75" i="38"/>
  <c r="BY25" i="9"/>
  <c r="BY28" i="9"/>
  <c r="BY27" i="9"/>
  <c r="BY36" i="9"/>
  <c r="BY37" i="9"/>
  <c r="CD89" i="38"/>
  <c r="BY22" i="9" s="1"/>
  <c r="BY21" i="9" s="1"/>
  <c r="BY23" i="9" s="1"/>
  <c r="CE87" i="38"/>
  <c r="CE89" i="38" s="1"/>
  <c r="BZ22" i="9" s="1"/>
  <c r="BZ16" i="9"/>
  <c r="BZ17" i="9"/>
  <c r="CB18" i="9"/>
  <c r="BY29" i="9"/>
  <c r="CG8" i="38"/>
  <c r="CB9" i="9"/>
  <c r="CI9" i="7"/>
  <c r="CI14" i="7"/>
  <c r="CA41" i="9"/>
  <c r="CA40" i="9"/>
  <c r="CB14" i="9"/>
  <c r="CA34" i="9"/>
  <c r="CA38" i="9"/>
  <c r="CA20" i="9"/>
  <c r="CF100" i="3"/>
  <c r="CF93" i="3"/>
  <c r="CD13" i="9"/>
  <c r="CG120" i="3"/>
  <c r="CA35" i="3"/>
  <c r="CA44" i="9"/>
  <c r="CA43" i="9"/>
  <c r="CI8" i="7"/>
  <c r="CG76" i="3"/>
  <c r="CG41" i="3"/>
  <c r="CG54" i="3"/>
  <c r="CG36" i="3" s="1"/>
  <c r="CG61" i="3"/>
  <c r="CG59" i="3"/>
  <c r="CI8" i="11"/>
  <c r="CB34" i="3"/>
  <c r="CI15" i="6"/>
  <c r="CI16" i="6"/>
  <c r="CI17" i="6"/>
  <c r="CI16" i="7"/>
  <c r="CI11" i="7"/>
  <c r="CI13" i="7"/>
  <c r="CI12" i="7"/>
  <c r="AP47" i="9"/>
  <c r="AP55" i="9"/>
  <c r="AP56" i="9" s="1"/>
  <c r="CD20" i="3" a="1"/>
  <c r="CD20" i="3" s="1"/>
  <c r="CB58" i="9" a="1"/>
  <c r="CB58" i="9" s="1"/>
  <c r="CI11" i="2"/>
  <c r="CI13" i="6"/>
  <c r="CI14" i="6"/>
  <c r="CI15" i="7"/>
  <c r="CC10" i="3"/>
  <c r="CC29" i="3" s="1"/>
  <c r="CD8" i="3" a="1"/>
  <c r="CD8" i="3" s="1"/>
  <c r="CD6" i="3" a="1"/>
  <c r="CD6" i="3" s="1"/>
  <c r="CD9" i="3" a="1"/>
  <c r="CD9" i="3" s="1"/>
  <c r="CG110" i="3" a="1"/>
  <c r="CG110" i="3" s="1"/>
  <c r="CG72" i="3"/>
  <c r="CH12" i="11"/>
  <c r="CH12" i="2"/>
  <c r="CE7" i="3" s="1" a="1"/>
  <c r="CE7" i="3" s="1"/>
  <c r="CH18" i="6"/>
  <c r="CG12" i="3"/>
  <c r="CG14" i="3"/>
  <c r="CG16" i="3"/>
  <c r="CG13" i="3"/>
  <c r="CG17" i="3"/>
  <c r="CG18" i="3"/>
  <c r="CG28" i="3" s="1"/>
  <c r="CI7" i="6"/>
  <c r="CI11" i="6"/>
  <c r="CI7" i="2"/>
  <c r="CI6" i="2"/>
  <c r="CI5" i="2"/>
  <c r="CI10" i="2"/>
  <c r="CI10" i="11"/>
  <c r="CA62" i="9"/>
  <c r="CD21" i="3" s="1" a="1"/>
  <c r="CD21" i="3" s="1"/>
  <c r="CH17" i="7"/>
  <c r="CI5" i="11"/>
  <c r="CJ4" i="11"/>
  <c r="CJ4" i="7"/>
  <c r="CG5" i="3"/>
  <c r="CJ4" i="6"/>
  <c r="CH4" i="3"/>
  <c r="CJ4" i="2"/>
  <c r="CJ9" i="2" s="1"/>
  <c r="CI6" i="7"/>
  <c r="CI7" i="7"/>
  <c r="CI5" i="7"/>
  <c r="CI10" i="7"/>
  <c r="CI6" i="11"/>
  <c r="CI11" i="11"/>
  <c r="CI7" i="11"/>
  <c r="CI9" i="11"/>
  <c r="CI8" i="2"/>
  <c r="CI5" i="6"/>
  <c r="CI9" i="6"/>
  <c r="CI6" i="6"/>
  <c r="CI8" i="6"/>
  <c r="CI12" i="6"/>
  <c r="CI10" i="6"/>
  <c r="CA48" i="9"/>
  <c r="CA39" i="9"/>
  <c r="CA42" i="9"/>
  <c r="CA46" i="9"/>
  <c r="CA35" i="9"/>
  <c r="CB12" i="9"/>
  <c r="CC15" i="9"/>
  <c r="CB10" i="9"/>
  <c r="CB11" i="9"/>
  <c r="CH2" i="3"/>
  <c r="CG3" i="3"/>
  <c r="CE20" i="3" l="1" a="1"/>
  <c r="CE20" i="3" s="1"/>
  <c r="CG9" i="38"/>
  <c r="CG11" i="38"/>
  <c r="CG10" i="38"/>
  <c r="CG18" i="38"/>
  <c r="CG20" i="38"/>
  <c r="CG17" i="38"/>
  <c r="CG19" i="38"/>
  <c r="CG16" i="38"/>
  <c r="CG21" i="38"/>
  <c r="CG15" i="38"/>
  <c r="CG22" i="38"/>
  <c r="CG25" i="38"/>
  <c r="CG27" i="38"/>
  <c r="CG26" i="38"/>
  <c r="CG29" i="38"/>
  <c r="CG31" i="38"/>
  <c r="CG33" i="38"/>
  <c r="CG35" i="38"/>
  <c r="CG28" i="38"/>
  <c r="CG37" i="38"/>
  <c r="CG34" i="38"/>
  <c r="CG24" i="38"/>
  <c r="CG30" i="38"/>
  <c r="CG36" i="38"/>
  <c r="CG32" i="38"/>
  <c r="CG44" i="38"/>
  <c r="CG46" i="38"/>
  <c r="CG50" i="38"/>
  <c r="CG38" i="38"/>
  <c r="CG41" i="38"/>
  <c r="CG43" i="38"/>
  <c r="CG45" i="38"/>
  <c r="CG49" i="38"/>
  <c r="CG51" i="38"/>
  <c r="CG39" i="38"/>
  <c r="CG52" i="38"/>
  <c r="CG58" i="38"/>
  <c r="CG60" i="38"/>
  <c r="CG62" i="38"/>
  <c r="CG53" i="38"/>
  <c r="CG59" i="38"/>
  <c r="CG61" i="38"/>
  <c r="CG63" i="38"/>
  <c r="CG54" i="38"/>
  <c r="CG56" i="38"/>
  <c r="CG65" i="38"/>
  <c r="CG64" i="38"/>
  <c r="CG66" i="38"/>
  <c r="CG72" i="38"/>
  <c r="CG67" i="38"/>
  <c r="CG71" i="38"/>
  <c r="CG73" i="38"/>
  <c r="CG74" i="38"/>
  <c r="CG75" i="38"/>
  <c r="CG55" i="38"/>
  <c r="CG57" i="38"/>
  <c r="CG76" i="38"/>
  <c r="CG81" i="38"/>
  <c r="CG82" i="38"/>
  <c r="CG83" i="38"/>
  <c r="CG86" i="38"/>
  <c r="CG80" i="38"/>
  <c r="CG77" i="38"/>
  <c r="CG84" i="38"/>
  <c r="CG78" i="38"/>
  <c r="CG79" i="38"/>
  <c r="BZ24" i="9"/>
  <c r="BZ29" i="9" s="1"/>
  <c r="CF87" i="38"/>
  <c r="CA24" i="9" s="1"/>
  <c r="BZ36" i="9"/>
  <c r="BZ37" i="9"/>
  <c r="BZ26" i="9"/>
  <c r="BZ27" i="9"/>
  <c r="BZ28" i="9"/>
  <c r="BZ25" i="9"/>
  <c r="CA17" i="9"/>
  <c r="CA16" i="9"/>
  <c r="CC18" i="9"/>
  <c r="AQ30" i="9"/>
  <c r="AQ31" i="9" s="1"/>
  <c r="BZ21" i="9"/>
  <c r="BZ23" i="9" s="1"/>
  <c r="CH8" i="38"/>
  <c r="CC9" i="9"/>
  <c r="CJ9" i="7"/>
  <c r="CJ14" i="7"/>
  <c r="CB41" i="9"/>
  <c r="CB40" i="9"/>
  <c r="CC14" i="9"/>
  <c r="CB34" i="9"/>
  <c r="CB38" i="9"/>
  <c r="CB20" i="9"/>
  <c r="CG100" i="3"/>
  <c r="CG93" i="3"/>
  <c r="CE13" i="9"/>
  <c r="CH120" i="3"/>
  <c r="CH93" i="3" s="1"/>
  <c r="CB35" i="3"/>
  <c r="CB44" i="9"/>
  <c r="CB43" i="9"/>
  <c r="CH41" i="3"/>
  <c r="CH76" i="3"/>
  <c r="CH54" i="3"/>
  <c r="CH36" i="3" s="1"/>
  <c r="CJ8" i="7"/>
  <c r="CH61" i="3"/>
  <c r="CH59" i="3"/>
  <c r="CJ8" i="11"/>
  <c r="CC34" i="3"/>
  <c r="CJ15" i="6"/>
  <c r="CJ16" i="6"/>
  <c r="CJ17" i="6"/>
  <c r="CJ16" i="7"/>
  <c r="CD22" i="3"/>
  <c r="CJ11" i="7"/>
  <c r="CJ12" i="7"/>
  <c r="CJ13" i="7"/>
  <c r="BP59" i="9"/>
  <c r="CC58" i="9" a="1"/>
  <c r="CC58" i="9" s="1"/>
  <c r="CJ11" i="2"/>
  <c r="CJ13" i="6"/>
  <c r="CJ14" i="6"/>
  <c r="CJ15" i="7"/>
  <c r="CE8" i="3" a="1"/>
  <c r="CE8" i="3" s="1"/>
  <c r="CE6" i="3" a="1"/>
  <c r="CE6" i="3" s="1"/>
  <c r="CD10" i="3"/>
  <c r="CD29" i="3" s="1"/>
  <c r="CE9" i="3" a="1"/>
  <c r="CE9" i="3" s="1"/>
  <c r="CH110" i="3" a="1"/>
  <c r="CH110" i="3" s="1"/>
  <c r="CH72" i="3"/>
  <c r="CI12" i="11"/>
  <c r="CI12" i="2"/>
  <c r="CF7" i="3" s="1" a="1"/>
  <c r="CF7" i="3" s="1"/>
  <c r="CI18" i="6"/>
  <c r="CH14" i="3"/>
  <c r="CH16" i="3"/>
  <c r="CH17" i="3"/>
  <c r="CH18" i="3"/>
  <c r="CH28" i="3" s="1"/>
  <c r="CH13" i="3"/>
  <c r="CH12" i="3"/>
  <c r="CJ7" i="6"/>
  <c r="CJ11" i="6"/>
  <c r="CJ6" i="2"/>
  <c r="CJ7" i="2"/>
  <c r="CJ5" i="2"/>
  <c r="CJ10" i="2"/>
  <c r="CJ10" i="11"/>
  <c r="CB62" i="9"/>
  <c r="CE21" i="3" s="1" a="1"/>
  <c r="CE21" i="3" s="1"/>
  <c r="CE22" i="3" s="1"/>
  <c r="CJ5" i="11"/>
  <c r="CK4" i="11"/>
  <c r="CH5" i="3"/>
  <c r="CK4" i="7"/>
  <c r="CK4" i="6"/>
  <c r="CI4" i="3"/>
  <c r="CK4" i="2"/>
  <c r="CK9" i="2" s="1"/>
  <c r="CJ6" i="7"/>
  <c r="CJ5" i="7"/>
  <c r="CJ7" i="7"/>
  <c r="CJ10" i="7"/>
  <c r="CJ10" i="6"/>
  <c r="CJ5" i="6"/>
  <c r="CJ6" i="6"/>
  <c r="CJ8" i="6"/>
  <c r="CJ12" i="6"/>
  <c r="CJ9" i="6"/>
  <c r="CI17" i="7"/>
  <c r="CJ8" i="2"/>
  <c r="CJ7" i="11"/>
  <c r="CJ6" i="11"/>
  <c r="CJ9" i="11"/>
  <c r="CJ11" i="11"/>
  <c r="CC10" i="9"/>
  <c r="CD15" i="9"/>
  <c r="CC11" i="9"/>
  <c r="CC12" i="9"/>
  <c r="CB46" i="9"/>
  <c r="CB35" i="9"/>
  <c r="CB48" i="9"/>
  <c r="CB42" i="9"/>
  <c r="CB39" i="9"/>
  <c r="CH3" i="3"/>
  <c r="CI2" i="3"/>
  <c r="BQ59" i="9" l="1"/>
  <c r="CH10" i="38"/>
  <c r="CH16" i="38"/>
  <c r="CH9" i="38"/>
  <c r="CH11" i="38"/>
  <c r="CH15" i="38"/>
  <c r="CH18" i="38"/>
  <c r="CH20" i="38"/>
  <c r="CH17" i="38"/>
  <c r="CH19" i="38"/>
  <c r="CH21" i="38"/>
  <c r="CH26" i="38"/>
  <c r="CH22" i="38"/>
  <c r="CH25" i="38"/>
  <c r="CH27" i="38"/>
  <c r="CH24" i="38"/>
  <c r="CH30" i="38"/>
  <c r="CH32" i="38"/>
  <c r="CH34" i="38"/>
  <c r="CH29" i="38"/>
  <c r="CH31" i="38"/>
  <c r="CH33" i="38"/>
  <c r="CH37" i="38"/>
  <c r="CH39" i="38"/>
  <c r="CH35" i="38"/>
  <c r="CH28" i="38"/>
  <c r="CH36" i="38"/>
  <c r="CH38" i="38"/>
  <c r="CH44" i="38"/>
  <c r="CH46" i="38"/>
  <c r="CH50" i="38"/>
  <c r="CH41" i="38"/>
  <c r="CH43" i="38"/>
  <c r="CH45" i="38"/>
  <c r="CH49" i="38"/>
  <c r="CH52" i="38"/>
  <c r="CH54" i="38"/>
  <c r="CH56" i="38"/>
  <c r="CH51" i="38"/>
  <c r="CH53" i="38"/>
  <c r="CH55" i="38"/>
  <c r="CH57" i="38"/>
  <c r="CH58" i="38"/>
  <c r="CH60" i="38"/>
  <c r="CH62" i="38"/>
  <c r="CH59" i="38"/>
  <c r="CH61" i="38"/>
  <c r="CH65" i="38"/>
  <c r="CH64" i="38"/>
  <c r="CH66" i="38"/>
  <c r="CH72" i="38"/>
  <c r="CH74" i="38"/>
  <c r="CH76" i="38"/>
  <c r="CH71" i="38"/>
  <c r="CH77" i="38"/>
  <c r="CH79" i="38"/>
  <c r="CH81" i="38"/>
  <c r="CH83" i="38"/>
  <c r="CH73" i="38"/>
  <c r="CH75" i="38"/>
  <c r="CH63" i="38"/>
  <c r="CH67" i="38"/>
  <c r="CH78" i="38"/>
  <c r="CH80" i="38"/>
  <c r="CH82" i="38"/>
  <c r="CH86" i="38"/>
  <c r="CH84" i="38"/>
  <c r="CF89" i="38"/>
  <c r="CA22" i="9" s="1"/>
  <c r="CG87" i="38"/>
  <c r="CG89" i="38" s="1"/>
  <c r="CB22" i="9" s="1"/>
  <c r="CB17" i="9"/>
  <c r="CB16" i="9"/>
  <c r="CD18" i="9"/>
  <c r="CA36" i="9"/>
  <c r="CA37" i="9"/>
  <c r="CA27" i="9"/>
  <c r="CA28" i="9"/>
  <c r="CA25" i="9"/>
  <c r="CA26" i="9"/>
  <c r="CA21" i="9"/>
  <c r="CA23" i="9" s="1"/>
  <c r="CA29" i="9"/>
  <c r="CI8" i="38"/>
  <c r="CD9" i="9"/>
  <c r="CK9" i="7"/>
  <c r="CK14" i="7"/>
  <c r="CC41" i="9"/>
  <c r="CC40" i="9"/>
  <c r="CD14" i="9"/>
  <c r="CC34" i="9"/>
  <c r="CC38" i="9"/>
  <c r="CC20" i="9"/>
  <c r="CH100" i="3"/>
  <c r="CF13" i="9"/>
  <c r="CI120" i="3"/>
  <c r="CC35" i="3"/>
  <c r="CC44" i="9"/>
  <c r="CC43" i="9"/>
  <c r="CI41" i="3"/>
  <c r="CI76" i="3"/>
  <c r="CI54" i="3"/>
  <c r="CI36" i="3" s="1"/>
  <c r="CK8" i="7"/>
  <c r="CI61" i="3"/>
  <c r="CI59" i="3"/>
  <c r="CK8" i="11"/>
  <c r="CD34" i="3"/>
  <c r="CK15" i="6"/>
  <c r="CK16" i="6"/>
  <c r="CK17" i="6"/>
  <c r="CK16" i="7"/>
  <c r="CK13" i="7"/>
  <c r="CK11" i="7"/>
  <c r="CK12" i="7"/>
  <c r="AQ47" i="9"/>
  <c r="AQ55" i="9"/>
  <c r="AQ56" i="9" s="1"/>
  <c r="CF20" i="3" a="1"/>
  <c r="CF20" i="3" s="1"/>
  <c r="CD58" i="9" a="1"/>
  <c r="CD58" i="9" s="1"/>
  <c r="CK11" i="2"/>
  <c r="CK14" i="6"/>
  <c r="CK13" i="6"/>
  <c r="CK15" i="7"/>
  <c r="CE10" i="3"/>
  <c r="CE29" i="3" s="1"/>
  <c r="CF8" i="3" a="1"/>
  <c r="CF8" i="3" s="1"/>
  <c r="CF6" i="3" a="1"/>
  <c r="CF6" i="3" s="1"/>
  <c r="CF9" i="3" a="1"/>
  <c r="CF9" i="3" s="1"/>
  <c r="CI110" i="3" a="1"/>
  <c r="CI110" i="3" s="1"/>
  <c r="CI72" i="3"/>
  <c r="CJ12" i="11"/>
  <c r="CJ12" i="2"/>
  <c r="CG7" i="3" s="1" a="1"/>
  <c r="CG7" i="3" s="1"/>
  <c r="CJ18" i="6"/>
  <c r="CI12" i="3"/>
  <c r="CI13" i="3"/>
  <c r="CI14" i="3"/>
  <c r="CI16" i="3"/>
  <c r="CI17" i="3"/>
  <c r="CI18" i="3"/>
  <c r="CI28" i="3" s="1"/>
  <c r="CK7" i="6"/>
  <c r="CK11" i="6"/>
  <c r="CK6" i="2"/>
  <c r="CK7" i="2"/>
  <c r="CK5" i="2"/>
  <c r="CK10" i="2"/>
  <c r="CK10" i="11"/>
  <c r="CC62" i="9"/>
  <c r="CF21" i="3" s="1" a="1"/>
  <c r="CF21" i="3" s="1"/>
  <c r="CK5" i="11"/>
  <c r="CJ17" i="7"/>
  <c r="CK6" i="7"/>
  <c r="CK7" i="7"/>
  <c r="CK10" i="7"/>
  <c r="CK5" i="7"/>
  <c r="CK5" i="6"/>
  <c r="CK12" i="6"/>
  <c r="CK9" i="6"/>
  <c r="CK8" i="6"/>
  <c r="CK6" i="6"/>
  <c r="CK10" i="6"/>
  <c r="CK8" i="2"/>
  <c r="CL4" i="11"/>
  <c r="CI5" i="3"/>
  <c r="CL4" i="7"/>
  <c r="CL4" i="6"/>
  <c r="CJ4" i="3"/>
  <c r="CL4" i="2"/>
  <c r="CL9" i="2" s="1"/>
  <c r="CK7" i="11"/>
  <c r="CK9" i="11"/>
  <c r="CK11" i="11"/>
  <c r="CK6" i="11"/>
  <c r="CC39" i="9"/>
  <c r="CC42" i="9"/>
  <c r="CC46" i="9"/>
  <c r="CC48" i="9"/>
  <c r="CC35" i="9"/>
  <c r="CE15" i="9"/>
  <c r="CD11" i="9"/>
  <c r="CD12" i="9"/>
  <c r="CD10" i="9"/>
  <c r="CI3" i="3"/>
  <c r="CJ2" i="3"/>
  <c r="CG20" i="3" l="1" a="1"/>
  <c r="CG20" i="3" s="1"/>
  <c r="CB24" i="9"/>
  <c r="CI10" i="38"/>
  <c r="CI16" i="38"/>
  <c r="CI9" i="38"/>
  <c r="CI11" i="38"/>
  <c r="CI15" i="38"/>
  <c r="CI18" i="38"/>
  <c r="CI22" i="38"/>
  <c r="CI24" i="38"/>
  <c r="CI17" i="38"/>
  <c r="CI21" i="38"/>
  <c r="CI19" i="38"/>
  <c r="CI20" i="38"/>
  <c r="CI26" i="38"/>
  <c r="CI28" i="38"/>
  <c r="CI25" i="38"/>
  <c r="CI27" i="38"/>
  <c r="CI30" i="38"/>
  <c r="CI32" i="38"/>
  <c r="CI34" i="38"/>
  <c r="CI36" i="38"/>
  <c r="CI29" i="38"/>
  <c r="CI31" i="38"/>
  <c r="CI33" i="38"/>
  <c r="CI35" i="38"/>
  <c r="CI37" i="38"/>
  <c r="CI38" i="38"/>
  <c r="CI44" i="38"/>
  <c r="CI46" i="38"/>
  <c r="CI50" i="38"/>
  <c r="CI41" i="38"/>
  <c r="CI43" i="38"/>
  <c r="CI45" i="38"/>
  <c r="CI49" i="38"/>
  <c r="CI53" i="38"/>
  <c r="CI55" i="38"/>
  <c r="CI57" i="38"/>
  <c r="CI39" i="38"/>
  <c r="CI52" i="38"/>
  <c r="CI58" i="38"/>
  <c r="CI60" i="38"/>
  <c r="CI62" i="38"/>
  <c r="CI64" i="38"/>
  <c r="CI51" i="38"/>
  <c r="CI54" i="38"/>
  <c r="CI56" i="38"/>
  <c r="CI59" i="38"/>
  <c r="CI61" i="38"/>
  <c r="CI63" i="38"/>
  <c r="CI67" i="38"/>
  <c r="CI71" i="38"/>
  <c r="CI73" i="38"/>
  <c r="CI75" i="38"/>
  <c r="CI65" i="38"/>
  <c r="CI66" i="38"/>
  <c r="CI72" i="38"/>
  <c r="CI74" i="38"/>
  <c r="CI77" i="38"/>
  <c r="CI79" i="38"/>
  <c r="CI81" i="38"/>
  <c r="CI83" i="38"/>
  <c r="CI76" i="38"/>
  <c r="CI78" i="38"/>
  <c r="CI80" i="38"/>
  <c r="CI82" i="38"/>
  <c r="CI84" i="38"/>
  <c r="CI86" i="38"/>
  <c r="CH87" i="38"/>
  <c r="CC24" i="9" s="1"/>
  <c r="CB36" i="9"/>
  <c r="CB37" i="9"/>
  <c r="CB27" i="9"/>
  <c r="CB26" i="9"/>
  <c r="CB25" i="9"/>
  <c r="CB28" i="9"/>
  <c r="CC17" i="9"/>
  <c r="CC16" i="9"/>
  <c r="CE18" i="9"/>
  <c r="AR30" i="9"/>
  <c r="AR31" i="9" s="1"/>
  <c r="CB21" i="9"/>
  <c r="CB23" i="9" s="1"/>
  <c r="CB29" i="9"/>
  <c r="CJ8" i="38"/>
  <c r="CE9" i="9"/>
  <c r="CL9" i="7"/>
  <c r="CL14" i="7"/>
  <c r="CD41" i="9"/>
  <c r="CD40" i="9"/>
  <c r="CE14" i="9"/>
  <c r="CD34" i="9"/>
  <c r="CD38" i="9"/>
  <c r="CD20" i="9"/>
  <c r="CI100" i="3"/>
  <c r="CI93" i="3"/>
  <c r="CG13" i="9"/>
  <c r="CJ120" i="3"/>
  <c r="CD35" i="3"/>
  <c r="CD44" i="9"/>
  <c r="CD43" i="9"/>
  <c r="CJ76" i="3"/>
  <c r="CJ41" i="3"/>
  <c r="CJ54" i="3"/>
  <c r="CJ36" i="3" s="1"/>
  <c r="CL8" i="7"/>
  <c r="CJ61" i="3"/>
  <c r="CJ59" i="3"/>
  <c r="CL8" i="11"/>
  <c r="CE34" i="3"/>
  <c r="CF22" i="3"/>
  <c r="CL15" i="6"/>
  <c r="CL16" i="6"/>
  <c r="CL17" i="6"/>
  <c r="CL16" i="7"/>
  <c r="CL11" i="7"/>
  <c r="CL12" i="7"/>
  <c r="CL13" i="7"/>
  <c r="BR59" i="9"/>
  <c r="CE58" i="9" a="1"/>
  <c r="CE58" i="9" s="1"/>
  <c r="CL11" i="2"/>
  <c r="CL13" i="6"/>
  <c r="CL14" i="6"/>
  <c r="CF10" i="3"/>
  <c r="CF29" i="3" s="1"/>
  <c r="CL15" i="7"/>
  <c r="CG8" i="3" a="1"/>
  <c r="CG8" i="3" s="1"/>
  <c r="CG6" i="3" a="1"/>
  <c r="CG6" i="3" s="1"/>
  <c r="CG9" i="3" a="1"/>
  <c r="CG9" i="3" s="1"/>
  <c r="CJ110" i="3" a="1"/>
  <c r="CJ110" i="3" s="1"/>
  <c r="CJ72" i="3"/>
  <c r="CK12" i="11"/>
  <c r="CK12" i="2"/>
  <c r="CH7" i="3" s="1" a="1"/>
  <c r="CH7" i="3" s="1"/>
  <c r="CK18" i="6"/>
  <c r="CJ13" i="3"/>
  <c r="CJ12" i="3"/>
  <c r="CJ16" i="3"/>
  <c r="CJ14" i="3"/>
  <c r="CJ17" i="3"/>
  <c r="CJ18" i="3"/>
  <c r="CL7" i="6"/>
  <c r="CL11" i="6"/>
  <c r="CL7" i="2"/>
  <c r="CL6" i="2"/>
  <c r="CL5" i="2"/>
  <c r="CL10" i="2"/>
  <c r="CL10" i="11"/>
  <c r="CD62" i="9"/>
  <c r="CG21" i="3" s="1" a="1"/>
  <c r="CG21" i="3" s="1"/>
  <c r="CG22" i="3" s="1"/>
  <c r="CL5" i="11"/>
  <c r="CL8" i="2"/>
  <c r="CM4" i="11"/>
  <c r="CJ5" i="3"/>
  <c r="CM4" i="7"/>
  <c r="CM4" i="6"/>
  <c r="CK4" i="3"/>
  <c r="CM4" i="2"/>
  <c r="CM9" i="2" s="1"/>
  <c r="CL9" i="11"/>
  <c r="CL6" i="11"/>
  <c r="CL11" i="11"/>
  <c r="CL7" i="11"/>
  <c r="CK17" i="7"/>
  <c r="CL6" i="7"/>
  <c r="CL5" i="7"/>
  <c r="CL7" i="7"/>
  <c r="CL10" i="7"/>
  <c r="CL9" i="6"/>
  <c r="CL10" i="6"/>
  <c r="CL12" i="6"/>
  <c r="CL5" i="6"/>
  <c r="CL6" i="6"/>
  <c r="CL8" i="6"/>
  <c r="CD46" i="9"/>
  <c r="CD48" i="9"/>
  <c r="CD35" i="9"/>
  <c r="CD42" i="9"/>
  <c r="CD39" i="9"/>
  <c r="CE10" i="9"/>
  <c r="CE11" i="9"/>
  <c r="CF15" i="9"/>
  <c r="CE12" i="9"/>
  <c r="CK2" i="3"/>
  <c r="CJ3" i="3"/>
  <c r="BS59" i="9" l="1"/>
  <c r="CJ10" i="38"/>
  <c r="CJ16" i="38"/>
  <c r="CJ9" i="38"/>
  <c r="CJ11" i="38"/>
  <c r="CJ15" i="38"/>
  <c r="CJ22" i="38"/>
  <c r="CJ17" i="38"/>
  <c r="CJ18" i="38"/>
  <c r="CJ21" i="38"/>
  <c r="CJ19" i="38"/>
  <c r="CJ24" i="38"/>
  <c r="CJ25" i="38"/>
  <c r="CJ27" i="38"/>
  <c r="CJ26" i="38"/>
  <c r="CJ30" i="38"/>
  <c r="CJ32" i="38"/>
  <c r="CJ34" i="38"/>
  <c r="CJ35" i="38"/>
  <c r="CJ37" i="38"/>
  <c r="CJ39" i="38"/>
  <c r="CJ20" i="38"/>
  <c r="CJ28" i="38"/>
  <c r="CJ29" i="38"/>
  <c r="CJ31" i="38"/>
  <c r="CJ36" i="38"/>
  <c r="CJ33" i="38"/>
  <c r="CJ44" i="38"/>
  <c r="CJ46" i="38"/>
  <c r="CJ50" i="38"/>
  <c r="CJ38" i="38"/>
  <c r="CJ41" i="38"/>
  <c r="CJ53" i="38"/>
  <c r="CJ55" i="38"/>
  <c r="CJ57" i="38"/>
  <c r="CJ43" i="38"/>
  <c r="CJ52" i="38"/>
  <c r="CJ54" i="38"/>
  <c r="CJ56" i="38"/>
  <c r="CJ49" i="38"/>
  <c r="CJ51" i="38"/>
  <c r="CJ45" i="38"/>
  <c r="CJ58" i="38"/>
  <c r="CJ60" i="38"/>
  <c r="CJ62" i="38"/>
  <c r="CJ64" i="38"/>
  <c r="CJ63" i="38"/>
  <c r="CJ67" i="38"/>
  <c r="CJ71" i="38"/>
  <c r="CJ73" i="38"/>
  <c r="CJ75" i="38"/>
  <c r="CJ65" i="38"/>
  <c r="CJ59" i="38"/>
  <c r="CJ66" i="38"/>
  <c r="CJ72" i="38"/>
  <c r="CJ61" i="38"/>
  <c r="CJ74" i="38"/>
  <c r="CJ77" i="38"/>
  <c r="CJ79" i="38"/>
  <c r="CJ81" i="38"/>
  <c r="CJ83" i="38"/>
  <c r="CJ76" i="38"/>
  <c r="CJ78" i="38"/>
  <c r="CJ80" i="38"/>
  <c r="CJ82" i="38"/>
  <c r="CJ86" i="38"/>
  <c r="CJ84" i="38"/>
  <c r="CH89" i="38"/>
  <c r="CC22" i="9" s="1"/>
  <c r="CC21" i="9" s="1"/>
  <c r="CC23" i="9" s="1"/>
  <c r="CI87" i="38"/>
  <c r="CD24" i="9" s="1"/>
  <c r="CF18" i="9"/>
  <c r="CC36" i="9"/>
  <c r="CC37" i="9"/>
  <c r="CC27" i="9"/>
  <c r="CC25" i="9"/>
  <c r="CC26" i="9"/>
  <c r="CC28" i="9"/>
  <c r="CD17" i="9"/>
  <c r="CD16" i="9"/>
  <c r="CC29" i="9"/>
  <c r="CK8" i="38"/>
  <c r="CF9" i="9"/>
  <c r="CM9" i="7"/>
  <c r="CM14" i="7"/>
  <c r="CE41" i="9"/>
  <c r="CE40" i="9"/>
  <c r="CF14" i="9"/>
  <c r="CE34" i="9"/>
  <c r="CE38" i="9"/>
  <c r="CE20" i="9"/>
  <c r="CJ100" i="3"/>
  <c r="CJ93" i="3"/>
  <c r="CH13" i="9"/>
  <c r="CK120" i="3"/>
  <c r="CJ28" i="3"/>
  <c r="CE35" i="3"/>
  <c r="CE44" i="9"/>
  <c r="CE43" i="9"/>
  <c r="CK76" i="3"/>
  <c r="CK41" i="3"/>
  <c r="CK54" i="3"/>
  <c r="CK36" i="3" s="1"/>
  <c r="CM8" i="7"/>
  <c r="CK61" i="3"/>
  <c r="CK59" i="3"/>
  <c r="CM8" i="11"/>
  <c r="CF34" i="3"/>
  <c r="CM15" i="6"/>
  <c r="CM16" i="6"/>
  <c r="CM17" i="6"/>
  <c r="CM16" i="7"/>
  <c r="CM11" i="7"/>
  <c r="CM13" i="7"/>
  <c r="CM12" i="7"/>
  <c r="AR47" i="9"/>
  <c r="AR55" i="9"/>
  <c r="AR56" i="9" s="1"/>
  <c r="CH20" i="3" a="1"/>
  <c r="CH20" i="3" s="1"/>
  <c r="CF58" i="9" a="1"/>
  <c r="CF58" i="9" s="1"/>
  <c r="CM11" i="2"/>
  <c r="CM14" i="6"/>
  <c r="CM13" i="6"/>
  <c r="CM15" i="7"/>
  <c r="CG10" i="3"/>
  <c r="CG29" i="3" s="1"/>
  <c r="CH8" i="3" a="1"/>
  <c r="CH8" i="3" s="1"/>
  <c r="CH6" i="3" a="1"/>
  <c r="CH6" i="3" s="1"/>
  <c r="CH9" i="3" a="1"/>
  <c r="CH9" i="3" s="1"/>
  <c r="CK110" i="3" a="1"/>
  <c r="CK110" i="3" s="1"/>
  <c r="CL12" i="11"/>
  <c r="CL12" i="2"/>
  <c r="CI7" i="3" s="1" a="1"/>
  <c r="CI7" i="3" s="1"/>
  <c r="CK72" i="3"/>
  <c r="CL18" i="6"/>
  <c r="CK13" i="3"/>
  <c r="CK14" i="3"/>
  <c r="CK12" i="3"/>
  <c r="CK17" i="3"/>
  <c r="CK18" i="3"/>
  <c r="CK28" i="3" s="1"/>
  <c r="CK16" i="3"/>
  <c r="CM7" i="6"/>
  <c r="CM11" i="6"/>
  <c r="CM7" i="2"/>
  <c r="CM6" i="2"/>
  <c r="CM5" i="2"/>
  <c r="CM10" i="2"/>
  <c r="CM10" i="11"/>
  <c r="CE62" i="9"/>
  <c r="CH21" i="3" s="1" a="1"/>
  <c r="CH21" i="3" s="1"/>
  <c r="CM5" i="11"/>
  <c r="CN4" i="11"/>
  <c r="CN4" i="7"/>
  <c r="CK5" i="3"/>
  <c r="CN4" i="6"/>
  <c r="CL4" i="3"/>
  <c r="CN4" i="2"/>
  <c r="CN9" i="2" s="1"/>
  <c r="CM9" i="11"/>
  <c r="CM7" i="11"/>
  <c r="CM6" i="11"/>
  <c r="CM11" i="11"/>
  <c r="CM8" i="2"/>
  <c r="CM5" i="6"/>
  <c r="CM12" i="6"/>
  <c r="CM10" i="6"/>
  <c r="CM6" i="6"/>
  <c r="CM8" i="6"/>
  <c r="CM9" i="6"/>
  <c r="CL17" i="7"/>
  <c r="CM5" i="7"/>
  <c r="CM10" i="7"/>
  <c r="CM6" i="7"/>
  <c r="CM7" i="7"/>
  <c r="CF10" i="9"/>
  <c r="CF11" i="9"/>
  <c r="CF12" i="9"/>
  <c r="CG15" i="9"/>
  <c r="CE39" i="9"/>
  <c r="CE42" i="9"/>
  <c r="CE46" i="9"/>
  <c r="CE35" i="9"/>
  <c r="CE48" i="9"/>
  <c r="CK3" i="3"/>
  <c r="CL2" i="3"/>
  <c r="CI20" i="3" l="1" a="1"/>
  <c r="CI20" i="3" s="1"/>
  <c r="CK10" i="38"/>
  <c r="CK15" i="38"/>
  <c r="CK9" i="38"/>
  <c r="CK16" i="38"/>
  <c r="CK17" i="38"/>
  <c r="CK19" i="38"/>
  <c r="CK11" i="38"/>
  <c r="CK18" i="38"/>
  <c r="CK20" i="38"/>
  <c r="CK22" i="38"/>
  <c r="CK24" i="38"/>
  <c r="CK21" i="38"/>
  <c r="CK26" i="38"/>
  <c r="CK28" i="38"/>
  <c r="CK25" i="38"/>
  <c r="CK27" i="38"/>
  <c r="CK30" i="38"/>
  <c r="CK32" i="38"/>
  <c r="CK34" i="38"/>
  <c r="CK33" i="38"/>
  <c r="CK35" i="38"/>
  <c r="CK37" i="38"/>
  <c r="CK29" i="38"/>
  <c r="CK31" i="38"/>
  <c r="CK36" i="38"/>
  <c r="CK39" i="38"/>
  <c r="CK41" i="38"/>
  <c r="CK43" i="38"/>
  <c r="CK45" i="38"/>
  <c r="CK49" i="38"/>
  <c r="CK51" i="38"/>
  <c r="CK44" i="38"/>
  <c r="CK46" i="38"/>
  <c r="CK50" i="38"/>
  <c r="CK38" i="38"/>
  <c r="CK55" i="38"/>
  <c r="CK59" i="38"/>
  <c r="CK61" i="38"/>
  <c r="CK63" i="38"/>
  <c r="CK52" i="38"/>
  <c r="CK57" i="38"/>
  <c r="CK58" i="38"/>
  <c r="CK60" i="38"/>
  <c r="CK62" i="38"/>
  <c r="CK53" i="38"/>
  <c r="CK54" i="38"/>
  <c r="CK67" i="38"/>
  <c r="CK71" i="38"/>
  <c r="CK73" i="38"/>
  <c r="CK64" i="38"/>
  <c r="CK65" i="38"/>
  <c r="CK66" i="38"/>
  <c r="CK72" i="38"/>
  <c r="CK74" i="38"/>
  <c r="CK75" i="38"/>
  <c r="CK56" i="38"/>
  <c r="CK80" i="38"/>
  <c r="CK81" i="38"/>
  <c r="CK79" i="38"/>
  <c r="CK76" i="38"/>
  <c r="CK82" i="38"/>
  <c r="CK83" i="38"/>
  <c r="CK77" i="38"/>
  <c r="CK78" i="38"/>
  <c r="CK86" i="38"/>
  <c r="CK84" i="38"/>
  <c r="CI89" i="38"/>
  <c r="CD22" i="9" s="1"/>
  <c r="CE17" i="9"/>
  <c r="CE16" i="9"/>
  <c r="CD36" i="9"/>
  <c r="CD37" i="9"/>
  <c r="CD28" i="9"/>
  <c r="CD27" i="9"/>
  <c r="CD25" i="9"/>
  <c r="CD26" i="9"/>
  <c r="CG18" i="9"/>
  <c r="CJ87" i="38"/>
  <c r="CE24" i="9" s="1"/>
  <c r="AS30" i="9"/>
  <c r="AS31" i="9" s="1"/>
  <c r="CD21" i="9"/>
  <c r="CD23" i="9" s="1"/>
  <c r="CD29" i="9"/>
  <c r="CL8" i="38"/>
  <c r="CG9" i="9"/>
  <c r="CN9" i="7"/>
  <c r="CN14" i="7"/>
  <c r="CF41" i="9"/>
  <c r="CF40" i="9"/>
  <c r="CG14" i="9"/>
  <c r="CF34" i="9"/>
  <c r="CF38" i="9"/>
  <c r="CF20" i="9"/>
  <c r="CK100" i="3"/>
  <c r="CK93" i="3"/>
  <c r="CI13" i="9"/>
  <c r="CL120" i="3"/>
  <c r="CL93" i="3" s="1"/>
  <c r="CF35" i="3"/>
  <c r="CF44" i="9"/>
  <c r="CF43" i="9"/>
  <c r="CL41" i="3"/>
  <c r="CL76" i="3"/>
  <c r="CL54" i="3"/>
  <c r="CL36" i="3" s="1"/>
  <c r="CN8" i="7"/>
  <c r="CL61" i="3"/>
  <c r="CL59" i="3"/>
  <c r="CN8" i="11"/>
  <c r="CG34" i="3"/>
  <c r="CN15" i="6"/>
  <c r="CN16" i="6"/>
  <c r="CN17" i="6"/>
  <c r="CN16" i="7"/>
  <c r="CN11" i="7"/>
  <c r="CN12" i="7"/>
  <c r="CN13" i="7"/>
  <c r="CH22" i="3"/>
  <c r="BT59" i="9"/>
  <c r="CG58" i="9" a="1"/>
  <c r="CG58" i="9" s="1"/>
  <c r="CN11" i="2"/>
  <c r="CN13" i="6"/>
  <c r="CN14" i="6"/>
  <c r="CN15" i="7"/>
  <c r="CH10" i="3"/>
  <c r="CH29" i="3" s="1"/>
  <c r="CI8" i="3" a="1"/>
  <c r="CI8" i="3" s="1"/>
  <c r="CI6" i="3" a="1"/>
  <c r="CI6" i="3" s="1"/>
  <c r="CI9" i="3" a="1"/>
  <c r="CI9" i="3" s="1"/>
  <c r="CL110" i="3" a="1"/>
  <c r="CL110" i="3" s="1"/>
  <c r="CL72" i="3"/>
  <c r="CM12" i="11"/>
  <c r="CM12" i="2"/>
  <c r="CJ7" i="3" s="1" a="1"/>
  <c r="CJ7" i="3" s="1"/>
  <c r="CM18" i="6"/>
  <c r="CL12" i="3"/>
  <c r="CL14" i="3"/>
  <c r="CL13" i="3"/>
  <c r="CL17" i="3"/>
  <c r="CL18" i="3"/>
  <c r="CL28" i="3" s="1"/>
  <c r="CL16" i="3"/>
  <c r="CN7" i="6"/>
  <c r="CN11" i="6"/>
  <c r="CN6" i="2"/>
  <c r="CN7" i="2"/>
  <c r="CN5" i="2"/>
  <c r="CN10" i="2"/>
  <c r="CN10" i="11"/>
  <c r="CF62" i="9"/>
  <c r="CI21" i="3" s="1" a="1"/>
  <c r="CI21" i="3" s="1"/>
  <c r="CI22" i="3" s="1"/>
  <c r="CN5" i="11"/>
  <c r="CN8" i="2"/>
  <c r="CO4" i="11"/>
  <c r="CL5" i="3"/>
  <c r="CO4" i="7"/>
  <c r="CO4" i="6"/>
  <c r="CM4" i="3"/>
  <c r="CO4" i="2"/>
  <c r="CO9" i="2" s="1"/>
  <c r="CN6" i="7"/>
  <c r="CN10" i="7"/>
  <c r="CN7" i="7"/>
  <c r="CN5" i="7"/>
  <c r="CM17" i="7"/>
  <c r="CN5" i="6"/>
  <c r="CN6" i="6"/>
  <c r="CN12" i="6"/>
  <c r="CN10" i="6"/>
  <c r="CN9" i="6"/>
  <c r="CN8" i="6"/>
  <c r="CN6" i="11"/>
  <c r="CN9" i="11"/>
  <c r="CN7" i="11"/>
  <c r="CN11" i="11"/>
  <c r="CF42" i="9"/>
  <c r="CF46" i="9"/>
  <c r="CF35" i="9"/>
  <c r="CF48" i="9"/>
  <c r="CF39" i="9"/>
  <c r="CG10" i="9"/>
  <c r="CG12" i="9"/>
  <c r="CG11" i="9"/>
  <c r="CH15" i="9"/>
  <c r="CM2" i="3"/>
  <c r="CL3" i="3"/>
  <c r="CJ20" i="3" l="1" a="1"/>
  <c r="CJ20" i="3" s="1"/>
  <c r="CL9" i="38"/>
  <c r="CL11" i="38"/>
  <c r="CL15" i="38"/>
  <c r="CL10" i="38"/>
  <c r="CL16" i="38"/>
  <c r="CL17" i="38"/>
  <c r="CL19" i="38"/>
  <c r="CL18" i="38"/>
  <c r="CL20" i="38"/>
  <c r="CL22" i="38"/>
  <c r="CL21" i="38"/>
  <c r="CL24" i="38"/>
  <c r="CL26" i="38"/>
  <c r="CL28" i="38"/>
  <c r="CL29" i="38"/>
  <c r="CL31" i="38"/>
  <c r="CL33" i="38"/>
  <c r="CL35" i="38"/>
  <c r="CL27" i="38"/>
  <c r="CL30" i="38"/>
  <c r="CL32" i="38"/>
  <c r="CL25" i="38"/>
  <c r="CL36" i="38"/>
  <c r="CL38" i="38"/>
  <c r="CL34" i="38"/>
  <c r="CL37" i="38"/>
  <c r="CL39" i="38"/>
  <c r="CL41" i="38"/>
  <c r="CL43" i="38"/>
  <c r="CL45" i="38"/>
  <c r="CL49" i="38"/>
  <c r="CL51" i="38"/>
  <c r="CL44" i="38"/>
  <c r="CL46" i="38"/>
  <c r="CL50" i="38"/>
  <c r="CL53" i="38"/>
  <c r="CL55" i="38"/>
  <c r="CL57" i="38"/>
  <c r="CL52" i="38"/>
  <c r="CL54" i="38"/>
  <c r="CL56" i="38"/>
  <c r="CL59" i="38"/>
  <c r="CL61" i="38"/>
  <c r="CL58" i="38"/>
  <c r="CL60" i="38"/>
  <c r="CL63" i="38"/>
  <c r="CL67" i="38"/>
  <c r="CL71" i="38"/>
  <c r="CL73" i="38"/>
  <c r="CL75" i="38"/>
  <c r="CL64" i="38"/>
  <c r="CL62" i="38"/>
  <c r="CL65" i="38"/>
  <c r="CL76" i="38"/>
  <c r="CL78" i="38"/>
  <c r="CL80" i="38"/>
  <c r="CL82" i="38"/>
  <c r="CL72" i="38"/>
  <c r="CL74" i="38"/>
  <c r="CL66" i="38"/>
  <c r="CL77" i="38"/>
  <c r="CL79" i="38"/>
  <c r="CL81" i="38"/>
  <c r="CL83" i="38"/>
  <c r="CL84" i="38"/>
  <c r="CL86" i="38"/>
  <c r="CE37" i="9"/>
  <c r="CE36" i="9"/>
  <c r="CE28" i="9"/>
  <c r="CE26" i="9"/>
  <c r="CE27" i="9"/>
  <c r="CE25" i="9"/>
  <c r="CJ89" i="38"/>
  <c r="CE22" i="9" s="1"/>
  <c r="CE21" i="9" s="1"/>
  <c r="CE23" i="9" s="1"/>
  <c r="CK87" i="38"/>
  <c r="CF24" i="9" s="1"/>
  <c r="CF16" i="9"/>
  <c r="CF17" i="9"/>
  <c r="CH18" i="9"/>
  <c r="CE29" i="9"/>
  <c r="CM8" i="38"/>
  <c r="CH9" i="9"/>
  <c r="CO9" i="7"/>
  <c r="CO14" i="7"/>
  <c r="CG41" i="9"/>
  <c r="CG40" i="9"/>
  <c r="CH14" i="9"/>
  <c r="CG34" i="9"/>
  <c r="CG38" i="9"/>
  <c r="CG20" i="9"/>
  <c r="AT30" i="9"/>
  <c r="CL100" i="3"/>
  <c r="CJ13" i="9"/>
  <c r="CM120" i="3"/>
  <c r="CG35" i="3"/>
  <c r="CG44" i="9"/>
  <c r="CG43" i="9"/>
  <c r="CM41" i="3"/>
  <c r="CM76" i="3"/>
  <c r="CO8" i="7"/>
  <c r="CM61" i="3"/>
  <c r="CO8" i="11"/>
  <c r="CH34" i="3"/>
  <c r="CO15" i="6"/>
  <c r="CO16" i="6"/>
  <c r="CO17" i="6"/>
  <c r="CO16" i="7"/>
  <c r="CO12" i="7"/>
  <c r="CO11" i="7"/>
  <c r="CO13" i="7"/>
  <c r="AS47" i="9"/>
  <c r="AS55" i="9"/>
  <c r="AS56" i="9" s="1"/>
  <c r="BU59" i="9"/>
  <c r="CH58" i="9" a="1"/>
  <c r="CH58" i="9" s="1"/>
  <c r="CO11" i="2"/>
  <c r="CO14" i="6"/>
  <c r="CO13" i="6"/>
  <c r="CO15" i="7"/>
  <c r="CI10" i="3"/>
  <c r="CI29" i="3" s="1"/>
  <c r="CJ8" i="3" a="1"/>
  <c r="CJ8" i="3" s="1"/>
  <c r="CJ6" i="3" a="1"/>
  <c r="CJ6" i="3" s="1"/>
  <c r="CJ9" i="3" a="1"/>
  <c r="CJ9" i="3" s="1"/>
  <c r="CM110" i="3" a="1"/>
  <c r="CM110" i="3" s="1"/>
  <c r="CN12" i="11"/>
  <c r="CN12" i="2"/>
  <c r="CK7" i="3" s="1" a="1"/>
  <c r="CK7" i="3" s="1"/>
  <c r="CM72" i="3"/>
  <c r="CN18" i="6"/>
  <c r="CM12" i="3"/>
  <c r="CM13" i="3"/>
  <c r="CM14" i="3"/>
  <c r="CM16" i="3"/>
  <c r="CM17" i="3"/>
  <c r="CM18" i="3"/>
  <c r="CM28" i="3" s="1"/>
  <c r="CO7" i="6"/>
  <c r="CO11" i="6"/>
  <c r="CO6" i="2"/>
  <c r="CO7" i="2"/>
  <c r="CO5" i="2"/>
  <c r="CO10" i="2"/>
  <c r="CO10" i="11"/>
  <c r="CG62" i="9"/>
  <c r="CJ21" i="3" s="1" a="1"/>
  <c r="CJ21" i="3" s="1"/>
  <c r="CJ22" i="3" s="1"/>
  <c r="CO5" i="11"/>
  <c r="CP4" i="11"/>
  <c r="CM5" i="3"/>
  <c r="CP4" i="7"/>
  <c r="CP4" i="6"/>
  <c r="CN4" i="3"/>
  <c r="CP4" i="2"/>
  <c r="CP9" i="2" s="1"/>
  <c r="CO10" i="7"/>
  <c r="CO7" i="7"/>
  <c r="CO6" i="7"/>
  <c r="CO5" i="7"/>
  <c r="CN17" i="7"/>
  <c r="CO5" i="6"/>
  <c r="CO6" i="6"/>
  <c r="CO10" i="6"/>
  <c r="CO9" i="6"/>
  <c r="CO8" i="6"/>
  <c r="CO12" i="6"/>
  <c r="CO8" i="2"/>
  <c r="CO7" i="11"/>
  <c r="CO6" i="11"/>
  <c r="CO9" i="11"/>
  <c r="CO11" i="11"/>
  <c r="CG42" i="9"/>
  <c r="CG46" i="9"/>
  <c r="CG39" i="9"/>
  <c r="CG48" i="9"/>
  <c r="CG35" i="9"/>
  <c r="CH12" i="9"/>
  <c r="CH10" i="9"/>
  <c r="CI15" i="9"/>
  <c r="CH11" i="9"/>
  <c r="CM3" i="3"/>
  <c r="CN2" i="3"/>
  <c r="CK20" i="3" l="1" a="1"/>
  <c r="CK20" i="3" s="1"/>
  <c r="CK89" i="38"/>
  <c r="CF22" i="9" s="1"/>
  <c r="CM9" i="38"/>
  <c r="CM11" i="38"/>
  <c r="CM15" i="38"/>
  <c r="CM10" i="38"/>
  <c r="CM16" i="38"/>
  <c r="CM17" i="38"/>
  <c r="CM19" i="38"/>
  <c r="CM20" i="38"/>
  <c r="CM21" i="38"/>
  <c r="CM25" i="38"/>
  <c r="CM22" i="38"/>
  <c r="CM24" i="38"/>
  <c r="CM18" i="38"/>
  <c r="CM27" i="38"/>
  <c r="CM29" i="38"/>
  <c r="CM26" i="38"/>
  <c r="CM28" i="38"/>
  <c r="CM31" i="38"/>
  <c r="CM33" i="38"/>
  <c r="CM35" i="38"/>
  <c r="CM30" i="38"/>
  <c r="CM32" i="38"/>
  <c r="CM34" i="38"/>
  <c r="CM36" i="38"/>
  <c r="CM38" i="38"/>
  <c r="CM37" i="38"/>
  <c r="CM39" i="38"/>
  <c r="CM41" i="38"/>
  <c r="CM43" i="38"/>
  <c r="CM45" i="38"/>
  <c r="CM49" i="38"/>
  <c r="CM51" i="38"/>
  <c r="CM44" i="38"/>
  <c r="CM46" i="38"/>
  <c r="CM50" i="38"/>
  <c r="CM52" i="38"/>
  <c r="CM54" i="38"/>
  <c r="CM56" i="38"/>
  <c r="CM55" i="38"/>
  <c r="CM57" i="38"/>
  <c r="CM59" i="38"/>
  <c r="CM61" i="38"/>
  <c r="CM63" i="38"/>
  <c r="CM53" i="38"/>
  <c r="CM58" i="38"/>
  <c r="CM60" i="38"/>
  <c r="CM62" i="38"/>
  <c r="CM66" i="38"/>
  <c r="CM72" i="38"/>
  <c r="CM74" i="38"/>
  <c r="CM67" i="38"/>
  <c r="CM71" i="38"/>
  <c r="CM73" i="38"/>
  <c r="CM75" i="38"/>
  <c r="CM64" i="38"/>
  <c r="CM76" i="38"/>
  <c r="CM78" i="38"/>
  <c r="CM80" i="38"/>
  <c r="CM82" i="38"/>
  <c r="CM84" i="38"/>
  <c r="CM65" i="38"/>
  <c r="CM77" i="38"/>
  <c r="CM79" i="38"/>
  <c r="CM81" i="38"/>
  <c r="CM83" i="38"/>
  <c r="CM86" i="38"/>
  <c r="CG16" i="9"/>
  <c r="CG27" i="9" s="1"/>
  <c r="CL87" i="38"/>
  <c r="CG24" i="9" s="1"/>
  <c r="CG17" i="9"/>
  <c r="CI18" i="9"/>
  <c r="CF37" i="9"/>
  <c r="CF36" i="9"/>
  <c r="CF26" i="9"/>
  <c r="CF25" i="9"/>
  <c r="CF27" i="9"/>
  <c r="CF28" i="9"/>
  <c r="CF21" i="9"/>
  <c r="CF23" i="9" s="1"/>
  <c r="CF29" i="9"/>
  <c r="AT31" i="9"/>
  <c r="CN8" i="38"/>
  <c r="CI9" i="9"/>
  <c r="CP9" i="7"/>
  <c r="CP14" i="7"/>
  <c r="CH41" i="9"/>
  <c r="CH40" i="9"/>
  <c r="CI14" i="9"/>
  <c r="CH34" i="9"/>
  <c r="CH38" i="9"/>
  <c r="CH20" i="9"/>
  <c r="CM100" i="3"/>
  <c r="CM93" i="3"/>
  <c r="CK13" i="9"/>
  <c r="CN120" i="3"/>
  <c r="CH35" i="3"/>
  <c r="CH44" i="9"/>
  <c r="CH43" i="9"/>
  <c r="CN76" i="3"/>
  <c r="CN41" i="3"/>
  <c r="CN54" i="3"/>
  <c r="CN36" i="3" s="1"/>
  <c r="CP8" i="7"/>
  <c r="CN61" i="3"/>
  <c r="CN59" i="3"/>
  <c r="CP8" i="11"/>
  <c r="CI34" i="3"/>
  <c r="CP15" i="6"/>
  <c r="CP16" i="6"/>
  <c r="CP17" i="6"/>
  <c r="CP16" i="7"/>
  <c r="CP11" i="7"/>
  <c r="CP12" i="7"/>
  <c r="CP13" i="7"/>
  <c r="BV59" i="9"/>
  <c r="CI58" i="9" a="1"/>
  <c r="CI58" i="9" s="1"/>
  <c r="CP11" i="2"/>
  <c r="CP13" i="6"/>
  <c r="CP14" i="6"/>
  <c r="CP15" i="7"/>
  <c r="CK8" i="3" a="1"/>
  <c r="CK8" i="3" s="1"/>
  <c r="CK6" i="3" a="1"/>
  <c r="CK6" i="3" s="1"/>
  <c r="CJ10" i="3"/>
  <c r="CJ29" i="3" s="1"/>
  <c r="CK9" i="3" a="1"/>
  <c r="CK9" i="3" s="1"/>
  <c r="CN110" i="3" a="1"/>
  <c r="CN110" i="3" s="1"/>
  <c r="CN72" i="3"/>
  <c r="CO12" i="11"/>
  <c r="CO12" i="2"/>
  <c r="CL7" i="3" s="1" a="1"/>
  <c r="CL7" i="3" s="1"/>
  <c r="CO18" i="6"/>
  <c r="CN14" i="3"/>
  <c r="CN16" i="3"/>
  <c r="CN12" i="3"/>
  <c r="CN13" i="3"/>
  <c r="CN17" i="3"/>
  <c r="CN18" i="3"/>
  <c r="CN28" i="3" s="1"/>
  <c r="CP7" i="6"/>
  <c r="CP11" i="6"/>
  <c r="CP7" i="2"/>
  <c r="CP6" i="2"/>
  <c r="CP5" i="2"/>
  <c r="CP10" i="2"/>
  <c r="CP10" i="11"/>
  <c r="CH62" i="9"/>
  <c r="CK21" i="3" s="1" a="1"/>
  <c r="CK21" i="3" s="1"/>
  <c r="CK22" i="3" s="1"/>
  <c r="CP5" i="11"/>
  <c r="CQ4" i="11"/>
  <c r="CN5" i="3"/>
  <c r="CQ4" i="7"/>
  <c r="CQ4" i="6"/>
  <c r="CO4" i="3"/>
  <c r="CQ4" i="2"/>
  <c r="CQ9" i="2" s="1"/>
  <c r="CP5" i="7"/>
  <c r="CP6" i="7"/>
  <c r="CP10" i="7"/>
  <c r="CP7" i="7"/>
  <c r="CP9" i="11"/>
  <c r="CP11" i="11"/>
  <c r="CP6" i="11"/>
  <c r="CP7" i="11"/>
  <c r="CP8" i="2"/>
  <c r="CO17" i="7"/>
  <c r="CP10" i="6"/>
  <c r="CP6" i="6"/>
  <c r="CP5" i="6"/>
  <c r="CP8" i="6"/>
  <c r="CP12" i="6"/>
  <c r="CP9" i="6"/>
  <c r="CI10" i="9"/>
  <c r="CI11" i="9"/>
  <c r="CJ15" i="9"/>
  <c r="CI12" i="9"/>
  <c r="CH46" i="9"/>
  <c r="CH48" i="9"/>
  <c r="CH35" i="9"/>
  <c r="CH39" i="9"/>
  <c r="CH42" i="9"/>
  <c r="CO2" i="3"/>
  <c r="CN3" i="3"/>
  <c r="CL20" i="3" l="1" a="1"/>
  <c r="CL20" i="3" s="1"/>
  <c r="CN9" i="38"/>
  <c r="CN11" i="38"/>
  <c r="CN15" i="38"/>
  <c r="CN10" i="38"/>
  <c r="CN16" i="38"/>
  <c r="CN20" i="38"/>
  <c r="CN21" i="38"/>
  <c r="CN17" i="38"/>
  <c r="CN22" i="38"/>
  <c r="CN18" i="38"/>
  <c r="CN24" i="38"/>
  <c r="CN19" i="38"/>
  <c r="CN25" i="38"/>
  <c r="CN29" i="38"/>
  <c r="CN26" i="38"/>
  <c r="CN28" i="38"/>
  <c r="CN31" i="38"/>
  <c r="CN33" i="38"/>
  <c r="CN35" i="38"/>
  <c r="CN27" i="38"/>
  <c r="CN36" i="38"/>
  <c r="CN34" i="38"/>
  <c r="CN38" i="38"/>
  <c r="CN30" i="38"/>
  <c r="CN39" i="38"/>
  <c r="CN41" i="38"/>
  <c r="CN43" i="38"/>
  <c r="CN45" i="38"/>
  <c r="CN49" i="38"/>
  <c r="CN32" i="38"/>
  <c r="CN50" i="38"/>
  <c r="CN51" i="38"/>
  <c r="CN52" i="38"/>
  <c r="CN54" i="38"/>
  <c r="CN56" i="38"/>
  <c r="CN53" i="38"/>
  <c r="CN55" i="38"/>
  <c r="CN57" i="38"/>
  <c r="CN37" i="38"/>
  <c r="CN46" i="38"/>
  <c r="CN44" i="38"/>
  <c r="CN59" i="38"/>
  <c r="CN61" i="38"/>
  <c r="CN63" i="38"/>
  <c r="CN65" i="38"/>
  <c r="CN66" i="38"/>
  <c r="CN72" i="38"/>
  <c r="CN74" i="38"/>
  <c r="CN58" i="38"/>
  <c r="CN67" i="38"/>
  <c r="CN71" i="38"/>
  <c r="CN73" i="38"/>
  <c r="CN60" i="38"/>
  <c r="CN62" i="38"/>
  <c r="CN76" i="38"/>
  <c r="CN78" i="38"/>
  <c r="CN80" i="38"/>
  <c r="CN82" i="38"/>
  <c r="CN75" i="38"/>
  <c r="CN64" i="38"/>
  <c r="CN77" i="38"/>
  <c r="CN79" i="38"/>
  <c r="CN81" i="38"/>
  <c r="CN83" i="38"/>
  <c r="CN84" i="38"/>
  <c r="CN86" i="38"/>
  <c r="CG37" i="9"/>
  <c r="CG36" i="9"/>
  <c r="CG28" i="9"/>
  <c r="CG25" i="9"/>
  <c r="CG26" i="9"/>
  <c r="CL89" i="38"/>
  <c r="CG22" i="9" s="1"/>
  <c r="CG21" i="9" s="1"/>
  <c r="CG23" i="9" s="1"/>
  <c r="CH16" i="9"/>
  <c r="CH25" i="9" s="1"/>
  <c r="CM87" i="38"/>
  <c r="CH24" i="9" s="1"/>
  <c r="CJ18" i="9"/>
  <c r="CH17" i="9"/>
  <c r="CG29" i="9"/>
  <c r="CO8" i="38"/>
  <c r="CJ9" i="9"/>
  <c r="CQ9" i="7"/>
  <c r="CQ14" i="7"/>
  <c r="CI41" i="9"/>
  <c r="CI40" i="9"/>
  <c r="CJ14" i="9"/>
  <c r="CI34" i="9"/>
  <c r="CI38" i="9"/>
  <c r="CI20" i="9"/>
  <c r="CN100" i="3"/>
  <c r="CN93" i="3"/>
  <c r="CL13" i="9"/>
  <c r="CO120" i="3"/>
  <c r="CI35" i="3"/>
  <c r="CI44" i="9"/>
  <c r="CI43" i="9"/>
  <c r="CQ8" i="7"/>
  <c r="CO76" i="3"/>
  <c r="CO41" i="3"/>
  <c r="CO54" i="3"/>
  <c r="CO36" i="3" s="1"/>
  <c r="CO61" i="3"/>
  <c r="CO59" i="3"/>
  <c r="CQ8" i="11"/>
  <c r="CJ34" i="3"/>
  <c r="CQ15" i="6"/>
  <c r="CQ16" i="6"/>
  <c r="CQ17" i="6"/>
  <c r="CQ16" i="7"/>
  <c r="CQ11" i="7"/>
  <c r="CQ13" i="7"/>
  <c r="CQ12" i="7"/>
  <c r="AT47" i="9"/>
  <c r="AT55" i="9"/>
  <c r="AT56" i="9" s="1"/>
  <c r="AW109" i="3" a="1"/>
  <c r="AW109" i="3" s="1"/>
  <c r="AW111" i="3" s="1"/>
  <c r="AW112" i="3" s="1"/>
  <c r="BW59" i="9"/>
  <c r="CJ58" i="9" a="1"/>
  <c r="CJ58" i="9" s="1"/>
  <c r="CQ11" i="2"/>
  <c r="CQ13" i="6"/>
  <c r="CQ14" i="6"/>
  <c r="CK10" i="3"/>
  <c r="CK29" i="3" s="1"/>
  <c r="CQ15" i="7"/>
  <c r="CL8" i="3" a="1"/>
  <c r="CL8" i="3" s="1"/>
  <c r="CL6" i="3" a="1"/>
  <c r="CL6" i="3" s="1"/>
  <c r="CL9" i="3" a="1"/>
  <c r="CL9" i="3" s="1"/>
  <c r="CO110" i="3" a="1"/>
  <c r="CO110" i="3" s="1"/>
  <c r="CO72" i="3"/>
  <c r="CP12" i="11"/>
  <c r="CP12" i="2"/>
  <c r="CM7" i="3" s="1" a="1"/>
  <c r="CM7" i="3" s="1"/>
  <c r="CP18" i="6"/>
  <c r="CO13" i="3"/>
  <c r="CO16" i="3"/>
  <c r="CO12" i="3"/>
  <c r="CO14" i="3"/>
  <c r="CO17" i="3"/>
  <c r="CO18" i="3"/>
  <c r="CQ7" i="6"/>
  <c r="CQ11" i="6"/>
  <c r="CQ6" i="2"/>
  <c r="CQ7" i="2"/>
  <c r="CQ5" i="2"/>
  <c r="CQ10" i="2"/>
  <c r="CQ10" i="11"/>
  <c r="CI62" i="9"/>
  <c r="CL21" i="3" s="1" a="1"/>
  <c r="CL21" i="3" s="1"/>
  <c r="CL22" i="3" s="1"/>
  <c r="CQ5" i="11"/>
  <c r="CQ9" i="11"/>
  <c r="CQ11" i="11"/>
  <c r="CQ7" i="11"/>
  <c r="CQ6" i="11"/>
  <c r="CQ12" i="6"/>
  <c r="CQ6" i="6"/>
  <c r="CQ9" i="6"/>
  <c r="CQ10" i="6"/>
  <c r="CQ5" i="6"/>
  <c r="CQ8" i="6"/>
  <c r="CR4" i="11"/>
  <c r="CO5" i="3"/>
  <c r="CR4" i="7"/>
  <c r="CR4" i="6"/>
  <c r="CP4" i="3"/>
  <c r="CR4" i="2"/>
  <c r="CR9" i="2" s="1"/>
  <c r="CP17" i="7"/>
  <c r="CQ6" i="7"/>
  <c r="CQ7" i="7"/>
  <c r="CQ5" i="7"/>
  <c r="CQ10" i="7"/>
  <c r="CQ8" i="2"/>
  <c r="CK15" i="9"/>
  <c r="CJ10" i="9"/>
  <c r="CJ12" i="9"/>
  <c r="CJ11" i="9"/>
  <c r="CI39" i="9"/>
  <c r="CI42" i="9"/>
  <c r="CI46" i="9"/>
  <c r="CI35" i="9"/>
  <c r="CI48" i="9"/>
  <c r="CO3" i="3"/>
  <c r="CP2" i="3"/>
  <c r="CM20" i="3" l="1" a="1"/>
  <c r="CM20" i="3" s="1"/>
  <c r="CO9" i="38"/>
  <c r="CO11" i="38"/>
  <c r="CO15" i="38"/>
  <c r="CO18" i="38"/>
  <c r="CO20" i="38"/>
  <c r="CO10" i="38"/>
  <c r="CO16" i="38"/>
  <c r="CO17" i="38"/>
  <c r="CO19" i="38"/>
  <c r="CO21" i="38"/>
  <c r="CO22" i="38"/>
  <c r="CO25" i="38"/>
  <c r="CO24" i="38"/>
  <c r="CO27" i="38"/>
  <c r="CO29" i="38"/>
  <c r="CO26" i="38"/>
  <c r="CO28" i="38"/>
  <c r="CO31" i="38"/>
  <c r="CO33" i="38"/>
  <c r="CO35" i="38"/>
  <c r="CO32" i="38"/>
  <c r="CO37" i="38"/>
  <c r="CO36" i="38"/>
  <c r="CO34" i="38"/>
  <c r="CO30" i="38"/>
  <c r="CO44" i="38"/>
  <c r="CO46" i="38"/>
  <c r="CO50" i="38"/>
  <c r="CO39" i="38"/>
  <c r="CO41" i="38"/>
  <c r="CO43" i="38"/>
  <c r="CO45" i="38"/>
  <c r="CO49" i="38"/>
  <c r="CO51" i="38"/>
  <c r="CO38" i="38"/>
  <c r="CO52" i="38"/>
  <c r="CO54" i="38"/>
  <c r="CO58" i="38"/>
  <c r="CO60" i="38"/>
  <c r="CO62" i="38"/>
  <c r="CO56" i="38"/>
  <c r="CO55" i="38"/>
  <c r="CO57" i="38"/>
  <c r="CO59" i="38"/>
  <c r="CO61" i="38"/>
  <c r="CO63" i="38"/>
  <c r="CO64" i="38"/>
  <c r="CO65" i="38"/>
  <c r="CO66" i="38"/>
  <c r="CO72" i="38"/>
  <c r="CO53" i="38"/>
  <c r="CO67" i="38"/>
  <c r="CO71" i="38"/>
  <c r="CO73" i="38"/>
  <c r="CO74" i="38"/>
  <c r="CO76" i="38"/>
  <c r="CO75" i="38"/>
  <c r="CO79" i="38"/>
  <c r="CO80" i="38"/>
  <c r="CO81" i="38"/>
  <c r="CO84" i="38"/>
  <c r="CO86" i="38"/>
  <c r="CO82" i="38"/>
  <c r="CO78" i="38"/>
  <c r="CO83" i="38"/>
  <c r="CO77" i="38"/>
  <c r="CM89" i="38"/>
  <c r="CH22" i="9" s="1"/>
  <c r="CH21" i="9" s="1"/>
  <c r="CH23" i="9" s="1"/>
  <c r="CH37" i="9"/>
  <c r="CH28" i="9"/>
  <c r="CH36" i="9"/>
  <c r="CH27" i="9"/>
  <c r="CH26" i="9"/>
  <c r="CK18" i="9"/>
  <c r="CI17" i="9"/>
  <c r="CI16" i="9"/>
  <c r="CN87" i="38"/>
  <c r="CI24" i="9" s="1"/>
  <c r="AU30" i="9"/>
  <c r="AU31" i="9" s="1"/>
  <c r="CH29" i="9"/>
  <c r="CP8" i="38"/>
  <c r="CK9" i="9"/>
  <c r="CR9" i="7"/>
  <c r="CR14" i="7"/>
  <c r="CJ41" i="9"/>
  <c r="CJ40" i="9"/>
  <c r="CK14" i="9"/>
  <c r="CJ34" i="9"/>
  <c r="CJ38" i="9"/>
  <c r="CJ20" i="9"/>
  <c r="CO100" i="3"/>
  <c r="CO93" i="3"/>
  <c r="CM13" i="9"/>
  <c r="CP120" i="3"/>
  <c r="CO28" i="3"/>
  <c r="CJ35" i="3"/>
  <c r="CJ44" i="9"/>
  <c r="CJ43" i="9"/>
  <c r="CP76" i="3"/>
  <c r="CP41" i="3"/>
  <c r="CP54" i="3"/>
  <c r="CP36" i="3" s="1"/>
  <c r="CR8" i="7"/>
  <c r="CP61" i="3"/>
  <c r="CP59" i="3"/>
  <c r="CR8" i="11"/>
  <c r="CK34" i="3"/>
  <c r="CR15" i="6"/>
  <c r="CR16" i="6"/>
  <c r="CR17" i="6"/>
  <c r="CR16" i="7"/>
  <c r="CR11" i="7"/>
  <c r="CR12" i="7"/>
  <c r="CR13" i="7"/>
  <c r="BX59" i="9"/>
  <c r="CK58" i="9" a="1"/>
  <c r="CK58" i="9" s="1"/>
  <c r="CR11" i="2"/>
  <c r="CR13" i="6"/>
  <c r="CR14" i="6"/>
  <c r="CR15" i="7"/>
  <c r="CM8" i="3" a="1"/>
  <c r="CM8" i="3" s="1"/>
  <c r="CM6" i="3" a="1"/>
  <c r="CM6" i="3" s="1"/>
  <c r="CL10" i="3"/>
  <c r="CL29" i="3" s="1"/>
  <c r="CM9" i="3" a="1"/>
  <c r="CM9" i="3" s="1"/>
  <c r="CP110" i="3" a="1"/>
  <c r="CP110" i="3" s="1"/>
  <c r="CP72" i="3"/>
  <c r="CQ12" i="11"/>
  <c r="CQ12" i="2"/>
  <c r="CN7" i="3" s="1" a="1"/>
  <c r="CN7" i="3" s="1"/>
  <c r="CQ18" i="6"/>
  <c r="CP12" i="3"/>
  <c r="CP16" i="3"/>
  <c r="CP17" i="3"/>
  <c r="CP18" i="3"/>
  <c r="CP13" i="3"/>
  <c r="CP14" i="3"/>
  <c r="CR7" i="6"/>
  <c r="CR11" i="6"/>
  <c r="CR6" i="2"/>
  <c r="CR7" i="2"/>
  <c r="CR5" i="2"/>
  <c r="CR10" i="2"/>
  <c r="CR10" i="11"/>
  <c r="CJ62" i="9"/>
  <c r="CM21" i="3" s="1" a="1"/>
  <c r="CM21" i="3" s="1"/>
  <c r="CM22" i="3" s="1"/>
  <c r="CR5" i="11"/>
  <c r="CR8" i="2"/>
  <c r="CR9" i="11"/>
  <c r="CR11" i="11"/>
  <c r="CR6" i="11"/>
  <c r="CR7" i="11"/>
  <c r="CS4" i="11"/>
  <c r="CP5" i="3"/>
  <c r="CS4" i="7"/>
  <c r="CS4" i="6"/>
  <c r="CQ4" i="3"/>
  <c r="CS4" i="2"/>
  <c r="CS9" i="2" s="1"/>
  <c r="CR6" i="7"/>
  <c r="CR5" i="7"/>
  <c r="CR7" i="7"/>
  <c r="CR10" i="7"/>
  <c r="CQ17" i="7"/>
  <c r="CR5" i="6"/>
  <c r="CR10" i="6"/>
  <c r="CR6" i="6"/>
  <c r="CR9" i="6"/>
  <c r="CR8" i="6"/>
  <c r="CR12" i="6"/>
  <c r="CJ48" i="9"/>
  <c r="CJ39" i="9"/>
  <c r="CJ42" i="9"/>
  <c r="CJ46" i="9"/>
  <c r="CJ35" i="9"/>
  <c r="CK10" i="9"/>
  <c r="CK12" i="9"/>
  <c r="CK11" i="9"/>
  <c r="CL15" i="9"/>
  <c r="CQ2" i="3"/>
  <c r="CP3" i="3"/>
  <c r="BY59" i="9" l="1"/>
  <c r="CP10" i="38"/>
  <c r="CP16" i="38"/>
  <c r="CP9" i="38"/>
  <c r="CP11" i="38"/>
  <c r="CP15" i="38"/>
  <c r="CP18" i="38"/>
  <c r="CP20" i="38"/>
  <c r="CP17" i="38"/>
  <c r="CP19" i="38"/>
  <c r="CP21" i="38"/>
  <c r="CP26" i="38"/>
  <c r="CP25" i="38"/>
  <c r="CP22" i="38"/>
  <c r="CP24" i="38"/>
  <c r="CP27" i="38"/>
  <c r="CP30" i="38"/>
  <c r="CP32" i="38"/>
  <c r="CP34" i="38"/>
  <c r="CP29" i="38"/>
  <c r="CP28" i="38"/>
  <c r="CP31" i="38"/>
  <c r="CP33" i="38"/>
  <c r="CP37" i="38"/>
  <c r="CP36" i="38"/>
  <c r="CP35" i="38"/>
  <c r="CP44" i="38"/>
  <c r="CP46" i="38"/>
  <c r="CP50" i="38"/>
  <c r="CP39" i="38"/>
  <c r="CP41" i="38"/>
  <c r="CP43" i="38"/>
  <c r="CP45" i="38"/>
  <c r="CP49" i="38"/>
  <c r="CP51" i="38"/>
  <c r="CP38" i="38"/>
  <c r="CP52" i="38"/>
  <c r="CP54" i="38"/>
  <c r="CP56" i="38"/>
  <c r="CP53" i="38"/>
  <c r="CP55" i="38"/>
  <c r="CP58" i="38"/>
  <c r="CP60" i="38"/>
  <c r="CP62" i="38"/>
  <c r="CP57" i="38"/>
  <c r="CP59" i="38"/>
  <c r="CP61" i="38"/>
  <c r="CP64" i="38"/>
  <c r="CP65" i="38"/>
  <c r="CP63" i="38"/>
  <c r="CP66" i="38"/>
  <c r="CP72" i="38"/>
  <c r="CP74" i="38"/>
  <c r="CP77" i="38"/>
  <c r="CP79" i="38"/>
  <c r="CP81" i="38"/>
  <c r="CP83" i="38"/>
  <c r="CP71" i="38"/>
  <c r="CP73" i="38"/>
  <c r="CP76" i="38"/>
  <c r="CP78" i="38"/>
  <c r="CP80" i="38"/>
  <c r="CP82" i="38"/>
  <c r="CP67" i="38"/>
  <c r="CP75" i="38"/>
  <c r="CP84" i="38"/>
  <c r="CP86" i="38"/>
  <c r="CN89" i="38"/>
  <c r="CI22" i="9" s="1"/>
  <c r="CI36" i="9"/>
  <c r="CI37" i="9"/>
  <c r="CI25" i="9"/>
  <c r="CI26" i="9"/>
  <c r="CI27" i="9"/>
  <c r="CI28" i="9"/>
  <c r="CL18" i="9"/>
  <c r="CO87" i="38"/>
  <c r="CJ24" i="9" s="1"/>
  <c r="CJ17" i="9"/>
  <c r="CJ16" i="9"/>
  <c r="CI21" i="9"/>
  <c r="CI23" i="9" s="1"/>
  <c r="CI29" i="9"/>
  <c r="CQ8" i="38"/>
  <c r="CL9" i="9"/>
  <c r="CS9" i="7"/>
  <c r="CS14" i="7"/>
  <c r="CK41" i="9"/>
  <c r="CK40" i="9"/>
  <c r="CL14" i="9"/>
  <c r="CK34" i="9"/>
  <c r="CK38" i="9"/>
  <c r="CK20" i="9"/>
  <c r="CP100" i="3"/>
  <c r="CP93" i="3"/>
  <c r="CN13" i="9"/>
  <c r="CQ120" i="3"/>
  <c r="CP28" i="3"/>
  <c r="CK35" i="3"/>
  <c r="CK44" i="9"/>
  <c r="CK43" i="9"/>
  <c r="CQ41" i="3"/>
  <c r="CQ76" i="3"/>
  <c r="CQ54" i="3"/>
  <c r="CQ36" i="3" s="1"/>
  <c r="CS8" i="7"/>
  <c r="CQ61" i="3"/>
  <c r="CQ59" i="3"/>
  <c r="CS8" i="11"/>
  <c r="CL34" i="3"/>
  <c r="CS15" i="6"/>
  <c r="CS16" i="6"/>
  <c r="CS17" i="6"/>
  <c r="CS16" i="7"/>
  <c r="CS13" i="7"/>
  <c r="CS12" i="7"/>
  <c r="CS11" i="7"/>
  <c r="AX109" i="3" a="1"/>
  <c r="AX109" i="3" s="1"/>
  <c r="AX111" i="3" s="1"/>
  <c r="AX112" i="3" s="1"/>
  <c r="AU55" i="9"/>
  <c r="AU56" i="9" s="1"/>
  <c r="AU47" i="9"/>
  <c r="CN20" i="3" a="1"/>
  <c r="CN20" i="3" s="1"/>
  <c r="CL58" i="9" a="1"/>
  <c r="CL58" i="9" s="1"/>
  <c r="CS11" i="2"/>
  <c r="CS14" i="6"/>
  <c r="CS13" i="6"/>
  <c r="CM10" i="3"/>
  <c r="CM29" i="3" s="1"/>
  <c r="CS15" i="7"/>
  <c r="CN8" i="3" a="1"/>
  <c r="CN8" i="3" s="1"/>
  <c r="CN6" i="3" a="1"/>
  <c r="CN6" i="3" s="1"/>
  <c r="CN9" i="3" a="1"/>
  <c r="CN9" i="3" s="1"/>
  <c r="CQ110" i="3" a="1"/>
  <c r="CQ110" i="3" s="1"/>
  <c r="CQ72" i="3"/>
  <c r="CR12" i="11"/>
  <c r="CR12" i="2"/>
  <c r="CO7" i="3" s="1" a="1"/>
  <c r="CO7" i="3" s="1"/>
  <c r="CR18" i="6"/>
  <c r="CQ12" i="3"/>
  <c r="CQ13" i="3"/>
  <c r="CQ14" i="3"/>
  <c r="CQ16" i="3"/>
  <c r="CQ17" i="3"/>
  <c r="CQ18" i="3"/>
  <c r="CQ28" i="3" s="1"/>
  <c r="CS7" i="6"/>
  <c r="CS11" i="6"/>
  <c r="CS7" i="2"/>
  <c r="CS6" i="2"/>
  <c r="CS5" i="2"/>
  <c r="CS10" i="2"/>
  <c r="CS10" i="11"/>
  <c r="CK62" i="9"/>
  <c r="CN21" i="3" s="1" a="1"/>
  <c r="CN21" i="3" s="1"/>
  <c r="CS5" i="11"/>
  <c r="CS5" i="6"/>
  <c r="CS9" i="6"/>
  <c r="CS12" i="6"/>
  <c r="CS6" i="6"/>
  <c r="CS8" i="6"/>
  <c r="CS10" i="6"/>
  <c r="CS8" i="2"/>
  <c r="CS6" i="11"/>
  <c r="CS9" i="11"/>
  <c r="CS7" i="11"/>
  <c r="CS11" i="11"/>
  <c r="CR17" i="7"/>
  <c r="CT4" i="11"/>
  <c r="CQ5" i="3"/>
  <c r="CT4" i="7"/>
  <c r="CT4" i="6"/>
  <c r="CR4" i="3"/>
  <c r="CT4" i="2"/>
  <c r="CT9" i="2" s="1"/>
  <c r="CS6" i="7"/>
  <c r="CS5" i="7"/>
  <c r="CS10" i="7"/>
  <c r="CS7" i="7"/>
  <c r="CK39" i="9"/>
  <c r="CK42" i="9"/>
  <c r="CK46" i="9"/>
  <c r="CK48" i="9"/>
  <c r="CK35" i="9"/>
  <c r="CL12" i="9"/>
  <c r="CL10" i="9"/>
  <c r="CM15" i="9"/>
  <c r="CL11" i="9"/>
  <c r="CQ3" i="3"/>
  <c r="CR2" i="3"/>
  <c r="CO20" i="3" l="1" a="1"/>
  <c r="CO20" i="3" s="1"/>
  <c r="CO89" i="38"/>
  <c r="CJ22" i="9" s="1"/>
  <c r="CQ10" i="38"/>
  <c r="CQ16" i="38"/>
  <c r="CQ9" i="38"/>
  <c r="CQ11" i="38"/>
  <c r="CQ15" i="38"/>
  <c r="CQ18" i="38"/>
  <c r="CQ19" i="38"/>
  <c r="CQ22" i="38"/>
  <c r="CQ24" i="38"/>
  <c r="CQ20" i="38"/>
  <c r="CQ21" i="38"/>
  <c r="CQ17" i="38"/>
  <c r="CQ26" i="38"/>
  <c r="CQ28" i="38"/>
  <c r="CQ25" i="38"/>
  <c r="CQ27" i="38"/>
  <c r="CQ30" i="38"/>
  <c r="CQ32" i="38"/>
  <c r="CQ34" i="38"/>
  <c r="CQ36" i="38"/>
  <c r="CQ29" i="38"/>
  <c r="CQ31" i="38"/>
  <c r="CQ33" i="38"/>
  <c r="CQ35" i="38"/>
  <c r="CQ37" i="38"/>
  <c r="CQ38" i="38"/>
  <c r="CQ44" i="38"/>
  <c r="CQ46" i="38"/>
  <c r="CQ50" i="38"/>
  <c r="CQ39" i="38"/>
  <c r="CQ41" i="38"/>
  <c r="CQ43" i="38"/>
  <c r="CQ45" i="38"/>
  <c r="CQ49" i="38"/>
  <c r="CQ53" i="38"/>
  <c r="CQ55" i="38"/>
  <c r="CQ57" i="38"/>
  <c r="CQ51" i="38"/>
  <c r="CQ54" i="38"/>
  <c r="CQ52" i="38"/>
  <c r="CQ56" i="38"/>
  <c r="CQ58" i="38"/>
  <c r="CQ60" i="38"/>
  <c r="CQ62" i="38"/>
  <c r="CQ64" i="38"/>
  <c r="CQ59" i="38"/>
  <c r="CQ61" i="38"/>
  <c r="CQ63" i="38"/>
  <c r="CQ67" i="38"/>
  <c r="CQ71" i="38"/>
  <c r="CQ73" i="38"/>
  <c r="CQ75" i="38"/>
  <c r="CQ65" i="38"/>
  <c r="CQ66" i="38"/>
  <c r="CQ72" i="38"/>
  <c r="CQ74" i="38"/>
  <c r="CQ77" i="38"/>
  <c r="CQ79" i="38"/>
  <c r="CQ81" i="38"/>
  <c r="CQ83" i="38"/>
  <c r="CQ76" i="38"/>
  <c r="CQ78" i="38"/>
  <c r="CQ80" i="38"/>
  <c r="CQ82" i="38"/>
  <c r="CQ84" i="38"/>
  <c r="CQ86" i="38"/>
  <c r="CP87" i="38"/>
  <c r="CK24" i="9" s="1"/>
  <c r="CJ36" i="9"/>
  <c r="CJ37" i="9"/>
  <c r="CJ25" i="9"/>
  <c r="CJ27" i="9"/>
  <c r="CJ26" i="9"/>
  <c r="CJ28" i="9"/>
  <c r="CK17" i="9"/>
  <c r="CK16" i="9"/>
  <c r="CM18" i="9"/>
  <c r="AV30" i="9"/>
  <c r="AV31" i="9" s="1"/>
  <c r="CJ21" i="9"/>
  <c r="CJ23" i="9" s="1"/>
  <c r="CJ29" i="9"/>
  <c r="CR8" i="38"/>
  <c r="CM9" i="9"/>
  <c r="CT9" i="7"/>
  <c r="CT14" i="7"/>
  <c r="CL41" i="9"/>
  <c r="CL40" i="9"/>
  <c r="CM14" i="9"/>
  <c r="CL34" i="9"/>
  <c r="CL38" i="9"/>
  <c r="CL20" i="9"/>
  <c r="CQ100" i="3"/>
  <c r="CQ93" i="3"/>
  <c r="CO13" i="9"/>
  <c r="CR120" i="3"/>
  <c r="CL35" i="3"/>
  <c r="CL44" i="9"/>
  <c r="CL43" i="9"/>
  <c r="CT8" i="7"/>
  <c r="CR76" i="3"/>
  <c r="CR41" i="3"/>
  <c r="CR54" i="3"/>
  <c r="CR36" i="3" s="1"/>
  <c r="CR61" i="3"/>
  <c r="CR59" i="3"/>
  <c r="CT8" i="11"/>
  <c r="CM34" i="3"/>
  <c r="CN22" i="3"/>
  <c r="CT15" i="6"/>
  <c r="CT16" i="6"/>
  <c r="CT17" i="6"/>
  <c r="CT16" i="7"/>
  <c r="CT11" i="7"/>
  <c r="CT12" i="7"/>
  <c r="CT13" i="7"/>
  <c r="BZ59" i="9"/>
  <c r="CM58" i="9" a="1"/>
  <c r="CM58" i="9" s="1"/>
  <c r="CT11" i="2"/>
  <c r="CT13" i="6"/>
  <c r="CT14" i="6"/>
  <c r="CT15" i="7"/>
  <c r="CO8" i="3" a="1"/>
  <c r="CO8" i="3" s="1"/>
  <c r="CO6" i="3" a="1"/>
  <c r="CO6" i="3" s="1"/>
  <c r="CN10" i="3"/>
  <c r="CN29" i="3" s="1"/>
  <c r="CO9" i="3" a="1"/>
  <c r="CO9" i="3" s="1"/>
  <c r="CR110" i="3" a="1"/>
  <c r="CR110" i="3" s="1"/>
  <c r="CR72" i="3"/>
  <c r="CS12" i="11"/>
  <c r="CS12" i="2"/>
  <c r="CP7" i="3" s="1" a="1"/>
  <c r="CP7" i="3" s="1"/>
  <c r="CS18" i="6"/>
  <c r="CR12" i="3"/>
  <c r="CR14" i="3"/>
  <c r="CR13" i="3"/>
  <c r="CR16" i="3"/>
  <c r="CR17" i="3"/>
  <c r="CR18" i="3"/>
  <c r="CT7" i="6"/>
  <c r="CT11" i="6"/>
  <c r="CT7" i="2"/>
  <c r="CT6" i="2"/>
  <c r="CT5" i="2"/>
  <c r="CT10" i="2"/>
  <c r="CT10" i="11"/>
  <c r="CL62" i="9"/>
  <c r="CO21" i="3" s="1" a="1"/>
  <c r="CO21" i="3" s="1"/>
  <c r="CO22" i="3" s="1"/>
  <c r="CT5" i="11"/>
  <c r="CU4" i="11"/>
  <c r="CU4" i="7"/>
  <c r="CR5" i="3"/>
  <c r="CU4" i="6"/>
  <c r="CS4" i="3"/>
  <c r="CU4" i="2"/>
  <c r="CU9" i="2" s="1"/>
  <c r="CT7" i="7"/>
  <c r="CT6" i="7"/>
  <c r="CT10" i="7"/>
  <c r="CT5" i="7"/>
  <c r="CT9" i="11"/>
  <c r="CT6" i="11"/>
  <c r="CT7" i="11"/>
  <c r="CT11" i="11"/>
  <c r="CT8" i="2"/>
  <c r="CS17" i="7"/>
  <c r="CT5" i="6"/>
  <c r="CT9" i="6"/>
  <c r="CT8" i="6"/>
  <c r="CT10" i="6"/>
  <c r="CT12" i="6"/>
  <c r="CT6" i="6"/>
  <c r="CM11" i="9"/>
  <c r="CN15" i="9"/>
  <c r="CM12" i="9"/>
  <c r="CM10" i="9"/>
  <c r="CL48" i="9"/>
  <c r="CL35" i="9"/>
  <c r="CL42" i="9"/>
  <c r="CL39" i="9"/>
  <c r="CL46" i="9"/>
  <c r="CS2" i="3"/>
  <c r="CR3" i="3"/>
  <c r="CA59" i="9" l="1"/>
  <c r="CR10" i="38"/>
  <c r="CR16" i="38"/>
  <c r="CR9" i="38"/>
  <c r="CR11" i="38"/>
  <c r="CR15" i="38"/>
  <c r="CR19" i="38"/>
  <c r="CR22" i="38"/>
  <c r="CR20" i="38"/>
  <c r="CR21" i="38"/>
  <c r="CR17" i="38"/>
  <c r="CR18" i="38"/>
  <c r="CR25" i="38"/>
  <c r="CR24" i="38"/>
  <c r="CR30" i="38"/>
  <c r="CR32" i="38"/>
  <c r="CR34" i="38"/>
  <c r="CR26" i="38"/>
  <c r="CR27" i="38"/>
  <c r="CR28" i="38"/>
  <c r="CR29" i="38"/>
  <c r="CR33" i="38"/>
  <c r="CR37" i="38"/>
  <c r="CR36" i="38"/>
  <c r="CR35" i="38"/>
  <c r="CR38" i="38"/>
  <c r="CR31" i="38"/>
  <c r="CR44" i="38"/>
  <c r="CR46" i="38"/>
  <c r="CR50" i="38"/>
  <c r="CR49" i="38"/>
  <c r="CR53" i="38"/>
  <c r="CR55" i="38"/>
  <c r="CR57" i="38"/>
  <c r="CR41" i="38"/>
  <c r="CR51" i="38"/>
  <c r="CR52" i="38"/>
  <c r="CR54" i="38"/>
  <c r="CR56" i="38"/>
  <c r="CR45" i="38"/>
  <c r="CR39" i="38"/>
  <c r="CR58" i="38"/>
  <c r="CR60" i="38"/>
  <c r="CR62" i="38"/>
  <c r="CR64" i="38"/>
  <c r="CR43" i="38"/>
  <c r="CR67" i="38"/>
  <c r="CR71" i="38"/>
  <c r="CR73" i="38"/>
  <c r="CR75" i="38"/>
  <c r="CR63" i="38"/>
  <c r="CR65" i="38"/>
  <c r="CR66" i="38"/>
  <c r="CR72" i="38"/>
  <c r="CR59" i="38"/>
  <c r="CR77" i="38"/>
  <c r="CR79" i="38"/>
  <c r="CR81" i="38"/>
  <c r="CR83" i="38"/>
  <c r="CR61" i="38"/>
  <c r="CR74" i="38"/>
  <c r="CR76" i="38"/>
  <c r="CR78" i="38"/>
  <c r="CR80" i="38"/>
  <c r="CR82" i="38"/>
  <c r="CR84" i="38"/>
  <c r="CR86" i="38"/>
  <c r="CP89" i="38"/>
  <c r="CK22" i="9" s="1"/>
  <c r="CK36" i="9"/>
  <c r="CK37" i="9"/>
  <c r="CK27" i="9"/>
  <c r="CK25" i="9"/>
  <c r="CK26" i="9"/>
  <c r="CK28" i="9"/>
  <c r="CN18" i="9"/>
  <c r="CQ87" i="38"/>
  <c r="CQ89" i="38" s="1"/>
  <c r="CL22" i="9" s="1"/>
  <c r="CL16" i="9"/>
  <c r="CL17" i="9"/>
  <c r="CK21" i="9"/>
  <c r="CK23" i="9" s="1"/>
  <c r="CK29" i="9"/>
  <c r="CS8" i="38"/>
  <c r="CN9" i="9"/>
  <c r="CU9" i="7"/>
  <c r="CU14" i="7"/>
  <c r="CM41" i="9"/>
  <c r="CM40" i="9"/>
  <c r="CN14" i="9"/>
  <c r="CM34" i="9"/>
  <c r="CM38" i="9"/>
  <c r="CM20" i="9"/>
  <c r="CR100" i="3"/>
  <c r="CR93" i="3"/>
  <c r="CP13" i="9"/>
  <c r="CS120" i="3"/>
  <c r="CR28" i="3"/>
  <c r="CM35" i="3"/>
  <c r="CM44" i="9"/>
  <c r="CM43" i="9"/>
  <c r="CU8" i="7"/>
  <c r="CS76" i="3"/>
  <c r="CS41" i="3"/>
  <c r="CS54" i="3"/>
  <c r="CS36" i="3" s="1"/>
  <c r="CS61" i="3"/>
  <c r="CS59" i="3"/>
  <c r="CU8" i="11"/>
  <c r="CN34" i="3"/>
  <c r="CU15" i="6"/>
  <c r="CU16" i="6"/>
  <c r="CU17" i="6"/>
  <c r="CU16" i="7"/>
  <c r="CU11" i="7"/>
  <c r="CU13" i="7"/>
  <c r="CU12" i="7"/>
  <c r="AY109" i="3" a="1"/>
  <c r="AY109" i="3" s="1"/>
  <c r="AY111" i="3" s="1"/>
  <c r="AY112" i="3" s="1"/>
  <c r="AV55" i="9"/>
  <c r="AV56" i="9" s="1"/>
  <c r="AV47" i="9"/>
  <c r="CP20" i="3" a="1"/>
  <c r="CP20" i="3" s="1"/>
  <c r="CN58" i="9" a="1"/>
  <c r="CN58" i="9" s="1"/>
  <c r="CU11" i="2"/>
  <c r="CU14" i="6"/>
  <c r="CU13" i="6"/>
  <c r="CU15" i="7"/>
  <c r="CO10" i="3"/>
  <c r="CO29" i="3" s="1"/>
  <c r="CP8" i="3" a="1"/>
  <c r="CP8" i="3" s="1"/>
  <c r="CP6" i="3" a="1"/>
  <c r="CP6" i="3" s="1"/>
  <c r="CP9" i="3" a="1"/>
  <c r="CP9" i="3" s="1"/>
  <c r="CS110" i="3" a="1"/>
  <c r="CS110" i="3" s="1"/>
  <c r="CS72" i="3"/>
  <c r="CT12" i="11"/>
  <c r="CT12" i="2"/>
  <c r="CQ7" i="3" s="1" a="1"/>
  <c r="CQ7" i="3" s="1"/>
  <c r="CT18" i="6"/>
  <c r="CS14" i="3"/>
  <c r="CS12" i="3"/>
  <c r="CS13" i="3"/>
  <c r="CS17" i="3"/>
  <c r="CS16" i="3"/>
  <c r="CS18" i="3"/>
  <c r="CS28" i="3" s="1"/>
  <c r="CU7" i="6"/>
  <c r="CU11" i="6"/>
  <c r="CU6" i="2"/>
  <c r="CU7" i="2"/>
  <c r="CU5" i="2"/>
  <c r="CU10" i="2"/>
  <c r="CU10" i="11"/>
  <c r="CM62" i="9"/>
  <c r="CP21" i="3" s="1" a="1"/>
  <c r="CP21" i="3" s="1"/>
  <c r="CU5" i="11"/>
  <c r="CU10" i="6"/>
  <c r="CU8" i="6"/>
  <c r="CU6" i="6"/>
  <c r="CU9" i="6"/>
  <c r="CU5" i="6"/>
  <c r="CU12" i="6"/>
  <c r="CT17" i="7"/>
  <c r="CU8" i="2"/>
  <c r="CU5" i="7"/>
  <c r="CU10" i="7"/>
  <c r="CU6" i="7"/>
  <c r="CU7" i="7"/>
  <c r="CV4" i="11"/>
  <c r="CS5" i="3"/>
  <c r="CV4" i="6"/>
  <c r="CV4" i="7"/>
  <c r="CT4" i="3"/>
  <c r="CV4" i="2"/>
  <c r="CV9" i="2" s="1"/>
  <c r="CU9" i="11"/>
  <c r="CU7" i="11"/>
  <c r="CU6" i="11"/>
  <c r="CU11" i="11"/>
  <c r="CO15" i="9"/>
  <c r="CN10" i="9"/>
  <c r="CN11" i="9"/>
  <c r="CN12" i="9"/>
  <c r="CM39" i="9"/>
  <c r="CM42" i="9"/>
  <c r="CM46" i="9"/>
  <c r="CM35" i="9"/>
  <c r="CM48" i="9"/>
  <c r="CS3" i="3"/>
  <c r="CT2" i="3"/>
  <c r="CQ20" i="3" l="1" a="1"/>
  <c r="CQ20" i="3" s="1"/>
  <c r="CS10" i="38"/>
  <c r="CS17" i="38"/>
  <c r="CS19" i="38"/>
  <c r="CS9" i="38"/>
  <c r="CS15" i="38"/>
  <c r="CS11" i="38"/>
  <c r="CS16" i="38"/>
  <c r="CS18" i="38"/>
  <c r="CS20" i="38"/>
  <c r="CS22" i="38"/>
  <c r="CS24" i="38"/>
  <c r="CS21" i="38"/>
  <c r="CS26" i="38"/>
  <c r="CS28" i="38"/>
  <c r="CS25" i="38"/>
  <c r="CS30" i="38"/>
  <c r="CS32" i="38"/>
  <c r="CS34" i="38"/>
  <c r="CS27" i="38"/>
  <c r="CS31" i="38"/>
  <c r="CS33" i="38"/>
  <c r="CS37" i="38"/>
  <c r="CS36" i="38"/>
  <c r="CS39" i="38"/>
  <c r="CS41" i="38"/>
  <c r="CS43" i="38"/>
  <c r="CS45" i="38"/>
  <c r="CS49" i="38"/>
  <c r="CS51" i="38"/>
  <c r="CS29" i="38"/>
  <c r="CS38" i="38"/>
  <c r="CS35" i="38"/>
  <c r="CS44" i="38"/>
  <c r="CS46" i="38"/>
  <c r="CS50" i="38"/>
  <c r="CS53" i="38"/>
  <c r="CS59" i="38"/>
  <c r="CS61" i="38"/>
  <c r="CS63" i="38"/>
  <c r="CS54" i="38"/>
  <c r="CS52" i="38"/>
  <c r="CS55" i="38"/>
  <c r="CS56" i="38"/>
  <c r="CS58" i="38"/>
  <c r="CS60" i="38"/>
  <c r="CS62" i="38"/>
  <c r="CS57" i="38"/>
  <c r="CS64" i="38"/>
  <c r="CS67" i="38"/>
  <c r="CS71" i="38"/>
  <c r="CS73" i="38"/>
  <c r="CS65" i="38"/>
  <c r="CS66" i="38"/>
  <c r="CS72" i="38"/>
  <c r="CS74" i="38"/>
  <c r="CS75" i="38"/>
  <c r="CS78" i="38"/>
  <c r="CS79" i="38"/>
  <c r="CS80" i="38"/>
  <c r="CS76" i="38"/>
  <c r="CS81" i="38"/>
  <c r="CS82" i="38"/>
  <c r="CS83" i="38"/>
  <c r="CS84" i="38"/>
  <c r="CS86" i="38"/>
  <c r="CS77" i="38"/>
  <c r="CL24" i="9"/>
  <c r="CL29" i="9" s="1"/>
  <c r="CL36" i="9"/>
  <c r="CL37" i="9"/>
  <c r="CL26" i="9"/>
  <c r="CL28" i="9"/>
  <c r="CL25" i="9"/>
  <c r="CL27" i="9"/>
  <c r="CM17" i="9"/>
  <c r="CM16" i="9"/>
  <c r="CR87" i="38"/>
  <c r="CM24" i="9" s="1"/>
  <c r="CO18" i="9"/>
  <c r="AW30" i="9"/>
  <c r="AW31" i="9" s="1"/>
  <c r="CL21" i="9"/>
  <c r="CL23" i="9" s="1"/>
  <c r="CT8" i="38"/>
  <c r="CO9" i="9"/>
  <c r="CV9" i="7"/>
  <c r="CV14" i="7"/>
  <c r="CN41" i="9"/>
  <c r="CN40" i="9"/>
  <c r="CO14" i="9"/>
  <c r="CN34" i="9"/>
  <c r="CN38" i="9"/>
  <c r="CN20" i="9"/>
  <c r="CS100" i="3"/>
  <c r="CS93" i="3"/>
  <c r="CQ13" i="9"/>
  <c r="CT120" i="3"/>
  <c r="CN35" i="3"/>
  <c r="CN44" i="9"/>
  <c r="CN43" i="9"/>
  <c r="CV8" i="7"/>
  <c r="CT76" i="3"/>
  <c r="CT41" i="3"/>
  <c r="CT54" i="3"/>
  <c r="CT36" i="3" s="1"/>
  <c r="CT61" i="3"/>
  <c r="CT59" i="3"/>
  <c r="CV8" i="11"/>
  <c r="CO34" i="3"/>
  <c r="CV15" i="6"/>
  <c r="CV16" i="6"/>
  <c r="CV17" i="6"/>
  <c r="CV16" i="7"/>
  <c r="CV11" i="7"/>
  <c r="CV12" i="7"/>
  <c r="CV13" i="7"/>
  <c r="CP22" i="3"/>
  <c r="CO58" i="9" a="1"/>
  <c r="CO58" i="9" s="1"/>
  <c r="CB59" i="9"/>
  <c r="CV11" i="2"/>
  <c r="CV13" i="6"/>
  <c r="CV14" i="6"/>
  <c r="CV15" i="7"/>
  <c r="CP10" i="3"/>
  <c r="CP29" i="3" s="1"/>
  <c r="CQ8" i="3" a="1"/>
  <c r="CQ8" i="3" s="1"/>
  <c r="CQ6" i="3" a="1"/>
  <c r="CQ6" i="3" s="1"/>
  <c r="CQ9" i="3" a="1"/>
  <c r="CQ9" i="3" s="1"/>
  <c r="CT110" i="3" a="1"/>
  <c r="CT110" i="3" s="1"/>
  <c r="CT28" i="3"/>
  <c r="CT72" i="3"/>
  <c r="CU12" i="11"/>
  <c r="CU12" i="2"/>
  <c r="CR7" i="3" s="1" a="1"/>
  <c r="CR7" i="3" s="1"/>
  <c r="CU18" i="6"/>
  <c r="CT13" i="3"/>
  <c r="CT14" i="3"/>
  <c r="CT12" i="3"/>
  <c r="CT17" i="3"/>
  <c r="CT18" i="3"/>
  <c r="CT16" i="3"/>
  <c r="CV7" i="6"/>
  <c r="CV11" i="6"/>
  <c r="CV6" i="2"/>
  <c r="CV7" i="2"/>
  <c r="CV5" i="2"/>
  <c r="CV10" i="2"/>
  <c r="CV10" i="11"/>
  <c r="CN62" i="9"/>
  <c r="CQ21" i="3" s="1" a="1"/>
  <c r="CQ21" i="3" s="1"/>
  <c r="CQ22" i="3" s="1"/>
  <c r="CV5" i="11"/>
  <c r="CV8" i="2"/>
  <c r="CV10" i="6"/>
  <c r="CV8" i="6"/>
  <c r="CV12" i="6"/>
  <c r="CV6" i="6"/>
  <c r="CV5" i="6"/>
  <c r="CV9" i="6"/>
  <c r="CW4" i="11"/>
  <c r="CT5" i="3"/>
  <c r="CW4" i="7"/>
  <c r="CW4" i="6"/>
  <c r="CU4" i="3"/>
  <c r="CW4" i="2"/>
  <c r="CW9" i="2" s="1"/>
  <c r="CV6" i="7"/>
  <c r="CV5" i="7"/>
  <c r="CV10" i="7"/>
  <c r="CV7" i="7"/>
  <c r="CU17" i="7"/>
  <c r="CV9" i="11"/>
  <c r="CV6" i="11"/>
  <c r="CV11" i="11"/>
  <c r="CV7" i="11"/>
  <c r="CN48" i="9"/>
  <c r="CN39" i="9"/>
  <c r="CN42" i="9"/>
  <c r="CN46" i="9"/>
  <c r="CN35" i="9"/>
  <c r="CO10" i="9"/>
  <c r="CO12" i="9"/>
  <c r="CO11" i="9"/>
  <c r="CP15" i="9"/>
  <c r="CU2" i="3"/>
  <c r="CT3" i="3"/>
  <c r="CC59" i="9" l="1"/>
  <c r="CT9" i="38"/>
  <c r="CT11" i="38"/>
  <c r="CT15" i="38"/>
  <c r="CT10" i="38"/>
  <c r="CT16" i="38"/>
  <c r="CT17" i="38"/>
  <c r="CT19" i="38"/>
  <c r="CT18" i="38"/>
  <c r="CT20" i="38"/>
  <c r="CT22" i="38"/>
  <c r="CT21" i="38"/>
  <c r="CT26" i="38"/>
  <c r="CT25" i="38"/>
  <c r="CT31" i="38"/>
  <c r="CT33" i="38"/>
  <c r="CT35" i="38"/>
  <c r="CT24" i="38"/>
  <c r="CT30" i="38"/>
  <c r="CT32" i="38"/>
  <c r="CT29" i="38"/>
  <c r="CT27" i="38"/>
  <c r="CT38" i="38"/>
  <c r="CT28" i="38"/>
  <c r="CT34" i="38"/>
  <c r="CT37" i="38"/>
  <c r="CT36" i="38"/>
  <c r="CT39" i="38"/>
  <c r="CT41" i="38"/>
  <c r="CT43" i="38"/>
  <c r="CT45" i="38"/>
  <c r="CT49" i="38"/>
  <c r="CT51" i="38"/>
  <c r="CT44" i="38"/>
  <c r="CT46" i="38"/>
  <c r="CT50" i="38"/>
  <c r="CT53" i="38"/>
  <c r="CT55" i="38"/>
  <c r="CT57" i="38"/>
  <c r="CT52" i="38"/>
  <c r="CT54" i="38"/>
  <c r="CT59" i="38"/>
  <c r="CT61" i="38"/>
  <c r="CT56" i="38"/>
  <c r="CT58" i="38"/>
  <c r="CT60" i="38"/>
  <c r="CT62" i="38"/>
  <c r="CT64" i="38"/>
  <c r="CT67" i="38"/>
  <c r="CT71" i="38"/>
  <c r="CT73" i="38"/>
  <c r="CT75" i="38"/>
  <c r="CT63" i="38"/>
  <c r="CT65" i="38"/>
  <c r="CT76" i="38"/>
  <c r="CT78" i="38"/>
  <c r="CT80" i="38"/>
  <c r="CT82" i="38"/>
  <c r="CT72" i="38"/>
  <c r="CT77" i="38"/>
  <c r="CT79" i="38"/>
  <c r="CT81" i="38"/>
  <c r="CT83" i="38"/>
  <c r="CT66" i="38"/>
  <c r="CT74" i="38"/>
  <c r="CT86" i="38"/>
  <c r="CT84" i="38"/>
  <c r="CR89" i="38"/>
  <c r="CM22" i="9" s="1"/>
  <c r="CM21" i="9" s="1"/>
  <c r="CM23" i="9" s="1"/>
  <c r="CS87" i="38"/>
  <c r="CN24" i="9" s="1"/>
  <c r="CN16" i="9"/>
  <c r="CN17" i="9"/>
  <c r="CM37" i="9"/>
  <c r="CM36" i="9"/>
  <c r="CM26" i="9"/>
  <c r="CM27" i="9"/>
  <c r="CM25" i="9"/>
  <c r="CM28" i="9"/>
  <c r="CP18" i="9"/>
  <c r="CM29" i="9"/>
  <c r="CU8" i="38"/>
  <c r="CP9" i="9"/>
  <c r="CW9" i="7"/>
  <c r="CW14" i="7"/>
  <c r="CO41" i="9"/>
  <c r="CO40" i="9"/>
  <c r="CP14" i="9"/>
  <c r="CO34" i="9"/>
  <c r="CO38" i="9"/>
  <c r="CO20" i="9"/>
  <c r="CT100" i="3"/>
  <c r="CT93" i="3"/>
  <c r="CR13" i="9"/>
  <c r="CU120" i="3"/>
  <c r="CO35" i="3"/>
  <c r="CO44" i="9"/>
  <c r="CO43" i="9"/>
  <c r="CU41" i="3"/>
  <c r="CU76" i="3"/>
  <c r="CU54" i="3"/>
  <c r="CU36" i="3" s="1"/>
  <c r="CW8" i="7"/>
  <c r="CU61" i="3"/>
  <c r="CU59" i="3"/>
  <c r="CW8" i="11"/>
  <c r="CP34" i="3"/>
  <c r="CW15" i="6"/>
  <c r="CW16" i="6"/>
  <c r="CW17" i="6"/>
  <c r="CW16" i="7"/>
  <c r="CW11" i="7"/>
  <c r="CW12" i="7"/>
  <c r="CW13" i="7"/>
  <c r="AZ109" i="3" a="1"/>
  <c r="AZ109" i="3" s="1"/>
  <c r="AZ111" i="3" s="1"/>
  <c r="AZ112" i="3" s="1"/>
  <c r="AW55" i="9"/>
  <c r="AW56" i="9" s="1"/>
  <c r="AW47" i="9"/>
  <c r="CR20" i="3" a="1"/>
  <c r="CR20" i="3" s="1"/>
  <c r="CP58" i="9" a="1"/>
  <c r="CP58" i="9" s="1"/>
  <c r="CW11" i="2"/>
  <c r="CW14" i="6"/>
  <c r="CW13" i="6"/>
  <c r="CW15" i="7"/>
  <c r="CQ10" i="3"/>
  <c r="CQ29" i="3" s="1"/>
  <c r="CR8" i="3" a="1"/>
  <c r="CR8" i="3" s="1"/>
  <c r="CR6" i="3" a="1"/>
  <c r="CR6" i="3" s="1"/>
  <c r="CR9" i="3" a="1"/>
  <c r="CR9" i="3" s="1"/>
  <c r="CU110" i="3" a="1"/>
  <c r="CU110" i="3" s="1"/>
  <c r="CV12" i="11"/>
  <c r="CV12" i="2"/>
  <c r="CS7" i="3" s="1" a="1"/>
  <c r="CS7" i="3" s="1"/>
  <c r="CU72" i="3"/>
  <c r="CV18" i="6"/>
  <c r="CU12" i="3"/>
  <c r="CU13" i="3"/>
  <c r="CU14" i="3"/>
  <c r="CU16" i="3"/>
  <c r="CU17" i="3"/>
  <c r="CU18" i="3"/>
  <c r="CU28" i="3" s="1"/>
  <c r="CW7" i="6"/>
  <c r="CW11" i="6"/>
  <c r="CW7" i="2"/>
  <c r="CW6" i="2"/>
  <c r="CW5" i="2"/>
  <c r="CW10" i="2"/>
  <c r="CW10" i="11"/>
  <c r="CO62" i="9"/>
  <c r="CR21" i="3" s="1" a="1"/>
  <c r="CR21" i="3" s="1"/>
  <c r="CW5" i="11"/>
  <c r="CV17" i="7"/>
  <c r="CW8" i="2"/>
  <c r="CW10" i="7"/>
  <c r="CW5" i="7"/>
  <c r="CW7" i="7"/>
  <c r="CW6" i="7"/>
  <c r="CW5" i="6"/>
  <c r="CW8" i="6"/>
  <c r="CW10" i="6"/>
  <c r="CW9" i="6"/>
  <c r="CW12" i="6"/>
  <c r="CW6" i="6"/>
  <c r="CX4" i="11"/>
  <c r="CU5" i="3"/>
  <c r="CX4" i="7"/>
  <c r="CX4" i="6"/>
  <c r="CV4" i="3"/>
  <c r="CW4" i="3" s="1"/>
  <c r="CX4" i="2"/>
  <c r="CX9" i="2" s="1"/>
  <c r="CW7" i="11"/>
  <c r="CW6" i="11"/>
  <c r="CW11" i="11"/>
  <c r="CW9" i="11"/>
  <c r="CO46" i="9"/>
  <c r="CO48" i="9"/>
  <c r="CO35" i="9"/>
  <c r="CO39" i="9"/>
  <c r="CO42" i="9"/>
  <c r="CP10" i="9"/>
  <c r="CQ15" i="9"/>
  <c r="CP11" i="9"/>
  <c r="CP12" i="9"/>
  <c r="CU3" i="3"/>
  <c r="CV2" i="3"/>
  <c r="CV120" i="3" s="1"/>
  <c r="CS20" i="3" l="1" a="1"/>
  <c r="CS20" i="3" s="1"/>
  <c r="CU9" i="38"/>
  <c r="CU11" i="38"/>
  <c r="CU15" i="38"/>
  <c r="CU10" i="38"/>
  <c r="CU17" i="38"/>
  <c r="CU18" i="38"/>
  <c r="CU21" i="38"/>
  <c r="CU25" i="38"/>
  <c r="CU19" i="38"/>
  <c r="CU16" i="38"/>
  <c r="CU20" i="38"/>
  <c r="CU22" i="38"/>
  <c r="CU24" i="38"/>
  <c r="CU27" i="38"/>
  <c r="CU29" i="38"/>
  <c r="CU26" i="38"/>
  <c r="CU31" i="38"/>
  <c r="CU33" i="38"/>
  <c r="CU35" i="38"/>
  <c r="CU30" i="38"/>
  <c r="CU32" i="38"/>
  <c r="CU34" i="38"/>
  <c r="CU36" i="38"/>
  <c r="CU38" i="38"/>
  <c r="CU28" i="38"/>
  <c r="CU37" i="38"/>
  <c r="CU39" i="38"/>
  <c r="CU41" i="38"/>
  <c r="CU43" i="38"/>
  <c r="CU45" i="38"/>
  <c r="CU49" i="38"/>
  <c r="CU51" i="38"/>
  <c r="CU44" i="38"/>
  <c r="CU46" i="38"/>
  <c r="CU50" i="38"/>
  <c r="CU52" i="38"/>
  <c r="CU54" i="38"/>
  <c r="CU56" i="38"/>
  <c r="CU53" i="38"/>
  <c r="CU59" i="38"/>
  <c r="CU61" i="38"/>
  <c r="CU63" i="38"/>
  <c r="CU55" i="38"/>
  <c r="CU57" i="38"/>
  <c r="CU58" i="38"/>
  <c r="CU60" i="38"/>
  <c r="CU62" i="38"/>
  <c r="CU66" i="38"/>
  <c r="CU72" i="38"/>
  <c r="CU74" i="38"/>
  <c r="CU64" i="38"/>
  <c r="CU67" i="38"/>
  <c r="CU71" i="38"/>
  <c r="CU73" i="38"/>
  <c r="CU75" i="38"/>
  <c r="CU65" i="38"/>
  <c r="CU76" i="38"/>
  <c r="CU78" i="38"/>
  <c r="CU80" i="38"/>
  <c r="CU82" i="38"/>
  <c r="CU77" i="38"/>
  <c r="CU79" i="38"/>
  <c r="CU81" i="38"/>
  <c r="CU83" i="38"/>
  <c r="CU84" i="38"/>
  <c r="CU86" i="38"/>
  <c r="CS89" i="38"/>
  <c r="CN22" i="9" s="1"/>
  <c r="CN21" i="9" s="1"/>
  <c r="CN23" i="9" s="1"/>
  <c r="CT87" i="38"/>
  <c r="CO24" i="9" s="1"/>
  <c r="CO16" i="9"/>
  <c r="CO17" i="9"/>
  <c r="CQ18" i="9"/>
  <c r="CN37" i="9"/>
  <c r="CN36" i="9"/>
  <c r="CN26" i="9"/>
  <c r="CN27" i="9"/>
  <c r="CN25" i="9"/>
  <c r="CN28" i="9"/>
  <c r="AX30" i="9"/>
  <c r="AX31" i="9" s="1"/>
  <c r="CN29" i="9"/>
  <c r="CV8" i="38"/>
  <c r="CQ9" i="9"/>
  <c r="CX9" i="7"/>
  <c r="CX14" i="7"/>
  <c r="CP41" i="9"/>
  <c r="CP40" i="9"/>
  <c r="CQ14" i="9"/>
  <c r="CP34" i="9"/>
  <c r="CP38" i="9"/>
  <c r="CP20" i="9"/>
  <c r="CU100" i="3"/>
  <c r="CU93" i="3"/>
  <c r="CV100" i="3"/>
  <c r="CV93" i="3"/>
  <c r="CS13" i="9"/>
  <c r="CW2" i="3"/>
  <c r="CW120" i="3" s="1"/>
  <c r="CW3" i="3"/>
  <c r="CW13" i="3"/>
  <c r="CW18" i="3"/>
  <c r="CW110" i="3" a="1"/>
  <c r="CW110" i="3" s="1"/>
  <c r="CW54" i="3"/>
  <c r="CW36" i="3" s="1"/>
  <c r="CW14" i="3"/>
  <c r="CW61" i="3"/>
  <c r="CX4" i="3"/>
  <c r="CW59" i="3"/>
  <c r="CW76" i="3"/>
  <c r="CW47" i="3" s="1"/>
  <c r="CW5" i="3"/>
  <c r="CW16" i="3"/>
  <c r="CW12" i="3"/>
  <c r="CW17" i="3"/>
  <c r="CW41" i="3"/>
  <c r="CP35" i="3"/>
  <c r="CP44" i="9"/>
  <c r="CP43" i="9"/>
  <c r="CX8" i="7"/>
  <c r="CV76" i="3"/>
  <c r="CV41" i="3"/>
  <c r="CV54" i="3"/>
  <c r="CV36" i="3" s="1"/>
  <c r="CV61" i="3"/>
  <c r="CV59" i="3"/>
  <c r="CX8" i="11"/>
  <c r="CQ34" i="3"/>
  <c r="CX15" i="6"/>
  <c r="CX16" i="6"/>
  <c r="CX17" i="6"/>
  <c r="CX16" i="7"/>
  <c r="CX12" i="7"/>
  <c r="CX11" i="7"/>
  <c r="CX13" i="7"/>
  <c r="CR22" i="3"/>
  <c r="CD59" i="9"/>
  <c r="CQ58" i="9" a="1"/>
  <c r="CQ58" i="9" s="1"/>
  <c r="CX11" i="2"/>
  <c r="CX13" i="6"/>
  <c r="CX14" i="6"/>
  <c r="CX15" i="7"/>
  <c r="CR10" i="3"/>
  <c r="CR29" i="3" s="1"/>
  <c r="CS8" i="3" a="1"/>
  <c r="CS8" i="3" s="1"/>
  <c r="CS6" i="3" a="1"/>
  <c r="CS6" i="3" s="1"/>
  <c r="CS9" i="3" a="1"/>
  <c r="CS9" i="3" s="1"/>
  <c r="CV110" i="3" a="1"/>
  <c r="CV110" i="3" s="1"/>
  <c r="CV28" i="3"/>
  <c r="CV72" i="3"/>
  <c r="CW12" i="11"/>
  <c r="CW12" i="2"/>
  <c r="CT7" i="3" s="1" a="1"/>
  <c r="CT7" i="3" s="1"/>
  <c r="CW18" i="6"/>
  <c r="CV16" i="3"/>
  <c r="CV14" i="3"/>
  <c r="CV12" i="3"/>
  <c r="CV13" i="3"/>
  <c r="CV17" i="3"/>
  <c r="CV18" i="3"/>
  <c r="CX7" i="6"/>
  <c r="CX11" i="6"/>
  <c r="CX7" i="2"/>
  <c r="CX6" i="2"/>
  <c r="CX5" i="2"/>
  <c r="CX10" i="2"/>
  <c r="CX10" i="11"/>
  <c r="CP62" i="9"/>
  <c r="CS21" i="3" s="1" a="1"/>
  <c r="CS21" i="3" s="1"/>
  <c r="CS22" i="3" s="1"/>
  <c r="CX5" i="11"/>
  <c r="CW17" i="7"/>
  <c r="CX8" i="2"/>
  <c r="CX10" i="6"/>
  <c r="CX12" i="6"/>
  <c r="CX6" i="6"/>
  <c r="CX5" i="6"/>
  <c r="CX9" i="6"/>
  <c r="CX8" i="6"/>
  <c r="CX6" i="7"/>
  <c r="CX5" i="7"/>
  <c r="CX7" i="7"/>
  <c r="CX10" i="7"/>
  <c r="CY4" i="11"/>
  <c r="CV5" i="3"/>
  <c r="CY4" i="7"/>
  <c r="CY4" i="6"/>
  <c r="CY4" i="2"/>
  <c r="CY9" i="2" s="1"/>
  <c r="CX9" i="11"/>
  <c r="CX6" i="11"/>
  <c r="CX11" i="11"/>
  <c r="CX7" i="11"/>
  <c r="CP46" i="9"/>
  <c r="CP48" i="9"/>
  <c r="CP35" i="9"/>
  <c r="CP39" i="9"/>
  <c r="CP42" i="9"/>
  <c r="CQ10" i="9"/>
  <c r="CQ11" i="9"/>
  <c r="CR15" i="9"/>
  <c r="CQ12" i="9"/>
  <c r="CV3" i="3"/>
  <c r="CT20" i="3" l="1" a="1"/>
  <c r="CT20" i="3" s="1"/>
  <c r="CV9" i="38"/>
  <c r="CV11" i="38"/>
  <c r="CV15" i="38"/>
  <c r="CV10" i="38"/>
  <c r="CV16" i="38"/>
  <c r="CV18" i="38"/>
  <c r="CV21" i="38"/>
  <c r="CV19" i="38"/>
  <c r="CV20" i="38"/>
  <c r="CV22" i="38"/>
  <c r="CV17" i="38"/>
  <c r="CV28" i="38"/>
  <c r="CV29" i="38"/>
  <c r="CV25" i="38"/>
  <c r="CV24" i="38"/>
  <c r="CV31" i="38"/>
  <c r="CV33" i="38"/>
  <c r="CV35" i="38"/>
  <c r="CV26" i="38"/>
  <c r="CV32" i="38"/>
  <c r="CV36" i="38"/>
  <c r="CV27" i="38"/>
  <c r="CV38" i="38"/>
  <c r="CV34" i="38"/>
  <c r="CV37" i="38"/>
  <c r="CV39" i="38"/>
  <c r="CV41" i="38"/>
  <c r="CV43" i="38"/>
  <c r="CV45" i="38"/>
  <c r="CV49" i="38"/>
  <c r="CV30" i="38"/>
  <c r="CV46" i="38"/>
  <c r="CV50" i="38"/>
  <c r="CV52" i="38"/>
  <c r="CV54" i="38"/>
  <c r="CV56" i="38"/>
  <c r="CV53" i="38"/>
  <c r="CV55" i="38"/>
  <c r="CV57" i="38"/>
  <c r="CV44" i="38"/>
  <c r="CV59" i="38"/>
  <c r="CV61" i="38"/>
  <c r="CV63" i="38"/>
  <c r="CV65" i="38"/>
  <c r="CV51" i="38"/>
  <c r="CV62" i="38"/>
  <c r="CV66" i="38"/>
  <c r="CV72" i="38"/>
  <c r="CV74" i="38"/>
  <c r="CV64" i="38"/>
  <c r="CV67" i="38"/>
  <c r="CV71" i="38"/>
  <c r="CV73" i="38"/>
  <c r="CV58" i="38"/>
  <c r="CV60" i="38"/>
  <c r="CV76" i="38"/>
  <c r="CV78" i="38"/>
  <c r="CV80" i="38"/>
  <c r="CV82" i="38"/>
  <c r="CV77" i="38"/>
  <c r="CV79" i="38"/>
  <c r="CV81" i="38"/>
  <c r="CV83" i="38"/>
  <c r="CV84" i="38"/>
  <c r="CV86" i="38"/>
  <c r="CV75" i="38"/>
  <c r="CT89" i="38"/>
  <c r="CO22" i="9" s="1"/>
  <c r="CO21" i="9" s="1"/>
  <c r="CO23" i="9" s="1"/>
  <c r="CU87" i="38"/>
  <c r="CU89" i="38" s="1"/>
  <c r="CP22" i="9" s="1"/>
  <c r="CP16" i="9"/>
  <c r="CP17" i="9"/>
  <c r="CR18" i="9"/>
  <c r="CO37" i="9"/>
  <c r="CO36" i="9"/>
  <c r="CO27" i="9"/>
  <c r="CO25" i="9"/>
  <c r="CO26" i="9"/>
  <c r="CO28" i="9"/>
  <c r="CO29" i="9"/>
  <c r="CW8" i="38"/>
  <c r="CR9" i="9"/>
  <c r="CY9" i="7"/>
  <c r="CY14" i="7"/>
  <c r="CQ41" i="9"/>
  <c r="CQ40" i="9"/>
  <c r="CR14" i="9"/>
  <c r="CQ34" i="9"/>
  <c r="CQ38" i="9"/>
  <c r="CQ20" i="9"/>
  <c r="CT13" i="9"/>
  <c r="CW100" i="3"/>
  <c r="CW93" i="3"/>
  <c r="CW28" i="3"/>
  <c r="CX3" i="3"/>
  <c r="CX13" i="3"/>
  <c r="CX18" i="3"/>
  <c r="CX54" i="3"/>
  <c r="CX36" i="3" s="1"/>
  <c r="CX110" i="3" a="1"/>
  <c r="CX110" i="3" s="1"/>
  <c r="CX16" i="3"/>
  <c r="CX14" i="3"/>
  <c r="CX28" i="3" s="1"/>
  <c r="CX5" i="3"/>
  <c r="CX59" i="3"/>
  <c r="CX76" i="3"/>
  <c r="CX47" i="3" s="1"/>
  <c r="CX61" i="3"/>
  <c r="CX12" i="3"/>
  <c r="CX17" i="3"/>
  <c r="CX41" i="3"/>
  <c r="CY4" i="3"/>
  <c r="CX2" i="3"/>
  <c r="CX120" i="3" s="1"/>
  <c r="CW72" i="3"/>
  <c r="CQ35" i="3"/>
  <c r="CQ44" i="9"/>
  <c r="CQ43" i="9"/>
  <c r="CY8" i="7"/>
  <c r="CY8" i="11"/>
  <c r="CR34" i="3"/>
  <c r="CY15" i="6"/>
  <c r="CY16" i="6"/>
  <c r="CY17" i="6"/>
  <c r="CY16" i="7"/>
  <c r="CY13" i="7"/>
  <c r="CY11" i="7"/>
  <c r="CY12" i="7"/>
  <c r="BA109" i="3" a="1"/>
  <c r="BA109" i="3" s="1"/>
  <c r="BA111" i="3" s="1"/>
  <c r="BA112" i="3" s="1"/>
  <c r="AX55" i="9"/>
  <c r="AX56" i="9" s="1"/>
  <c r="AX47" i="9"/>
  <c r="CE59" i="9"/>
  <c r="CR58" i="9" a="1"/>
  <c r="CR58" i="9" s="1"/>
  <c r="CY11" i="2"/>
  <c r="CY13" i="6"/>
  <c r="CY14" i="6"/>
  <c r="CY15" i="7"/>
  <c r="CS10" i="3"/>
  <c r="CS29" i="3" s="1"/>
  <c r="CT8" i="3" a="1"/>
  <c r="CT8" i="3" s="1"/>
  <c r="CT6" i="3" a="1"/>
  <c r="CT6" i="3" s="1"/>
  <c r="CT9" i="3" a="1"/>
  <c r="CT9" i="3" s="1"/>
  <c r="CX12" i="11"/>
  <c r="CX12" i="2"/>
  <c r="CU7" i="3" s="1" a="1"/>
  <c r="CU7" i="3" s="1"/>
  <c r="CX18" i="6"/>
  <c r="CY7" i="6"/>
  <c r="CY11" i="6"/>
  <c r="CY7" i="2"/>
  <c r="CY6" i="2"/>
  <c r="CY5" i="2"/>
  <c r="CY10" i="2"/>
  <c r="CY10" i="11"/>
  <c r="CQ62" i="9"/>
  <c r="CT21" i="3" s="1" a="1"/>
  <c r="CT21" i="3" s="1"/>
  <c r="CT22" i="3" s="1"/>
  <c r="CY5" i="11"/>
  <c r="CY12" i="6"/>
  <c r="CY6" i="6"/>
  <c r="CY10" i="6"/>
  <c r="CY9" i="6"/>
  <c r="CY8" i="6"/>
  <c r="CY5" i="6"/>
  <c r="CY6" i="7"/>
  <c r="CY7" i="7"/>
  <c r="CY5" i="7"/>
  <c r="CY10" i="7"/>
  <c r="CX17" i="7"/>
  <c r="CY8" i="2"/>
  <c r="CZ4" i="11"/>
  <c r="CZ4" i="7"/>
  <c r="CZ4" i="6"/>
  <c r="CZ4" i="2"/>
  <c r="CZ9" i="2" s="1"/>
  <c r="CY7" i="11"/>
  <c r="CY9" i="11"/>
  <c r="CY6" i="11"/>
  <c r="CY11" i="11"/>
  <c r="CR10" i="9"/>
  <c r="CR11" i="9"/>
  <c r="CR12" i="9"/>
  <c r="CS15" i="9"/>
  <c r="CQ39" i="9"/>
  <c r="CQ42" i="9"/>
  <c r="CQ46" i="9"/>
  <c r="CQ35" i="9"/>
  <c r="CQ48" i="9"/>
  <c r="CU20" i="3" l="1" a="1"/>
  <c r="CU20" i="3" s="1"/>
  <c r="CW9" i="38"/>
  <c r="CW11" i="38"/>
  <c r="CW18" i="38"/>
  <c r="CW20" i="38"/>
  <c r="CW10" i="38"/>
  <c r="CW15" i="38"/>
  <c r="CW16" i="38"/>
  <c r="CW17" i="38"/>
  <c r="CW19" i="38"/>
  <c r="CW21" i="38"/>
  <c r="CW22" i="38"/>
  <c r="CW24" i="38"/>
  <c r="CW27" i="38"/>
  <c r="CW28" i="38"/>
  <c r="CW29" i="38"/>
  <c r="CW25" i="38"/>
  <c r="CW31" i="38"/>
  <c r="CW33" i="38"/>
  <c r="CW35" i="38"/>
  <c r="CW30" i="38"/>
  <c r="CW37" i="38"/>
  <c r="CW26" i="38"/>
  <c r="CW32" i="38"/>
  <c r="CW36" i="38"/>
  <c r="CW44" i="38"/>
  <c r="CW46" i="38"/>
  <c r="CW50" i="38"/>
  <c r="CW38" i="38"/>
  <c r="CW39" i="38"/>
  <c r="CW41" i="38"/>
  <c r="CW43" i="38"/>
  <c r="CW45" i="38"/>
  <c r="CW49" i="38"/>
  <c r="CW51" i="38"/>
  <c r="CW34" i="38"/>
  <c r="CW52" i="38"/>
  <c r="CW58" i="38"/>
  <c r="CW60" i="38"/>
  <c r="CW62" i="38"/>
  <c r="CW53" i="38"/>
  <c r="CW54" i="38"/>
  <c r="CW59" i="38"/>
  <c r="CW61" i="38"/>
  <c r="CW63" i="38"/>
  <c r="CW55" i="38"/>
  <c r="CW56" i="38"/>
  <c r="CW57" i="38"/>
  <c r="CW66" i="38"/>
  <c r="CW72" i="38"/>
  <c r="CW64" i="38"/>
  <c r="CW67" i="38"/>
  <c r="CW71" i="38"/>
  <c r="CW73" i="38"/>
  <c r="CW75" i="38"/>
  <c r="CW76" i="38"/>
  <c r="CW65" i="38"/>
  <c r="CW74" i="38"/>
  <c r="CW77" i="38"/>
  <c r="CW78" i="38"/>
  <c r="CW79" i="38"/>
  <c r="CW84" i="38"/>
  <c r="CW86" i="38"/>
  <c r="CW80" i="38"/>
  <c r="CW81" i="38"/>
  <c r="CW82" i="38"/>
  <c r="CW83" i="38"/>
  <c r="CP24" i="9"/>
  <c r="CP29" i="9" s="1"/>
  <c r="CQ17" i="9"/>
  <c r="CQ16" i="9"/>
  <c r="CS18" i="9"/>
  <c r="CV87" i="38"/>
  <c r="CQ24" i="9" s="1"/>
  <c r="CP36" i="9"/>
  <c r="CP37" i="9"/>
  <c r="CP28" i="9"/>
  <c r="CP25" i="9"/>
  <c r="CP26" i="9"/>
  <c r="CP27" i="9"/>
  <c r="AY30" i="9"/>
  <c r="AY31" i="9" s="1"/>
  <c r="CP21" i="9"/>
  <c r="CP23" i="9" s="1"/>
  <c r="CX8" i="38"/>
  <c r="CS9" i="9"/>
  <c r="CZ9" i="7"/>
  <c r="CZ14" i="7"/>
  <c r="CR41" i="9"/>
  <c r="CR40" i="9"/>
  <c r="CS14" i="9"/>
  <c r="CR34" i="9"/>
  <c r="CR38" i="9"/>
  <c r="CR20" i="9"/>
  <c r="CX100" i="3"/>
  <c r="CX93" i="3"/>
  <c r="CY2" i="3"/>
  <c r="CX72" i="3"/>
  <c r="CY3" i="3"/>
  <c r="CY13" i="3"/>
  <c r="CY61" i="3"/>
  <c r="CY59" i="3"/>
  <c r="CY5" i="3"/>
  <c r="CY12" i="3"/>
  <c r="CZ4" i="3"/>
  <c r="CY17" i="3"/>
  <c r="CY110" i="3" a="1"/>
  <c r="CY110" i="3" s="1"/>
  <c r="CY41" i="3"/>
  <c r="CY16" i="3"/>
  <c r="CY14" i="3"/>
  <c r="CY18" i="3"/>
  <c r="CY28" i="3" s="1"/>
  <c r="CY76" i="3"/>
  <c r="CY47" i="3" s="1"/>
  <c r="CY54" i="3"/>
  <c r="CY36" i="3" s="1"/>
  <c r="CU13" i="9"/>
  <c r="CR35" i="3"/>
  <c r="CR44" i="9"/>
  <c r="CR43" i="9"/>
  <c r="CZ8" i="7"/>
  <c r="CZ8" i="11"/>
  <c r="CS34" i="3"/>
  <c r="CZ15" i="6"/>
  <c r="CZ16" i="6"/>
  <c r="CZ17" i="6"/>
  <c r="CZ16" i="7"/>
  <c r="CZ12" i="7"/>
  <c r="CZ13" i="7"/>
  <c r="CZ11" i="7"/>
  <c r="CS58" i="9" a="1"/>
  <c r="CS58" i="9" s="1"/>
  <c r="CF59" i="9"/>
  <c r="CZ11" i="2"/>
  <c r="CZ13" i="6"/>
  <c r="CZ14" i="6"/>
  <c r="CZ15" i="7"/>
  <c r="CT10" i="3"/>
  <c r="CT29" i="3" s="1"/>
  <c r="CU8" i="3" a="1"/>
  <c r="CU8" i="3" s="1"/>
  <c r="CU6" i="3" a="1"/>
  <c r="CU6" i="3" s="1"/>
  <c r="CU9" i="3" a="1"/>
  <c r="CU9" i="3" s="1"/>
  <c r="CY12" i="11"/>
  <c r="CY12" i="2"/>
  <c r="CV7" i="3" s="1" a="1"/>
  <c r="CV7" i="3" s="1"/>
  <c r="CY18" i="6"/>
  <c r="CZ7" i="6"/>
  <c r="CZ11" i="6"/>
  <c r="CZ6" i="2"/>
  <c r="CZ7" i="2"/>
  <c r="CZ5" i="2"/>
  <c r="CZ10" i="2"/>
  <c r="CZ10" i="11"/>
  <c r="CR62" i="9"/>
  <c r="CU21" i="3" s="1" a="1"/>
  <c r="CU21" i="3" s="1"/>
  <c r="CU22" i="3" s="1"/>
  <c r="CZ5" i="11"/>
  <c r="CY17" i="7"/>
  <c r="CZ8" i="2"/>
  <c r="CZ9" i="11"/>
  <c r="CZ6" i="11"/>
  <c r="CZ11" i="11"/>
  <c r="CZ7" i="11"/>
  <c r="CZ10" i="6"/>
  <c r="CZ6" i="6"/>
  <c r="CZ12" i="6"/>
  <c r="CZ5" i="6"/>
  <c r="CZ8" i="6"/>
  <c r="CZ9" i="6"/>
  <c r="CZ6" i="7"/>
  <c r="CZ7" i="7"/>
  <c r="CZ10" i="7"/>
  <c r="CZ5" i="7"/>
  <c r="DA4" i="11"/>
  <c r="DA4" i="6"/>
  <c r="DA4" i="7"/>
  <c r="DA4" i="2"/>
  <c r="DA9" i="2" s="1"/>
  <c r="CR42" i="9"/>
  <c r="CR46" i="9"/>
  <c r="CR35" i="9"/>
  <c r="CR48" i="9"/>
  <c r="CR39" i="9"/>
  <c r="CS10" i="9"/>
  <c r="CS12" i="9"/>
  <c r="CT15" i="9"/>
  <c r="CS11" i="9"/>
  <c r="CG59" i="9" l="1"/>
  <c r="CX10" i="38"/>
  <c r="CX16" i="38"/>
  <c r="CX9" i="38"/>
  <c r="CX11" i="38"/>
  <c r="CX15" i="38"/>
  <c r="CX18" i="38"/>
  <c r="CX20" i="38"/>
  <c r="CX17" i="38"/>
  <c r="CX19" i="38"/>
  <c r="CX21" i="38"/>
  <c r="CX25" i="38"/>
  <c r="CX26" i="38"/>
  <c r="CX24" i="38"/>
  <c r="CX22" i="38"/>
  <c r="CX27" i="38"/>
  <c r="CX30" i="38"/>
  <c r="CX32" i="38"/>
  <c r="CX34" i="38"/>
  <c r="CX28" i="38"/>
  <c r="CX29" i="38"/>
  <c r="CX31" i="38"/>
  <c r="CX33" i="38"/>
  <c r="CX35" i="38"/>
  <c r="CX37" i="38"/>
  <c r="CX36" i="38"/>
  <c r="CX44" i="38"/>
  <c r="CX46" i="38"/>
  <c r="CX50" i="38"/>
  <c r="CX38" i="38"/>
  <c r="CX39" i="38"/>
  <c r="CX41" i="38"/>
  <c r="CX43" i="38"/>
  <c r="CX45" i="38"/>
  <c r="CX49" i="38"/>
  <c r="CX52" i="38"/>
  <c r="CX54" i="38"/>
  <c r="CX56" i="38"/>
  <c r="CX51" i="38"/>
  <c r="CX53" i="38"/>
  <c r="CX55" i="38"/>
  <c r="CX57" i="38"/>
  <c r="CX58" i="38"/>
  <c r="CX60" i="38"/>
  <c r="CX62" i="38"/>
  <c r="CX59" i="38"/>
  <c r="CX61" i="38"/>
  <c r="CX65" i="38"/>
  <c r="CX66" i="38"/>
  <c r="CX72" i="38"/>
  <c r="CX74" i="38"/>
  <c r="CX63" i="38"/>
  <c r="CX77" i="38"/>
  <c r="CX79" i="38"/>
  <c r="CX81" i="38"/>
  <c r="CX83" i="38"/>
  <c r="CX75" i="38"/>
  <c r="CX71" i="38"/>
  <c r="CX73" i="38"/>
  <c r="CX76" i="38"/>
  <c r="CX78" i="38"/>
  <c r="CX80" i="38"/>
  <c r="CX82" i="38"/>
  <c r="CX67" i="38"/>
  <c r="CX64" i="38"/>
  <c r="CX84" i="38"/>
  <c r="CX86" i="38"/>
  <c r="CR16" i="9"/>
  <c r="CR25" i="9" s="1"/>
  <c r="CR17" i="9"/>
  <c r="CW87" i="38"/>
  <c r="CR24" i="9" s="1"/>
  <c r="CV89" i="38"/>
  <c r="CQ22" i="9" s="1"/>
  <c r="CQ21" i="9" s="1"/>
  <c r="CQ23" i="9" s="1"/>
  <c r="CT18" i="9"/>
  <c r="CQ36" i="9"/>
  <c r="CQ37" i="9"/>
  <c r="CQ25" i="9"/>
  <c r="CQ26" i="9"/>
  <c r="CQ28" i="9"/>
  <c r="CQ27" i="9"/>
  <c r="CQ29" i="9"/>
  <c r="CY8" i="38"/>
  <c r="CT9" i="9"/>
  <c r="DA9" i="7"/>
  <c r="DA14" i="7"/>
  <c r="CS41" i="9"/>
  <c r="CS40" i="9"/>
  <c r="CT14" i="9"/>
  <c r="CS34" i="9"/>
  <c r="CS38" i="9"/>
  <c r="CS20" i="9"/>
  <c r="CV13" i="9"/>
  <c r="CY120" i="3"/>
  <c r="CZ54" i="3"/>
  <c r="CZ36" i="3" s="1"/>
  <c r="CZ59" i="3"/>
  <c r="CZ76" i="3"/>
  <c r="CZ47" i="3" s="1"/>
  <c r="CZ61" i="3"/>
  <c r="DA4" i="3"/>
  <c r="CZ3" i="3"/>
  <c r="CZ41" i="3"/>
  <c r="CZ5" i="3"/>
  <c r="CZ17" i="3"/>
  <c r="CZ12" i="3"/>
  <c r="CZ18" i="3"/>
  <c r="CZ110" i="3" a="1"/>
  <c r="CZ110" i="3" s="1"/>
  <c r="CZ14" i="3"/>
  <c r="CZ13" i="3"/>
  <c r="CZ28" i="3"/>
  <c r="CZ16" i="3"/>
  <c r="CZ60" i="3"/>
  <c r="CZ80" i="3"/>
  <c r="CZ62" i="3" s="1"/>
  <c r="CZ2" i="3"/>
  <c r="CY72" i="3"/>
  <c r="CS35" i="3"/>
  <c r="CS44" i="9"/>
  <c r="CS43" i="9"/>
  <c r="DA8" i="7"/>
  <c r="DA8" i="11"/>
  <c r="CT34" i="3"/>
  <c r="DA15" i="6"/>
  <c r="DA16" i="6"/>
  <c r="DA17" i="6"/>
  <c r="DA16" i="7"/>
  <c r="DA11" i="7"/>
  <c r="DA13" i="7"/>
  <c r="DA12" i="7"/>
  <c r="AY47" i="9"/>
  <c r="AY55" i="9"/>
  <c r="AY56" i="9" s="1"/>
  <c r="CV20" i="3" a="1"/>
  <c r="CV20" i="3" s="1"/>
  <c r="CT58" i="9" a="1"/>
  <c r="CT58" i="9" s="1"/>
  <c r="DA11" i="2"/>
  <c r="DA14" i="6"/>
  <c r="DA13" i="6"/>
  <c r="DA15" i="7"/>
  <c r="CU10" i="3"/>
  <c r="CU29" i="3" s="1"/>
  <c r="CV8" i="3" a="1"/>
  <c r="CV8" i="3" s="1"/>
  <c r="CV6" i="3" a="1"/>
  <c r="CV6" i="3" s="1"/>
  <c r="CV9" i="3" a="1"/>
  <c r="CV9" i="3" s="1"/>
  <c r="CZ12" i="11"/>
  <c r="CW8" i="3" s="1" a="1"/>
  <c r="CW8" i="3" s="1"/>
  <c r="CZ12" i="2"/>
  <c r="CW7" i="3" s="1" a="1"/>
  <c r="CW7" i="3" s="1"/>
  <c r="CZ18" i="6"/>
  <c r="CW6" i="3" s="1" a="1"/>
  <c r="CW6" i="3" s="1"/>
  <c r="DA7" i="6"/>
  <c r="DA11" i="6"/>
  <c r="DA6" i="2"/>
  <c r="DA7" i="2"/>
  <c r="DA5" i="2"/>
  <c r="DA10" i="2"/>
  <c r="DA10" i="11"/>
  <c r="CS62" i="9"/>
  <c r="CV21" i="3" s="1" a="1"/>
  <c r="CV21" i="3" s="1"/>
  <c r="DA5" i="11"/>
  <c r="DA5" i="6"/>
  <c r="DA12" i="6"/>
  <c r="DA10" i="6"/>
  <c r="DA6" i="6"/>
  <c r="DA9" i="6"/>
  <c r="DA8" i="6"/>
  <c r="DB4" i="11"/>
  <c r="DB4" i="7"/>
  <c r="DB4" i="6"/>
  <c r="DB4" i="2"/>
  <c r="DB9" i="2" s="1"/>
  <c r="CZ17" i="7"/>
  <c r="CW9" i="3" s="1" a="1"/>
  <c r="CW9" i="3" s="1"/>
  <c r="DA8" i="2"/>
  <c r="DA11" i="11"/>
  <c r="DA7" i="11"/>
  <c r="DA6" i="11"/>
  <c r="DA9" i="11"/>
  <c r="DA5" i="7"/>
  <c r="DA10" i="7"/>
  <c r="DA7" i="7"/>
  <c r="DA6" i="7"/>
  <c r="CT12" i="9"/>
  <c r="CT11" i="9"/>
  <c r="CT10" i="9"/>
  <c r="CU15" i="9"/>
  <c r="CS35" i="9"/>
  <c r="CS39" i="9"/>
  <c r="CS46" i="9"/>
  <c r="CS48" i="9"/>
  <c r="CS42" i="9"/>
  <c r="CH59" i="9" l="1"/>
  <c r="CR36" i="9"/>
  <c r="CY10" i="38"/>
  <c r="CY16" i="38"/>
  <c r="CY9" i="38"/>
  <c r="CY11" i="38"/>
  <c r="CY15" i="38"/>
  <c r="CY18" i="38"/>
  <c r="CY17" i="38"/>
  <c r="CY22" i="38"/>
  <c r="CY24" i="38"/>
  <c r="CY19" i="38"/>
  <c r="CY21" i="38"/>
  <c r="CY20" i="38"/>
  <c r="CY25" i="38"/>
  <c r="CY26" i="38"/>
  <c r="CY28" i="38"/>
  <c r="CY27" i="38"/>
  <c r="CY30" i="38"/>
  <c r="CY32" i="38"/>
  <c r="CY34" i="38"/>
  <c r="CY36" i="38"/>
  <c r="CY29" i="38"/>
  <c r="CY31" i="38"/>
  <c r="CY33" i="38"/>
  <c r="CY35" i="38"/>
  <c r="CY37" i="38"/>
  <c r="CY38" i="38"/>
  <c r="CY44" i="38"/>
  <c r="CY46" i="38"/>
  <c r="CY50" i="38"/>
  <c r="CY39" i="38"/>
  <c r="CY41" i="38"/>
  <c r="CY43" i="38"/>
  <c r="CY45" i="38"/>
  <c r="CY49" i="38"/>
  <c r="CY53" i="38"/>
  <c r="CY55" i="38"/>
  <c r="CY57" i="38"/>
  <c r="CY58" i="38"/>
  <c r="CY60" i="38"/>
  <c r="CY62" i="38"/>
  <c r="CY64" i="38"/>
  <c r="CY52" i="38"/>
  <c r="CY54" i="38"/>
  <c r="CY56" i="38"/>
  <c r="CY59" i="38"/>
  <c r="CY61" i="38"/>
  <c r="CY63" i="38"/>
  <c r="CY67" i="38"/>
  <c r="CY71" i="38"/>
  <c r="CY73" i="38"/>
  <c r="CY75" i="38"/>
  <c r="CY65" i="38"/>
  <c r="CY51" i="38"/>
  <c r="CY66" i="38"/>
  <c r="CY72" i="38"/>
  <c r="CY74" i="38"/>
  <c r="CY77" i="38"/>
  <c r="CY79" i="38"/>
  <c r="CY81" i="38"/>
  <c r="CY83" i="38"/>
  <c r="CY76" i="38"/>
  <c r="CY78" i="38"/>
  <c r="CY80" i="38"/>
  <c r="CY82" i="38"/>
  <c r="CY84" i="38"/>
  <c r="CY86" i="38"/>
  <c r="CR27" i="9"/>
  <c r="CR28" i="9"/>
  <c r="CR26" i="9"/>
  <c r="CR37" i="9"/>
  <c r="CW89" i="38"/>
  <c r="CR22" i="9" s="1"/>
  <c r="CR21" i="9" s="1"/>
  <c r="CR23" i="9" s="1"/>
  <c r="CU18" i="9"/>
  <c r="CX87" i="38"/>
  <c r="CX89" i="38" s="1"/>
  <c r="CS22" i="9" s="1"/>
  <c r="CS17" i="9"/>
  <c r="CS16" i="9"/>
  <c r="AZ30" i="9"/>
  <c r="AZ31" i="9" s="1"/>
  <c r="CR29" i="9"/>
  <c r="CZ8" i="38"/>
  <c r="CU9" i="9"/>
  <c r="DB9" i="7"/>
  <c r="DB14" i="7"/>
  <c r="CT41" i="9"/>
  <c r="CT40" i="9"/>
  <c r="CU14" i="9"/>
  <c r="CT34" i="9"/>
  <c r="CT38" i="9"/>
  <c r="CT20" i="9"/>
  <c r="CY100" i="3"/>
  <c r="CY93" i="3"/>
  <c r="CW13" i="9"/>
  <c r="CZ120" i="3"/>
  <c r="CW20" i="3" a="1"/>
  <c r="CW20" i="3" s="1"/>
  <c r="DA13" i="3"/>
  <c r="DA76" i="3"/>
  <c r="DA47" i="3" s="1"/>
  <c r="DA59" i="3"/>
  <c r="DA3" i="3"/>
  <c r="DA14" i="3"/>
  <c r="DA54" i="3"/>
  <c r="DA36" i="3" s="1"/>
  <c r="DA5" i="3"/>
  <c r="DB4" i="3"/>
  <c r="DA110" i="3" a="1"/>
  <c r="DA110" i="3" s="1"/>
  <c r="DA12" i="3"/>
  <c r="DA41" i="3"/>
  <c r="DA61" i="3"/>
  <c r="DA17" i="3"/>
  <c r="DA18" i="3"/>
  <c r="DA28" i="3" s="1"/>
  <c r="DA16" i="3"/>
  <c r="DA60" i="3"/>
  <c r="DA80" i="3"/>
  <c r="DA62" i="3" s="1"/>
  <c r="DA2" i="3"/>
  <c r="CZ72" i="3"/>
  <c r="CW10" i="3"/>
  <c r="CW29" i="3" s="1"/>
  <c r="CT35" i="3"/>
  <c r="CT44" i="9"/>
  <c r="CT43" i="9"/>
  <c r="DB8" i="7"/>
  <c r="DB8" i="11"/>
  <c r="CU34" i="3"/>
  <c r="DB15" i="6"/>
  <c r="DB16" i="6"/>
  <c r="DB17" i="6"/>
  <c r="DB16" i="7"/>
  <c r="DB11" i="7"/>
  <c r="DB12" i="7"/>
  <c r="DB13" i="7"/>
  <c r="CV22" i="3"/>
  <c r="CU58" i="9" a="1"/>
  <c r="CU58" i="9" s="1"/>
  <c r="DB11" i="2"/>
  <c r="DB13" i="6"/>
  <c r="DB14" i="6"/>
  <c r="DB15" i="7"/>
  <c r="CV10" i="3"/>
  <c r="CV29" i="3" s="1"/>
  <c r="DA12" i="11"/>
  <c r="CX8" i="3" s="1" a="1"/>
  <c r="CX8" i="3" s="1"/>
  <c r="DA12" i="2"/>
  <c r="CX7" i="3" s="1" a="1"/>
  <c r="CX7" i="3" s="1"/>
  <c r="DA18" i="6"/>
  <c r="CX6" i="3" s="1" a="1"/>
  <c r="CX6" i="3" s="1"/>
  <c r="DB7" i="6"/>
  <c r="DB11" i="6"/>
  <c r="DB7" i="2"/>
  <c r="DB6" i="2"/>
  <c r="DB5" i="2"/>
  <c r="DB10" i="2"/>
  <c r="DB10" i="11"/>
  <c r="CT62" i="9"/>
  <c r="CW21" i="3" s="1" a="1"/>
  <c r="CW21" i="3" s="1"/>
  <c r="DB5" i="11"/>
  <c r="DB10" i="6"/>
  <c r="DB8" i="6"/>
  <c r="DB6" i="6"/>
  <c r="DB5" i="6"/>
  <c r="DB9" i="6"/>
  <c r="DB12" i="6"/>
  <c r="DC4" i="11"/>
  <c r="DC4" i="7"/>
  <c r="DC4" i="6"/>
  <c r="DC4" i="2"/>
  <c r="DC9" i="2" s="1"/>
  <c r="DB5" i="7"/>
  <c r="DB10" i="7"/>
  <c r="DB7" i="7"/>
  <c r="DB6" i="7"/>
  <c r="DB9" i="11"/>
  <c r="DB11" i="11"/>
  <c r="DB6" i="11"/>
  <c r="DB7" i="11"/>
  <c r="DA17" i="7"/>
  <c r="CX9" i="3" s="1" a="1"/>
  <c r="CX9" i="3" s="1"/>
  <c r="DB8" i="2"/>
  <c r="CT48" i="9"/>
  <c r="CT35" i="9"/>
  <c r="CT42" i="9"/>
  <c r="CT46" i="9"/>
  <c r="CT39" i="9"/>
  <c r="CU11" i="9"/>
  <c r="CV15" i="9"/>
  <c r="CU10" i="9"/>
  <c r="CU12" i="9"/>
  <c r="CX20" i="3" l="1" a="1"/>
  <c r="CX20" i="3" s="1"/>
  <c r="CZ10" i="38"/>
  <c r="CZ16" i="38"/>
  <c r="CZ9" i="38"/>
  <c r="CZ11" i="38"/>
  <c r="CZ15" i="38"/>
  <c r="CZ17" i="38"/>
  <c r="CZ22" i="38"/>
  <c r="CZ18" i="38"/>
  <c r="CZ19" i="38"/>
  <c r="CZ21" i="38"/>
  <c r="CZ24" i="38"/>
  <c r="CZ25" i="38"/>
  <c r="CZ20" i="38"/>
  <c r="CZ27" i="38"/>
  <c r="CZ30" i="38"/>
  <c r="CZ32" i="38"/>
  <c r="CZ34" i="38"/>
  <c r="CZ28" i="38"/>
  <c r="CZ29" i="38"/>
  <c r="CZ31" i="38"/>
  <c r="CZ35" i="38"/>
  <c r="CZ26" i="38"/>
  <c r="CZ33" i="38"/>
  <c r="CZ37" i="38"/>
  <c r="CZ36" i="38"/>
  <c r="CZ44" i="38"/>
  <c r="CZ46" i="38"/>
  <c r="CZ50" i="38"/>
  <c r="CZ38" i="38"/>
  <c r="CZ45" i="38"/>
  <c r="CZ49" i="38"/>
  <c r="CZ53" i="38"/>
  <c r="CZ55" i="38"/>
  <c r="CZ57" i="38"/>
  <c r="CZ41" i="38"/>
  <c r="CZ52" i="38"/>
  <c r="CZ54" i="38"/>
  <c r="CZ56" i="38"/>
  <c r="CZ39" i="38"/>
  <c r="CZ43" i="38"/>
  <c r="CZ51" i="38"/>
  <c r="CZ58" i="38"/>
  <c r="CZ60" i="38"/>
  <c r="CZ62" i="38"/>
  <c r="CZ64" i="38"/>
  <c r="CZ61" i="38"/>
  <c r="CZ67" i="38"/>
  <c r="CZ71" i="38"/>
  <c r="CZ73" i="38"/>
  <c r="CZ65" i="38"/>
  <c r="CZ66" i="38"/>
  <c r="CZ72" i="38"/>
  <c r="CZ63" i="38"/>
  <c r="CZ59" i="38"/>
  <c r="CZ75" i="38"/>
  <c r="CZ77" i="38"/>
  <c r="CZ79" i="38"/>
  <c r="CZ81" i="38"/>
  <c r="CZ83" i="38"/>
  <c r="CZ76" i="38"/>
  <c r="CZ78" i="38"/>
  <c r="CZ80" i="38"/>
  <c r="CZ82" i="38"/>
  <c r="CZ84" i="38"/>
  <c r="CZ86" i="38"/>
  <c r="CZ74" i="38"/>
  <c r="CS24" i="9"/>
  <c r="CS29" i="9" s="1"/>
  <c r="CV18" i="9"/>
  <c r="CY87" i="38"/>
  <c r="CY89" i="38" s="1"/>
  <c r="CT22" i="9" s="1"/>
  <c r="CS36" i="9"/>
  <c r="CS37" i="9"/>
  <c r="CS27" i="9"/>
  <c r="CS25" i="9"/>
  <c r="CS26" i="9"/>
  <c r="CS28" i="9"/>
  <c r="CT16" i="9"/>
  <c r="CT17" i="9"/>
  <c r="DA8" i="38"/>
  <c r="CV9" i="9"/>
  <c r="DC9" i="7"/>
  <c r="DC14" i="7"/>
  <c r="CU41" i="9"/>
  <c r="CU40" i="9"/>
  <c r="CW22" i="3"/>
  <c r="CU34" i="9"/>
  <c r="CU38" i="9"/>
  <c r="CU20" i="9"/>
  <c r="CW15" i="9"/>
  <c r="CV14" i="9"/>
  <c r="CZ100" i="3"/>
  <c r="CZ93" i="3"/>
  <c r="CX13" i="9"/>
  <c r="DA120" i="3"/>
  <c r="DB2" i="3"/>
  <c r="DB120" i="3" s="1"/>
  <c r="DA72" i="3"/>
  <c r="DC4" i="3"/>
  <c r="DB61" i="3"/>
  <c r="DB17" i="3"/>
  <c r="DB76" i="3"/>
  <c r="DB47" i="3" s="1"/>
  <c r="DB3" i="3"/>
  <c r="DB18" i="3"/>
  <c r="DB41" i="3"/>
  <c r="DB5" i="3"/>
  <c r="DB28" i="3"/>
  <c r="DB54" i="3"/>
  <c r="DB36" i="3" s="1"/>
  <c r="DB12" i="3"/>
  <c r="DB16" i="3"/>
  <c r="DB13" i="3"/>
  <c r="DB59" i="3"/>
  <c r="DB14" i="3"/>
  <c r="DB110" i="3" a="1"/>
  <c r="DB110" i="3" s="1"/>
  <c r="DB80" i="3"/>
  <c r="DB62" i="3" s="1"/>
  <c r="DB60" i="3"/>
  <c r="CX10" i="3"/>
  <c r="CX29" i="3" s="1"/>
  <c r="CW34" i="3"/>
  <c r="CU35" i="3"/>
  <c r="CU44" i="9"/>
  <c r="CU43" i="9"/>
  <c r="DC8" i="7"/>
  <c r="DC8" i="11"/>
  <c r="CV34" i="3"/>
  <c r="DC15" i="6"/>
  <c r="DC16" i="6"/>
  <c r="DC17" i="6"/>
  <c r="DC16" i="7"/>
  <c r="DC13" i="7"/>
  <c r="DC11" i="7"/>
  <c r="DC12" i="7"/>
  <c r="AZ47" i="9"/>
  <c r="AZ55" i="9"/>
  <c r="AZ56" i="9" s="1"/>
  <c r="CI59" i="9"/>
  <c r="CV58" i="9" a="1"/>
  <c r="CV58" i="9" s="1"/>
  <c r="DC11" i="2"/>
  <c r="DC14" i="6"/>
  <c r="DC13" i="6"/>
  <c r="DC15" i="7"/>
  <c r="DB12" i="2"/>
  <c r="CY7" i="3" s="1" a="1"/>
  <c r="CY7" i="3" s="1"/>
  <c r="DB12" i="11"/>
  <c r="CY8" i="3" s="1" a="1"/>
  <c r="CY8" i="3" s="1"/>
  <c r="DB18" i="6"/>
  <c r="CY6" i="3" s="1" a="1"/>
  <c r="CY6" i="3" s="1"/>
  <c r="DC7" i="6"/>
  <c r="DC11" i="6"/>
  <c r="DC7" i="2"/>
  <c r="DC6" i="2"/>
  <c r="DC5" i="2"/>
  <c r="DC10" i="2"/>
  <c r="DC10" i="11"/>
  <c r="CU62" i="9"/>
  <c r="CX21" i="3" s="1" a="1"/>
  <c r="CX21" i="3" s="1"/>
  <c r="CX22" i="3" s="1"/>
  <c r="DC5" i="11"/>
  <c r="DD4" i="7"/>
  <c r="DD4" i="6"/>
  <c r="DD4" i="11"/>
  <c r="DD4" i="2"/>
  <c r="DD9" i="2" s="1"/>
  <c r="DC10" i="6"/>
  <c r="DC8" i="6"/>
  <c r="DC12" i="6"/>
  <c r="DC6" i="6"/>
  <c r="DC5" i="6"/>
  <c r="DC9" i="6"/>
  <c r="DC6" i="11"/>
  <c r="DC9" i="11"/>
  <c r="DC11" i="11"/>
  <c r="DC7" i="11"/>
  <c r="DB17" i="7"/>
  <c r="CY9" i="3" s="1" a="1"/>
  <c r="CY9" i="3" s="1"/>
  <c r="DC8" i="2"/>
  <c r="DC7" i="7"/>
  <c r="DC5" i="7"/>
  <c r="DC6" i="7"/>
  <c r="DC10" i="7"/>
  <c r="CV10" i="9"/>
  <c r="CV11" i="9"/>
  <c r="CV12" i="9"/>
  <c r="CU46" i="9"/>
  <c r="CU35" i="9"/>
  <c r="CU48" i="9"/>
  <c r="CU39" i="9"/>
  <c r="CU42" i="9"/>
  <c r="CY20" i="3" l="1" a="1"/>
  <c r="CY20" i="3" s="1"/>
  <c r="CS21" i="9"/>
  <c r="CS23" i="9" s="1"/>
  <c r="DA10" i="38"/>
  <c r="DA17" i="38"/>
  <c r="DA19" i="38"/>
  <c r="DA9" i="38"/>
  <c r="DA11" i="38"/>
  <c r="DA18" i="38"/>
  <c r="DA20" i="38"/>
  <c r="DA16" i="38"/>
  <c r="DA22" i="38"/>
  <c r="DA24" i="38"/>
  <c r="DA21" i="38"/>
  <c r="DA25" i="38"/>
  <c r="DA26" i="38"/>
  <c r="DA28" i="38"/>
  <c r="DA15" i="38"/>
  <c r="DA27" i="38"/>
  <c r="DA30" i="38"/>
  <c r="DA32" i="38"/>
  <c r="DA34" i="38"/>
  <c r="DA29" i="38"/>
  <c r="DA31" i="38"/>
  <c r="DA35" i="38"/>
  <c r="DA33" i="38"/>
  <c r="DA37" i="38"/>
  <c r="DA36" i="38"/>
  <c r="DA39" i="38"/>
  <c r="DA41" i="38"/>
  <c r="DA43" i="38"/>
  <c r="DA45" i="38"/>
  <c r="DA49" i="38"/>
  <c r="DA51" i="38"/>
  <c r="DA44" i="38"/>
  <c r="DA46" i="38"/>
  <c r="DA50" i="38"/>
  <c r="DA38" i="38"/>
  <c r="DA59" i="38"/>
  <c r="DA61" i="38"/>
  <c r="DA63" i="38"/>
  <c r="DA57" i="38"/>
  <c r="DA53" i="38"/>
  <c r="DA58" i="38"/>
  <c r="DA60" i="38"/>
  <c r="DA62" i="38"/>
  <c r="DA52" i="38"/>
  <c r="DA54" i="38"/>
  <c r="DA55" i="38"/>
  <c r="DA56" i="38"/>
  <c r="DA64" i="38"/>
  <c r="DA67" i="38"/>
  <c r="DA71" i="38"/>
  <c r="DA73" i="38"/>
  <c r="DA65" i="38"/>
  <c r="DA66" i="38"/>
  <c r="DA72" i="38"/>
  <c r="DA74" i="38"/>
  <c r="DA75" i="38"/>
  <c r="DA77" i="38"/>
  <c r="DA78" i="38"/>
  <c r="DA83" i="38"/>
  <c r="DA79" i="38"/>
  <c r="DA76" i="38"/>
  <c r="DA80" i="38"/>
  <c r="DA81" i="38"/>
  <c r="DA82" i="38"/>
  <c r="DA84" i="38"/>
  <c r="DA86" i="38"/>
  <c r="CT24" i="9"/>
  <c r="CT21" i="9" s="1"/>
  <c r="CT23" i="9" s="1"/>
  <c r="CT36" i="9"/>
  <c r="CT37" i="9"/>
  <c r="CT25" i="9"/>
  <c r="CT26" i="9"/>
  <c r="CT28" i="9"/>
  <c r="CT27" i="9"/>
  <c r="CU17" i="9"/>
  <c r="CU16" i="9"/>
  <c r="CZ87" i="38"/>
  <c r="CU24" i="9" s="1"/>
  <c r="CW18" i="9"/>
  <c r="BA30" i="9"/>
  <c r="BA31" i="9" s="1"/>
  <c r="DB8" i="38"/>
  <c r="CW9" i="9"/>
  <c r="CW20" i="9" s="1"/>
  <c r="DD9" i="7"/>
  <c r="DD14" i="7"/>
  <c r="CV41" i="9"/>
  <c r="CV40" i="9"/>
  <c r="CW14" i="9"/>
  <c r="H22" i="31" s="1"/>
  <c r="CW10" i="9"/>
  <c r="CW11" i="9"/>
  <c r="CW35" i="9" s="1"/>
  <c r="CX15" i="9"/>
  <c r="CW58" i="9" a="1"/>
  <c r="CW58" i="9" s="1"/>
  <c r="CV34" i="9"/>
  <c r="CV38" i="9"/>
  <c r="CW12" i="9"/>
  <c r="CV20" i="9"/>
  <c r="DA100" i="3"/>
  <c r="DA93" i="3"/>
  <c r="DB100" i="3"/>
  <c r="DB93" i="3"/>
  <c r="CY13" i="9"/>
  <c r="DC3" i="3"/>
  <c r="DC54" i="3"/>
  <c r="DC36" i="3" s="1"/>
  <c r="DC5" i="3"/>
  <c r="DC59" i="3"/>
  <c r="DD4" i="3"/>
  <c r="DC110" i="3" a="1"/>
  <c r="DC110" i="3" s="1"/>
  <c r="DC76" i="3"/>
  <c r="DC47" i="3" s="1"/>
  <c r="DC41" i="3"/>
  <c r="DC80" i="3"/>
  <c r="DC62" i="3" s="1"/>
  <c r="DC60" i="3"/>
  <c r="DC2" i="3"/>
  <c r="DC120" i="3" s="1"/>
  <c r="DB72" i="3"/>
  <c r="CY10" i="3"/>
  <c r="CY29" i="3" s="1"/>
  <c r="CX34" i="3"/>
  <c r="CW35" i="3"/>
  <c r="CV35" i="3"/>
  <c r="CV44" i="9"/>
  <c r="CV43" i="9"/>
  <c r="DD8" i="7"/>
  <c r="DD8" i="11"/>
  <c r="DD15" i="6"/>
  <c r="DD16" i="6"/>
  <c r="DD17" i="6"/>
  <c r="DD16" i="7"/>
  <c r="DD12" i="7"/>
  <c r="DD13" i="7"/>
  <c r="DD11" i="7"/>
  <c r="CJ59" i="9"/>
  <c r="I20" i="3" a="1"/>
  <c r="I20" i="3" s="1"/>
  <c r="J20" i="3" a="1"/>
  <c r="J20" i="3" s="1"/>
  <c r="H21" i="3" a="1"/>
  <c r="H21" i="3" s="1"/>
  <c r="H20" i="3" a="1"/>
  <c r="H20" i="3" s="1"/>
  <c r="I21" i="3" a="1"/>
  <c r="I21" i="3" s="1"/>
  <c r="K20" i="3" a="1"/>
  <c r="K20" i="3" s="1"/>
  <c r="J21" i="3" a="1"/>
  <c r="J21" i="3" s="1"/>
  <c r="K21" i="3" a="1"/>
  <c r="K21" i="3" s="1"/>
  <c r="L21" i="3" a="1"/>
  <c r="L21" i="3" s="1"/>
  <c r="L20" i="3" a="1"/>
  <c r="L20" i="3" s="1"/>
  <c r="M20" i="3" a="1"/>
  <c r="M20" i="3" s="1"/>
  <c r="M21" i="3" a="1"/>
  <c r="M21" i="3" s="1"/>
  <c r="N20" i="3" a="1"/>
  <c r="N20" i="3" s="1"/>
  <c r="N21" i="3" a="1"/>
  <c r="N21" i="3" s="1"/>
  <c r="O21" i="3" a="1"/>
  <c r="O21" i="3" s="1"/>
  <c r="O20" i="3" a="1"/>
  <c r="O20" i="3" s="1"/>
  <c r="P21" i="3" a="1"/>
  <c r="P21" i="3" s="1"/>
  <c r="P20" i="3" a="1"/>
  <c r="P20" i="3" s="1"/>
  <c r="DD11" i="2"/>
  <c r="DD13" i="6"/>
  <c r="DD14" i="6"/>
  <c r="DD15" i="7"/>
  <c r="H109" i="3" a="1"/>
  <c r="H109" i="3" s="1"/>
  <c r="H111" i="3" s="1"/>
  <c r="H112" i="3" s="1"/>
  <c r="U109" i="3" a="1"/>
  <c r="U109" i="3" s="1"/>
  <c r="U111" i="3" s="1"/>
  <c r="U112" i="3" s="1"/>
  <c r="O109" i="3" a="1"/>
  <c r="O109" i="3" s="1"/>
  <c r="O111" i="3" s="1"/>
  <c r="O112" i="3" s="1"/>
  <c r="AL109" i="3" a="1"/>
  <c r="AL109" i="3" s="1"/>
  <c r="AL111" i="3" s="1"/>
  <c r="AL112" i="3" s="1"/>
  <c r="R109" i="3" a="1"/>
  <c r="R109" i="3" s="1"/>
  <c r="R111" i="3" s="1"/>
  <c r="R112" i="3" s="1"/>
  <c r="AJ109" i="3" a="1"/>
  <c r="AJ109" i="3" s="1"/>
  <c r="AJ111" i="3" s="1"/>
  <c r="AJ112" i="3" s="1"/>
  <c r="AO109" i="3" a="1"/>
  <c r="AO109" i="3" s="1"/>
  <c r="AO111" i="3" s="1"/>
  <c r="AO112" i="3" s="1"/>
  <c r="X109" i="3" a="1"/>
  <c r="X109" i="3" s="1"/>
  <c r="X111" i="3" s="1"/>
  <c r="X112" i="3" s="1"/>
  <c r="BC109" i="3" a="1"/>
  <c r="BC109" i="3" s="1"/>
  <c r="BC111" i="3" s="1"/>
  <c r="BC112" i="3" s="1"/>
  <c r="AU109" i="3" a="1"/>
  <c r="AU109" i="3" s="1"/>
  <c r="AU111" i="3" s="1"/>
  <c r="AU112" i="3" s="1"/>
  <c r="AR109" i="3" a="1"/>
  <c r="AR109" i="3" s="1"/>
  <c r="AR111" i="3" s="1"/>
  <c r="AR112" i="3" s="1"/>
  <c r="I109" i="3" a="1"/>
  <c r="I109" i="3" s="1"/>
  <c r="I111" i="3" s="1"/>
  <c r="I112" i="3" s="1"/>
  <c r="AQ109" i="3" a="1"/>
  <c r="AQ109" i="3" s="1"/>
  <c r="AQ111" i="3" s="1"/>
  <c r="AQ112" i="3" s="1"/>
  <c r="L109" i="3" a="1"/>
  <c r="L109" i="3" s="1"/>
  <c r="L111" i="3" s="1"/>
  <c r="L112" i="3" s="1"/>
  <c r="AE109" i="3" a="1"/>
  <c r="AE109" i="3" s="1"/>
  <c r="AE111" i="3" s="1"/>
  <c r="AE112" i="3" s="1"/>
  <c r="AP109" i="3" a="1"/>
  <c r="AP109" i="3" s="1"/>
  <c r="AP111" i="3" s="1"/>
  <c r="AP112" i="3" s="1"/>
  <c r="AA109" i="3" a="1"/>
  <c r="AA109" i="3" s="1"/>
  <c r="AA111" i="3" s="1"/>
  <c r="AA112" i="3" s="1"/>
  <c r="N109" i="3" a="1"/>
  <c r="N109" i="3" s="1"/>
  <c r="N111" i="3" s="1"/>
  <c r="N112" i="3" s="1"/>
  <c r="AV109" i="3" a="1"/>
  <c r="AV109" i="3" s="1"/>
  <c r="AV111" i="3" s="1"/>
  <c r="AV112" i="3" s="1"/>
  <c r="AI109" i="3" a="1"/>
  <c r="AI109" i="3" s="1"/>
  <c r="AI111" i="3" s="1"/>
  <c r="AI112" i="3" s="1"/>
  <c r="AM109" i="3" a="1"/>
  <c r="AM109" i="3" s="1"/>
  <c r="AM111" i="3" s="1"/>
  <c r="AM112" i="3" s="1"/>
  <c r="AD109" i="3" a="1"/>
  <c r="AD109" i="3" s="1"/>
  <c r="AD111" i="3" s="1"/>
  <c r="AD112" i="3" s="1"/>
  <c r="S109" i="3" a="1"/>
  <c r="S109" i="3" s="1"/>
  <c r="S111" i="3" s="1"/>
  <c r="S112" i="3" s="1"/>
  <c r="AB109" i="3" a="1"/>
  <c r="AB109" i="3" s="1"/>
  <c r="AB111" i="3" s="1"/>
  <c r="AB112" i="3" s="1"/>
  <c r="AF109" i="3" a="1"/>
  <c r="AF109" i="3" s="1"/>
  <c r="AF111" i="3" s="1"/>
  <c r="AF112" i="3" s="1"/>
  <c r="K109" i="3" a="1"/>
  <c r="K109" i="3" s="1"/>
  <c r="K111" i="3" s="1"/>
  <c r="K112" i="3" s="1"/>
  <c r="T109" i="3" a="1"/>
  <c r="T109" i="3" s="1"/>
  <c r="T111" i="3" s="1"/>
  <c r="T112" i="3" s="1"/>
  <c r="V109" i="3" a="1"/>
  <c r="V109" i="3" s="1"/>
  <c r="V111" i="3" s="1"/>
  <c r="V112" i="3" s="1"/>
  <c r="AK109" i="3" a="1"/>
  <c r="AK109" i="3" s="1"/>
  <c r="AK111" i="3" s="1"/>
  <c r="AK112" i="3" s="1"/>
  <c r="AT109" i="3" a="1"/>
  <c r="AT109" i="3" s="1"/>
  <c r="AT111" i="3" s="1"/>
  <c r="AT112" i="3" s="1"/>
  <c r="AC109" i="3" a="1"/>
  <c r="AC109" i="3" s="1"/>
  <c r="AC111" i="3" s="1"/>
  <c r="AC112" i="3" s="1"/>
  <c r="AN109" i="3" a="1"/>
  <c r="AN109" i="3" s="1"/>
  <c r="AN111" i="3" s="1"/>
  <c r="AN112" i="3" s="1"/>
  <c r="J109" i="3" a="1"/>
  <c r="J109" i="3" s="1"/>
  <c r="J111" i="3" s="1"/>
  <c r="J112" i="3" s="1"/>
  <c r="AH109" i="3" a="1"/>
  <c r="AH109" i="3" s="1"/>
  <c r="AH111" i="3" s="1"/>
  <c r="AH112" i="3" s="1"/>
  <c r="AG109" i="3" a="1"/>
  <c r="AG109" i="3" s="1"/>
  <c r="AG111" i="3" s="1"/>
  <c r="AG112" i="3" s="1"/>
  <c r="W109" i="3" a="1"/>
  <c r="W109" i="3" s="1"/>
  <c r="W111" i="3" s="1"/>
  <c r="W112" i="3" s="1"/>
  <c r="M109" i="3" a="1"/>
  <c r="M109" i="3" s="1"/>
  <c r="M111" i="3" s="1"/>
  <c r="M112" i="3" s="1"/>
  <c r="AS109" i="3" a="1"/>
  <c r="AS109" i="3" s="1"/>
  <c r="AS111" i="3" s="1"/>
  <c r="AS112" i="3" s="1"/>
  <c r="Y109" i="3" a="1"/>
  <c r="Y109" i="3" s="1"/>
  <c r="Y111" i="3" s="1"/>
  <c r="Y112" i="3" s="1"/>
  <c r="Z109" i="3" a="1"/>
  <c r="Z109" i="3" s="1"/>
  <c r="Z111" i="3" s="1"/>
  <c r="Z112" i="3" s="1"/>
  <c r="P109" i="3" a="1"/>
  <c r="P109" i="3" s="1"/>
  <c r="P111" i="3" s="1"/>
  <c r="P112" i="3" s="1"/>
  <c r="Q109" i="3" a="1"/>
  <c r="Q109" i="3" s="1"/>
  <c r="Q111" i="3" s="1"/>
  <c r="Q112" i="3" s="1"/>
  <c r="DC12" i="11"/>
  <c r="DC12" i="2"/>
  <c r="DC18" i="6"/>
  <c r="DD7" i="6"/>
  <c r="DD11" i="6"/>
  <c r="DD7" i="2"/>
  <c r="DD6" i="2"/>
  <c r="DD5" i="2"/>
  <c r="DD10" i="2"/>
  <c r="AF25" i="3" a="1"/>
  <c r="AF25" i="3" s="1"/>
  <c r="AG25" i="3" a="1"/>
  <c r="AG25" i="3" s="1"/>
  <c r="AH25" i="3" a="1"/>
  <c r="AH25" i="3" s="1"/>
  <c r="AI25" i="3" a="1"/>
  <c r="AI25" i="3" s="1"/>
  <c r="AJ25" i="3" a="1"/>
  <c r="AJ25" i="3" s="1"/>
  <c r="DD10" i="11"/>
  <c r="CV62" i="9"/>
  <c r="CY21" i="3" s="1" a="1"/>
  <c r="CY21" i="3" s="1"/>
  <c r="CY22" i="3" s="1"/>
  <c r="DD5" i="11"/>
  <c r="DD6" i="7"/>
  <c r="DD5" i="7"/>
  <c r="DD10" i="7"/>
  <c r="DD7" i="7"/>
  <c r="DD8" i="2"/>
  <c r="DD5" i="6"/>
  <c r="DD12" i="6"/>
  <c r="DD9" i="6"/>
  <c r="DD10" i="6"/>
  <c r="DD8" i="6"/>
  <c r="DD6" i="6"/>
  <c r="DE4" i="11"/>
  <c r="DE4" i="7"/>
  <c r="DE4" i="6"/>
  <c r="DE4" i="2"/>
  <c r="DE9" i="2" s="1"/>
  <c r="DD9" i="11"/>
  <c r="DD11" i="11"/>
  <c r="DD7" i="11"/>
  <c r="DD6" i="11"/>
  <c r="DC17" i="7"/>
  <c r="AY25" i="3" a="1"/>
  <c r="AY25" i="3" s="1"/>
  <c r="BA25" i="3" a="1"/>
  <c r="BA25" i="3" s="1"/>
  <c r="Y25" i="3" a="1"/>
  <c r="Y25" i="3" s="1"/>
  <c r="AL25" i="3" a="1"/>
  <c r="AL25" i="3" s="1"/>
  <c r="S25" i="3" a="1"/>
  <c r="S25" i="3" s="1"/>
  <c r="M25" i="3" a="1"/>
  <c r="M25" i="3" s="1"/>
  <c r="AQ25" i="3" a="1"/>
  <c r="AQ25" i="3" s="1"/>
  <c r="V25" i="3" a="1"/>
  <c r="V25" i="3" s="1"/>
  <c r="AC25" i="3" a="1"/>
  <c r="AC25" i="3" s="1"/>
  <c r="Q25" i="3" a="1"/>
  <c r="Q25" i="3" s="1"/>
  <c r="AO25" i="3" a="1"/>
  <c r="AO25" i="3" s="1"/>
  <c r="AR25" i="3" a="1"/>
  <c r="AR25" i="3" s="1"/>
  <c r="K25" i="3" a="1"/>
  <c r="K25" i="3" s="1"/>
  <c r="X25" i="3" a="1"/>
  <c r="X25" i="3" s="1"/>
  <c r="AM25" i="3" a="1"/>
  <c r="AM25" i="3" s="1"/>
  <c r="AP25" i="3" a="1"/>
  <c r="AP25" i="3" s="1"/>
  <c r="AA25" i="3" a="1"/>
  <c r="AA25" i="3" s="1"/>
  <c r="AZ25" i="3" a="1"/>
  <c r="AZ25" i="3" s="1"/>
  <c r="T25" i="3" a="1"/>
  <c r="T25" i="3" s="1"/>
  <c r="AK25" i="3" a="1"/>
  <c r="AK25" i="3" s="1"/>
  <c r="H25" i="3" a="1"/>
  <c r="H25" i="3" s="1"/>
  <c r="J25" i="3" a="1"/>
  <c r="J25" i="3" s="1"/>
  <c r="BC25" i="3" a="1"/>
  <c r="BC25" i="3" s="1"/>
  <c r="P25" i="3" a="1"/>
  <c r="P25" i="3" s="1"/>
  <c r="I25" i="3" a="1"/>
  <c r="I25" i="3" s="1"/>
  <c r="W25" i="3" a="1"/>
  <c r="W25" i="3" s="1"/>
  <c r="AT25" i="3" a="1"/>
  <c r="AT25" i="3" s="1"/>
  <c r="AX25" i="3" a="1"/>
  <c r="AX25" i="3" s="1"/>
  <c r="R25" i="3" a="1"/>
  <c r="R25" i="3" s="1"/>
  <c r="AN25" i="3" a="1"/>
  <c r="AN25" i="3" s="1"/>
  <c r="AV25" i="3" a="1"/>
  <c r="AV25" i="3" s="1"/>
  <c r="AW25" i="3" a="1"/>
  <c r="AW25" i="3" s="1"/>
  <c r="N25" i="3" a="1"/>
  <c r="N25" i="3" s="1"/>
  <c r="BB25" i="3" a="1"/>
  <c r="BB25" i="3" s="1"/>
  <c r="Z25" i="3" a="1"/>
  <c r="Z25" i="3" s="1"/>
  <c r="L25" i="3" a="1"/>
  <c r="L25" i="3" s="1"/>
  <c r="U25" i="3" a="1"/>
  <c r="U25" i="3" s="1"/>
  <c r="AS25" i="3" a="1"/>
  <c r="AS25" i="3" s="1"/>
  <c r="O25" i="3" a="1"/>
  <c r="O25" i="3" s="1"/>
  <c r="AD25" i="3" a="1"/>
  <c r="AD25" i="3" s="1"/>
  <c r="AB25" i="3" a="1"/>
  <c r="AB25" i="3" s="1"/>
  <c r="AU25" i="3" a="1"/>
  <c r="AU25" i="3" s="1"/>
  <c r="AE25" i="3" a="1"/>
  <c r="AE25" i="3" s="1"/>
  <c r="CV48" i="9"/>
  <c r="CV46" i="9"/>
  <c r="CV39" i="9"/>
  <c r="CV42" i="9"/>
  <c r="CV35" i="9"/>
  <c r="CZ20" i="3" l="1" a="1"/>
  <c r="CZ20" i="3" s="1"/>
  <c r="CT29" i="9"/>
  <c r="CZ13" i="9"/>
  <c r="DB9" i="38"/>
  <c r="DB11" i="38"/>
  <c r="DB15" i="38"/>
  <c r="DB10" i="38"/>
  <c r="DB16" i="38"/>
  <c r="DB17" i="38"/>
  <c r="DB19" i="38"/>
  <c r="DB18" i="38"/>
  <c r="DB20" i="38"/>
  <c r="DB22" i="38"/>
  <c r="DB21" i="38"/>
  <c r="DB24" i="38"/>
  <c r="DB25" i="38"/>
  <c r="DB26" i="38"/>
  <c r="DB31" i="38"/>
  <c r="DB33" i="38"/>
  <c r="DB27" i="38"/>
  <c r="DB28" i="38"/>
  <c r="DB30" i="38"/>
  <c r="DB32" i="38"/>
  <c r="DB34" i="38"/>
  <c r="DB29" i="38"/>
  <c r="DB38" i="38"/>
  <c r="DB35" i="38"/>
  <c r="DB37" i="38"/>
  <c r="DB36" i="38"/>
  <c r="DB39" i="38"/>
  <c r="DB41" i="38"/>
  <c r="DB43" i="38"/>
  <c r="DB45" i="38"/>
  <c r="DB49" i="38"/>
  <c r="DB51" i="38"/>
  <c r="DB44" i="38"/>
  <c r="DB46" i="38"/>
  <c r="DB50" i="38"/>
  <c r="DB53" i="38"/>
  <c r="DB55" i="38"/>
  <c r="DB57" i="38"/>
  <c r="DB52" i="38"/>
  <c r="DB54" i="38"/>
  <c r="DB56" i="38"/>
  <c r="DB59" i="38"/>
  <c r="DB61" i="38"/>
  <c r="DB58" i="38"/>
  <c r="DB60" i="38"/>
  <c r="DB64" i="38"/>
  <c r="DB62" i="38"/>
  <c r="DB67" i="38"/>
  <c r="DB71" i="38"/>
  <c r="DB73" i="38"/>
  <c r="DB75" i="38"/>
  <c r="DB65" i="38"/>
  <c r="DB74" i="38"/>
  <c r="DB76" i="38"/>
  <c r="DB78" i="38"/>
  <c r="DB80" i="38"/>
  <c r="DB82" i="38"/>
  <c r="DB72" i="38"/>
  <c r="DB77" i="38"/>
  <c r="DB79" i="38"/>
  <c r="DB81" i="38"/>
  <c r="DB83" i="38"/>
  <c r="DB63" i="38"/>
  <c r="DB66" i="38"/>
  <c r="DB84" i="38"/>
  <c r="DB86" i="38"/>
  <c r="CV16" i="9"/>
  <c r="CV27" i="9" s="1"/>
  <c r="CZ89" i="38"/>
  <c r="CU22" i="9" s="1"/>
  <c r="CU21" i="9" s="1"/>
  <c r="CU23" i="9" s="1"/>
  <c r="CW43" i="9"/>
  <c r="DA87" i="38"/>
  <c r="CV24" i="9" s="1"/>
  <c r="CW44" i="9"/>
  <c r="CU37" i="9"/>
  <c r="CU36" i="9"/>
  <c r="CU26" i="9"/>
  <c r="CU27" i="9"/>
  <c r="CU25" i="9"/>
  <c r="CU28" i="9"/>
  <c r="CV17" i="9"/>
  <c r="CX18" i="9"/>
  <c r="CU29" i="9"/>
  <c r="CX9" i="9"/>
  <c r="CX20" i="9" s="1"/>
  <c r="I22" i="31"/>
  <c r="H9" i="31"/>
  <c r="K9" i="31"/>
  <c r="J9" i="31"/>
  <c r="I9" i="31"/>
  <c r="CX10" i="9"/>
  <c r="DC8" i="38"/>
  <c r="G22" i="31"/>
  <c r="K22" i="31"/>
  <c r="J22" i="31"/>
  <c r="DE9" i="7"/>
  <c r="DE14" i="7"/>
  <c r="G27" i="31"/>
  <c r="H27" i="31"/>
  <c r="I27" i="31"/>
  <c r="J27" i="31"/>
  <c r="K27" i="31"/>
  <c r="G28" i="31"/>
  <c r="H28" i="31"/>
  <c r="I28" i="31"/>
  <c r="J28" i="31"/>
  <c r="K28" i="31"/>
  <c r="CW46" i="9"/>
  <c r="CW40" i="9"/>
  <c r="CX11" i="9"/>
  <c r="CX40" i="9" s="1"/>
  <c r="CW48" i="9"/>
  <c r="CW42" i="9"/>
  <c r="CY15" i="9"/>
  <c r="CY10" i="9" s="1"/>
  <c r="CX12" i="9"/>
  <c r="CW34" i="9"/>
  <c r="CW39" i="9"/>
  <c r="CX58" i="9" a="1"/>
  <c r="CX58" i="9" s="1"/>
  <c r="CX14" i="9"/>
  <c r="CW38" i="9"/>
  <c r="CW41" i="9"/>
  <c r="G25" i="31" s="1"/>
  <c r="CW62" i="9"/>
  <c r="CZ21" i="3" s="1" a="1"/>
  <c r="CZ21" i="3" s="1"/>
  <c r="CZ22" i="3" s="1"/>
  <c r="J25" i="31"/>
  <c r="H25" i="31"/>
  <c r="I25" i="31"/>
  <c r="K25" i="31"/>
  <c r="G6" i="31"/>
  <c r="H6" i="31"/>
  <c r="I6" i="31"/>
  <c r="J6" i="31"/>
  <c r="K6" i="31"/>
  <c r="G19" i="31"/>
  <c r="H19" i="31"/>
  <c r="I19" i="31"/>
  <c r="J19" i="31"/>
  <c r="K19" i="31"/>
  <c r="G30" i="31"/>
  <c r="H30" i="31"/>
  <c r="I30" i="31"/>
  <c r="J30" i="31"/>
  <c r="K30" i="31"/>
  <c r="G32" i="31"/>
  <c r="H32" i="31"/>
  <c r="I32" i="31"/>
  <c r="J32" i="31"/>
  <c r="K32" i="31"/>
  <c r="G26" i="31"/>
  <c r="H26" i="31"/>
  <c r="I26" i="31"/>
  <c r="J26" i="31"/>
  <c r="K26" i="31"/>
  <c r="G18" i="31"/>
  <c r="H18" i="31"/>
  <c r="I18" i="31"/>
  <c r="J18" i="31"/>
  <c r="K18" i="31"/>
  <c r="G23" i="31"/>
  <c r="H23" i="31"/>
  <c r="I23" i="31"/>
  <c r="J23" i="31"/>
  <c r="K23" i="31"/>
  <c r="DC100" i="3"/>
  <c r="DC93" i="3"/>
  <c r="DD2" i="3"/>
  <c r="DD120" i="3" s="1"/>
  <c r="DC72" i="3"/>
  <c r="DD17" i="3"/>
  <c r="DD59" i="3"/>
  <c r="DD14" i="3"/>
  <c r="DD28" i="3" s="1"/>
  <c r="DE4" i="3"/>
  <c r="DD18" i="3"/>
  <c r="DD61" i="3"/>
  <c r="DD12" i="3"/>
  <c r="DD16" i="3"/>
  <c r="DD13" i="3"/>
  <c r="DD110" i="3" a="1"/>
  <c r="DD110" i="3" s="1"/>
  <c r="DD54" i="3"/>
  <c r="DD36" i="3" s="1"/>
  <c r="DD3" i="3"/>
  <c r="DD76" i="3"/>
  <c r="DD47" i="3" s="1"/>
  <c r="DD5" i="3"/>
  <c r="DD41" i="3"/>
  <c r="DD80" i="3"/>
  <c r="DD62" i="3" s="1"/>
  <c r="DD60" i="3"/>
  <c r="CY34" i="3"/>
  <c r="CY35" i="3" s="1"/>
  <c r="CX35" i="3"/>
  <c r="DE8" i="7"/>
  <c r="DE8" i="11"/>
  <c r="DE15" i="6"/>
  <c r="DE16" i="6"/>
  <c r="DE17" i="6"/>
  <c r="DE16" i="7"/>
  <c r="DE11" i="7"/>
  <c r="DE12" i="7"/>
  <c r="DE13" i="7"/>
  <c r="BA47" i="9"/>
  <c r="BA55" i="9"/>
  <c r="BA56" i="9" s="1"/>
  <c r="BD109" i="3" a="1"/>
  <c r="BD109" i="3" s="1"/>
  <c r="BD111" i="3" s="1"/>
  <c r="BD112" i="3" s="1"/>
  <c r="P22" i="3"/>
  <c r="L22" i="3"/>
  <c r="M22" i="3"/>
  <c r="K22" i="3"/>
  <c r="N22" i="3"/>
  <c r="J22" i="3"/>
  <c r="O22" i="3"/>
  <c r="H22" i="3"/>
  <c r="I22" i="3"/>
  <c r="DE11" i="2"/>
  <c r="DE14" i="6"/>
  <c r="DE13" i="6"/>
  <c r="DE15" i="7"/>
  <c r="DD12" i="11"/>
  <c r="DD12" i="2"/>
  <c r="DD18" i="6"/>
  <c r="CV59" i="9"/>
  <c r="DE7" i="6"/>
  <c r="DE11" i="6"/>
  <c r="DE6" i="2"/>
  <c r="DE7" i="2"/>
  <c r="DE5" i="2"/>
  <c r="DE10" i="2"/>
  <c r="DE10" i="11"/>
  <c r="DE5" i="11"/>
  <c r="DF4" i="11"/>
  <c r="DF4" i="7"/>
  <c r="DF4" i="6"/>
  <c r="DF4" i="2"/>
  <c r="DF9" i="2" s="1"/>
  <c r="DE7" i="7"/>
  <c r="DE10" i="7"/>
  <c r="DE5" i="7"/>
  <c r="DE6" i="7"/>
  <c r="DD17" i="7"/>
  <c r="DE8" i="2"/>
  <c r="DE5" i="6"/>
  <c r="DE6" i="6"/>
  <c r="DE8" i="6"/>
  <c r="DE12" i="6"/>
  <c r="DE9" i="6"/>
  <c r="DE10" i="6"/>
  <c r="DE6" i="11"/>
  <c r="DE9" i="11"/>
  <c r="DE7" i="11"/>
  <c r="DE11" i="11"/>
  <c r="DA20" i="3" l="1" a="1"/>
  <c r="DA20" i="3" s="1"/>
  <c r="DA89" i="38"/>
  <c r="CV22" i="9" s="1"/>
  <c r="DC9" i="38"/>
  <c r="DC11" i="38"/>
  <c r="DC15" i="38"/>
  <c r="DC10" i="38"/>
  <c r="DC17" i="38"/>
  <c r="DC20" i="38"/>
  <c r="DC21" i="38"/>
  <c r="DC25" i="38"/>
  <c r="DC18" i="38"/>
  <c r="DC16" i="38"/>
  <c r="DC22" i="38"/>
  <c r="DC24" i="38"/>
  <c r="DC19" i="38"/>
  <c r="DC27" i="38"/>
  <c r="DC29" i="38"/>
  <c r="DC26" i="38"/>
  <c r="DC31" i="38"/>
  <c r="DC33" i="38"/>
  <c r="DC35" i="38"/>
  <c r="DC28" i="38"/>
  <c r="DC30" i="38"/>
  <c r="DC32" i="38"/>
  <c r="DC34" i="38"/>
  <c r="DC38" i="38"/>
  <c r="DC37" i="38"/>
  <c r="DC36" i="38"/>
  <c r="DC39" i="38"/>
  <c r="DC41" i="38"/>
  <c r="DC43" i="38"/>
  <c r="DC45" i="38"/>
  <c r="DC49" i="38"/>
  <c r="DC51" i="38"/>
  <c r="DC44" i="38"/>
  <c r="DC46" i="38"/>
  <c r="DC50" i="38"/>
  <c r="DC52" i="38"/>
  <c r="DC54" i="38"/>
  <c r="DC56" i="38"/>
  <c r="DC57" i="38"/>
  <c r="DC59" i="38"/>
  <c r="DC61" i="38"/>
  <c r="DC63" i="38"/>
  <c r="DC53" i="38"/>
  <c r="DC58" i="38"/>
  <c r="DC60" i="38"/>
  <c r="DC62" i="38"/>
  <c r="DC55" i="38"/>
  <c r="DC66" i="38"/>
  <c r="DC72" i="38"/>
  <c r="DC74" i="38"/>
  <c r="DC64" i="38"/>
  <c r="DC67" i="38"/>
  <c r="DC71" i="38"/>
  <c r="DC73" i="38"/>
  <c r="DC65" i="38"/>
  <c r="DC76" i="38"/>
  <c r="DC78" i="38"/>
  <c r="DC80" i="38"/>
  <c r="DC82" i="38"/>
  <c r="DC75" i="38"/>
  <c r="DC77" i="38"/>
  <c r="DC79" i="38"/>
  <c r="DC81" i="38"/>
  <c r="DC83" i="38"/>
  <c r="DC84" i="38"/>
  <c r="DC86" i="38"/>
  <c r="CY12" i="9"/>
  <c r="CY58" i="9" a="1"/>
  <c r="CY58" i="9" s="1"/>
  <c r="CY11" i="9"/>
  <c r="CY40" i="9" s="1"/>
  <c r="CV26" i="9"/>
  <c r="CV37" i="9"/>
  <c r="CV28" i="9"/>
  <c r="CV25" i="9"/>
  <c r="CV36" i="9"/>
  <c r="DB87" i="38"/>
  <c r="DB89" i="38" s="1"/>
  <c r="CW22" i="9" s="1"/>
  <c r="CW16" i="9"/>
  <c r="CW17" i="9"/>
  <c r="CY18" i="9"/>
  <c r="BB30" i="9"/>
  <c r="BB31" i="9" s="1"/>
  <c r="CY9" i="9"/>
  <c r="CV21" i="9"/>
  <c r="CV23" i="9" s="1"/>
  <c r="CV29" i="9"/>
  <c r="CY14" i="9"/>
  <c r="DD8" i="38"/>
  <c r="CX42" i="9"/>
  <c r="CX46" i="9"/>
  <c r="CX44" i="9"/>
  <c r="CX62" i="9"/>
  <c r="DA21" i="3" s="1" a="1"/>
  <c r="DA21" i="3" s="1"/>
  <c r="DA22" i="3" s="1"/>
  <c r="CX39" i="9"/>
  <c r="CX35" i="9"/>
  <c r="CX48" i="9"/>
  <c r="CX43" i="9"/>
  <c r="CX34" i="9"/>
  <c r="DF9" i="7"/>
  <c r="DF14" i="7"/>
  <c r="G24" i="31"/>
  <c r="H24" i="31"/>
  <c r="I24" i="31"/>
  <c r="J24" i="31"/>
  <c r="K24" i="31"/>
  <c r="CX41" i="9"/>
  <c r="CX38" i="9"/>
  <c r="CZ15" i="9"/>
  <c r="CY20" i="9"/>
  <c r="G7" i="31"/>
  <c r="H7" i="31"/>
  <c r="I7" i="31"/>
  <c r="J7" i="31"/>
  <c r="K7" i="31"/>
  <c r="DA13" i="9"/>
  <c r="DD100" i="3"/>
  <c r="DD93" i="3"/>
  <c r="BD25" i="3" a="1"/>
  <c r="BD25" i="3" s="1"/>
  <c r="G14" i="31"/>
  <c r="H14" i="31"/>
  <c r="I14" i="31"/>
  <c r="J14" i="31"/>
  <c r="K14" i="31"/>
  <c r="G5" i="31"/>
  <c r="H5" i="31"/>
  <c r="I5" i="31"/>
  <c r="J5" i="31"/>
  <c r="K5" i="31"/>
  <c r="CY48" i="9"/>
  <c r="CY34" i="9"/>
  <c r="DB20" i="3" a="1"/>
  <c r="DB20" i="3" s="1"/>
  <c r="DE12" i="3"/>
  <c r="DE54" i="3"/>
  <c r="DE36" i="3" s="1"/>
  <c r="DE3" i="3"/>
  <c r="DE59" i="3"/>
  <c r="DE61" i="3"/>
  <c r="DE14" i="3"/>
  <c r="DE18" i="3"/>
  <c r="DE5" i="3"/>
  <c r="DE41" i="3"/>
  <c r="DF4" i="3"/>
  <c r="DE28" i="3"/>
  <c r="DE76" i="3"/>
  <c r="DE47" i="3" s="1"/>
  <c r="DE110" i="3" a="1"/>
  <c r="DE110" i="3" s="1"/>
  <c r="DE17" i="3"/>
  <c r="DE13" i="3"/>
  <c r="DE16" i="3"/>
  <c r="DE60" i="3"/>
  <c r="DE80" i="3"/>
  <c r="DE62" i="3" s="1"/>
  <c r="DE2" i="3"/>
  <c r="DE120" i="3" s="1"/>
  <c r="DD72" i="3"/>
  <c r="DF8" i="7"/>
  <c r="DF8" i="11"/>
  <c r="DF15" i="6"/>
  <c r="DF16" i="6"/>
  <c r="DF17" i="6"/>
  <c r="DF16" i="7"/>
  <c r="DF12" i="7"/>
  <c r="DF11" i="7"/>
  <c r="DF13" i="7"/>
  <c r="DF11" i="2"/>
  <c r="DF13" i="6"/>
  <c r="DF14" i="6"/>
  <c r="DF15" i="7"/>
  <c r="J176" i="1" a="1"/>
  <c r="J176" i="1" s="1"/>
  <c r="DE12" i="2"/>
  <c r="DE12" i="11"/>
  <c r="DE18" i="6"/>
  <c r="DF7" i="6"/>
  <c r="DF11" i="6"/>
  <c r="DF7" i="2"/>
  <c r="DF6" i="2"/>
  <c r="DF5" i="2"/>
  <c r="DF10" i="2"/>
  <c r="DF10" i="11"/>
  <c r="DF5" i="11"/>
  <c r="DE17" i="7"/>
  <c r="DF8" i="2"/>
  <c r="DF8" i="6"/>
  <c r="DF5" i="6"/>
  <c r="DF12" i="6"/>
  <c r="DF6" i="6"/>
  <c r="DF10" i="6"/>
  <c r="DF9" i="6"/>
  <c r="DG4" i="11"/>
  <c r="DG4" i="7"/>
  <c r="DG4" i="6"/>
  <c r="DG4" i="2"/>
  <c r="DG9" i="2" s="1"/>
  <c r="DF6" i="7"/>
  <c r="DF7" i="7"/>
  <c r="DF10" i="7"/>
  <c r="DF5" i="7"/>
  <c r="DF9" i="11"/>
  <c r="DF11" i="11"/>
  <c r="DF7" i="11"/>
  <c r="DF6" i="11"/>
  <c r="CY35" i="9" l="1"/>
  <c r="CY39" i="9"/>
  <c r="CY41" i="9"/>
  <c r="CY42" i="9"/>
  <c r="CY38" i="9"/>
  <c r="CY44" i="9"/>
  <c r="CY43" i="9"/>
  <c r="CW24" i="9"/>
  <c r="CW21" i="9" s="1"/>
  <c r="CW23" i="9" s="1"/>
  <c r="CY46" i="9"/>
  <c r="CY62" i="9"/>
  <c r="DB21" i="3" s="1" a="1"/>
  <c r="DB21" i="3" s="1"/>
  <c r="DD9" i="38"/>
  <c r="DD11" i="38"/>
  <c r="DD15" i="38"/>
  <c r="DD10" i="38"/>
  <c r="DD16" i="38"/>
  <c r="DD20" i="38"/>
  <c r="DD21" i="38"/>
  <c r="DD17" i="38"/>
  <c r="DD18" i="38"/>
  <c r="DD22" i="38"/>
  <c r="DD24" i="38"/>
  <c r="DD25" i="38"/>
  <c r="DD26" i="38"/>
  <c r="DD31" i="38"/>
  <c r="DD33" i="38"/>
  <c r="DD35" i="38"/>
  <c r="DD27" i="38"/>
  <c r="DD19" i="38"/>
  <c r="DD36" i="38"/>
  <c r="DD30" i="38"/>
  <c r="DD34" i="38"/>
  <c r="DD29" i="38"/>
  <c r="DD32" i="38"/>
  <c r="DD38" i="38"/>
  <c r="DD37" i="38"/>
  <c r="DD39" i="38"/>
  <c r="DD41" i="38"/>
  <c r="DD43" i="38"/>
  <c r="DD45" i="38"/>
  <c r="DD49" i="38"/>
  <c r="DD28" i="38"/>
  <c r="DD44" i="38"/>
  <c r="DD51" i="38"/>
  <c r="DD46" i="38"/>
  <c r="DD52" i="38"/>
  <c r="DD54" i="38"/>
  <c r="DD56" i="38"/>
  <c r="DD50" i="38"/>
  <c r="DD53" i="38"/>
  <c r="DD55" i="38"/>
  <c r="DD57" i="38"/>
  <c r="DD59" i="38"/>
  <c r="DD61" i="38"/>
  <c r="DD63" i="38"/>
  <c r="DD65" i="38"/>
  <c r="DD60" i="38"/>
  <c r="DD66" i="38"/>
  <c r="DD72" i="38"/>
  <c r="DD74" i="38"/>
  <c r="DD62" i="38"/>
  <c r="DD64" i="38"/>
  <c r="DD67" i="38"/>
  <c r="DD71" i="38"/>
  <c r="DD73" i="38"/>
  <c r="DD76" i="38"/>
  <c r="DD78" i="38"/>
  <c r="DD80" i="38"/>
  <c r="DD82" i="38"/>
  <c r="DD75" i="38"/>
  <c r="DD58" i="38"/>
  <c r="DD77" i="38"/>
  <c r="DD79" i="38"/>
  <c r="DD81" i="38"/>
  <c r="DD83" i="38"/>
  <c r="DD84" i="38"/>
  <c r="DD86" i="38"/>
  <c r="CZ18" i="9"/>
  <c r="CX16" i="9"/>
  <c r="CX17" i="9"/>
  <c r="CW37" i="9"/>
  <c r="CW36" i="9"/>
  <c r="CW27" i="9"/>
  <c r="CW26" i="9"/>
  <c r="CW28" i="9"/>
  <c r="CW25" i="9"/>
  <c r="G9" i="31"/>
  <c r="DE8" i="38"/>
  <c r="CZ9" i="9"/>
  <c r="CZ20" i="9" s="1"/>
  <c r="CZ10" i="9"/>
  <c r="CZ14" i="9"/>
  <c r="DA15" i="9"/>
  <c r="CZ12" i="9"/>
  <c r="CZ58" i="9" a="1"/>
  <c r="CZ58" i="9" s="1"/>
  <c r="CZ11" i="9"/>
  <c r="CZ40" i="9" s="1"/>
  <c r="DC87" i="38"/>
  <c r="DG9" i="7"/>
  <c r="DG14" i="7"/>
  <c r="DA14" i="9"/>
  <c r="K8" i="31"/>
  <c r="I8" i="31"/>
  <c r="H8" i="31"/>
  <c r="G8" i="31"/>
  <c r="J8" i="31"/>
  <c r="DE100" i="3"/>
  <c r="DE93" i="3"/>
  <c r="DB22" i="3"/>
  <c r="BE109" i="3" a="1"/>
  <c r="BE109" i="3" s="1"/>
  <c r="BE111" i="3" s="1"/>
  <c r="BE112" i="3" s="1"/>
  <c r="DB15" i="9"/>
  <c r="DA12" i="9"/>
  <c r="DA10" i="9"/>
  <c r="DA11" i="9"/>
  <c r="DA40" i="9" s="1"/>
  <c r="DA58" i="9" a="1"/>
  <c r="DA58" i="9" s="1"/>
  <c r="DF2" i="3"/>
  <c r="DE72" i="3"/>
  <c r="DB13" i="9"/>
  <c r="DF5" i="3"/>
  <c r="DF14" i="3"/>
  <c r="DF54" i="3"/>
  <c r="DF36" i="3" s="1"/>
  <c r="DF12" i="3"/>
  <c r="DF76" i="3"/>
  <c r="DF47" i="3" s="1"/>
  <c r="DF59" i="3"/>
  <c r="DF3" i="3"/>
  <c r="DG4" i="3"/>
  <c r="DF110" i="3" a="1"/>
  <c r="DF110" i="3" s="1"/>
  <c r="DF17" i="3"/>
  <c r="DF41" i="3"/>
  <c r="DF13" i="3"/>
  <c r="DF18" i="3"/>
  <c r="DF28" i="3" s="1"/>
  <c r="DF16" i="3"/>
  <c r="DF61" i="3"/>
  <c r="DF80" i="3"/>
  <c r="DF62" i="3" s="1"/>
  <c r="DF60" i="3"/>
  <c r="DG8" i="7"/>
  <c r="DG8" i="11"/>
  <c r="DG15" i="6"/>
  <c r="DG16" i="6"/>
  <c r="DG17" i="6"/>
  <c r="DG16" i="7"/>
  <c r="DG13" i="7"/>
  <c r="DG11" i="7"/>
  <c r="DG12" i="7"/>
  <c r="BB47" i="9"/>
  <c r="BB55" i="9"/>
  <c r="BB56" i="9" s="1"/>
  <c r="DG11" i="2"/>
  <c r="DG13" i="6"/>
  <c r="DG14" i="6"/>
  <c r="DG15" i="7"/>
  <c r="DF12" i="2"/>
  <c r="DF12" i="11"/>
  <c r="DF18" i="6"/>
  <c r="DG7" i="6"/>
  <c r="DG11" i="6"/>
  <c r="DG6" i="2"/>
  <c r="DG7" i="2"/>
  <c r="DG5" i="2"/>
  <c r="DG10" i="2"/>
  <c r="DG10" i="11"/>
  <c r="DG5" i="11"/>
  <c r="DG9" i="11"/>
  <c r="DG6" i="11"/>
  <c r="DG11" i="11"/>
  <c r="DG7" i="11"/>
  <c r="DG8" i="2"/>
  <c r="DH4" i="11"/>
  <c r="DH4" i="7"/>
  <c r="DH4" i="6"/>
  <c r="DH4" i="2"/>
  <c r="DH9" i="2" s="1"/>
  <c r="DG9" i="6"/>
  <c r="DG10" i="6"/>
  <c r="DG6" i="6"/>
  <c r="DG8" i="6"/>
  <c r="DG5" i="6"/>
  <c r="DG12" i="6"/>
  <c r="DF17" i="7"/>
  <c r="DG5" i="7"/>
  <c r="DG7" i="7"/>
  <c r="DG10" i="7"/>
  <c r="DG6" i="7"/>
  <c r="CW29" i="9" l="1"/>
  <c r="DC20" i="3" a="1"/>
  <c r="DC20" i="3" s="1"/>
  <c r="DE9" i="38"/>
  <c r="DE11" i="38"/>
  <c r="DE18" i="38"/>
  <c r="DE20" i="38"/>
  <c r="DE10" i="38"/>
  <c r="DE15" i="38"/>
  <c r="DE17" i="38"/>
  <c r="DE19" i="38"/>
  <c r="DE21" i="38"/>
  <c r="DE16" i="38"/>
  <c r="DE22" i="38"/>
  <c r="DE27" i="38"/>
  <c r="DE24" i="38"/>
  <c r="DE29" i="38"/>
  <c r="DE26" i="38"/>
  <c r="DE25" i="38"/>
  <c r="DE31" i="38"/>
  <c r="DE33" i="38"/>
  <c r="DE35" i="38"/>
  <c r="DE28" i="38"/>
  <c r="DE37" i="38"/>
  <c r="DE36" i="38"/>
  <c r="DE30" i="38"/>
  <c r="DE34" i="38"/>
  <c r="DE32" i="38"/>
  <c r="DE44" i="38"/>
  <c r="DE46" i="38"/>
  <c r="DE50" i="38"/>
  <c r="DE39" i="38"/>
  <c r="DE41" i="38"/>
  <c r="DE43" i="38"/>
  <c r="DE45" i="38"/>
  <c r="DE49" i="38"/>
  <c r="DE51" i="38"/>
  <c r="DE38" i="38"/>
  <c r="DE52" i="38"/>
  <c r="DE55" i="38"/>
  <c r="DE58" i="38"/>
  <c r="DE60" i="38"/>
  <c r="DE62" i="38"/>
  <c r="DE56" i="38"/>
  <c r="DE57" i="38"/>
  <c r="DE59" i="38"/>
  <c r="DE61" i="38"/>
  <c r="DE63" i="38"/>
  <c r="DE53" i="38"/>
  <c r="DE54" i="38"/>
  <c r="DE66" i="38"/>
  <c r="DE72" i="38"/>
  <c r="DE64" i="38"/>
  <c r="DE65" i="38"/>
  <c r="DE67" i="38"/>
  <c r="DE71" i="38"/>
  <c r="DE73" i="38"/>
  <c r="DE74" i="38"/>
  <c r="DE76" i="38"/>
  <c r="DE75" i="38"/>
  <c r="DE83" i="38"/>
  <c r="DE77" i="38"/>
  <c r="DE84" i="38"/>
  <c r="DE86" i="38"/>
  <c r="DE78" i="38"/>
  <c r="DE79" i="38"/>
  <c r="DE80" i="38"/>
  <c r="DE82" i="38"/>
  <c r="DE81" i="38"/>
  <c r="CZ44" i="9"/>
  <c r="CZ46" i="9"/>
  <c r="CX36" i="9"/>
  <c r="CX37" i="9"/>
  <c r="CX25" i="9"/>
  <c r="CX26" i="9"/>
  <c r="CX27" i="9"/>
  <c r="CX28" i="9"/>
  <c r="CZ41" i="9"/>
  <c r="DA18" i="9"/>
  <c r="DB18" i="9"/>
  <c r="CY17" i="9"/>
  <c r="CY16" i="9"/>
  <c r="BC30" i="9"/>
  <c r="BC31" i="9" s="1"/>
  <c r="CZ35" i="9"/>
  <c r="CZ38" i="9"/>
  <c r="CZ39" i="9"/>
  <c r="CZ48" i="9"/>
  <c r="CZ34" i="9"/>
  <c r="CZ42" i="9"/>
  <c r="CZ43" i="9"/>
  <c r="DF8" i="38"/>
  <c r="DA9" i="9"/>
  <c r="DA20" i="9" s="1"/>
  <c r="CZ62" i="9"/>
  <c r="DC21" i="3" s="1" a="1"/>
  <c r="DC21" i="3" s="1"/>
  <c r="DC22" i="3" s="1"/>
  <c r="DG8" i="38"/>
  <c r="DB9" i="9"/>
  <c r="CX24" i="9"/>
  <c r="DC89" i="38"/>
  <c r="CX22" i="9" s="1"/>
  <c r="DD87" i="38"/>
  <c r="DH9" i="7"/>
  <c r="DH14" i="7"/>
  <c r="DA38" i="9"/>
  <c r="DA41" i="9"/>
  <c r="DB14" i="9"/>
  <c r="DA62" i="9"/>
  <c r="DD21" i="3" s="1" a="1"/>
  <c r="DD21" i="3" s="1"/>
  <c r="DC13" i="9"/>
  <c r="DF120" i="3"/>
  <c r="BE25" i="3" a="1"/>
  <c r="BE25" i="3" s="1"/>
  <c r="DD20" i="3" a="1"/>
  <c r="DD20" i="3" s="1"/>
  <c r="DA35" i="9"/>
  <c r="DA46" i="9"/>
  <c r="DA43" i="9"/>
  <c r="DA44" i="9"/>
  <c r="DA39" i="9"/>
  <c r="DA48" i="9"/>
  <c r="DA34" i="9"/>
  <c r="DA42" i="9"/>
  <c r="DB12" i="9"/>
  <c r="DC15" i="9"/>
  <c r="DB11" i="9"/>
  <c r="DB40" i="9" s="1"/>
  <c r="DB10" i="9"/>
  <c r="DB58" i="9" a="1"/>
  <c r="DB58" i="9" s="1"/>
  <c r="DG3" i="3"/>
  <c r="DG17" i="3"/>
  <c r="DG110" i="3" a="1"/>
  <c r="DG110" i="3" s="1"/>
  <c r="DG5" i="3"/>
  <c r="DG16" i="3"/>
  <c r="DG28" i="3"/>
  <c r="DH4" i="3"/>
  <c r="DG18" i="3"/>
  <c r="DG14" i="3"/>
  <c r="DG41" i="3"/>
  <c r="DG54" i="3"/>
  <c r="DG36" i="3" s="1"/>
  <c r="DG76" i="3"/>
  <c r="DG47" i="3" s="1"/>
  <c r="DG13" i="3"/>
  <c r="DG61" i="3"/>
  <c r="DG12" i="3"/>
  <c r="DG59" i="3"/>
  <c r="DG60" i="3"/>
  <c r="DG80" i="3"/>
  <c r="DG62" i="3" s="1"/>
  <c r="DG2" i="3"/>
  <c r="DG120" i="3" s="1"/>
  <c r="DF72" i="3"/>
  <c r="DH8" i="7"/>
  <c r="DH8" i="11"/>
  <c r="DH15" i="6"/>
  <c r="DH16" i="6"/>
  <c r="DH17" i="6"/>
  <c r="DH16" i="7"/>
  <c r="DH12" i="7"/>
  <c r="DH13" i="7"/>
  <c r="DH11" i="7"/>
  <c r="DH11" i="2"/>
  <c r="DH13" i="6"/>
  <c r="DH14" i="6"/>
  <c r="DH15" i="7"/>
  <c r="DG12" i="2"/>
  <c r="DG12" i="11"/>
  <c r="DG18" i="6"/>
  <c r="DH7" i="6"/>
  <c r="DH11" i="6"/>
  <c r="DH7" i="2"/>
  <c r="DH6" i="2"/>
  <c r="DH5" i="2"/>
  <c r="DH10" i="2"/>
  <c r="DH10" i="11"/>
  <c r="DH5" i="11"/>
  <c r="DH6" i="7"/>
  <c r="DH5" i="7"/>
  <c r="DH7" i="7"/>
  <c r="DH10" i="7"/>
  <c r="DH8" i="2"/>
  <c r="DH9" i="11"/>
  <c r="DH6" i="11"/>
  <c r="DH7" i="11"/>
  <c r="DH11" i="11"/>
  <c r="DI4" i="11"/>
  <c r="DI4" i="7"/>
  <c r="DI4" i="6"/>
  <c r="DI4" i="2"/>
  <c r="DI9" i="2" s="1"/>
  <c r="DG17" i="7"/>
  <c r="DH10" i="6"/>
  <c r="DH5" i="6"/>
  <c r="DH6" i="6"/>
  <c r="DH8" i="6"/>
  <c r="DH9" i="6"/>
  <c r="DH12" i="6"/>
  <c r="DF10" i="38" l="1"/>
  <c r="DF16" i="38"/>
  <c r="DF9" i="38"/>
  <c r="DF11" i="38"/>
  <c r="DF15" i="38"/>
  <c r="DF18" i="38"/>
  <c r="DF20" i="38"/>
  <c r="DF17" i="38"/>
  <c r="DF19" i="38"/>
  <c r="DF21" i="38"/>
  <c r="DF22" i="38"/>
  <c r="DF27" i="38"/>
  <c r="DF28" i="38"/>
  <c r="DF30" i="38"/>
  <c r="DF32" i="38"/>
  <c r="DF34" i="38"/>
  <c r="DF29" i="38"/>
  <c r="DF26" i="38"/>
  <c r="DF24" i="38"/>
  <c r="DF25" i="38"/>
  <c r="DF31" i="38"/>
  <c r="DF33" i="38"/>
  <c r="DF37" i="38"/>
  <c r="DF36" i="38"/>
  <c r="DF35" i="38"/>
  <c r="DF44" i="38"/>
  <c r="DF46" i="38"/>
  <c r="DF50" i="38"/>
  <c r="DF39" i="38"/>
  <c r="DF41" i="38"/>
  <c r="DF43" i="38"/>
  <c r="DF45" i="38"/>
  <c r="DF49" i="38"/>
  <c r="DF51" i="38"/>
  <c r="DF52" i="38"/>
  <c r="DF54" i="38"/>
  <c r="DF56" i="38"/>
  <c r="DF38" i="38"/>
  <c r="DF53" i="38"/>
  <c r="DF55" i="38"/>
  <c r="DF58" i="38"/>
  <c r="DF60" i="38"/>
  <c r="DF62" i="38"/>
  <c r="DF57" i="38"/>
  <c r="DF59" i="38"/>
  <c r="DF63" i="38"/>
  <c r="DF61" i="38"/>
  <c r="DF66" i="38"/>
  <c r="DF72" i="38"/>
  <c r="DF74" i="38"/>
  <c r="DF64" i="38"/>
  <c r="DF77" i="38"/>
  <c r="DF79" i="38"/>
  <c r="DF81" i="38"/>
  <c r="DF83" i="38"/>
  <c r="DF71" i="38"/>
  <c r="DF73" i="38"/>
  <c r="DF76" i="38"/>
  <c r="DF78" i="38"/>
  <c r="DF80" i="38"/>
  <c r="DF82" i="38"/>
  <c r="DF65" i="38"/>
  <c r="DF67" i="38"/>
  <c r="DF84" i="38"/>
  <c r="DF86" i="38"/>
  <c r="DF75" i="38"/>
  <c r="DG10" i="38"/>
  <c r="DG16" i="38"/>
  <c r="DG9" i="38"/>
  <c r="DG11" i="38"/>
  <c r="DG15" i="38"/>
  <c r="DG18" i="38"/>
  <c r="DG19" i="38"/>
  <c r="DG22" i="38"/>
  <c r="DG24" i="38"/>
  <c r="DG20" i="38"/>
  <c r="DG17" i="38"/>
  <c r="DG21" i="38"/>
  <c r="DG25" i="38"/>
  <c r="DG26" i="38"/>
  <c r="DG28" i="38"/>
  <c r="DG27" i="38"/>
  <c r="DG30" i="38"/>
  <c r="DG32" i="38"/>
  <c r="DG34" i="38"/>
  <c r="DG36" i="38"/>
  <c r="DG29" i="38"/>
  <c r="DG31" i="38"/>
  <c r="DG33" i="38"/>
  <c r="DG35" i="38"/>
  <c r="DG37" i="38"/>
  <c r="DG38" i="38"/>
  <c r="DG44" i="38"/>
  <c r="DG46" i="38"/>
  <c r="DG50" i="38"/>
  <c r="DG39" i="38"/>
  <c r="DG41" i="38"/>
  <c r="DG43" i="38"/>
  <c r="DG45" i="38"/>
  <c r="DG49" i="38"/>
  <c r="DG53" i="38"/>
  <c r="DG55" i="38"/>
  <c r="DG57" i="38"/>
  <c r="DG51" i="38"/>
  <c r="DG56" i="38"/>
  <c r="DG58" i="38"/>
  <c r="DG60" i="38"/>
  <c r="DG62" i="38"/>
  <c r="DG64" i="38"/>
  <c r="DG52" i="38"/>
  <c r="DG59" i="38"/>
  <c r="DG61" i="38"/>
  <c r="DG63" i="38"/>
  <c r="DG65" i="38"/>
  <c r="DG67" i="38"/>
  <c r="DG71" i="38"/>
  <c r="DG73" i="38"/>
  <c r="DG75" i="38"/>
  <c r="DG54" i="38"/>
  <c r="DG66" i="38"/>
  <c r="DG72" i="38"/>
  <c r="DG74" i="38"/>
  <c r="DG77" i="38"/>
  <c r="DG79" i="38"/>
  <c r="DG81" i="38"/>
  <c r="DG83" i="38"/>
  <c r="DG76" i="38"/>
  <c r="DG78" i="38"/>
  <c r="DG80" i="38"/>
  <c r="DG82" i="38"/>
  <c r="DG84" i="38"/>
  <c r="DG86" i="38"/>
  <c r="CZ17" i="9"/>
  <c r="CZ16" i="9"/>
  <c r="CZ27" i="9" s="1"/>
  <c r="DE87" i="38"/>
  <c r="CZ24" i="9" s="1"/>
  <c r="DC18" i="9"/>
  <c r="CY36" i="9"/>
  <c r="CY37" i="9"/>
  <c r="CY26" i="9"/>
  <c r="CY25" i="9"/>
  <c r="CY27" i="9"/>
  <c r="CY28" i="9"/>
  <c r="CX21" i="9"/>
  <c r="CX23" i="9" s="1"/>
  <c r="CX29" i="9"/>
  <c r="DH8" i="38"/>
  <c r="DC9" i="9"/>
  <c r="CY24" i="9"/>
  <c r="DD89" i="38"/>
  <c r="CY22" i="9" s="1"/>
  <c r="DI9" i="7"/>
  <c r="DI14" i="7"/>
  <c r="DB38" i="9"/>
  <c r="DB41" i="9"/>
  <c r="DC14" i="9"/>
  <c r="DD22" i="3"/>
  <c r="DB20" i="9"/>
  <c r="DG100" i="3"/>
  <c r="DG93" i="3"/>
  <c r="DF100" i="3"/>
  <c r="DF93" i="3"/>
  <c r="BF109" i="3" a="1"/>
  <c r="BF109" i="3" s="1"/>
  <c r="BF111" i="3" s="1"/>
  <c r="BF112" i="3" s="1"/>
  <c r="DB39" i="9"/>
  <c r="DB35" i="9"/>
  <c r="DB43" i="9"/>
  <c r="DB44" i="9"/>
  <c r="DB46" i="9"/>
  <c r="DB48" i="9"/>
  <c r="DB34" i="9"/>
  <c r="DB42" i="9"/>
  <c r="DD15" i="9"/>
  <c r="DC12" i="9"/>
  <c r="DC11" i="9"/>
  <c r="DC40" i="9" s="1"/>
  <c r="DC10" i="9"/>
  <c r="DC58" i="9" a="1"/>
  <c r="DC58" i="9" s="1"/>
  <c r="DB62" i="9"/>
  <c r="DE21" i="3" s="1" a="1"/>
  <c r="DE21" i="3" s="1"/>
  <c r="DE20" i="3" a="1"/>
  <c r="DE20" i="3" s="1"/>
  <c r="DH2" i="3"/>
  <c r="DG72" i="3"/>
  <c r="DH54" i="3"/>
  <c r="DH36" i="3" s="1"/>
  <c r="DH76" i="3"/>
  <c r="DH47" i="3" s="1"/>
  <c r="DH3" i="3"/>
  <c r="DH59" i="3"/>
  <c r="DH5" i="3"/>
  <c r="DH12" i="3"/>
  <c r="DH110" i="3" a="1"/>
  <c r="DH110" i="3" s="1"/>
  <c r="DH13" i="3"/>
  <c r="DH17" i="3"/>
  <c r="DH61" i="3"/>
  <c r="DI4" i="3"/>
  <c r="DH14" i="3"/>
  <c r="DH28" i="3" s="1"/>
  <c r="DH41" i="3"/>
  <c r="DH16" i="3"/>
  <c r="DH18" i="3"/>
  <c r="DH60" i="3"/>
  <c r="DH80" i="3"/>
  <c r="DH62" i="3" s="1"/>
  <c r="DD13" i="9"/>
  <c r="DI8" i="7"/>
  <c r="DI8" i="11"/>
  <c r="DI15" i="6"/>
  <c r="DI16" i="6"/>
  <c r="DI17" i="6"/>
  <c r="DI16" i="7"/>
  <c r="DI11" i="7"/>
  <c r="DI13" i="7"/>
  <c r="DI12" i="7"/>
  <c r="BC47" i="9"/>
  <c r="BC55" i="9"/>
  <c r="BC56" i="9" s="1"/>
  <c r="DI11" i="2"/>
  <c r="DI14" i="6"/>
  <c r="DI13" i="6"/>
  <c r="DI15" i="7"/>
  <c r="DH12" i="11"/>
  <c r="DH12" i="2"/>
  <c r="DH18" i="6"/>
  <c r="DI7" i="6"/>
  <c r="DI11" i="6"/>
  <c r="DI6" i="2"/>
  <c r="DI7" i="2"/>
  <c r="DI5" i="2"/>
  <c r="DI10" i="2"/>
  <c r="DI10" i="11"/>
  <c r="DI5" i="11"/>
  <c r="DI8" i="2"/>
  <c r="DI5" i="7"/>
  <c r="DI10" i="7"/>
  <c r="DI7" i="7"/>
  <c r="DI6" i="7"/>
  <c r="DI9" i="11"/>
  <c r="DI6" i="11"/>
  <c r="DI7" i="11"/>
  <c r="DI11" i="11"/>
  <c r="DH17" i="7"/>
  <c r="DJ4" i="11"/>
  <c r="DJ4" i="7"/>
  <c r="DJ4" i="6"/>
  <c r="DJ4" i="2"/>
  <c r="DJ9" i="2" s="1"/>
  <c r="DI5" i="6"/>
  <c r="DI6" i="6"/>
  <c r="DI9" i="6"/>
  <c r="DI12" i="6"/>
  <c r="DI10" i="6"/>
  <c r="DI8" i="6"/>
  <c r="DH10" i="38" l="1"/>
  <c r="DH16" i="38"/>
  <c r="DH9" i="38"/>
  <c r="DH11" i="38"/>
  <c r="DH15" i="38"/>
  <c r="DH19" i="38"/>
  <c r="DH22" i="38"/>
  <c r="DH20" i="38"/>
  <c r="DH17" i="38"/>
  <c r="DH18" i="38"/>
  <c r="DH21" i="38"/>
  <c r="DH25" i="38"/>
  <c r="DH28" i="38"/>
  <c r="DH30" i="38"/>
  <c r="DH32" i="38"/>
  <c r="DH34" i="38"/>
  <c r="DH26" i="38"/>
  <c r="DH29" i="38"/>
  <c r="DH24" i="38"/>
  <c r="DH27" i="38"/>
  <c r="DH31" i="38"/>
  <c r="DH36" i="38"/>
  <c r="DH37" i="38"/>
  <c r="DH33" i="38"/>
  <c r="DH35" i="38"/>
  <c r="DH38" i="38"/>
  <c r="DH44" i="38"/>
  <c r="DH46" i="38"/>
  <c r="DH50" i="38"/>
  <c r="DH39" i="38"/>
  <c r="DH43" i="38"/>
  <c r="DH45" i="38"/>
  <c r="DH53" i="38"/>
  <c r="DH55" i="38"/>
  <c r="DH57" i="38"/>
  <c r="DH49" i="38"/>
  <c r="DH51" i="38"/>
  <c r="DH41" i="38"/>
  <c r="DH52" i="38"/>
  <c r="DH54" i="38"/>
  <c r="DH56" i="38"/>
  <c r="DH58" i="38"/>
  <c r="DH60" i="38"/>
  <c r="DH62" i="38"/>
  <c r="DH64" i="38"/>
  <c r="DH59" i="38"/>
  <c r="DH63" i="38"/>
  <c r="DH65" i="38"/>
  <c r="DH67" i="38"/>
  <c r="DH71" i="38"/>
  <c r="DH73" i="38"/>
  <c r="DH61" i="38"/>
  <c r="DH66" i="38"/>
  <c r="DH72" i="38"/>
  <c r="DH75" i="38"/>
  <c r="DH74" i="38"/>
  <c r="DH77" i="38"/>
  <c r="DH79" i="38"/>
  <c r="DH81" i="38"/>
  <c r="DH83" i="38"/>
  <c r="DH76" i="38"/>
  <c r="DH78" i="38"/>
  <c r="DH80" i="38"/>
  <c r="DH82" i="38"/>
  <c r="DH84" i="38"/>
  <c r="DH86" i="38"/>
  <c r="CZ36" i="9"/>
  <c r="DE89" i="38"/>
  <c r="CZ22" i="9" s="1"/>
  <c r="CZ21" i="9" s="1"/>
  <c r="CZ28" i="9"/>
  <c r="CZ37" i="9"/>
  <c r="CZ25" i="9"/>
  <c r="CZ26" i="9"/>
  <c r="DB17" i="9"/>
  <c r="DB16" i="9"/>
  <c r="DB36" i="9" s="1"/>
  <c r="DA17" i="9"/>
  <c r="DA16" i="9"/>
  <c r="DG87" i="38"/>
  <c r="DB24" i="9" s="1"/>
  <c r="DD18" i="9"/>
  <c r="BD30" i="9"/>
  <c r="BD31" i="9" s="1"/>
  <c r="CY21" i="9"/>
  <c r="CY23" i="9" s="1"/>
  <c r="CY29" i="9"/>
  <c r="CZ29" i="9"/>
  <c r="DI8" i="38"/>
  <c r="DD9" i="9"/>
  <c r="DF87" i="38"/>
  <c r="DJ9" i="7"/>
  <c r="DJ14" i="7"/>
  <c r="DD14" i="9"/>
  <c r="DC62" i="9"/>
  <c r="DF21" i="3" s="1" a="1"/>
  <c r="DF21" i="3" s="1"/>
  <c r="DC38" i="9"/>
  <c r="DC41" i="9"/>
  <c r="DC20" i="9"/>
  <c r="DE22" i="3"/>
  <c r="DE13" i="9"/>
  <c r="DH120" i="3"/>
  <c r="BF25" i="3" a="1"/>
  <c r="BF25" i="3" s="1"/>
  <c r="DC48" i="9"/>
  <c r="DC42" i="9"/>
  <c r="DC44" i="9"/>
  <c r="DC35" i="9"/>
  <c r="DC39" i="9"/>
  <c r="DC43" i="9"/>
  <c r="DC34" i="9"/>
  <c r="DC46" i="9"/>
  <c r="DF20" i="3" a="1"/>
  <c r="DF20" i="3" s="1"/>
  <c r="DE15" i="9"/>
  <c r="DD12" i="9"/>
  <c r="DD11" i="9"/>
  <c r="DD40" i="9" s="1"/>
  <c r="DD10" i="9"/>
  <c r="DD58" i="9" a="1"/>
  <c r="DD58" i="9" s="1"/>
  <c r="DI12" i="3"/>
  <c r="DI76" i="3"/>
  <c r="DI47" i="3" s="1"/>
  <c r="DI59" i="3"/>
  <c r="DI3" i="3"/>
  <c r="DI41" i="3"/>
  <c r="DI5" i="3"/>
  <c r="DI54" i="3"/>
  <c r="DI36" i="3" s="1"/>
  <c r="DJ4" i="3"/>
  <c r="DI61" i="3"/>
  <c r="DI17" i="3"/>
  <c r="DI13" i="3"/>
  <c r="DI110" i="3" a="1"/>
  <c r="DI110" i="3" s="1"/>
  <c r="DI18" i="3"/>
  <c r="DI28" i="3" s="1"/>
  <c r="DI16" i="3"/>
  <c r="DI14" i="3"/>
  <c r="DI80" i="3"/>
  <c r="DI62" i="3" s="1"/>
  <c r="DI60" i="3"/>
  <c r="DI2" i="3"/>
  <c r="DI120" i="3" s="1"/>
  <c r="DH72" i="3"/>
  <c r="DJ8" i="7"/>
  <c r="DJ8" i="11"/>
  <c r="DJ17" i="6"/>
  <c r="DJ15" i="6"/>
  <c r="DJ16" i="6"/>
  <c r="DJ16" i="7"/>
  <c r="DJ11" i="7"/>
  <c r="DJ12" i="7"/>
  <c r="DJ13" i="7"/>
  <c r="DJ11" i="2"/>
  <c r="DJ13" i="6"/>
  <c r="DJ14" i="6"/>
  <c r="DJ15" i="7"/>
  <c r="DI12" i="2"/>
  <c r="DI12" i="11"/>
  <c r="DI18" i="6"/>
  <c r="DJ7" i="6"/>
  <c r="DJ11" i="6"/>
  <c r="DJ7" i="2"/>
  <c r="DJ6" i="2"/>
  <c r="DJ5" i="2"/>
  <c r="DJ10" i="2"/>
  <c r="DJ10" i="11"/>
  <c r="DJ5" i="11"/>
  <c r="DJ8" i="2"/>
  <c r="DJ5" i="6"/>
  <c r="DJ9" i="6"/>
  <c r="DJ8" i="6"/>
  <c r="DJ12" i="6"/>
  <c r="DJ10" i="6"/>
  <c r="DJ6" i="6"/>
  <c r="DK4" i="11"/>
  <c r="DK4" i="7"/>
  <c r="DK4" i="6"/>
  <c r="DK4" i="2"/>
  <c r="DK9" i="2" s="1"/>
  <c r="DJ6" i="7"/>
  <c r="DJ5" i="7"/>
  <c r="DJ7" i="7"/>
  <c r="DJ10" i="7"/>
  <c r="DJ9" i="11"/>
  <c r="DJ6" i="11"/>
  <c r="DJ11" i="11"/>
  <c r="DJ7" i="11"/>
  <c r="DI17" i="7"/>
  <c r="DI10" i="38" l="1"/>
  <c r="DI16" i="38"/>
  <c r="DI17" i="38"/>
  <c r="DI19" i="38"/>
  <c r="DI9" i="38"/>
  <c r="DI11" i="38"/>
  <c r="DI18" i="38"/>
  <c r="DI20" i="38"/>
  <c r="DI15" i="38"/>
  <c r="DI22" i="38"/>
  <c r="DI24" i="38"/>
  <c r="DI21" i="38"/>
  <c r="DI25" i="38"/>
  <c r="DI26" i="38"/>
  <c r="DI28" i="38"/>
  <c r="DI30" i="38"/>
  <c r="DI32" i="38"/>
  <c r="DI34" i="38"/>
  <c r="DI29" i="38"/>
  <c r="DI27" i="38"/>
  <c r="DI31" i="38"/>
  <c r="DI36" i="38"/>
  <c r="DI37" i="38"/>
  <c r="DI33" i="38"/>
  <c r="DI35" i="38"/>
  <c r="DI39" i="38"/>
  <c r="DI41" i="38"/>
  <c r="DI43" i="38"/>
  <c r="DI45" i="38"/>
  <c r="DI49" i="38"/>
  <c r="DI51" i="38"/>
  <c r="DI38" i="38"/>
  <c r="DI44" i="38"/>
  <c r="DI46" i="38"/>
  <c r="DI50" i="38"/>
  <c r="DI54" i="38"/>
  <c r="DI59" i="38"/>
  <c r="DI61" i="38"/>
  <c r="DI63" i="38"/>
  <c r="DI55" i="38"/>
  <c r="DI56" i="38"/>
  <c r="DI58" i="38"/>
  <c r="DI60" i="38"/>
  <c r="DI62" i="38"/>
  <c r="DI57" i="38"/>
  <c r="DI53" i="38"/>
  <c r="DI65" i="38"/>
  <c r="DI67" i="38"/>
  <c r="DI71" i="38"/>
  <c r="DI73" i="38"/>
  <c r="DI64" i="38"/>
  <c r="DI66" i="38"/>
  <c r="DI72" i="38"/>
  <c r="DI74" i="38"/>
  <c r="DI52" i="38"/>
  <c r="DI75" i="38"/>
  <c r="DI82" i="38"/>
  <c r="DI83" i="38"/>
  <c r="DI81" i="38"/>
  <c r="DI77" i="38"/>
  <c r="DI78" i="38"/>
  <c r="DI76" i="38"/>
  <c r="DI79" i="38"/>
  <c r="DI80" i="38"/>
  <c r="DI84" i="38"/>
  <c r="DI86" i="38"/>
  <c r="DG89" i="38"/>
  <c r="DB22" i="9" s="1"/>
  <c r="DB21" i="9" s="1"/>
  <c r="DB23" i="9" s="1"/>
  <c r="DH87" i="38"/>
  <c r="DC24" i="9" s="1"/>
  <c r="DC16" i="9"/>
  <c r="DC37" i="9" s="1"/>
  <c r="DC17" i="9"/>
  <c r="DB27" i="9"/>
  <c r="DB25" i="9"/>
  <c r="DB26" i="9"/>
  <c r="DB28" i="9"/>
  <c r="DB37" i="9"/>
  <c r="DA36" i="9"/>
  <c r="DA37" i="9"/>
  <c r="DA27" i="9"/>
  <c r="DA25" i="9"/>
  <c r="DA26" i="9"/>
  <c r="DA28" i="9"/>
  <c r="DE18" i="9"/>
  <c r="CZ23" i="9"/>
  <c r="DB29" i="9"/>
  <c r="DJ8" i="38"/>
  <c r="DE9" i="9"/>
  <c r="DA24" i="9"/>
  <c r="DF89" i="38"/>
  <c r="DA22" i="9" s="1"/>
  <c r="DK9" i="7"/>
  <c r="DK14" i="7"/>
  <c r="DF22" i="3"/>
  <c r="DD38" i="9"/>
  <c r="DD41" i="9"/>
  <c r="DE14" i="9"/>
  <c r="DD20" i="9"/>
  <c r="DD62" i="9"/>
  <c r="DG21" i="3" s="1" a="1"/>
  <c r="DG21" i="3" s="1"/>
  <c r="DI100" i="3"/>
  <c r="DI93" i="3"/>
  <c r="DH100" i="3"/>
  <c r="DH93" i="3"/>
  <c r="DF13" i="9"/>
  <c r="DG20" i="3" a="1"/>
  <c r="DG20" i="3" s="1"/>
  <c r="DD43" i="9"/>
  <c r="DD42" i="9"/>
  <c r="DD44" i="9"/>
  <c r="DD34" i="9"/>
  <c r="DD39" i="9"/>
  <c r="DD35" i="9"/>
  <c r="DD46" i="9"/>
  <c r="DD48" i="9"/>
  <c r="DE12" i="9"/>
  <c r="DF15" i="9"/>
  <c r="DE11" i="9"/>
  <c r="DE40" i="9" s="1"/>
  <c r="DE10" i="9"/>
  <c r="DE58" i="9" a="1"/>
  <c r="DE58" i="9" s="1"/>
  <c r="DJ17" i="3"/>
  <c r="DJ76" i="3"/>
  <c r="DJ47" i="3" s="1"/>
  <c r="DJ13" i="3"/>
  <c r="DJ18" i="3"/>
  <c r="DJ54" i="3"/>
  <c r="DJ36" i="3" s="1"/>
  <c r="DJ110" i="3" a="1"/>
  <c r="DJ110" i="3" s="1"/>
  <c r="DJ16" i="3"/>
  <c r="DJ3" i="3"/>
  <c r="DK4" i="3"/>
  <c r="DJ59" i="3"/>
  <c r="DJ41" i="3"/>
  <c r="DJ5" i="3"/>
  <c r="DJ61" i="3"/>
  <c r="DJ12" i="3"/>
  <c r="DJ14" i="3"/>
  <c r="DJ28" i="3" s="1"/>
  <c r="DJ60" i="3"/>
  <c r="DJ80" i="3"/>
  <c r="DJ62" i="3" s="1"/>
  <c r="DJ2" i="3"/>
  <c r="DJ120" i="3" s="1"/>
  <c r="DI72" i="3"/>
  <c r="DK8" i="7"/>
  <c r="DK8" i="11"/>
  <c r="DK17" i="6"/>
  <c r="DK15" i="6"/>
  <c r="DK16" i="6"/>
  <c r="DK16" i="7"/>
  <c r="DK13" i="7"/>
  <c r="DK11" i="7"/>
  <c r="DK12" i="7"/>
  <c r="BD47" i="9"/>
  <c r="BD55" i="9"/>
  <c r="BD56" i="9" s="1"/>
  <c r="BG109" i="3" a="1"/>
  <c r="BG109" i="3" s="1"/>
  <c r="BG111" i="3" s="1"/>
  <c r="BG112" i="3" s="1"/>
  <c r="DK11" i="2"/>
  <c r="DK14" i="6"/>
  <c r="DK13" i="6"/>
  <c r="DK15" i="7"/>
  <c r="DJ12" i="11"/>
  <c r="DJ12" i="2"/>
  <c r="DJ18" i="6"/>
  <c r="DK7" i="6"/>
  <c r="DK11" i="6"/>
  <c r="DK6" i="2"/>
  <c r="DK7" i="2"/>
  <c r="DK5" i="2"/>
  <c r="DK10" i="2"/>
  <c r="DK10" i="11"/>
  <c r="DK5" i="11"/>
  <c r="DJ17" i="7"/>
  <c r="DK8" i="2"/>
  <c r="DK7" i="7"/>
  <c r="DK10" i="7"/>
  <c r="DK5" i="7"/>
  <c r="DK6" i="7"/>
  <c r="DL4" i="11"/>
  <c r="DL4" i="6"/>
  <c r="DL4" i="7"/>
  <c r="DL4" i="2"/>
  <c r="DL9" i="2" s="1"/>
  <c r="DK9" i="11"/>
  <c r="DK7" i="11"/>
  <c r="DK11" i="11"/>
  <c r="DK6" i="11"/>
  <c r="DK5" i="6"/>
  <c r="DK12" i="6"/>
  <c r="DK10" i="6"/>
  <c r="DK8" i="6"/>
  <c r="DK6" i="6"/>
  <c r="DK9" i="6"/>
  <c r="DH89" i="38" l="1"/>
  <c r="DC22" i="9" s="1"/>
  <c r="DJ9" i="38"/>
  <c r="DJ11" i="38"/>
  <c r="DJ15" i="38"/>
  <c r="DJ10" i="38"/>
  <c r="DJ16" i="38"/>
  <c r="DJ17" i="38"/>
  <c r="DJ19" i="38"/>
  <c r="DJ18" i="38"/>
  <c r="DJ20" i="38"/>
  <c r="DJ22" i="38"/>
  <c r="DJ24" i="38"/>
  <c r="DJ25" i="38"/>
  <c r="DJ21" i="38"/>
  <c r="DJ26" i="38"/>
  <c r="DJ31" i="38"/>
  <c r="DJ33" i="38"/>
  <c r="DJ28" i="38"/>
  <c r="DJ30" i="38"/>
  <c r="DJ32" i="38"/>
  <c r="DJ29" i="38"/>
  <c r="DJ38" i="38"/>
  <c r="DJ27" i="38"/>
  <c r="DJ34" i="38"/>
  <c r="DJ36" i="38"/>
  <c r="DJ37" i="38"/>
  <c r="DJ39" i="38"/>
  <c r="DJ41" i="38"/>
  <c r="DJ43" i="38"/>
  <c r="DJ45" i="38"/>
  <c r="DJ49" i="38"/>
  <c r="DJ51" i="38"/>
  <c r="DJ35" i="38"/>
  <c r="DJ44" i="38"/>
  <c r="DJ46" i="38"/>
  <c r="DJ50" i="38"/>
  <c r="DJ53" i="38"/>
  <c r="DJ55" i="38"/>
  <c r="DJ57" i="38"/>
  <c r="DJ52" i="38"/>
  <c r="DJ54" i="38"/>
  <c r="DJ59" i="38"/>
  <c r="DJ61" i="38"/>
  <c r="DJ56" i="38"/>
  <c r="DJ58" i="38"/>
  <c r="DJ60" i="38"/>
  <c r="DJ63" i="38"/>
  <c r="DJ65" i="38"/>
  <c r="DJ67" i="38"/>
  <c r="DJ71" i="38"/>
  <c r="DJ73" i="38"/>
  <c r="DJ75" i="38"/>
  <c r="DJ62" i="38"/>
  <c r="DJ64" i="38"/>
  <c r="DJ76" i="38"/>
  <c r="DJ78" i="38"/>
  <c r="DJ80" i="38"/>
  <c r="DJ82" i="38"/>
  <c r="DJ74" i="38"/>
  <c r="DJ72" i="38"/>
  <c r="DJ77" i="38"/>
  <c r="DJ79" i="38"/>
  <c r="DJ81" i="38"/>
  <c r="DJ83" i="38"/>
  <c r="DJ86" i="38"/>
  <c r="DJ84" i="38"/>
  <c r="DJ66" i="38"/>
  <c r="DC25" i="9"/>
  <c r="DC27" i="9"/>
  <c r="DC28" i="9"/>
  <c r="DC26" i="9"/>
  <c r="DC36" i="9"/>
  <c r="DD16" i="9"/>
  <c r="DD37" i="9" s="1"/>
  <c r="DI87" i="38"/>
  <c r="DD24" i="9" s="1"/>
  <c r="DD17" i="9"/>
  <c r="DF18" i="9"/>
  <c r="BE30" i="9"/>
  <c r="BE31" i="9" s="1"/>
  <c r="BH109" i="3" s="1" a="1"/>
  <c r="BH109" i="3" s="1"/>
  <c r="BH111" i="3" s="1"/>
  <c r="BH112" i="3" s="1"/>
  <c r="DA21" i="9"/>
  <c r="DA23" i="9" s="1"/>
  <c r="DA29" i="9"/>
  <c r="DC21" i="9"/>
  <c r="DC23" i="9" s="1"/>
  <c r="DC29" i="9"/>
  <c r="DK8" i="38"/>
  <c r="DF9" i="9"/>
  <c r="DL9" i="7"/>
  <c r="DL14" i="7"/>
  <c r="DF14" i="9"/>
  <c r="DE38" i="9"/>
  <c r="DE41" i="9"/>
  <c r="DG22" i="3"/>
  <c r="DE20" i="9"/>
  <c r="DG13" i="9"/>
  <c r="DJ100" i="3"/>
  <c r="DJ93" i="3"/>
  <c r="BG25" i="3" a="1"/>
  <c r="BG25" i="3" s="1"/>
  <c r="DE62" i="9"/>
  <c r="DH21" i="3" s="1" a="1"/>
  <c r="DH21" i="3" s="1"/>
  <c r="DH20" i="3" a="1"/>
  <c r="DH20" i="3" s="1"/>
  <c r="DE48" i="9"/>
  <c r="DE44" i="9"/>
  <c r="DE46" i="9"/>
  <c r="DE34" i="9"/>
  <c r="DE39" i="9"/>
  <c r="DE42" i="9"/>
  <c r="DE35" i="9"/>
  <c r="DE43" i="9"/>
  <c r="DG15" i="9"/>
  <c r="DF12" i="9"/>
  <c r="DF11" i="9"/>
  <c r="DF40" i="9" s="1"/>
  <c r="DF10" i="9"/>
  <c r="DF58" i="9" a="1"/>
  <c r="DF58" i="9" s="1"/>
  <c r="DK2" i="3"/>
  <c r="DK120" i="3" s="1"/>
  <c r="DJ72" i="3"/>
  <c r="DK16" i="3"/>
  <c r="DK59" i="3"/>
  <c r="DK3" i="3"/>
  <c r="DL4" i="3"/>
  <c r="DK60" i="3"/>
  <c r="DK61" i="3"/>
  <c r="DK110" i="3" a="1"/>
  <c r="DK110" i="3" s="1"/>
  <c r="DK14" i="3"/>
  <c r="DK41" i="3"/>
  <c r="DK54" i="3"/>
  <c r="DK36" i="3" s="1"/>
  <c r="DK17" i="3"/>
  <c r="DK18" i="3"/>
  <c r="DK5" i="3"/>
  <c r="DK76" i="3"/>
  <c r="DK47" i="3" s="1"/>
  <c r="DK13" i="3"/>
  <c r="DK12" i="3"/>
  <c r="DK80" i="3"/>
  <c r="DK62" i="3" s="1"/>
  <c r="DL8" i="7"/>
  <c r="DL8" i="11"/>
  <c r="DL15" i="6"/>
  <c r="DL16" i="6"/>
  <c r="DL17" i="6"/>
  <c r="DL16" i="7"/>
  <c r="DL12" i="7"/>
  <c r="DL13" i="7"/>
  <c r="DL11" i="7"/>
  <c r="DL11" i="2"/>
  <c r="DL13" i="6"/>
  <c r="DL14" i="6"/>
  <c r="DL15" i="7"/>
  <c r="DK12" i="2"/>
  <c r="DK12" i="11"/>
  <c r="DK18" i="6"/>
  <c r="DL7" i="6"/>
  <c r="DL11" i="6"/>
  <c r="DL7" i="2"/>
  <c r="DL6" i="2"/>
  <c r="DL5" i="2"/>
  <c r="DL10" i="2"/>
  <c r="DL10" i="11"/>
  <c r="DL5" i="11"/>
  <c r="DL6" i="7"/>
  <c r="DL5" i="7"/>
  <c r="DL7" i="7"/>
  <c r="DL10" i="7"/>
  <c r="DL9" i="11"/>
  <c r="DL6" i="11"/>
  <c r="DL11" i="11"/>
  <c r="DL7" i="11"/>
  <c r="DL8" i="2"/>
  <c r="DL5" i="6"/>
  <c r="DL10" i="6"/>
  <c r="DL8" i="6"/>
  <c r="DL9" i="6"/>
  <c r="DL12" i="6"/>
  <c r="DL6" i="6"/>
  <c r="DK17" i="7"/>
  <c r="DM4" i="11"/>
  <c r="DM4" i="6"/>
  <c r="DM4" i="7"/>
  <c r="DM4" i="2"/>
  <c r="DM9" i="2" s="1"/>
  <c r="DK9" i="38" l="1"/>
  <c r="DK11" i="38"/>
  <c r="DK15" i="38"/>
  <c r="DK10" i="38"/>
  <c r="DK16" i="38"/>
  <c r="DK17" i="38"/>
  <c r="DK21" i="38"/>
  <c r="DK25" i="38"/>
  <c r="DK19" i="38"/>
  <c r="DK20" i="38"/>
  <c r="DK22" i="38"/>
  <c r="DK24" i="38"/>
  <c r="DK18" i="38"/>
  <c r="DK27" i="38"/>
  <c r="DK29" i="38"/>
  <c r="DK26" i="38"/>
  <c r="DK31" i="38"/>
  <c r="DK33" i="38"/>
  <c r="DK35" i="38"/>
  <c r="DK28" i="38"/>
  <c r="DK30" i="38"/>
  <c r="DK32" i="38"/>
  <c r="DK34" i="38"/>
  <c r="DK38" i="38"/>
  <c r="DK36" i="38"/>
  <c r="DK37" i="38"/>
  <c r="DK39" i="38"/>
  <c r="DK41" i="38"/>
  <c r="DK43" i="38"/>
  <c r="DK45" i="38"/>
  <c r="DK49" i="38"/>
  <c r="DK51" i="38"/>
  <c r="DK44" i="38"/>
  <c r="DK46" i="38"/>
  <c r="DK50" i="38"/>
  <c r="DK52" i="38"/>
  <c r="DK54" i="38"/>
  <c r="DK56" i="38"/>
  <c r="DK55" i="38"/>
  <c r="DK59" i="38"/>
  <c r="DK61" i="38"/>
  <c r="DK63" i="38"/>
  <c r="DK57" i="38"/>
  <c r="DK58" i="38"/>
  <c r="DK60" i="38"/>
  <c r="DK62" i="38"/>
  <c r="DK64" i="38"/>
  <c r="DK66" i="38"/>
  <c r="DK72" i="38"/>
  <c r="DK74" i="38"/>
  <c r="DK53" i="38"/>
  <c r="DK65" i="38"/>
  <c r="DK67" i="38"/>
  <c r="DK71" i="38"/>
  <c r="DK73" i="38"/>
  <c r="DK76" i="38"/>
  <c r="DK78" i="38"/>
  <c r="DK80" i="38"/>
  <c r="DK82" i="38"/>
  <c r="DK75" i="38"/>
  <c r="DK77" i="38"/>
  <c r="DK79" i="38"/>
  <c r="DK81" i="38"/>
  <c r="DK83" i="38"/>
  <c r="DK84" i="38"/>
  <c r="DK86" i="38"/>
  <c r="DD27" i="9"/>
  <c r="DD28" i="9"/>
  <c r="DD26" i="9"/>
  <c r="DD25" i="9"/>
  <c r="DI89" i="38"/>
  <c r="DD22" i="9" s="1"/>
  <c r="DD21" i="9" s="1"/>
  <c r="DD23" i="9" s="1"/>
  <c r="DD36" i="9"/>
  <c r="DG18" i="9"/>
  <c r="DE16" i="9"/>
  <c r="DE17" i="9"/>
  <c r="DJ87" i="38"/>
  <c r="DJ89" i="38" s="1"/>
  <c r="DE22" i="9" s="1"/>
  <c r="DD29" i="9"/>
  <c r="DL8" i="38"/>
  <c r="DG9" i="9"/>
  <c r="DM9" i="7"/>
  <c r="DM14" i="7"/>
  <c r="DF38" i="9"/>
  <c r="DF41" i="9"/>
  <c r="DG14" i="9"/>
  <c r="DF20" i="9"/>
  <c r="DH13" i="9"/>
  <c r="DK100" i="3"/>
  <c r="DK93" i="3"/>
  <c r="DH22" i="3"/>
  <c r="DK28" i="3"/>
  <c r="DF34" i="9"/>
  <c r="DF42" i="9"/>
  <c r="DF44" i="9"/>
  <c r="DF46" i="9"/>
  <c r="DF43" i="9"/>
  <c r="DF48" i="9"/>
  <c r="DF39" i="9"/>
  <c r="DF35" i="9"/>
  <c r="DH15" i="9"/>
  <c r="DG12" i="9"/>
  <c r="DG10" i="9"/>
  <c r="DG11" i="9"/>
  <c r="DG40" i="9" s="1"/>
  <c r="DG58" i="9" a="1"/>
  <c r="DG58" i="9" s="1"/>
  <c r="DF62" i="9"/>
  <c r="DI21" i="3" s="1" a="1"/>
  <c r="DI21" i="3" s="1"/>
  <c r="DI20" i="3" a="1"/>
  <c r="DI20" i="3" s="1"/>
  <c r="DL60" i="3"/>
  <c r="DL13" i="3"/>
  <c r="DM4" i="3"/>
  <c r="DL12" i="3"/>
  <c r="DL3" i="3"/>
  <c r="DL16" i="3"/>
  <c r="DL14" i="3"/>
  <c r="DL110" i="3" a="1"/>
  <c r="DL110" i="3" s="1"/>
  <c r="DL17" i="3"/>
  <c r="DL76" i="3"/>
  <c r="DL47" i="3" s="1"/>
  <c r="DL41" i="3"/>
  <c r="DL80" i="3"/>
  <c r="DL62" i="3" s="1"/>
  <c r="DL59" i="3"/>
  <c r="DL54" i="3"/>
  <c r="DL36" i="3" s="1"/>
  <c r="DL5" i="3"/>
  <c r="DL18" i="3"/>
  <c r="DL61" i="3"/>
  <c r="DL2" i="3"/>
  <c r="DK72" i="3"/>
  <c r="DM8" i="7"/>
  <c r="DM8" i="11"/>
  <c r="DM15" i="6"/>
  <c r="DM16" i="6"/>
  <c r="DM17" i="6"/>
  <c r="DM16" i="7"/>
  <c r="DM11" i="7"/>
  <c r="DM12" i="7"/>
  <c r="DM13" i="7"/>
  <c r="BE47" i="9"/>
  <c r="BE55" i="9"/>
  <c r="BE56" i="9" s="1"/>
  <c r="DM11" i="2"/>
  <c r="DM14" i="6"/>
  <c r="DM13" i="6"/>
  <c r="DM15" i="7"/>
  <c r="DL12" i="2"/>
  <c r="DL12" i="11"/>
  <c r="DL18" i="6"/>
  <c r="DM7" i="6"/>
  <c r="DM11" i="6"/>
  <c r="DM7" i="2"/>
  <c r="DM6" i="2"/>
  <c r="DM5" i="2"/>
  <c r="DM10" i="2"/>
  <c r="DM10" i="11"/>
  <c r="DM5" i="11"/>
  <c r="DM8" i="2"/>
  <c r="DM10" i="6"/>
  <c r="DM8" i="6"/>
  <c r="DM9" i="6"/>
  <c r="DM6" i="6"/>
  <c r="DM5" i="6"/>
  <c r="DM12" i="6"/>
  <c r="DL17" i="7"/>
  <c r="DM6" i="7"/>
  <c r="DM5" i="7"/>
  <c r="DM10" i="7"/>
  <c r="DM7" i="7"/>
  <c r="DN4" i="11"/>
  <c r="DN4" i="7"/>
  <c r="DN4" i="6"/>
  <c r="DN4" i="2"/>
  <c r="DN9" i="2" s="1"/>
  <c r="DM9" i="11"/>
  <c r="DM11" i="11"/>
  <c r="DM7" i="11"/>
  <c r="DM6" i="11"/>
  <c r="DJ20" i="3" l="1" a="1"/>
  <c r="DJ20" i="3" s="1"/>
  <c r="DE24" i="9"/>
  <c r="DL9" i="38"/>
  <c r="DL11" i="38"/>
  <c r="DL15" i="38"/>
  <c r="DL10" i="38"/>
  <c r="DL16" i="38"/>
  <c r="DL21" i="38"/>
  <c r="DL19" i="38"/>
  <c r="DL17" i="38"/>
  <c r="DL20" i="38"/>
  <c r="DL22" i="38"/>
  <c r="DL18" i="38"/>
  <c r="DL24" i="38"/>
  <c r="DL25" i="38"/>
  <c r="DL31" i="38"/>
  <c r="DL33" i="38"/>
  <c r="DL35" i="38"/>
  <c r="DL26" i="38"/>
  <c r="DL28" i="38"/>
  <c r="DL29" i="38"/>
  <c r="DL30" i="38"/>
  <c r="DL38" i="38"/>
  <c r="DL27" i="38"/>
  <c r="DL34" i="38"/>
  <c r="DL32" i="38"/>
  <c r="DL37" i="38"/>
  <c r="DL36" i="38"/>
  <c r="DL39" i="38"/>
  <c r="DL41" i="38"/>
  <c r="DL43" i="38"/>
  <c r="DL45" i="38"/>
  <c r="DL49" i="38"/>
  <c r="DL44" i="38"/>
  <c r="DL52" i="38"/>
  <c r="DL54" i="38"/>
  <c r="DL56" i="38"/>
  <c r="DL46" i="38"/>
  <c r="DL50" i="38"/>
  <c r="DL53" i="38"/>
  <c r="DL55" i="38"/>
  <c r="DL57" i="38"/>
  <c r="DL51" i="38"/>
  <c r="DL59" i="38"/>
  <c r="DL61" i="38"/>
  <c r="DL63" i="38"/>
  <c r="DL58" i="38"/>
  <c r="DL60" i="38"/>
  <c r="DL64" i="38"/>
  <c r="DL66" i="38"/>
  <c r="DL72" i="38"/>
  <c r="DL74" i="38"/>
  <c r="DL62" i="38"/>
  <c r="DL65" i="38"/>
  <c r="DL67" i="38"/>
  <c r="DL71" i="38"/>
  <c r="DL73" i="38"/>
  <c r="DL76" i="38"/>
  <c r="DL78" i="38"/>
  <c r="DL80" i="38"/>
  <c r="DL82" i="38"/>
  <c r="DL75" i="38"/>
  <c r="DL77" i="38"/>
  <c r="DL79" i="38"/>
  <c r="DL81" i="38"/>
  <c r="DL83" i="38"/>
  <c r="DL84" i="38"/>
  <c r="DL86" i="38"/>
  <c r="DE21" i="9"/>
  <c r="DE23" i="9" s="1"/>
  <c r="DE37" i="9"/>
  <c r="DE36" i="9"/>
  <c r="DE27" i="9"/>
  <c r="DE25" i="9"/>
  <c r="DE28" i="9"/>
  <c r="DE26" i="9"/>
  <c r="DH18" i="9"/>
  <c r="DF16" i="9"/>
  <c r="DF17" i="9"/>
  <c r="BF30" i="9"/>
  <c r="BF31" i="9" s="1"/>
  <c r="BI109" i="3" s="1" a="1"/>
  <c r="BI109" i="3" s="1"/>
  <c r="BI111" i="3" s="1"/>
  <c r="BI112" i="3" s="1"/>
  <c r="DK87" i="38"/>
  <c r="DK89" i="38" s="1"/>
  <c r="DF22" i="9" s="1"/>
  <c r="DE29" i="9"/>
  <c r="DM8" i="38"/>
  <c r="DH9" i="9"/>
  <c r="DN9" i="7"/>
  <c r="DN14" i="7"/>
  <c r="DH14" i="9"/>
  <c r="DG38" i="9"/>
  <c r="DG41" i="9"/>
  <c r="DG20" i="9"/>
  <c r="DG62" i="9"/>
  <c r="DJ21" i="3" s="1" a="1"/>
  <c r="DJ21" i="3" s="1"/>
  <c r="DJ22" i="3" s="1"/>
  <c r="DI13" i="9"/>
  <c r="DL120" i="3"/>
  <c r="BH25" i="3" a="1"/>
  <c r="BH25" i="3" s="1"/>
  <c r="DL28" i="3"/>
  <c r="DI22" i="3"/>
  <c r="DG43" i="9"/>
  <c r="DG48" i="9"/>
  <c r="DG35" i="9"/>
  <c r="DG34" i="9"/>
  <c r="DG44" i="9"/>
  <c r="DG42" i="9"/>
  <c r="DG46" i="9"/>
  <c r="DG39" i="9"/>
  <c r="DI15" i="9"/>
  <c r="DH12" i="9"/>
  <c r="DH11" i="9"/>
  <c r="DH40" i="9" s="1"/>
  <c r="DH10" i="9"/>
  <c r="DH58" i="9" a="1"/>
  <c r="DH58" i="9" s="1"/>
  <c r="DM18" i="3"/>
  <c r="DM28" i="3" s="1"/>
  <c r="DM54" i="3"/>
  <c r="DM36" i="3" s="1"/>
  <c r="DM3" i="3"/>
  <c r="DM61" i="3"/>
  <c r="DM59" i="3"/>
  <c r="DM5" i="3"/>
  <c r="DM60" i="3"/>
  <c r="DM41" i="3"/>
  <c r="DN4" i="3"/>
  <c r="DM76" i="3"/>
  <c r="DM47" i="3" s="1"/>
  <c r="DM110" i="3" a="1"/>
  <c r="DM110" i="3" s="1"/>
  <c r="DM12" i="3"/>
  <c r="DM80" i="3"/>
  <c r="DM62" i="3" s="1"/>
  <c r="DM16" i="3"/>
  <c r="DM17" i="3"/>
  <c r="DM14" i="3"/>
  <c r="DM13" i="3"/>
  <c r="DM2" i="3"/>
  <c r="DL72" i="3"/>
  <c r="DN8" i="7"/>
  <c r="DN8" i="11"/>
  <c r="DN15" i="6"/>
  <c r="DN16" i="6"/>
  <c r="DN17" i="6"/>
  <c r="DN16" i="7"/>
  <c r="DN11" i="7"/>
  <c r="DN12" i="7"/>
  <c r="DN13" i="7"/>
  <c r="DN11" i="2"/>
  <c r="DN13" i="6"/>
  <c r="DN14" i="6"/>
  <c r="DN15" i="7"/>
  <c r="DM12" i="2"/>
  <c r="DM12" i="11"/>
  <c r="DM18" i="6"/>
  <c r="DN7" i="6"/>
  <c r="DN11" i="6"/>
  <c r="DN7" i="2"/>
  <c r="DN6" i="2"/>
  <c r="DN5" i="2"/>
  <c r="DN10" i="2"/>
  <c r="DN10" i="11"/>
  <c r="DN5" i="11"/>
  <c r="DM17" i="7"/>
  <c r="DO4" i="11"/>
  <c r="DO4" i="7"/>
  <c r="DO4" i="6"/>
  <c r="DO4" i="2"/>
  <c r="DO9" i="2" s="1"/>
  <c r="DN5" i="6"/>
  <c r="DN12" i="6"/>
  <c r="DN10" i="6"/>
  <c r="DN6" i="6"/>
  <c r="DN9" i="6"/>
  <c r="DN8" i="6"/>
  <c r="DN5" i="7"/>
  <c r="DN7" i="7"/>
  <c r="DN10" i="7"/>
  <c r="DN6" i="7"/>
  <c r="DN8" i="2"/>
  <c r="DN9" i="11"/>
  <c r="DN7" i="11"/>
  <c r="DN6" i="11"/>
  <c r="DN11" i="11"/>
  <c r="DM9" i="38" l="1"/>
  <c r="DM11" i="38"/>
  <c r="DM18" i="38"/>
  <c r="DM20" i="38"/>
  <c r="DM16" i="38"/>
  <c r="DM10" i="38"/>
  <c r="DM17" i="38"/>
  <c r="DM19" i="38"/>
  <c r="DM15" i="38"/>
  <c r="DM21" i="38"/>
  <c r="DM22" i="38"/>
  <c r="DM24" i="38"/>
  <c r="DM27" i="38"/>
  <c r="DM25" i="38"/>
  <c r="DM31" i="38"/>
  <c r="DM33" i="38"/>
  <c r="DM26" i="38"/>
  <c r="DM28" i="38"/>
  <c r="DM35" i="38"/>
  <c r="DM36" i="38"/>
  <c r="DM37" i="38"/>
  <c r="DM29" i="38"/>
  <c r="DM30" i="38"/>
  <c r="DM34" i="38"/>
  <c r="DM32" i="38"/>
  <c r="DM44" i="38"/>
  <c r="DM46" i="38"/>
  <c r="DM50" i="38"/>
  <c r="DM38" i="38"/>
  <c r="DM39" i="38"/>
  <c r="DM41" i="38"/>
  <c r="DM43" i="38"/>
  <c r="DM45" i="38"/>
  <c r="DM49" i="38"/>
  <c r="DM51" i="38"/>
  <c r="DM52" i="38"/>
  <c r="DM53" i="38"/>
  <c r="DM58" i="38"/>
  <c r="DM60" i="38"/>
  <c r="DM62" i="38"/>
  <c r="DM54" i="38"/>
  <c r="DM55" i="38"/>
  <c r="DM59" i="38"/>
  <c r="DM61" i="38"/>
  <c r="DM63" i="38"/>
  <c r="DM56" i="38"/>
  <c r="DM57" i="38"/>
  <c r="DM64" i="38"/>
  <c r="DM66" i="38"/>
  <c r="DM72" i="38"/>
  <c r="DM65" i="38"/>
  <c r="DM67" i="38"/>
  <c r="DM71" i="38"/>
  <c r="DM73" i="38"/>
  <c r="DM76" i="38"/>
  <c r="DM74" i="38"/>
  <c r="DM75" i="38"/>
  <c r="DM81" i="38"/>
  <c r="DM82" i="38"/>
  <c r="DM83" i="38"/>
  <c r="DM84" i="38"/>
  <c r="DM86" i="38"/>
  <c r="DM80" i="38"/>
  <c r="DM77" i="38"/>
  <c r="DM78" i="38"/>
  <c r="DM79" i="38"/>
  <c r="DF24" i="9"/>
  <c r="DF21" i="9" s="1"/>
  <c r="DF23" i="9" s="1"/>
  <c r="DI18" i="9"/>
  <c r="DL87" i="38"/>
  <c r="DL89" i="38" s="1"/>
  <c r="DG22" i="9" s="1"/>
  <c r="DG17" i="9"/>
  <c r="DG16" i="9"/>
  <c r="DF36" i="9"/>
  <c r="DF37" i="9"/>
  <c r="DF28" i="9"/>
  <c r="DF27" i="9"/>
  <c r="DF26" i="9"/>
  <c r="DF25" i="9"/>
  <c r="DN8" i="38"/>
  <c r="DI9" i="9"/>
  <c r="DO9" i="7"/>
  <c r="DO14" i="7"/>
  <c r="DH38" i="9"/>
  <c r="DH41" i="9"/>
  <c r="DI14" i="9"/>
  <c r="DH20" i="9"/>
  <c r="DL100" i="3"/>
  <c r="DL93" i="3"/>
  <c r="DJ13" i="9"/>
  <c r="DM120" i="3"/>
  <c r="DH62" i="9"/>
  <c r="DK21" i="3" s="1" a="1"/>
  <c r="DK21" i="3" s="1"/>
  <c r="DH48" i="9"/>
  <c r="DH34" i="9"/>
  <c r="DH42" i="9"/>
  <c r="DH39" i="9"/>
  <c r="DH35" i="9"/>
  <c r="DH44" i="9"/>
  <c r="DH46" i="9"/>
  <c r="DH43" i="9"/>
  <c r="DK20" i="3" a="1"/>
  <c r="DK20" i="3" s="1"/>
  <c r="DJ15" i="9"/>
  <c r="DI12" i="9"/>
  <c r="DI10" i="9"/>
  <c r="DI11" i="9"/>
  <c r="DI40" i="9" s="1"/>
  <c r="DI58" i="9" a="1"/>
  <c r="DI58" i="9" s="1"/>
  <c r="DN2" i="3"/>
  <c r="DM72" i="3"/>
  <c r="DN3" i="3"/>
  <c r="DN16" i="3"/>
  <c r="DN41" i="3"/>
  <c r="DN5" i="3"/>
  <c r="DO4" i="3"/>
  <c r="DN76" i="3"/>
  <c r="DN47" i="3" s="1"/>
  <c r="DN60" i="3"/>
  <c r="DN12" i="3"/>
  <c r="DN80" i="3"/>
  <c r="DN62" i="3" s="1"/>
  <c r="DN14" i="3"/>
  <c r="DN13" i="3"/>
  <c r="DN17" i="3"/>
  <c r="DN54" i="3"/>
  <c r="DN36" i="3" s="1"/>
  <c r="DN59" i="3"/>
  <c r="DN18" i="3"/>
  <c r="DN28" i="3" s="1"/>
  <c r="DN61" i="3"/>
  <c r="DN110" i="3" a="1"/>
  <c r="DN110" i="3" s="1"/>
  <c r="DO8" i="7"/>
  <c r="DO8" i="11"/>
  <c r="DO15" i="6"/>
  <c r="DO16" i="6"/>
  <c r="DO17" i="6"/>
  <c r="DO16" i="7"/>
  <c r="DO13" i="7"/>
  <c r="DO11" i="7"/>
  <c r="DO12" i="7"/>
  <c r="BF47" i="9"/>
  <c r="BF55" i="9"/>
  <c r="BF56" i="9" s="1"/>
  <c r="BI25" i="3" s="1" a="1"/>
  <c r="BI25" i="3" s="1"/>
  <c r="DO11" i="2"/>
  <c r="DO13" i="6"/>
  <c r="DO14" i="6"/>
  <c r="DO15" i="7"/>
  <c r="DN12" i="2"/>
  <c r="DN12" i="11"/>
  <c r="DN18" i="6"/>
  <c r="DO7" i="6"/>
  <c r="DO11" i="6"/>
  <c r="DO7" i="2"/>
  <c r="DO6" i="2"/>
  <c r="DO5" i="2"/>
  <c r="DO10" i="2"/>
  <c r="DO10" i="11"/>
  <c r="DO5" i="11"/>
  <c r="DO8" i="2"/>
  <c r="DN17" i="7"/>
  <c r="DP4" i="11"/>
  <c r="DP4" i="7"/>
  <c r="DP4" i="6"/>
  <c r="DP4" i="2"/>
  <c r="DP9" i="2" s="1"/>
  <c r="DO5" i="7"/>
  <c r="DO10" i="7"/>
  <c r="DO6" i="7"/>
  <c r="DO7" i="7"/>
  <c r="DO7" i="11"/>
  <c r="DO9" i="11"/>
  <c r="DO6" i="11"/>
  <c r="DO11" i="11"/>
  <c r="DO5" i="6"/>
  <c r="DO12" i="6"/>
  <c r="DO9" i="6"/>
  <c r="DO10" i="6"/>
  <c r="DO8" i="6"/>
  <c r="DO6" i="6"/>
  <c r="DG24" i="9" l="1"/>
  <c r="DN10" i="38"/>
  <c r="DN16" i="38"/>
  <c r="DN9" i="38"/>
  <c r="DN11" i="38"/>
  <c r="DN15" i="38"/>
  <c r="DN18" i="38"/>
  <c r="DN20" i="38"/>
  <c r="DN17" i="38"/>
  <c r="DN19" i="38"/>
  <c r="DN21" i="38"/>
  <c r="DN24" i="38"/>
  <c r="DN27" i="38"/>
  <c r="DN22" i="38"/>
  <c r="DN29" i="38"/>
  <c r="DN30" i="38"/>
  <c r="DN32" i="38"/>
  <c r="DN34" i="38"/>
  <c r="DN31" i="38"/>
  <c r="DN33" i="38"/>
  <c r="DN25" i="38"/>
  <c r="DN28" i="38"/>
  <c r="DN35" i="38"/>
  <c r="DN36" i="38"/>
  <c r="DN37" i="38"/>
  <c r="DN26" i="38"/>
  <c r="DN44" i="38"/>
  <c r="DN46" i="38"/>
  <c r="DN50" i="38"/>
  <c r="DN38" i="38"/>
  <c r="DN39" i="38"/>
  <c r="DN41" i="38"/>
  <c r="DN43" i="38"/>
  <c r="DN45" i="38"/>
  <c r="DN49" i="38"/>
  <c r="DN52" i="38"/>
  <c r="DN54" i="38"/>
  <c r="DN56" i="38"/>
  <c r="DN51" i="38"/>
  <c r="DN53" i="38"/>
  <c r="DN57" i="38"/>
  <c r="DN58" i="38"/>
  <c r="DN60" i="38"/>
  <c r="DN62" i="38"/>
  <c r="DN55" i="38"/>
  <c r="DN59" i="38"/>
  <c r="DN63" i="38"/>
  <c r="DN64" i="38"/>
  <c r="DN66" i="38"/>
  <c r="DN72" i="38"/>
  <c r="DN74" i="38"/>
  <c r="DN61" i="38"/>
  <c r="DN67" i="38"/>
  <c r="DN77" i="38"/>
  <c r="DN79" i="38"/>
  <c r="DN81" i="38"/>
  <c r="DN83" i="38"/>
  <c r="DN71" i="38"/>
  <c r="DN76" i="38"/>
  <c r="DN78" i="38"/>
  <c r="DN80" i="38"/>
  <c r="DN82" i="38"/>
  <c r="DN73" i="38"/>
  <c r="DN75" i="38"/>
  <c r="DN84" i="38"/>
  <c r="DN86" i="38"/>
  <c r="DN65" i="38"/>
  <c r="DF29" i="9"/>
  <c r="DH17" i="9"/>
  <c r="DM87" i="38"/>
  <c r="DH24" i="9" s="1"/>
  <c r="DJ18" i="9"/>
  <c r="DG36" i="9"/>
  <c r="DG37" i="9"/>
  <c r="DG25" i="9"/>
  <c r="DG26" i="9"/>
  <c r="DG28" i="9"/>
  <c r="DG27" i="9"/>
  <c r="DH16" i="9"/>
  <c r="BG30" i="9"/>
  <c r="BG31" i="9" s="1"/>
  <c r="BJ109" i="3" s="1" a="1"/>
  <c r="BJ109" i="3" s="1"/>
  <c r="BJ111" i="3" s="1"/>
  <c r="BJ112" i="3" s="1"/>
  <c r="DG21" i="9"/>
  <c r="DG23" i="9" s="1"/>
  <c r="DG29" i="9"/>
  <c r="DO8" i="38"/>
  <c r="DJ9" i="9"/>
  <c r="DP9" i="7"/>
  <c r="DP14" i="7"/>
  <c r="DJ14" i="9"/>
  <c r="DI38" i="9"/>
  <c r="DI41" i="9"/>
  <c r="DI20" i="9"/>
  <c r="DI62" i="9"/>
  <c r="DL21" i="3" s="1" a="1"/>
  <c r="DL21" i="3" s="1"/>
  <c r="DM100" i="3"/>
  <c r="DM93" i="3"/>
  <c r="DK22" i="3"/>
  <c r="DK13" i="9"/>
  <c r="DN120" i="3"/>
  <c r="DI48" i="9"/>
  <c r="DI34" i="9"/>
  <c r="DI42" i="9"/>
  <c r="DI43" i="9"/>
  <c r="DI44" i="9"/>
  <c r="DI46" i="9"/>
  <c r="DI39" i="9"/>
  <c r="DI35" i="9"/>
  <c r="DL20" i="3" a="1"/>
  <c r="DL20" i="3" s="1"/>
  <c r="DK15" i="9"/>
  <c r="DJ12" i="9"/>
  <c r="DJ11" i="9"/>
  <c r="DJ40" i="9" s="1"/>
  <c r="DJ10" i="9"/>
  <c r="DJ58" i="9" a="1"/>
  <c r="DJ58" i="9" s="1"/>
  <c r="DO2" i="3"/>
  <c r="DN72" i="3"/>
  <c r="DO3" i="3"/>
  <c r="DO18" i="3"/>
  <c r="DO59" i="3"/>
  <c r="DO5" i="3"/>
  <c r="DO28" i="3"/>
  <c r="DO60" i="3"/>
  <c r="DO13" i="3"/>
  <c r="DO76" i="3"/>
  <c r="DO47" i="3" s="1"/>
  <c r="DO110" i="3" a="1"/>
  <c r="DO110" i="3" s="1"/>
  <c r="DO54" i="3"/>
  <c r="DO36" i="3" s="1"/>
  <c r="DP4" i="3"/>
  <c r="DO14" i="3"/>
  <c r="DO61" i="3"/>
  <c r="DO17" i="3"/>
  <c r="DO16" i="3"/>
  <c r="DO12" i="3"/>
  <c r="DO41" i="3"/>
  <c r="DO80" i="3"/>
  <c r="DO62" i="3" s="1"/>
  <c r="DP8" i="7"/>
  <c r="DP8" i="11"/>
  <c r="DP15" i="6"/>
  <c r="DP16" i="6"/>
  <c r="DP17" i="6"/>
  <c r="DP16" i="7"/>
  <c r="DP12" i="7"/>
  <c r="DP13" i="7"/>
  <c r="DP11" i="7"/>
  <c r="DP11" i="2"/>
  <c r="DP13" i="6"/>
  <c r="DP14" i="6"/>
  <c r="DP15" i="7"/>
  <c r="DO12" i="11"/>
  <c r="DO12" i="2"/>
  <c r="DO18" i="6"/>
  <c r="DP7" i="6"/>
  <c r="DP11" i="6"/>
  <c r="DP7" i="2"/>
  <c r="DP6" i="2"/>
  <c r="DP5" i="2"/>
  <c r="DP10" i="2"/>
  <c r="DP10" i="11"/>
  <c r="DP5" i="11"/>
  <c r="DO17" i="7"/>
  <c r="DP8" i="2"/>
  <c r="DP6" i="7"/>
  <c r="DP10" i="7"/>
  <c r="DP7" i="7"/>
  <c r="DP5" i="7"/>
  <c r="DP9" i="11"/>
  <c r="DP6" i="11"/>
  <c r="DP7" i="11"/>
  <c r="DP11" i="11"/>
  <c r="DP6" i="6"/>
  <c r="DP5" i="6"/>
  <c r="DP12" i="6"/>
  <c r="DP9" i="6"/>
  <c r="DP10" i="6"/>
  <c r="DP8" i="6"/>
  <c r="DQ4" i="11"/>
  <c r="DQ4" i="6"/>
  <c r="DQ4" i="7"/>
  <c r="DQ4" i="2"/>
  <c r="DQ9" i="2" s="1"/>
  <c r="DM20" i="3" l="1" a="1"/>
  <c r="DM20" i="3" s="1"/>
  <c r="DO10" i="38"/>
  <c r="DO16" i="38"/>
  <c r="DO9" i="38"/>
  <c r="DO11" i="38"/>
  <c r="DO15" i="38"/>
  <c r="DO18" i="38"/>
  <c r="DO22" i="38"/>
  <c r="DO24" i="38"/>
  <c r="DO19" i="38"/>
  <c r="DO21" i="38"/>
  <c r="DO17" i="38"/>
  <c r="DO20" i="38"/>
  <c r="DO26" i="38"/>
  <c r="DO28" i="38"/>
  <c r="DO27" i="38"/>
  <c r="DO29" i="38"/>
  <c r="DO30" i="38"/>
  <c r="DO32" i="38"/>
  <c r="DO34" i="38"/>
  <c r="DO36" i="38"/>
  <c r="DO31" i="38"/>
  <c r="DO33" i="38"/>
  <c r="DO25" i="38"/>
  <c r="DO35" i="38"/>
  <c r="DO37" i="38"/>
  <c r="DO38" i="38"/>
  <c r="DO44" i="38"/>
  <c r="DO46" i="38"/>
  <c r="DO50" i="38"/>
  <c r="DO39" i="38"/>
  <c r="DO41" i="38"/>
  <c r="DO43" i="38"/>
  <c r="DO45" i="38"/>
  <c r="DO49" i="38"/>
  <c r="DO53" i="38"/>
  <c r="DO55" i="38"/>
  <c r="DO52" i="38"/>
  <c r="DO51" i="38"/>
  <c r="DO57" i="38"/>
  <c r="DO54" i="38"/>
  <c r="DO58" i="38"/>
  <c r="DO60" i="38"/>
  <c r="DO62" i="38"/>
  <c r="DO56" i="38"/>
  <c r="DO59" i="38"/>
  <c r="DO61" i="38"/>
  <c r="DO63" i="38"/>
  <c r="DO65" i="38"/>
  <c r="DO67" i="38"/>
  <c r="DO71" i="38"/>
  <c r="DO73" i="38"/>
  <c r="DO75" i="38"/>
  <c r="DO64" i="38"/>
  <c r="DO66" i="38"/>
  <c r="DO72" i="38"/>
  <c r="DO74" i="38"/>
  <c r="DO77" i="38"/>
  <c r="DO79" i="38"/>
  <c r="DO81" i="38"/>
  <c r="DO83" i="38"/>
  <c r="DO76" i="38"/>
  <c r="DO78" i="38"/>
  <c r="DO80" i="38"/>
  <c r="DO82" i="38"/>
  <c r="DO84" i="38"/>
  <c r="DO86" i="38"/>
  <c r="DM89" i="38"/>
  <c r="DH22" i="9" s="1"/>
  <c r="DH21" i="9" s="1"/>
  <c r="DH23" i="9" s="1"/>
  <c r="DI17" i="9"/>
  <c r="DK18" i="9"/>
  <c r="DN87" i="38"/>
  <c r="DI24" i="9" s="1"/>
  <c r="DH36" i="9"/>
  <c r="DH37" i="9"/>
  <c r="DH25" i="9"/>
  <c r="DH26" i="9"/>
  <c r="DH28" i="9"/>
  <c r="DH27" i="9"/>
  <c r="DI16" i="9"/>
  <c r="DH29" i="9"/>
  <c r="DP8" i="38"/>
  <c r="DK9" i="9"/>
  <c r="DQ9" i="7"/>
  <c r="DQ14" i="7"/>
  <c r="DK14" i="9"/>
  <c r="DJ38" i="9"/>
  <c r="DJ41" i="9"/>
  <c r="DL22" i="3"/>
  <c r="DJ20" i="9"/>
  <c r="DN100" i="3"/>
  <c r="DN93" i="3"/>
  <c r="DL13" i="9"/>
  <c r="DO120" i="3"/>
  <c r="DJ34" i="9"/>
  <c r="DJ44" i="9"/>
  <c r="DJ42" i="9"/>
  <c r="DJ46" i="9"/>
  <c r="DJ39" i="9"/>
  <c r="DJ48" i="9"/>
  <c r="DJ35" i="9"/>
  <c r="DJ43" i="9"/>
  <c r="DK12" i="9"/>
  <c r="DL15" i="9"/>
  <c r="DK11" i="9"/>
  <c r="DK40" i="9" s="1"/>
  <c r="DK10" i="9"/>
  <c r="DK58" i="9" a="1"/>
  <c r="DK58" i="9" s="1"/>
  <c r="DJ62" i="9"/>
  <c r="DM21" i="3" s="1" a="1"/>
  <c r="DM21" i="3" s="1"/>
  <c r="DM22" i="3" s="1"/>
  <c r="DP2" i="3"/>
  <c r="DO72" i="3"/>
  <c r="DP3" i="3"/>
  <c r="DP59" i="3"/>
  <c r="DP80" i="3"/>
  <c r="DP62" i="3" s="1"/>
  <c r="DP5" i="3"/>
  <c r="DP17" i="3"/>
  <c r="DP61" i="3"/>
  <c r="DP12" i="3"/>
  <c r="DP18" i="3"/>
  <c r="DP28" i="3" s="1"/>
  <c r="DP13" i="3"/>
  <c r="DP110" i="3" a="1"/>
  <c r="DP110" i="3" s="1"/>
  <c r="DP14" i="3"/>
  <c r="DP60" i="3"/>
  <c r="DP54" i="3"/>
  <c r="DP36" i="3" s="1"/>
  <c r="DP16" i="3"/>
  <c r="DP76" i="3"/>
  <c r="DP47" i="3" s="1"/>
  <c r="DQ4" i="3"/>
  <c r="DP41" i="3"/>
  <c r="DQ8" i="7"/>
  <c r="DQ8" i="11"/>
  <c r="DQ15" i="6"/>
  <c r="DQ16" i="6"/>
  <c r="DQ17" i="6"/>
  <c r="DQ16" i="7"/>
  <c r="DQ11" i="7"/>
  <c r="DQ13" i="7"/>
  <c r="DQ12" i="7"/>
  <c r="BG47" i="9"/>
  <c r="BG55" i="9"/>
  <c r="BG56" i="9" s="1"/>
  <c r="BJ25" i="3" s="1" a="1"/>
  <c r="BJ25" i="3" s="1"/>
  <c r="DQ11" i="2"/>
  <c r="DQ14" i="6"/>
  <c r="DQ13" i="6"/>
  <c r="DQ15" i="7"/>
  <c r="DP12" i="11"/>
  <c r="DP12" i="2"/>
  <c r="DP18" i="6"/>
  <c r="DQ7" i="6"/>
  <c r="DQ11" i="6"/>
  <c r="DQ6" i="2"/>
  <c r="DQ7" i="2"/>
  <c r="DQ5" i="2"/>
  <c r="DQ10" i="2"/>
  <c r="DQ10" i="11"/>
  <c r="DQ5" i="11"/>
  <c r="DP17" i="7"/>
  <c r="DQ7" i="7"/>
  <c r="DQ5" i="7"/>
  <c r="DQ6" i="7"/>
  <c r="DQ10" i="7"/>
  <c r="DQ8" i="2"/>
  <c r="DQ5" i="6"/>
  <c r="DQ12" i="6"/>
  <c r="DQ8" i="6"/>
  <c r="DQ9" i="6"/>
  <c r="DQ10" i="6"/>
  <c r="DQ6" i="6"/>
  <c r="DR4" i="11"/>
  <c r="DR4" i="6"/>
  <c r="DR4" i="7"/>
  <c r="DR4" i="2"/>
  <c r="DR9" i="2" s="1"/>
  <c r="DQ11" i="11"/>
  <c r="DQ9" i="11"/>
  <c r="DQ6" i="11"/>
  <c r="DQ7" i="11"/>
  <c r="DP10" i="38" l="1"/>
  <c r="DP16" i="38"/>
  <c r="DP9" i="38"/>
  <c r="DP11" i="38"/>
  <c r="DP15" i="38"/>
  <c r="DP18" i="38"/>
  <c r="DP22" i="38"/>
  <c r="DP19" i="38"/>
  <c r="DP21" i="38"/>
  <c r="DP20" i="38"/>
  <c r="DP25" i="38"/>
  <c r="DP17" i="38"/>
  <c r="DP24" i="38"/>
  <c r="DP27" i="38"/>
  <c r="DP29" i="38"/>
  <c r="DP30" i="38"/>
  <c r="DP32" i="38"/>
  <c r="DP34" i="38"/>
  <c r="DP28" i="38"/>
  <c r="DP36" i="38"/>
  <c r="DP35" i="38"/>
  <c r="DP37" i="38"/>
  <c r="DP26" i="38"/>
  <c r="DP31" i="38"/>
  <c r="DP33" i="38"/>
  <c r="DP44" i="38"/>
  <c r="DP46" i="38"/>
  <c r="DP50" i="38"/>
  <c r="DP38" i="38"/>
  <c r="DP39" i="38"/>
  <c r="DP43" i="38"/>
  <c r="DP53" i="38"/>
  <c r="DP55" i="38"/>
  <c r="DP57" i="38"/>
  <c r="DP45" i="38"/>
  <c r="DP49" i="38"/>
  <c r="DP41" i="38"/>
  <c r="DP52" i="38"/>
  <c r="DP54" i="38"/>
  <c r="DP56" i="38"/>
  <c r="DP51" i="38"/>
  <c r="DP58" i="38"/>
  <c r="DP60" i="38"/>
  <c r="DP62" i="38"/>
  <c r="DP64" i="38"/>
  <c r="DP59" i="38"/>
  <c r="DP65" i="38"/>
  <c r="DP67" i="38"/>
  <c r="DP71" i="38"/>
  <c r="DP73" i="38"/>
  <c r="DP63" i="38"/>
  <c r="DP61" i="38"/>
  <c r="DP66" i="38"/>
  <c r="DP72" i="38"/>
  <c r="DP77" i="38"/>
  <c r="DP79" i="38"/>
  <c r="DP81" i="38"/>
  <c r="DP83" i="38"/>
  <c r="DP74" i="38"/>
  <c r="DP75" i="38"/>
  <c r="DP76" i="38"/>
  <c r="DP78" i="38"/>
  <c r="DP80" i="38"/>
  <c r="DP82" i="38"/>
  <c r="DP84" i="38"/>
  <c r="DP86" i="38"/>
  <c r="DJ16" i="9"/>
  <c r="DJ17" i="9"/>
  <c r="DN89" i="38"/>
  <c r="DI22" i="9" s="1"/>
  <c r="DI21" i="9" s="1"/>
  <c r="DI23" i="9" s="1"/>
  <c r="DI36" i="9"/>
  <c r="DI37" i="9"/>
  <c r="DI27" i="9"/>
  <c r="DI25" i="9"/>
  <c r="DI26" i="9"/>
  <c r="DI28" i="9"/>
  <c r="DO87" i="38"/>
  <c r="DO89" i="38" s="1"/>
  <c r="DJ22" i="9" s="1"/>
  <c r="DL18" i="9"/>
  <c r="BH30" i="9"/>
  <c r="BH31" i="9" s="1"/>
  <c r="BK109" i="3" s="1" a="1"/>
  <c r="BK109" i="3" s="1"/>
  <c r="BK111" i="3" s="1"/>
  <c r="BK112" i="3" s="1"/>
  <c r="DI29" i="9"/>
  <c r="DQ8" i="38"/>
  <c r="DL9" i="9"/>
  <c r="DR9" i="7"/>
  <c r="DR14" i="7"/>
  <c r="DK38" i="9"/>
  <c r="DK41" i="9"/>
  <c r="DL14" i="9"/>
  <c r="DK62" i="9"/>
  <c r="DN21" i="3" s="1" a="1"/>
  <c r="DN21" i="3" s="1"/>
  <c r="DK20" i="9"/>
  <c r="DO100" i="3"/>
  <c r="DO93" i="3"/>
  <c r="DM13" i="9"/>
  <c r="DP120" i="3"/>
  <c r="DM15" i="9"/>
  <c r="DL12" i="9"/>
  <c r="DL11" i="9"/>
  <c r="DL40" i="9" s="1"/>
  <c r="DL10" i="9"/>
  <c r="DL58" i="9" a="1"/>
  <c r="DL58" i="9" s="1"/>
  <c r="DK42" i="9"/>
  <c r="DK48" i="9"/>
  <c r="DK44" i="9"/>
  <c r="DK43" i="9"/>
  <c r="DK39" i="9"/>
  <c r="DK46" i="9"/>
  <c r="DK35" i="9"/>
  <c r="DK34" i="9"/>
  <c r="DN20" i="3" a="1"/>
  <c r="DN20" i="3" s="1"/>
  <c r="DQ3" i="3"/>
  <c r="DQ76" i="3"/>
  <c r="DQ47" i="3" s="1"/>
  <c r="DQ5" i="3"/>
  <c r="DQ12" i="3"/>
  <c r="DQ80" i="3"/>
  <c r="DQ62" i="3" s="1"/>
  <c r="DR4" i="3"/>
  <c r="DQ41" i="3"/>
  <c r="DQ54" i="3"/>
  <c r="DQ36" i="3" s="1"/>
  <c r="DQ59" i="3"/>
  <c r="DQ17" i="3"/>
  <c r="DQ61" i="3"/>
  <c r="DQ18" i="3"/>
  <c r="DQ28" i="3" s="1"/>
  <c r="DQ14" i="3"/>
  <c r="DQ13" i="3"/>
  <c r="DQ60" i="3"/>
  <c r="DQ16" i="3"/>
  <c r="DQ110" i="3" a="1"/>
  <c r="DQ110" i="3" s="1"/>
  <c r="DQ2" i="3"/>
  <c r="DQ120" i="3" s="1"/>
  <c r="DP72" i="3"/>
  <c r="DR8" i="7"/>
  <c r="DR8" i="11"/>
  <c r="DR17" i="6"/>
  <c r="DR15" i="6"/>
  <c r="DR16" i="6"/>
  <c r="DR16" i="7"/>
  <c r="DR11" i="7"/>
  <c r="DR12" i="7"/>
  <c r="DR13" i="7"/>
  <c r="DR11" i="2"/>
  <c r="DR13" i="6"/>
  <c r="DR14" i="6"/>
  <c r="DR15" i="7"/>
  <c r="DQ12" i="2"/>
  <c r="DQ12" i="11"/>
  <c r="DQ18" i="6"/>
  <c r="DR7" i="6"/>
  <c r="DR11" i="6"/>
  <c r="DR7" i="2"/>
  <c r="DR6" i="2"/>
  <c r="DR5" i="2"/>
  <c r="DR10" i="2"/>
  <c r="DR10" i="11"/>
  <c r="DR5" i="11"/>
  <c r="DQ17" i="7"/>
  <c r="DS4" i="11"/>
  <c r="DS4" i="7"/>
  <c r="DS4" i="6"/>
  <c r="DS4" i="2"/>
  <c r="DS9" i="2" s="1"/>
  <c r="DR5" i="6"/>
  <c r="DR10" i="6"/>
  <c r="DR9" i="6"/>
  <c r="DR8" i="6"/>
  <c r="DR12" i="6"/>
  <c r="DR6" i="6"/>
  <c r="DR9" i="11"/>
  <c r="DR7" i="11"/>
  <c r="DR11" i="11"/>
  <c r="DR6" i="11"/>
  <c r="DR8" i="2"/>
  <c r="DR7" i="7"/>
  <c r="DR10" i="7"/>
  <c r="DR5" i="7"/>
  <c r="DR6" i="7"/>
  <c r="DJ24" i="9" l="1"/>
  <c r="DQ10" i="38"/>
  <c r="DQ17" i="38"/>
  <c r="DQ19" i="38"/>
  <c r="DQ9" i="38"/>
  <c r="DQ18" i="38"/>
  <c r="DQ20" i="38"/>
  <c r="DQ11" i="38"/>
  <c r="DQ15" i="38"/>
  <c r="DQ22" i="38"/>
  <c r="DQ24" i="38"/>
  <c r="DQ16" i="38"/>
  <c r="DQ21" i="38"/>
  <c r="DQ25" i="38"/>
  <c r="DQ26" i="38"/>
  <c r="DQ28" i="38"/>
  <c r="DQ27" i="38"/>
  <c r="DQ29" i="38"/>
  <c r="DQ30" i="38"/>
  <c r="DQ32" i="38"/>
  <c r="DQ34" i="38"/>
  <c r="DQ33" i="38"/>
  <c r="DQ36" i="38"/>
  <c r="DQ35" i="38"/>
  <c r="DQ37" i="38"/>
  <c r="DQ31" i="38"/>
  <c r="DQ39" i="38"/>
  <c r="DQ41" i="38"/>
  <c r="DQ43" i="38"/>
  <c r="DQ45" i="38"/>
  <c r="DQ49" i="38"/>
  <c r="DQ51" i="38"/>
  <c r="DQ44" i="38"/>
  <c r="DQ46" i="38"/>
  <c r="DQ50" i="38"/>
  <c r="DQ38" i="38"/>
  <c r="DQ59" i="38"/>
  <c r="DQ61" i="38"/>
  <c r="DQ63" i="38"/>
  <c r="DQ52" i="38"/>
  <c r="DQ53" i="38"/>
  <c r="DQ57" i="38"/>
  <c r="DQ54" i="38"/>
  <c r="DQ58" i="38"/>
  <c r="DQ60" i="38"/>
  <c r="DQ62" i="38"/>
  <c r="DQ55" i="38"/>
  <c r="DQ56" i="38"/>
  <c r="DQ65" i="38"/>
  <c r="DQ67" i="38"/>
  <c r="DQ71" i="38"/>
  <c r="DQ73" i="38"/>
  <c r="DQ64" i="38"/>
  <c r="DQ66" i="38"/>
  <c r="DQ72" i="38"/>
  <c r="DQ74" i="38"/>
  <c r="DQ75" i="38"/>
  <c r="DQ80" i="38"/>
  <c r="DQ81" i="38"/>
  <c r="DQ82" i="38"/>
  <c r="DQ83" i="38"/>
  <c r="DQ77" i="38"/>
  <c r="DQ79" i="38"/>
  <c r="DQ76" i="38"/>
  <c r="DQ78" i="38"/>
  <c r="DQ84" i="38"/>
  <c r="DQ86" i="38"/>
  <c r="DP87" i="38"/>
  <c r="DP89" i="38" s="1"/>
  <c r="DK22" i="9" s="1"/>
  <c r="DK17" i="9"/>
  <c r="DK16" i="9"/>
  <c r="DM18" i="9"/>
  <c r="DJ36" i="9"/>
  <c r="DJ37" i="9"/>
  <c r="DJ28" i="9"/>
  <c r="DJ27" i="9"/>
  <c r="DJ25" i="9"/>
  <c r="DJ26" i="9"/>
  <c r="DJ21" i="9"/>
  <c r="DJ23" i="9" s="1"/>
  <c r="DJ29" i="9"/>
  <c r="DR8" i="38"/>
  <c r="DM9" i="9"/>
  <c r="DS9" i="7"/>
  <c r="DS14" i="7"/>
  <c r="DN22" i="3"/>
  <c r="DM14" i="9"/>
  <c r="DL38" i="9"/>
  <c r="DL41" i="9"/>
  <c r="DL20" i="9"/>
  <c r="DQ100" i="3"/>
  <c r="DQ93" i="3"/>
  <c r="DP100" i="3"/>
  <c r="DP93" i="3"/>
  <c r="DN13" i="9"/>
  <c r="DN15" i="9"/>
  <c r="DM12" i="9"/>
  <c r="DM11" i="9"/>
  <c r="DM40" i="9" s="1"/>
  <c r="DM10" i="9"/>
  <c r="DM58" i="9" a="1"/>
  <c r="DM58" i="9" s="1"/>
  <c r="DL35" i="9"/>
  <c r="DL46" i="9"/>
  <c r="DL34" i="9"/>
  <c r="DL43" i="9"/>
  <c r="DL44" i="9"/>
  <c r="DL48" i="9"/>
  <c r="DL39" i="9"/>
  <c r="DL42" i="9"/>
  <c r="DL62" i="9"/>
  <c r="DO21" i="3" s="1" a="1"/>
  <c r="DO21" i="3" s="1"/>
  <c r="DO20" i="3" a="1"/>
  <c r="DO20" i="3" s="1"/>
  <c r="DQ72" i="3"/>
  <c r="DR2" i="3"/>
  <c r="DR3" i="3"/>
  <c r="DS4" i="3"/>
  <c r="DR80" i="3"/>
  <c r="DR62" i="3" s="1"/>
  <c r="DR18" i="3"/>
  <c r="DR5" i="3"/>
  <c r="DR28" i="3"/>
  <c r="DR54" i="3"/>
  <c r="DR36" i="3" s="1"/>
  <c r="DR110" i="3" a="1"/>
  <c r="DR110" i="3" s="1"/>
  <c r="DR12" i="3"/>
  <c r="DR61" i="3"/>
  <c r="DR13" i="3"/>
  <c r="DR41" i="3"/>
  <c r="DR14" i="3"/>
  <c r="DR60" i="3"/>
  <c r="DR76" i="3"/>
  <c r="DR47" i="3" s="1"/>
  <c r="DR16" i="3"/>
  <c r="DR17" i="3"/>
  <c r="DR59" i="3"/>
  <c r="DS8" i="7"/>
  <c r="DS8" i="11"/>
  <c r="DS17" i="6"/>
  <c r="DS15" i="6"/>
  <c r="DS16" i="6"/>
  <c r="DS16" i="7"/>
  <c r="DS13" i="7"/>
  <c r="DS11" i="7"/>
  <c r="DS12" i="7"/>
  <c r="BH47" i="9"/>
  <c r="BH55" i="9"/>
  <c r="BH56" i="9" s="1"/>
  <c r="BK25" i="3" s="1" a="1"/>
  <c r="BK25" i="3" s="1"/>
  <c r="DS11" i="2"/>
  <c r="DS14" i="6"/>
  <c r="DS13" i="6"/>
  <c r="DS15" i="7"/>
  <c r="DR12" i="11"/>
  <c r="DR12" i="2"/>
  <c r="DR18" i="6"/>
  <c r="DS7" i="6"/>
  <c r="DS11" i="6"/>
  <c r="DS7" i="2"/>
  <c r="DS6" i="2"/>
  <c r="DS5" i="2"/>
  <c r="DS10" i="2"/>
  <c r="DS10" i="11"/>
  <c r="DS5" i="11"/>
  <c r="DS8" i="2"/>
  <c r="DT4" i="11"/>
  <c r="DT4" i="7"/>
  <c r="DT4" i="6"/>
  <c r="DT4" i="2"/>
  <c r="DT9" i="2" s="1"/>
  <c r="DS5" i="7"/>
  <c r="DS6" i="7"/>
  <c r="DS7" i="7"/>
  <c r="DS10" i="7"/>
  <c r="DS9" i="11"/>
  <c r="DS7" i="11"/>
  <c r="DS6" i="11"/>
  <c r="DS11" i="11"/>
  <c r="DR17" i="7"/>
  <c r="DS5" i="6"/>
  <c r="DS10" i="6"/>
  <c r="DS6" i="6"/>
  <c r="DS12" i="6"/>
  <c r="DS8" i="6"/>
  <c r="DS9" i="6"/>
  <c r="DR9" i="38" l="1"/>
  <c r="DR11" i="38"/>
  <c r="DR15" i="38"/>
  <c r="DR10" i="38"/>
  <c r="DR16" i="38"/>
  <c r="DR17" i="38"/>
  <c r="DR19" i="38"/>
  <c r="DR18" i="38"/>
  <c r="DR20" i="38"/>
  <c r="DR22" i="38"/>
  <c r="DR25" i="38"/>
  <c r="DR26" i="38"/>
  <c r="DR21" i="38"/>
  <c r="DR24" i="38"/>
  <c r="DR28" i="38"/>
  <c r="DR31" i="38"/>
  <c r="DR33" i="38"/>
  <c r="DR27" i="38"/>
  <c r="DR29" i="38"/>
  <c r="DR30" i="38"/>
  <c r="DR32" i="38"/>
  <c r="DR38" i="38"/>
  <c r="DR36" i="38"/>
  <c r="DR35" i="38"/>
  <c r="DR37" i="38"/>
  <c r="DR34" i="38"/>
  <c r="DR39" i="38"/>
  <c r="DR41" i="38"/>
  <c r="DR43" i="38"/>
  <c r="DR45" i="38"/>
  <c r="DR49" i="38"/>
  <c r="DR51" i="38"/>
  <c r="DR44" i="38"/>
  <c r="DR46" i="38"/>
  <c r="DR50" i="38"/>
  <c r="DR53" i="38"/>
  <c r="DR55" i="38"/>
  <c r="DR57" i="38"/>
  <c r="DR52" i="38"/>
  <c r="DR54" i="38"/>
  <c r="DR56" i="38"/>
  <c r="DR59" i="38"/>
  <c r="DR61" i="38"/>
  <c r="DR58" i="38"/>
  <c r="DR60" i="38"/>
  <c r="DR65" i="38"/>
  <c r="DR67" i="38"/>
  <c r="DR71" i="38"/>
  <c r="DR73" i="38"/>
  <c r="DR75" i="38"/>
  <c r="DR63" i="38"/>
  <c r="DR62" i="38"/>
  <c r="DR64" i="38"/>
  <c r="DR66" i="38"/>
  <c r="DR76" i="38"/>
  <c r="DR78" i="38"/>
  <c r="DR80" i="38"/>
  <c r="DR82" i="38"/>
  <c r="DR77" i="38"/>
  <c r="DR79" i="38"/>
  <c r="DR81" i="38"/>
  <c r="DR83" i="38"/>
  <c r="DR72" i="38"/>
  <c r="DR74" i="38"/>
  <c r="DR84" i="38"/>
  <c r="DR86" i="38"/>
  <c r="DK24" i="9"/>
  <c r="DK29" i="9" s="1"/>
  <c r="DK37" i="9"/>
  <c r="DK36" i="9"/>
  <c r="DK25" i="9"/>
  <c r="DK28" i="9"/>
  <c r="DK27" i="9"/>
  <c r="DK26" i="9"/>
  <c r="DN18" i="9"/>
  <c r="DQ87" i="38"/>
  <c r="DL24" i="9" s="1"/>
  <c r="DL16" i="9"/>
  <c r="DL17" i="9"/>
  <c r="BI30" i="9"/>
  <c r="BI31" i="9" s="1"/>
  <c r="BI55" i="9" s="1"/>
  <c r="BI56" i="9" s="1"/>
  <c r="BL25" i="3" s="1" a="1"/>
  <c r="BL25" i="3" s="1"/>
  <c r="DS8" i="38"/>
  <c r="DN9" i="9"/>
  <c r="DT9" i="7"/>
  <c r="DT14" i="7"/>
  <c r="DM38" i="9"/>
  <c r="DM41" i="9"/>
  <c r="DN14" i="9"/>
  <c r="DM20" i="9"/>
  <c r="DO13" i="9"/>
  <c r="DR120" i="3"/>
  <c r="DR93" i="3" s="1"/>
  <c r="DM62" i="9"/>
  <c r="DP21" i="3" s="1" a="1"/>
  <c r="DP21" i="3" s="1"/>
  <c r="DO22" i="3"/>
  <c r="DM39" i="9"/>
  <c r="DM43" i="9"/>
  <c r="DM46" i="9"/>
  <c r="DM42" i="9"/>
  <c r="DM35" i="9"/>
  <c r="DM48" i="9"/>
  <c r="DM34" i="9"/>
  <c r="DM44" i="9"/>
  <c r="DO15" i="9"/>
  <c r="DN12" i="9"/>
  <c r="DN11" i="9"/>
  <c r="DN40" i="9" s="1"/>
  <c r="DN10" i="9"/>
  <c r="DN58" i="9" a="1"/>
  <c r="DN58" i="9" s="1"/>
  <c r="DP20" i="3" a="1"/>
  <c r="DP20" i="3" s="1"/>
  <c r="DS2" i="3"/>
  <c r="DS18" i="3"/>
  <c r="DS28" i="3" s="1"/>
  <c r="DS54" i="3"/>
  <c r="DS36" i="3" s="1"/>
  <c r="DS80" i="3"/>
  <c r="DS62" i="3" s="1"/>
  <c r="DS3" i="3"/>
  <c r="DS12" i="3"/>
  <c r="DS59" i="3"/>
  <c r="DS5" i="3"/>
  <c r="DT4" i="3"/>
  <c r="DS60" i="3"/>
  <c r="DS110" i="3" a="1"/>
  <c r="DS110" i="3" s="1"/>
  <c r="DS14" i="3"/>
  <c r="DS16" i="3"/>
  <c r="DS61" i="3"/>
  <c r="DS17" i="3"/>
  <c r="DS41" i="3"/>
  <c r="DS13" i="3"/>
  <c r="DS76" i="3"/>
  <c r="DS47" i="3" s="1"/>
  <c r="DR72" i="3"/>
  <c r="DT8" i="7"/>
  <c r="DT8" i="11"/>
  <c r="DT15" i="6"/>
  <c r="DT16" i="6"/>
  <c r="DT17" i="6"/>
  <c r="DT16" i="7"/>
  <c r="DT12" i="7"/>
  <c r="DT13" i="7"/>
  <c r="DT11" i="7"/>
  <c r="DT11" i="2"/>
  <c r="DT13" i="6"/>
  <c r="DT14" i="6"/>
  <c r="DT15" i="7"/>
  <c r="DS12" i="2"/>
  <c r="DS12" i="11"/>
  <c r="DS18" i="6"/>
  <c r="DT7" i="6"/>
  <c r="DT11" i="6"/>
  <c r="DT7" i="2"/>
  <c r="DT6" i="2"/>
  <c r="DT5" i="2"/>
  <c r="DT10" i="2"/>
  <c r="DT10" i="11"/>
  <c r="DT5" i="11"/>
  <c r="DT6" i="6"/>
  <c r="DT5" i="6"/>
  <c r="DT10" i="6"/>
  <c r="DT12" i="6"/>
  <c r="DT9" i="6"/>
  <c r="DT8" i="6"/>
  <c r="DU4" i="11"/>
  <c r="DU4" i="6"/>
  <c r="DU4" i="7"/>
  <c r="DU4" i="2"/>
  <c r="DU9" i="2" s="1"/>
  <c r="DT6" i="7"/>
  <c r="DT10" i="7"/>
  <c r="DT5" i="7"/>
  <c r="DT7" i="7"/>
  <c r="DS17" i="7"/>
  <c r="DT8" i="2"/>
  <c r="DT9" i="11"/>
  <c r="DT11" i="11"/>
  <c r="DT7" i="11"/>
  <c r="DT6" i="11"/>
  <c r="DK21" i="9" l="1"/>
  <c r="DK23" i="9" s="1"/>
  <c r="DS9" i="38"/>
  <c r="DS11" i="38"/>
  <c r="DS15" i="38"/>
  <c r="DS10" i="38"/>
  <c r="DS17" i="38"/>
  <c r="DS16" i="38"/>
  <c r="DS20" i="38"/>
  <c r="DS21" i="38"/>
  <c r="DS25" i="38"/>
  <c r="DS18" i="38"/>
  <c r="DS22" i="38"/>
  <c r="DS24" i="38"/>
  <c r="DS19" i="38"/>
  <c r="DS27" i="38"/>
  <c r="DS29" i="38"/>
  <c r="DS26" i="38"/>
  <c r="DS28" i="38"/>
  <c r="DS31" i="38"/>
  <c r="DS33" i="38"/>
  <c r="DS35" i="38"/>
  <c r="DS30" i="38"/>
  <c r="DS32" i="38"/>
  <c r="DS34" i="38"/>
  <c r="DS38" i="38"/>
  <c r="DS36" i="38"/>
  <c r="DS37" i="38"/>
  <c r="DS39" i="38"/>
  <c r="DS41" i="38"/>
  <c r="DS43" i="38"/>
  <c r="DS45" i="38"/>
  <c r="DS49" i="38"/>
  <c r="DS51" i="38"/>
  <c r="DS44" i="38"/>
  <c r="DS46" i="38"/>
  <c r="DS50" i="38"/>
  <c r="DS52" i="38"/>
  <c r="DS54" i="38"/>
  <c r="DS56" i="38"/>
  <c r="DS53" i="38"/>
  <c r="DS59" i="38"/>
  <c r="DS61" i="38"/>
  <c r="DS63" i="38"/>
  <c r="DS57" i="38"/>
  <c r="DS55" i="38"/>
  <c r="DS58" i="38"/>
  <c r="DS60" i="38"/>
  <c r="DS62" i="38"/>
  <c r="DS66" i="38"/>
  <c r="DS72" i="38"/>
  <c r="DS74" i="38"/>
  <c r="DS65" i="38"/>
  <c r="DS67" i="38"/>
  <c r="DS71" i="38"/>
  <c r="DS73" i="38"/>
  <c r="DS75" i="38"/>
  <c r="DS64" i="38"/>
  <c r="DS76" i="38"/>
  <c r="DS78" i="38"/>
  <c r="DS80" i="38"/>
  <c r="DS82" i="38"/>
  <c r="DS77" i="38"/>
  <c r="DS79" i="38"/>
  <c r="DS81" i="38"/>
  <c r="DS83" i="38"/>
  <c r="DS84" i="38"/>
  <c r="DS86" i="38"/>
  <c r="DM16" i="9"/>
  <c r="DM17" i="9"/>
  <c r="DQ89" i="38"/>
  <c r="DL22" i="9" s="1"/>
  <c r="DL21" i="9" s="1"/>
  <c r="DL23" i="9" s="1"/>
  <c r="DR87" i="38"/>
  <c r="DR89" i="38" s="1"/>
  <c r="DM22" i="9" s="1"/>
  <c r="DO18" i="9"/>
  <c r="DL37" i="9"/>
  <c r="DL36" i="9"/>
  <c r="DL26" i="9"/>
  <c r="DL25" i="9"/>
  <c r="DL28" i="9"/>
  <c r="DL27" i="9"/>
  <c r="DL29" i="9"/>
  <c r="DT8" i="38"/>
  <c r="DO9" i="9"/>
  <c r="DU9" i="7"/>
  <c r="DU14" i="7"/>
  <c r="DN38" i="9"/>
  <c r="DN41" i="9"/>
  <c r="DO14" i="9"/>
  <c r="DP22" i="3"/>
  <c r="DN20" i="9"/>
  <c r="DN62" i="9"/>
  <c r="DQ21" i="3" s="1" a="1"/>
  <c r="DQ21" i="3" s="1"/>
  <c r="DR100" i="3"/>
  <c r="DP13" i="9"/>
  <c r="DS120" i="3"/>
  <c r="DS72" i="3"/>
  <c r="DN46" i="9"/>
  <c r="DN42" i="9"/>
  <c r="DN39" i="9"/>
  <c r="DN43" i="9"/>
  <c r="DN34" i="9"/>
  <c r="DN48" i="9"/>
  <c r="DN44" i="9"/>
  <c r="DN35" i="9"/>
  <c r="DQ20" i="3" a="1"/>
  <c r="DQ20" i="3" s="1"/>
  <c r="DO12" i="9"/>
  <c r="DP15" i="9"/>
  <c r="DO11" i="9"/>
  <c r="DO40" i="9" s="1"/>
  <c r="DO10" i="9"/>
  <c r="DO58" i="9" a="1"/>
  <c r="DO58" i="9" s="1"/>
  <c r="DT2" i="3"/>
  <c r="DT120" i="3" s="1"/>
  <c r="DT13" i="3"/>
  <c r="DT28" i="3"/>
  <c r="DT110" i="3" a="1"/>
  <c r="DT110" i="3" s="1"/>
  <c r="DU4" i="3"/>
  <c r="DT17" i="3"/>
  <c r="DT54" i="3"/>
  <c r="DT36" i="3" s="1"/>
  <c r="DT12" i="3"/>
  <c r="DT3" i="3"/>
  <c r="DT76" i="3"/>
  <c r="DT47" i="3" s="1"/>
  <c r="DT60" i="3"/>
  <c r="DT5" i="3"/>
  <c r="DT41" i="3"/>
  <c r="DT80" i="3"/>
  <c r="DT62" i="3" s="1"/>
  <c r="DT59" i="3"/>
  <c r="DT14" i="3"/>
  <c r="DT16" i="3"/>
  <c r="DT18" i="3"/>
  <c r="DT61" i="3"/>
  <c r="DU8" i="7"/>
  <c r="DU8" i="11"/>
  <c r="DU15" i="6"/>
  <c r="DU16" i="6"/>
  <c r="DU17" i="6"/>
  <c r="DU16" i="7"/>
  <c r="DU11" i="7"/>
  <c r="DU12" i="7"/>
  <c r="DU13" i="7"/>
  <c r="BL109" i="3" a="1"/>
  <c r="BL109" i="3" s="1"/>
  <c r="BL111" i="3" s="1"/>
  <c r="BL112" i="3" s="1"/>
  <c r="BI47" i="9"/>
  <c r="DU11" i="2"/>
  <c r="DU14" i="6"/>
  <c r="DU13" i="6"/>
  <c r="DU15" i="7"/>
  <c r="DT12" i="2"/>
  <c r="DT12" i="11"/>
  <c r="DT18" i="6"/>
  <c r="DU7" i="6"/>
  <c r="DU11" i="6"/>
  <c r="DU6" i="2"/>
  <c r="DU7" i="2"/>
  <c r="DU5" i="2"/>
  <c r="DU10" i="2"/>
  <c r="DU10" i="11"/>
  <c r="DU5" i="11"/>
  <c r="DT17" i="7"/>
  <c r="DV4" i="11"/>
  <c r="DV4" i="6"/>
  <c r="DV4" i="7"/>
  <c r="DV4" i="2"/>
  <c r="DV9" i="2" s="1"/>
  <c r="DU10" i="6"/>
  <c r="DU6" i="6"/>
  <c r="DU5" i="6"/>
  <c r="DU12" i="6"/>
  <c r="DU9" i="6"/>
  <c r="DU8" i="6"/>
  <c r="DU8" i="2"/>
  <c r="DU7" i="11"/>
  <c r="DU11" i="11"/>
  <c r="DU6" i="11"/>
  <c r="DU9" i="11"/>
  <c r="DU10" i="7"/>
  <c r="DU7" i="7"/>
  <c r="DU5" i="7"/>
  <c r="DU6" i="7"/>
  <c r="DR20" i="3" l="1" a="1"/>
  <c r="DR20" i="3" s="1"/>
  <c r="DT9" i="38"/>
  <c r="DT11" i="38"/>
  <c r="DT15" i="38"/>
  <c r="DT10" i="38"/>
  <c r="DT16" i="38"/>
  <c r="DT17" i="38"/>
  <c r="DT20" i="38"/>
  <c r="DT21" i="38"/>
  <c r="DT18" i="38"/>
  <c r="DT22" i="38"/>
  <c r="DT19" i="38"/>
  <c r="DT25" i="38"/>
  <c r="DT26" i="38"/>
  <c r="DT28" i="38"/>
  <c r="DT31" i="38"/>
  <c r="DT33" i="38"/>
  <c r="DT35" i="38"/>
  <c r="DT27" i="38"/>
  <c r="DT24" i="38"/>
  <c r="DT29" i="38"/>
  <c r="DT38" i="38"/>
  <c r="DT30" i="38"/>
  <c r="DT36" i="38"/>
  <c r="DT37" i="38"/>
  <c r="DT39" i="38"/>
  <c r="DT41" i="38"/>
  <c r="DT43" i="38"/>
  <c r="DT45" i="38"/>
  <c r="DT49" i="38"/>
  <c r="DT32" i="38"/>
  <c r="DT51" i="38"/>
  <c r="DT52" i="38"/>
  <c r="DT54" i="38"/>
  <c r="DT56" i="38"/>
  <c r="DT44" i="38"/>
  <c r="DT34" i="38"/>
  <c r="DT46" i="38"/>
  <c r="DT53" i="38"/>
  <c r="DT55" i="38"/>
  <c r="DT57" i="38"/>
  <c r="DT50" i="38"/>
  <c r="DT59" i="38"/>
  <c r="DT61" i="38"/>
  <c r="DT63" i="38"/>
  <c r="DT64" i="38"/>
  <c r="DT58" i="38"/>
  <c r="DT66" i="38"/>
  <c r="DT72" i="38"/>
  <c r="DT74" i="38"/>
  <c r="DT60" i="38"/>
  <c r="DT65" i="38"/>
  <c r="DT67" i="38"/>
  <c r="DT71" i="38"/>
  <c r="DT73" i="38"/>
  <c r="DT62" i="38"/>
  <c r="DT75" i="38"/>
  <c r="DT76" i="38"/>
  <c r="DT78" i="38"/>
  <c r="DT80" i="38"/>
  <c r="DT82" i="38"/>
  <c r="DT77" i="38"/>
  <c r="DT79" i="38"/>
  <c r="DT81" i="38"/>
  <c r="DT83" i="38"/>
  <c r="DT84" i="38"/>
  <c r="DT86" i="38"/>
  <c r="DM24" i="9"/>
  <c r="DM21" i="9" s="1"/>
  <c r="DM23" i="9" s="1"/>
  <c r="DN16" i="9"/>
  <c r="DN26" i="9" s="1"/>
  <c r="DN17" i="9"/>
  <c r="DS87" i="38"/>
  <c r="DN24" i="9" s="1"/>
  <c r="DP18" i="9"/>
  <c r="DM37" i="9"/>
  <c r="DM36" i="9"/>
  <c r="DM26" i="9"/>
  <c r="DM27" i="9"/>
  <c r="DM28" i="9"/>
  <c r="DM25" i="9"/>
  <c r="BJ30" i="9"/>
  <c r="BJ31" i="9" s="1"/>
  <c r="BJ55" i="9" s="1"/>
  <c r="BJ56" i="9" s="1"/>
  <c r="BM25" i="3" s="1" a="1"/>
  <c r="BM25" i="3" s="1"/>
  <c r="DM29" i="9"/>
  <c r="DU8" i="38"/>
  <c r="DP9" i="9"/>
  <c r="DV9" i="7"/>
  <c r="DV14" i="7"/>
  <c r="DP14" i="9"/>
  <c r="DO38" i="9"/>
  <c r="DO41" i="9"/>
  <c r="DO20" i="9"/>
  <c r="DQ22" i="3"/>
  <c r="DQ13" i="9"/>
  <c r="DT100" i="3"/>
  <c r="DT93" i="3"/>
  <c r="DS100" i="3"/>
  <c r="DS93" i="3"/>
  <c r="DQ15" i="9"/>
  <c r="DP12" i="9"/>
  <c r="DP11" i="9"/>
  <c r="DP40" i="9" s="1"/>
  <c r="DP10" i="9"/>
  <c r="DP58" i="9" a="1"/>
  <c r="DP58" i="9" s="1"/>
  <c r="DO34" i="9"/>
  <c r="DO42" i="9"/>
  <c r="DO39" i="9"/>
  <c r="DO48" i="9"/>
  <c r="DO35" i="9"/>
  <c r="DO46" i="9"/>
  <c r="DO44" i="9"/>
  <c r="DO43" i="9"/>
  <c r="DO62" i="9"/>
  <c r="DR21" i="3" s="1" a="1"/>
  <c r="DR21" i="3" s="1"/>
  <c r="DR22" i="3" s="1"/>
  <c r="DU2" i="3"/>
  <c r="DU120" i="3" s="1"/>
  <c r="DU18" i="3"/>
  <c r="DU12" i="3"/>
  <c r="DU28" i="3"/>
  <c r="DU14" i="3"/>
  <c r="DU3" i="3"/>
  <c r="DU60" i="3"/>
  <c r="DU80" i="3"/>
  <c r="DU62" i="3" s="1"/>
  <c r="DU41" i="3"/>
  <c r="DU5" i="3"/>
  <c r="DU59" i="3"/>
  <c r="DU110" i="3" a="1"/>
  <c r="DU110" i="3" s="1"/>
  <c r="DV4" i="3"/>
  <c r="DU76" i="3"/>
  <c r="DU47" i="3" s="1"/>
  <c r="DU17" i="3"/>
  <c r="DU16" i="3"/>
  <c r="DU13" i="3"/>
  <c r="DU54" i="3"/>
  <c r="DU36" i="3" s="1"/>
  <c r="DU61" i="3"/>
  <c r="DT72" i="3"/>
  <c r="DV8" i="7"/>
  <c r="DV8" i="11"/>
  <c r="DV15" i="6"/>
  <c r="DV16" i="6"/>
  <c r="DV17" i="6"/>
  <c r="DV16" i="7"/>
  <c r="DV12" i="7"/>
  <c r="DV11" i="7"/>
  <c r="DV13" i="7"/>
  <c r="DV11" i="2"/>
  <c r="DV13" i="6"/>
  <c r="DV14" i="6"/>
  <c r="DV15" i="7"/>
  <c r="DU12" i="11"/>
  <c r="DU12" i="2"/>
  <c r="DU18" i="6"/>
  <c r="DV7" i="6"/>
  <c r="DV11" i="6"/>
  <c r="DV7" i="2"/>
  <c r="DV6" i="2"/>
  <c r="DV5" i="2"/>
  <c r="DV10" i="2"/>
  <c r="DV10" i="11"/>
  <c r="DV5" i="11"/>
  <c r="DU17" i="7"/>
  <c r="DW4" i="11"/>
  <c r="DW4" i="7"/>
  <c r="DW4" i="6"/>
  <c r="DW4" i="2"/>
  <c r="DW9" i="2" s="1"/>
  <c r="DV5" i="6"/>
  <c r="DV12" i="6"/>
  <c r="DV6" i="6"/>
  <c r="DV9" i="6"/>
  <c r="DV8" i="6"/>
  <c r="DV10" i="6"/>
  <c r="DV9" i="11"/>
  <c r="DV7" i="11"/>
  <c r="DV11" i="11"/>
  <c r="DV6" i="11"/>
  <c r="DV8" i="2"/>
  <c r="DV5" i="7"/>
  <c r="DV7" i="7"/>
  <c r="DV10" i="7"/>
  <c r="DV6" i="7"/>
  <c r="DU9" i="38" l="1"/>
  <c r="DU11" i="38"/>
  <c r="DU15" i="38"/>
  <c r="DU18" i="38"/>
  <c r="DU20" i="38"/>
  <c r="DU17" i="38"/>
  <c r="DU19" i="38"/>
  <c r="DU10" i="38"/>
  <c r="DU16" i="38"/>
  <c r="DU21" i="38"/>
  <c r="DU22" i="38"/>
  <c r="DU27" i="38"/>
  <c r="DU25" i="38"/>
  <c r="DU26" i="38"/>
  <c r="DU28" i="38"/>
  <c r="DU31" i="38"/>
  <c r="DU33" i="38"/>
  <c r="DU24" i="38"/>
  <c r="DU32" i="38"/>
  <c r="DU34" i="38"/>
  <c r="DU37" i="38"/>
  <c r="DU29" i="38"/>
  <c r="DU30" i="38"/>
  <c r="DU35" i="38"/>
  <c r="DU44" i="38"/>
  <c r="DU46" i="38"/>
  <c r="DU50" i="38"/>
  <c r="DU36" i="38"/>
  <c r="DU39" i="38"/>
  <c r="DU41" i="38"/>
  <c r="DU43" i="38"/>
  <c r="DU45" i="38"/>
  <c r="DU49" i="38"/>
  <c r="DU51" i="38"/>
  <c r="DU38" i="38"/>
  <c r="DU52" i="38"/>
  <c r="DU58" i="38"/>
  <c r="DU60" i="38"/>
  <c r="DU62" i="38"/>
  <c r="DU56" i="38"/>
  <c r="DU53" i="38"/>
  <c r="DU54" i="38"/>
  <c r="DU57" i="38"/>
  <c r="DU59" i="38"/>
  <c r="DU61" i="38"/>
  <c r="DU55" i="38"/>
  <c r="DU64" i="38"/>
  <c r="DU66" i="38"/>
  <c r="DU72" i="38"/>
  <c r="DU63" i="38"/>
  <c r="DU65" i="38"/>
  <c r="DU67" i="38"/>
  <c r="DU71" i="38"/>
  <c r="DU73" i="38"/>
  <c r="DU75" i="38"/>
  <c r="DU76" i="38"/>
  <c r="DU74" i="38"/>
  <c r="DU79" i="38"/>
  <c r="DU80" i="38"/>
  <c r="DU81" i="38"/>
  <c r="DU84" i="38"/>
  <c r="DU86" i="38"/>
  <c r="DU82" i="38"/>
  <c r="DU83" i="38"/>
  <c r="DU77" i="38"/>
  <c r="DU78" i="38"/>
  <c r="DN25" i="9"/>
  <c r="DS89" i="38"/>
  <c r="DN22" i="9" s="1"/>
  <c r="DN21" i="9" s="1"/>
  <c r="DN23" i="9" s="1"/>
  <c r="DN28" i="9"/>
  <c r="DN37" i="9"/>
  <c r="DN36" i="9"/>
  <c r="DN27" i="9"/>
  <c r="DQ18" i="9"/>
  <c r="DT87" i="38"/>
  <c r="DO24" i="9" s="1"/>
  <c r="DO17" i="9"/>
  <c r="DO16" i="9"/>
  <c r="DN29" i="9"/>
  <c r="DV8" i="38"/>
  <c r="DQ9" i="9"/>
  <c r="DW9" i="7"/>
  <c r="DW14" i="7"/>
  <c r="DP38" i="9"/>
  <c r="DP41" i="9"/>
  <c r="DQ14" i="9"/>
  <c r="DP62" i="9"/>
  <c r="DS21" i="3" s="1" a="1"/>
  <c r="DS21" i="3" s="1"/>
  <c r="DP20" i="9"/>
  <c r="DU100" i="3"/>
  <c r="DU93" i="3"/>
  <c r="DU72" i="3"/>
  <c r="DR13" i="9"/>
  <c r="DS20" i="3" a="1"/>
  <c r="DS20" i="3" s="1"/>
  <c r="DP48" i="9"/>
  <c r="DP42" i="9"/>
  <c r="DP44" i="9"/>
  <c r="DP43" i="9"/>
  <c r="DP34" i="9"/>
  <c r="DP46" i="9"/>
  <c r="DP39" i="9"/>
  <c r="DP35" i="9"/>
  <c r="DR15" i="9"/>
  <c r="DQ12" i="9"/>
  <c r="DQ10" i="9"/>
  <c r="DQ11" i="9"/>
  <c r="DQ40" i="9" s="1"/>
  <c r="DQ58" i="9" a="1"/>
  <c r="DQ58" i="9" s="1"/>
  <c r="DV3" i="3"/>
  <c r="DV28" i="3"/>
  <c r="DV59" i="3"/>
  <c r="DV17" i="3"/>
  <c r="DV5" i="3"/>
  <c r="DV76" i="3"/>
  <c r="DV47" i="3" s="1"/>
  <c r="DW4" i="3"/>
  <c r="DV80" i="3"/>
  <c r="DV62" i="3" s="1"/>
  <c r="DV110" i="3" a="1"/>
  <c r="DV110" i="3" s="1"/>
  <c r="DV16" i="3"/>
  <c r="DV41" i="3"/>
  <c r="DV13" i="3"/>
  <c r="DV60" i="3"/>
  <c r="DV54" i="3"/>
  <c r="DV36" i="3" s="1"/>
  <c r="DV14" i="3"/>
  <c r="DV18" i="3"/>
  <c r="DV12" i="3"/>
  <c r="DV61" i="3"/>
  <c r="DV2" i="3"/>
  <c r="DV120" i="3" s="1"/>
  <c r="DW8" i="7"/>
  <c r="DW8" i="11"/>
  <c r="DW15" i="6"/>
  <c r="DW16" i="6"/>
  <c r="DW17" i="6"/>
  <c r="BM109" i="3" a="1"/>
  <c r="BM109" i="3" s="1"/>
  <c r="BM111" i="3" s="1"/>
  <c r="BM112" i="3" s="1"/>
  <c r="DW16" i="7"/>
  <c r="DW13" i="7"/>
  <c r="DW11" i="7"/>
  <c r="DW12" i="7"/>
  <c r="BJ47" i="9"/>
  <c r="DW11" i="2"/>
  <c r="DW13" i="6"/>
  <c r="DW14" i="6"/>
  <c r="DW15" i="7"/>
  <c r="DV12" i="11"/>
  <c r="DV12" i="2"/>
  <c r="DV18" i="6"/>
  <c r="DW7" i="6"/>
  <c r="DW11" i="6"/>
  <c r="DW6" i="2"/>
  <c r="DW7" i="2"/>
  <c r="DW5" i="2"/>
  <c r="DW10" i="2"/>
  <c r="DW10" i="11"/>
  <c r="DW5" i="11"/>
  <c r="DW6" i="6"/>
  <c r="DW12" i="6"/>
  <c r="DW9" i="6"/>
  <c r="DW8" i="6"/>
  <c r="DW10" i="6"/>
  <c r="DW5" i="6"/>
  <c r="DW8" i="2"/>
  <c r="DV17" i="7"/>
  <c r="DX4" i="11"/>
  <c r="DX4" i="7"/>
  <c r="DX4" i="6"/>
  <c r="DX4" i="2"/>
  <c r="DX9" i="2" s="1"/>
  <c r="DW7" i="7"/>
  <c r="DW5" i="7"/>
  <c r="DW6" i="7"/>
  <c r="DW10" i="7"/>
  <c r="DW9" i="11"/>
  <c r="DW6" i="11"/>
  <c r="DW11" i="11"/>
  <c r="DW7" i="11"/>
  <c r="DV10" i="38" l="1"/>
  <c r="DV16" i="38"/>
  <c r="DV9" i="38"/>
  <c r="DV11" i="38"/>
  <c r="DV15" i="38"/>
  <c r="DV18" i="38"/>
  <c r="DV20" i="38"/>
  <c r="DV17" i="38"/>
  <c r="DV19" i="38"/>
  <c r="DV21" i="38"/>
  <c r="DV24" i="38"/>
  <c r="DV27" i="38"/>
  <c r="DV25" i="38"/>
  <c r="DV30" i="38"/>
  <c r="DV32" i="38"/>
  <c r="DV34" i="38"/>
  <c r="DV26" i="38"/>
  <c r="DV28" i="38"/>
  <c r="DV31" i="38"/>
  <c r="DV33" i="38"/>
  <c r="DV36" i="38"/>
  <c r="DV37" i="38"/>
  <c r="DV22" i="38"/>
  <c r="DV29" i="38"/>
  <c r="DV44" i="38"/>
  <c r="DV46" i="38"/>
  <c r="DV50" i="38"/>
  <c r="DV39" i="38"/>
  <c r="DV41" i="38"/>
  <c r="DV43" i="38"/>
  <c r="DV45" i="38"/>
  <c r="DV49" i="38"/>
  <c r="DV35" i="38"/>
  <c r="DV51" i="38"/>
  <c r="DV52" i="38"/>
  <c r="DV54" i="38"/>
  <c r="DV56" i="38"/>
  <c r="DV38" i="38"/>
  <c r="DV53" i="38"/>
  <c r="DV55" i="38"/>
  <c r="DV58" i="38"/>
  <c r="DV60" i="38"/>
  <c r="DV62" i="38"/>
  <c r="DV57" i="38"/>
  <c r="DV59" i="38"/>
  <c r="DV64" i="38"/>
  <c r="DV66" i="38"/>
  <c r="DV72" i="38"/>
  <c r="DV74" i="38"/>
  <c r="DV61" i="38"/>
  <c r="DV65" i="38"/>
  <c r="DV77" i="38"/>
  <c r="DV79" i="38"/>
  <c r="DV81" i="38"/>
  <c r="DV83" i="38"/>
  <c r="DV67" i="38"/>
  <c r="DV75" i="38"/>
  <c r="DV76" i="38"/>
  <c r="DV78" i="38"/>
  <c r="DV80" i="38"/>
  <c r="DV82" i="38"/>
  <c r="DV71" i="38"/>
  <c r="DV63" i="38"/>
  <c r="DV73" i="38"/>
  <c r="DV84" i="38"/>
  <c r="DV86" i="38"/>
  <c r="DT89" i="38"/>
  <c r="DO22" i="9" s="1"/>
  <c r="DO21" i="9" s="1"/>
  <c r="DO23" i="9" s="1"/>
  <c r="DP17" i="9"/>
  <c r="DP16" i="9"/>
  <c r="DO36" i="9"/>
  <c r="DO37" i="9"/>
  <c r="DO27" i="9"/>
  <c r="DO28" i="9"/>
  <c r="DO26" i="9"/>
  <c r="DO25" i="9"/>
  <c r="DR18" i="9"/>
  <c r="DU87" i="38"/>
  <c r="DP24" i="9" s="1"/>
  <c r="BK30" i="9"/>
  <c r="BK31" i="9" s="1"/>
  <c r="BN109" i="3" s="1" a="1"/>
  <c r="BN109" i="3" s="1"/>
  <c r="BN111" i="3" s="1"/>
  <c r="BN112" i="3" s="1"/>
  <c r="DO29" i="9"/>
  <c r="DW8" i="38"/>
  <c r="DR9" i="9"/>
  <c r="DX9" i="7"/>
  <c r="DX14" i="7"/>
  <c r="DR14" i="9"/>
  <c r="DS22" i="3"/>
  <c r="DQ38" i="9"/>
  <c r="DQ41" i="9"/>
  <c r="DQ20" i="9"/>
  <c r="DS13" i="9"/>
  <c r="DQ62" i="9"/>
  <c r="DT21" i="3" s="1" a="1"/>
  <c r="DT21" i="3" s="1"/>
  <c r="DT20" i="3" a="1"/>
  <c r="DT20" i="3" s="1"/>
  <c r="DV100" i="3"/>
  <c r="DV93" i="3"/>
  <c r="DS15" i="9"/>
  <c r="DR12" i="9"/>
  <c r="DR11" i="9"/>
  <c r="DR40" i="9" s="1"/>
  <c r="DR10" i="9"/>
  <c r="DR58" i="9" a="1"/>
  <c r="DR58" i="9" s="1"/>
  <c r="DQ35" i="9"/>
  <c r="DQ46" i="9"/>
  <c r="DQ34" i="9"/>
  <c r="DQ43" i="9"/>
  <c r="DQ48" i="9"/>
  <c r="DQ42" i="9"/>
  <c r="DQ44" i="9"/>
  <c r="DQ39" i="9"/>
  <c r="DW2" i="3"/>
  <c r="DW120" i="3" s="1"/>
  <c r="DW60" i="3"/>
  <c r="DW80" i="3"/>
  <c r="DW62" i="3" s="1"/>
  <c r="DZ4" i="7"/>
  <c r="DW3" i="3"/>
  <c r="DZ4" i="2"/>
  <c r="DZ9" i="2" s="1"/>
  <c r="DW5" i="3"/>
  <c r="DZ4" i="11"/>
  <c r="DW76" i="3"/>
  <c r="DW47" i="3" s="1"/>
  <c r="DX4" i="3"/>
  <c r="DW41" i="3"/>
  <c r="DW110" i="3" a="1"/>
  <c r="DW110" i="3" s="1"/>
  <c r="DZ4" i="6"/>
  <c r="DW59" i="3"/>
  <c r="DW54" i="3"/>
  <c r="DW36" i="3" s="1"/>
  <c r="DV72" i="3"/>
  <c r="DX8" i="7"/>
  <c r="DX8" i="11"/>
  <c r="DX15" i="6"/>
  <c r="DX16" i="6"/>
  <c r="DX17" i="6"/>
  <c r="DX16" i="7"/>
  <c r="DX12" i="7"/>
  <c r="DX13" i="7"/>
  <c r="DX11" i="7"/>
  <c r="DX11" i="2"/>
  <c r="DX13" i="6"/>
  <c r="DX14" i="6"/>
  <c r="DX15" i="7"/>
  <c r="DW12" i="2"/>
  <c r="DW12" i="11"/>
  <c r="DW18" i="6"/>
  <c r="DX7" i="6"/>
  <c r="DX11" i="6"/>
  <c r="DX7" i="2"/>
  <c r="DX6" i="2"/>
  <c r="DX5" i="2"/>
  <c r="DX10" i="2"/>
  <c r="DX10" i="11"/>
  <c r="DX5" i="11"/>
  <c r="DX5" i="7"/>
  <c r="DX6" i="7"/>
  <c r="DX7" i="7"/>
  <c r="DX10" i="7"/>
  <c r="DW17" i="7"/>
  <c r="DX8" i="2"/>
  <c r="DX9" i="11"/>
  <c r="DX7" i="11"/>
  <c r="DX6" i="11"/>
  <c r="DX11" i="11"/>
  <c r="DX10" i="6"/>
  <c r="DX5" i="6"/>
  <c r="DX8" i="6"/>
  <c r="DX6" i="6"/>
  <c r="DX9" i="6"/>
  <c r="DX12" i="6"/>
  <c r="DY4" i="11"/>
  <c r="DY4" i="7"/>
  <c r="DY4" i="6"/>
  <c r="DY4" i="2"/>
  <c r="DY9" i="2" s="1"/>
  <c r="DT13" i="9"/>
  <c r="DW10" i="38" l="1"/>
  <c r="DW16" i="38"/>
  <c r="DW9" i="38"/>
  <c r="DW11" i="38"/>
  <c r="DW15" i="38"/>
  <c r="DW18" i="38"/>
  <c r="DW19" i="38"/>
  <c r="DW22" i="38"/>
  <c r="DW24" i="38"/>
  <c r="DW17" i="38"/>
  <c r="DW20" i="38"/>
  <c r="DW21" i="38"/>
  <c r="DW26" i="38"/>
  <c r="DW28" i="38"/>
  <c r="DW27" i="38"/>
  <c r="DW29" i="38"/>
  <c r="DW30" i="38"/>
  <c r="DW32" i="38"/>
  <c r="DW34" i="38"/>
  <c r="DW36" i="38"/>
  <c r="DW31" i="38"/>
  <c r="DW33" i="38"/>
  <c r="DW35" i="38"/>
  <c r="DW25" i="38"/>
  <c r="DW37" i="38"/>
  <c r="DW38" i="38"/>
  <c r="DW44" i="38"/>
  <c r="DW46" i="38"/>
  <c r="DW50" i="38"/>
  <c r="DW39" i="38"/>
  <c r="DW41" i="38"/>
  <c r="DW43" i="38"/>
  <c r="DW45" i="38"/>
  <c r="DW49" i="38"/>
  <c r="DW53" i="38"/>
  <c r="DW55" i="38"/>
  <c r="DW51" i="38"/>
  <c r="DW52" i="38"/>
  <c r="DW56" i="38"/>
  <c r="DW58" i="38"/>
  <c r="DW60" i="38"/>
  <c r="DW62" i="38"/>
  <c r="DW54" i="38"/>
  <c r="DW57" i="38"/>
  <c r="DW59" i="38"/>
  <c r="DW61" i="38"/>
  <c r="DW63" i="38"/>
  <c r="DW65" i="38"/>
  <c r="DW67" i="38"/>
  <c r="DW71" i="38"/>
  <c r="DW73" i="38"/>
  <c r="DW75" i="38"/>
  <c r="DW64" i="38"/>
  <c r="DW66" i="38"/>
  <c r="DW72" i="38"/>
  <c r="DW74" i="38"/>
  <c r="DW77" i="38"/>
  <c r="DW79" i="38"/>
  <c r="DW81" i="38"/>
  <c r="DW83" i="38"/>
  <c r="DW76" i="38"/>
  <c r="DW78" i="38"/>
  <c r="DW80" i="38"/>
  <c r="DW82" i="38"/>
  <c r="DW84" i="38"/>
  <c r="DW86" i="38"/>
  <c r="DV87" i="38"/>
  <c r="DV89" i="38" s="1"/>
  <c r="DQ22" i="9" s="1"/>
  <c r="DU89" i="38"/>
  <c r="DP22" i="9" s="1"/>
  <c r="DP21" i="9" s="1"/>
  <c r="DP23" i="9" s="1"/>
  <c r="DQ16" i="9"/>
  <c r="DQ37" i="9" s="1"/>
  <c r="DQ17" i="9"/>
  <c r="DS18" i="9"/>
  <c r="DP36" i="9"/>
  <c r="DP37" i="9"/>
  <c r="DP27" i="9"/>
  <c r="DP25" i="9"/>
  <c r="DP26" i="9"/>
  <c r="DP28" i="9"/>
  <c r="DP29" i="9"/>
  <c r="DX8" i="38"/>
  <c r="DS9" i="9"/>
  <c r="DZ9" i="7"/>
  <c r="DZ14" i="7"/>
  <c r="DY9" i="7"/>
  <c r="DY14" i="7"/>
  <c r="DR38" i="9"/>
  <c r="DR41" i="9"/>
  <c r="DS14" i="9"/>
  <c r="DT22" i="3"/>
  <c r="DR20" i="9"/>
  <c r="F14" i="32"/>
  <c r="F9" i="32"/>
  <c r="F16" i="32"/>
  <c r="F12" i="32"/>
  <c r="F13" i="32"/>
  <c r="DW100" i="3"/>
  <c r="DW93" i="3"/>
  <c r="DR62" i="9"/>
  <c r="DU21" i="3" s="1" a="1"/>
  <c r="DU21" i="3" s="1"/>
  <c r="DR35" i="9"/>
  <c r="DR34" i="9"/>
  <c r="DR44" i="9"/>
  <c r="DR46" i="9"/>
  <c r="DR43" i="9"/>
  <c r="DR48" i="9"/>
  <c r="DR39" i="9"/>
  <c r="DR42" i="9"/>
  <c r="DU20" i="3" a="1"/>
  <c r="DU20" i="3" s="1"/>
  <c r="DT15" i="9"/>
  <c r="DS12" i="9"/>
  <c r="DS11" i="9"/>
  <c r="DS40" i="9" s="1"/>
  <c r="DS10" i="9"/>
  <c r="DS58" i="9" a="1"/>
  <c r="DS58" i="9" s="1"/>
  <c r="DZ8" i="11"/>
  <c r="DZ5" i="11"/>
  <c r="DZ7" i="11"/>
  <c r="DZ10" i="11"/>
  <c r="DZ9" i="11"/>
  <c r="DZ8" i="7"/>
  <c r="DZ6" i="7"/>
  <c r="DZ7" i="7"/>
  <c r="DZ10" i="7"/>
  <c r="DZ11" i="7"/>
  <c r="DZ12" i="7"/>
  <c r="DZ5" i="7"/>
  <c r="DZ16" i="7"/>
  <c r="DZ15" i="7"/>
  <c r="DZ13" i="7"/>
  <c r="DZ5" i="6"/>
  <c r="DZ11" i="6"/>
  <c r="DZ15" i="6"/>
  <c r="DZ9" i="6"/>
  <c r="DZ8" i="6"/>
  <c r="DZ13" i="6"/>
  <c r="DZ7" i="6"/>
  <c r="DZ12" i="6"/>
  <c r="DZ10" i="6"/>
  <c r="DZ16" i="6"/>
  <c r="DZ14" i="6"/>
  <c r="DX2" i="3"/>
  <c r="DX120" i="3" s="1"/>
  <c r="DW72" i="3"/>
  <c r="DZ11" i="2"/>
  <c r="DZ5" i="2"/>
  <c r="DZ6" i="2"/>
  <c r="DZ10" i="2"/>
  <c r="DZ8" i="2"/>
  <c r="DZ7" i="2"/>
  <c r="DX3" i="3"/>
  <c r="DX59" i="3"/>
  <c r="EA4" i="11"/>
  <c r="DX5" i="3"/>
  <c r="DX61" i="3"/>
  <c r="EA4" i="6"/>
  <c r="DX76" i="3"/>
  <c r="DX47" i="3" s="1"/>
  <c r="DX12" i="3"/>
  <c r="DX17" i="3"/>
  <c r="DX60" i="3"/>
  <c r="DX80" i="3"/>
  <c r="DX62" i="3" s="1"/>
  <c r="DX54" i="3"/>
  <c r="DX36" i="3" s="1"/>
  <c r="DX13" i="3"/>
  <c r="DX14" i="3"/>
  <c r="DX18" i="3"/>
  <c r="DX110" i="3" a="1"/>
  <c r="DX110" i="3" s="1"/>
  <c r="DX16" i="3"/>
  <c r="DX28" i="3"/>
  <c r="EA4" i="7"/>
  <c r="DY4" i="3"/>
  <c r="DX41" i="3"/>
  <c r="EA4" i="2"/>
  <c r="EA9" i="2" s="1"/>
  <c r="DQ7" i="3" a="1"/>
  <c r="DQ7" i="3" s="1"/>
  <c r="DE7" i="3" a="1"/>
  <c r="DE7" i="3" s="1"/>
  <c r="DA7" i="3" a="1"/>
  <c r="DA7" i="3" s="1"/>
  <c r="DI7" i="3" a="1"/>
  <c r="DI7" i="3" s="1"/>
  <c r="DR7" i="3" a="1"/>
  <c r="DR7" i="3" s="1"/>
  <c r="DM7" i="3" a="1"/>
  <c r="DM7" i="3" s="1"/>
  <c r="DO7" i="3" a="1"/>
  <c r="DO7" i="3" s="1"/>
  <c r="DP7" i="3" a="1"/>
  <c r="DP7" i="3" s="1"/>
  <c r="DJ7" i="3" a="1"/>
  <c r="DJ7" i="3" s="1"/>
  <c r="DF7" i="3" a="1"/>
  <c r="DF7" i="3" s="1"/>
  <c r="DS7" i="3" a="1"/>
  <c r="DS7" i="3" s="1"/>
  <c r="DN7" i="3" a="1"/>
  <c r="DN7" i="3" s="1"/>
  <c r="DH7" i="3" a="1"/>
  <c r="DH7" i="3" s="1"/>
  <c r="DB7" i="3" a="1"/>
  <c r="DB7" i="3" s="1"/>
  <c r="DG7" i="3" a="1"/>
  <c r="DG7" i="3" s="1"/>
  <c r="DT7" i="3" a="1"/>
  <c r="DT7" i="3" s="1"/>
  <c r="DL7" i="3" a="1"/>
  <c r="DL7" i="3" s="1"/>
  <c r="DK7" i="3" a="1"/>
  <c r="DK7" i="3" s="1"/>
  <c r="DD7" i="3" a="1"/>
  <c r="DD7" i="3" s="1"/>
  <c r="DC7" i="3" a="1"/>
  <c r="DC7" i="3" s="1"/>
  <c r="DE6" i="3" a="1"/>
  <c r="DE6" i="3" s="1"/>
  <c r="DR6" i="3" a="1"/>
  <c r="DR6" i="3" s="1"/>
  <c r="DP6" i="3" a="1"/>
  <c r="DP6" i="3" s="1"/>
  <c r="DH6" i="3" a="1"/>
  <c r="DH6" i="3" s="1"/>
  <c r="DG6" i="3" a="1"/>
  <c r="DG6" i="3" s="1"/>
  <c r="DI6" i="3" a="1"/>
  <c r="DI6" i="3" s="1"/>
  <c r="DF6" i="3" a="1"/>
  <c r="DF6" i="3" s="1"/>
  <c r="DB6" i="3" a="1"/>
  <c r="DB6" i="3" s="1"/>
  <c r="DN6" i="3" a="1"/>
  <c r="DN6" i="3" s="1"/>
  <c r="DQ6" i="3" a="1"/>
  <c r="DQ6" i="3" s="1"/>
  <c r="DJ6" i="3" a="1"/>
  <c r="DJ6" i="3" s="1"/>
  <c r="DM6" i="3" a="1"/>
  <c r="DM6" i="3" s="1"/>
  <c r="DA6" i="3" a="1"/>
  <c r="DA6" i="3" s="1"/>
  <c r="DO6" i="3" a="1"/>
  <c r="DO6" i="3" s="1"/>
  <c r="DL6" i="3" a="1"/>
  <c r="DL6" i="3" s="1"/>
  <c r="DS6" i="3" a="1"/>
  <c r="DS6" i="3" s="1"/>
  <c r="DC6" i="3" a="1"/>
  <c r="DC6" i="3" s="1"/>
  <c r="DK6" i="3" a="1"/>
  <c r="DK6" i="3" s="1"/>
  <c r="DT6" i="3" a="1"/>
  <c r="DT6" i="3" s="1"/>
  <c r="DD6" i="3" a="1"/>
  <c r="DD6" i="3" s="1"/>
  <c r="DE9" i="3" a="1"/>
  <c r="DE9" i="3" s="1"/>
  <c r="DB9" i="3" a="1"/>
  <c r="DB9" i="3" s="1"/>
  <c r="DO9" i="3" a="1"/>
  <c r="DO9" i="3" s="1"/>
  <c r="DI9" i="3" a="1"/>
  <c r="DI9" i="3" s="1"/>
  <c r="DQ9" i="3" a="1"/>
  <c r="DQ9" i="3" s="1"/>
  <c r="DH9" i="3" a="1"/>
  <c r="DH9" i="3" s="1"/>
  <c r="DN9" i="3" a="1"/>
  <c r="DN9" i="3" s="1"/>
  <c r="DM9" i="3" a="1"/>
  <c r="DM9" i="3" s="1"/>
  <c r="DJ9" i="3" a="1"/>
  <c r="DJ9" i="3" s="1"/>
  <c r="DC9" i="3" a="1"/>
  <c r="DC9" i="3" s="1"/>
  <c r="DD9" i="3" a="1"/>
  <c r="DD9" i="3" s="1"/>
  <c r="DT9" i="3" a="1"/>
  <c r="DT9" i="3" s="1"/>
  <c r="DG9" i="3" a="1"/>
  <c r="DG9" i="3" s="1"/>
  <c r="DF9" i="3" a="1"/>
  <c r="DF9" i="3" s="1"/>
  <c r="DP9" i="3" a="1"/>
  <c r="DP9" i="3" s="1"/>
  <c r="DK9" i="3" a="1"/>
  <c r="DK9" i="3" s="1"/>
  <c r="DR9" i="3" a="1"/>
  <c r="DR9" i="3" s="1"/>
  <c r="DS9" i="3" a="1"/>
  <c r="DS9" i="3" s="1"/>
  <c r="DL9" i="3" a="1"/>
  <c r="DL9" i="3" s="1"/>
  <c r="DQ8" i="3" a="1"/>
  <c r="DQ8" i="3" s="1"/>
  <c r="DN8" i="3" a="1"/>
  <c r="DN8" i="3" s="1"/>
  <c r="DR8" i="3" a="1"/>
  <c r="DR8" i="3" s="1"/>
  <c r="DF8" i="3" a="1"/>
  <c r="DF8" i="3" s="1"/>
  <c r="DO8" i="3" a="1"/>
  <c r="DO8" i="3" s="1"/>
  <c r="DP8" i="3" a="1"/>
  <c r="DP8" i="3" s="1"/>
  <c r="DM8" i="3" a="1"/>
  <c r="DM8" i="3" s="1"/>
  <c r="DE8" i="3" a="1"/>
  <c r="DE8" i="3" s="1"/>
  <c r="DH8" i="3" a="1"/>
  <c r="DH8" i="3" s="1"/>
  <c r="DJ8" i="3" a="1"/>
  <c r="DJ8" i="3" s="1"/>
  <c r="DI8" i="3" a="1"/>
  <c r="DI8" i="3" s="1"/>
  <c r="DG8" i="3" a="1"/>
  <c r="DG8" i="3" s="1"/>
  <c r="DL8" i="3" a="1"/>
  <c r="DL8" i="3" s="1"/>
  <c r="DB8" i="3" a="1"/>
  <c r="DB8" i="3" s="1"/>
  <c r="DK8" i="3" a="1"/>
  <c r="DK8" i="3" s="1"/>
  <c r="DT8" i="3" a="1"/>
  <c r="DT8" i="3" s="1"/>
  <c r="DS8" i="3" a="1"/>
  <c r="DS8" i="3" s="1"/>
  <c r="DC8" i="3" a="1"/>
  <c r="DC8" i="3" s="1"/>
  <c r="DD8" i="3" a="1"/>
  <c r="DD8" i="3" s="1"/>
  <c r="DY8" i="7"/>
  <c r="DY8" i="11"/>
  <c r="DY15" i="6"/>
  <c r="DY16" i="6"/>
  <c r="DY17" i="6"/>
  <c r="DY16" i="7"/>
  <c r="DY11" i="7"/>
  <c r="DY13" i="7"/>
  <c r="DY12" i="7"/>
  <c r="BK47" i="9"/>
  <c r="BK55" i="9"/>
  <c r="BK56" i="9" s="1"/>
  <c r="BN25" i="3" s="1" a="1"/>
  <c r="BN25" i="3" s="1"/>
  <c r="DY11" i="2"/>
  <c r="DY14" i="6"/>
  <c r="DY13" i="6"/>
  <c r="DY15" i="7"/>
  <c r="DX12" i="11"/>
  <c r="DU8" i="3" s="1" a="1"/>
  <c r="DU8" i="3" s="1"/>
  <c r="DX12" i="2"/>
  <c r="DU7" i="3" s="1" a="1"/>
  <c r="DU7" i="3" s="1"/>
  <c r="DX18" i="6"/>
  <c r="DU6" i="3" s="1" a="1"/>
  <c r="DU6" i="3" s="1"/>
  <c r="B175" i="1" a="1"/>
  <c r="B175" i="1" s="1"/>
  <c r="G37" i="1" a="1"/>
  <c r="G37" i="1" s="1"/>
  <c r="DY7" i="6"/>
  <c r="DY11" i="6"/>
  <c r="DY6" i="2"/>
  <c r="DY7" i="2"/>
  <c r="DY5" i="2"/>
  <c r="DY10" i="2"/>
  <c r="DY10" i="11"/>
  <c r="DY5" i="11"/>
  <c r="DY8" i="2"/>
  <c r="DY6" i="7"/>
  <c r="DY5" i="7"/>
  <c r="DY10" i="7"/>
  <c r="DY7" i="7"/>
  <c r="DY9" i="11"/>
  <c r="DY7" i="11"/>
  <c r="DY6" i="11"/>
  <c r="DY11" i="11"/>
  <c r="DY9" i="6"/>
  <c r="DY5" i="6"/>
  <c r="DY6" i="6"/>
  <c r="DY10" i="6"/>
  <c r="DY12" i="6"/>
  <c r="DY8" i="6"/>
  <c r="DX17" i="7"/>
  <c r="DU9" i="3" s="1" a="1"/>
  <c r="DU9" i="3" s="1"/>
  <c r="DQ24" i="9" l="1"/>
  <c r="DX10" i="38"/>
  <c r="DX16" i="38"/>
  <c r="DX9" i="38"/>
  <c r="DX11" i="38"/>
  <c r="DX15" i="38"/>
  <c r="DX19" i="38"/>
  <c r="DX22" i="38"/>
  <c r="DX17" i="38"/>
  <c r="DX18" i="38"/>
  <c r="DX20" i="38"/>
  <c r="DX21" i="38"/>
  <c r="DX24" i="38"/>
  <c r="DX25" i="38"/>
  <c r="DX29" i="38"/>
  <c r="DX30" i="38"/>
  <c r="DX32" i="38"/>
  <c r="DX34" i="38"/>
  <c r="DX26" i="38"/>
  <c r="DX27" i="38"/>
  <c r="DX28" i="38"/>
  <c r="DX33" i="38"/>
  <c r="DX35" i="38"/>
  <c r="DX36" i="38"/>
  <c r="DX37" i="38"/>
  <c r="DX38" i="38"/>
  <c r="DX31" i="38"/>
  <c r="DX44" i="38"/>
  <c r="DX46" i="38"/>
  <c r="DX50" i="38"/>
  <c r="DX53" i="38"/>
  <c r="DX55" i="38"/>
  <c r="DX57" i="38"/>
  <c r="DX39" i="38"/>
  <c r="DX43" i="38"/>
  <c r="DX45" i="38"/>
  <c r="DX51" i="38"/>
  <c r="DX49" i="38"/>
  <c r="DX52" i="38"/>
  <c r="DX54" i="38"/>
  <c r="DX56" i="38"/>
  <c r="DX41" i="38"/>
  <c r="DX58" i="38"/>
  <c r="DX60" i="38"/>
  <c r="DX62" i="38"/>
  <c r="DX64" i="38"/>
  <c r="DX63" i="38"/>
  <c r="DX65" i="38"/>
  <c r="DX67" i="38"/>
  <c r="DX71" i="38"/>
  <c r="DX73" i="38"/>
  <c r="DX59" i="38"/>
  <c r="DX66" i="38"/>
  <c r="DX72" i="38"/>
  <c r="DX74" i="38"/>
  <c r="DX77" i="38"/>
  <c r="DX79" i="38"/>
  <c r="DX81" i="38"/>
  <c r="DX83" i="38"/>
  <c r="DX75" i="38"/>
  <c r="DX61" i="38"/>
  <c r="DX76" i="38"/>
  <c r="DX78" i="38"/>
  <c r="DX80" i="38"/>
  <c r="DX82" i="38"/>
  <c r="DX84" i="38"/>
  <c r="DX86" i="38"/>
  <c r="DQ36" i="9"/>
  <c r="DQ28" i="9"/>
  <c r="DQ25" i="9"/>
  <c r="DQ26" i="9"/>
  <c r="DQ27" i="9"/>
  <c r="DW87" i="38"/>
  <c r="DR24" i="9" s="1"/>
  <c r="DR16" i="9"/>
  <c r="DR17" i="9"/>
  <c r="DT18" i="9"/>
  <c r="BL30" i="9"/>
  <c r="BL31" i="9" s="1"/>
  <c r="BO109" i="3" s="1" a="1"/>
  <c r="BO109" i="3" s="1"/>
  <c r="BO111" i="3" s="1"/>
  <c r="BO112" i="3" s="1"/>
  <c r="DQ21" i="9"/>
  <c r="DQ23" i="9" s="1"/>
  <c r="DQ29" i="9"/>
  <c r="DY8" i="38"/>
  <c r="DT9" i="9"/>
  <c r="EA9" i="7"/>
  <c r="EA14" i="7"/>
  <c r="DS38" i="9"/>
  <c r="DS41" i="9"/>
  <c r="DT14" i="9"/>
  <c r="DS62" i="9"/>
  <c r="DV21" i="3" s="1" a="1"/>
  <c r="DV21" i="3" s="1"/>
  <c r="DS20" i="9"/>
  <c r="G175" i="1"/>
  <c r="M25" i="32"/>
  <c r="DX100" i="3"/>
  <c r="DX93" i="3"/>
  <c r="DU22" i="3"/>
  <c r="DV20" i="3" a="1"/>
  <c r="DV20" i="3" s="1"/>
  <c r="DS43" i="9"/>
  <c r="DS46" i="9"/>
  <c r="DS34" i="9"/>
  <c r="DS42" i="9"/>
  <c r="DS44" i="9"/>
  <c r="DS48" i="9"/>
  <c r="DS35" i="9"/>
  <c r="DS39" i="9"/>
  <c r="DT12" i="9"/>
  <c r="DU15" i="9"/>
  <c r="DT11" i="9"/>
  <c r="DT40" i="9" s="1"/>
  <c r="DT10" i="9"/>
  <c r="DT58" i="9" a="1"/>
  <c r="DT58" i="9" s="1"/>
  <c r="DZ17" i="7"/>
  <c r="DW9" i="3" s="1" a="1"/>
  <c r="DW9" i="3" s="1"/>
  <c r="DR10" i="3"/>
  <c r="DR29" i="3" s="1"/>
  <c r="DR34" i="3" s="1"/>
  <c r="DR35" i="3" s="1"/>
  <c r="DY2" i="3"/>
  <c r="DY120" i="3" s="1"/>
  <c r="EA8" i="11"/>
  <c r="EA10" i="11"/>
  <c r="EA9" i="11"/>
  <c r="EA7" i="11"/>
  <c r="EA5" i="11"/>
  <c r="DZ12" i="2"/>
  <c r="DW7" i="3" s="1" a="1"/>
  <c r="DW7" i="3" s="1"/>
  <c r="DF10" i="3"/>
  <c r="DF29" i="3" s="1"/>
  <c r="DF34" i="3" s="1"/>
  <c r="DF35" i="3" s="1"/>
  <c r="EA11" i="2"/>
  <c r="EA6" i="2"/>
  <c r="EA7" i="2"/>
  <c r="EA8" i="2"/>
  <c r="EA10" i="2"/>
  <c r="EA5" i="2"/>
  <c r="DY18" i="3"/>
  <c r="DY54" i="3"/>
  <c r="DY36" i="3" s="1"/>
  <c r="DY12" i="3"/>
  <c r="DY59" i="3"/>
  <c r="DY61" i="3"/>
  <c r="DY17" i="3"/>
  <c r="DY14" i="3"/>
  <c r="DY110" i="3" a="1"/>
  <c r="DY110" i="3" s="1"/>
  <c r="EB4" i="11"/>
  <c r="DY13" i="3"/>
  <c r="DY76" i="3"/>
  <c r="DY47" i="3" s="1"/>
  <c r="EB4" i="7"/>
  <c r="DY3" i="3"/>
  <c r="DY16" i="3"/>
  <c r="DY80" i="3"/>
  <c r="DY62" i="3" s="1"/>
  <c r="EB4" i="6"/>
  <c r="DY41" i="3"/>
  <c r="DY5" i="3"/>
  <c r="DZ4" i="3"/>
  <c r="DY28" i="3"/>
  <c r="DY60" i="3"/>
  <c r="EB4" i="2"/>
  <c r="EB9" i="2" s="1"/>
  <c r="EA10" i="7"/>
  <c r="EA6" i="7"/>
  <c r="EA12" i="7"/>
  <c r="EA11" i="7"/>
  <c r="EA7" i="7"/>
  <c r="EA13" i="7"/>
  <c r="EA5" i="7"/>
  <c r="EA16" i="7"/>
  <c r="EA15" i="7"/>
  <c r="EA8" i="7"/>
  <c r="EA11" i="6"/>
  <c r="EA13" i="6"/>
  <c r="EA16" i="6"/>
  <c r="EA5" i="6"/>
  <c r="EA9" i="6"/>
  <c r="EA7" i="6"/>
  <c r="EA8" i="6"/>
  <c r="EA14" i="6"/>
  <c r="EA10" i="6"/>
  <c r="EA15" i="6"/>
  <c r="EA12" i="6"/>
  <c r="DX72" i="3"/>
  <c r="DU10" i="3"/>
  <c r="DU29" i="3" s="1"/>
  <c r="DD10" i="3"/>
  <c r="DD29" i="3" s="1"/>
  <c r="DM10" i="3"/>
  <c r="DM29" i="3" s="1"/>
  <c r="DP10" i="3"/>
  <c r="DP29" i="3" s="1"/>
  <c r="DL10" i="3"/>
  <c r="DL29" i="3" s="1"/>
  <c r="DJ10" i="3"/>
  <c r="DJ29" i="3" s="1"/>
  <c r="DB10" i="3"/>
  <c r="DB29" i="3" s="1"/>
  <c r="DT10" i="3"/>
  <c r="DT29" i="3" s="1"/>
  <c r="DO10" i="3"/>
  <c r="DO29" i="3" s="1"/>
  <c r="DQ10" i="3"/>
  <c r="DQ29" i="3" s="1"/>
  <c r="DI10" i="3"/>
  <c r="DI29" i="3" s="1"/>
  <c r="DE10" i="3"/>
  <c r="DE29" i="3" s="1"/>
  <c r="DK10" i="3"/>
  <c r="DK29" i="3" s="1"/>
  <c r="DG10" i="3"/>
  <c r="DG29" i="3" s="1"/>
  <c r="DN10" i="3"/>
  <c r="DN29" i="3" s="1"/>
  <c r="DH10" i="3"/>
  <c r="DH29" i="3" s="1"/>
  <c r="DC10" i="3"/>
  <c r="DC29" i="3" s="1"/>
  <c r="DA79" i="3"/>
  <c r="DI79" i="3"/>
  <c r="DQ79" i="3"/>
  <c r="DY79" i="3"/>
  <c r="EG79" i="3"/>
  <c r="DB79" i="3"/>
  <c r="DJ79" i="3"/>
  <c r="DR79" i="3"/>
  <c r="DZ79" i="3"/>
  <c r="EH79" i="3"/>
  <c r="DC79" i="3"/>
  <c r="DK79" i="3"/>
  <c r="DS79" i="3"/>
  <c r="EA79" i="3"/>
  <c r="EI79" i="3"/>
  <c r="DD79" i="3"/>
  <c r="DL79" i="3"/>
  <c r="DT79" i="3"/>
  <c r="EB79" i="3"/>
  <c r="CW79" i="3"/>
  <c r="DE79" i="3"/>
  <c r="DM79" i="3"/>
  <c r="DU79" i="3"/>
  <c r="EC79" i="3"/>
  <c r="CX79" i="3"/>
  <c r="DF79" i="3"/>
  <c r="DN79" i="3"/>
  <c r="DV79" i="3"/>
  <c r="ED79" i="3"/>
  <c r="DG79" i="3"/>
  <c r="DH79" i="3"/>
  <c r="DO79" i="3"/>
  <c r="DW79" i="3"/>
  <c r="DX79" i="3"/>
  <c r="DP79" i="3"/>
  <c r="EE79" i="3"/>
  <c r="EF79" i="3"/>
  <c r="CY79" i="3"/>
  <c r="CZ79" i="3"/>
  <c r="DS10" i="3"/>
  <c r="DS29" i="3" s="1"/>
  <c r="L39" i="1"/>
  <c r="R5" i="23"/>
  <c r="DY12" i="11"/>
  <c r="DV8" i="3" s="1" a="1"/>
  <c r="DV8" i="3" s="1"/>
  <c r="DY12" i="2"/>
  <c r="DY18" i="6"/>
  <c r="DV6" i="3" s="1" a="1"/>
  <c r="DV6" i="3" s="1"/>
  <c r="H79" i="3"/>
  <c r="L79" i="3"/>
  <c r="P79" i="3"/>
  <c r="T79" i="3"/>
  <c r="X79" i="3"/>
  <c r="AB79" i="3"/>
  <c r="AF79" i="3"/>
  <c r="AJ79" i="3"/>
  <c r="AN79" i="3"/>
  <c r="AR79" i="3"/>
  <c r="AV79" i="3"/>
  <c r="AZ79" i="3"/>
  <c r="BD79" i="3"/>
  <c r="BH79" i="3"/>
  <c r="BL79" i="3"/>
  <c r="BP79" i="3"/>
  <c r="BT79" i="3"/>
  <c r="BX79" i="3"/>
  <c r="CB79" i="3"/>
  <c r="CF79" i="3"/>
  <c r="CJ79" i="3"/>
  <c r="CN79" i="3"/>
  <c r="CR79" i="3"/>
  <c r="CV79" i="3"/>
  <c r="G79" i="3"/>
  <c r="I79" i="3"/>
  <c r="M79" i="3"/>
  <c r="Q79" i="3"/>
  <c r="U79" i="3"/>
  <c r="Y79" i="3"/>
  <c r="AC79" i="3"/>
  <c r="AG79" i="3"/>
  <c r="AK79" i="3"/>
  <c r="AO79" i="3"/>
  <c r="AS79" i="3"/>
  <c r="AW79" i="3"/>
  <c r="BA79" i="3"/>
  <c r="BE79" i="3"/>
  <c r="BI79" i="3"/>
  <c r="BM79" i="3"/>
  <c r="BQ79" i="3"/>
  <c r="BU79" i="3"/>
  <c r="BY79" i="3"/>
  <c r="CC79" i="3"/>
  <c r="CG79" i="3"/>
  <c r="CK79" i="3"/>
  <c r="CO79" i="3"/>
  <c r="CS79" i="3"/>
  <c r="J79" i="3"/>
  <c r="N79" i="3"/>
  <c r="R79" i="3"/>
  <c r="V79" i="3"/>
  <c r="Z79" i="3"/>
  <c r="AD79" i="3"/>
  <c r="AH79" i="3"/>
  <c r="AL79" i="3"/>
  <c r="AP79" i="3"/>
  <c r="AT79" i="3"/>
  <c r="AX79" i="3"/>
  <c r="BB79" i="3"/>
  <c r="BF79" i="3"/>
  <c r="BJ79" i="3"/>
  <c r="BN79" i="3"/>
  <c r="BR79" i="3"/>
  <c r="BV79" i="3"/>
  <c r="BZ79" i="3"/>
  <c r="CD79" i="3"/>
  <c r="CH79" i="3"/>
  <c r="CL79" i="3"/>
  <c r="CP79" i="3"/>
  <c r="CT79" i="3"/>
  <c r="O79" i="3"/>
  <c r="AE79" i="3"/>
  <c r="AU79" i="3"/>
  <c r="BK79" i="3"/>
  <c r="CA79" i="3"/>
  <c r="CQ79" i="3"/>
  <c r="K79" i="3"/>
  <c r="BG79" i="3"/>
  <c r="S79" i="3"/>
  <c r="AI79" i="3"/>
  <c r="AY79" i="3"/>
  <c r="BO79" i="3"/>
  <c r="CE79" i="3"/>
  <c r="CU79" i="3"/>
  <c r="AA79" i="3"/>
  <c r="AQ79" i="3"/>
  <c r="BW79" i="3"/>
  <c r="CM79" i="3"/>
  <c r="W79" i="3"/>
  <c r="AM79" i="3"/>
  <c r="BC79" i="3"/>
  <c r="BS79" i="3"/>
  <c r="CI79" i="3"/>
  <c r="DY17" i="7"/>
  <c r="DY10" i="38" l="1"/>
  <c r="DY17" i="38"/>
  <c r="DY19" i="38"/>
  <c r="DY15" i="38"/>
  <c r="DY18" i="38"/>
  <c r="DY20" i="38"/>
  <c r="DY9" i="38"/>
  <c r="DY22" i="38"/>
  <c r="DY24" i="38"/>
  <c r="DY11" i="38"/>
  <c r="DY21" i="38"/>
  <c r="DY25" i="38"/>
  <c r="DY26" i="38"/>
  <c r="DY28" i="38"/>
  <c r="DY16" i="38"/>
  <c r="DY29" i="38"/>
  <c r="DY30" i="38"/>
  <c r="DY32" i="38"/>
  <c r="DY34" i="38"/>
  <c r="DY27" i="38"/>
  <c r="DY31" i="38"/>
  <c r="DY33" i="38"/>
  <c r="DY35" i="38"/>
  <c r="DY36" i="38"/>
  <c r="DY37" i="38"/>
  <c r="DY39" i="38"/>
  <c r="DY41" i="38"/>
  <c r="DY43" i="38"/>
  <c r="DY45" i="38"/>
  <c r="DY49" i="38"/>
  <c r="DY51" i="38"/>
  <c r="DY38" i="38"/>
  <c r="DY44" i="38"/>
  <c r="DY46" i="38"/>
  <c r="DY50" i="38"/>
  <c r="DY59" i="38"/>
  <c r="DY61" i="38"/>
  <c r="DY63" i="38"/>
  <c r="DY55" i="38"/>
  <c r="DY52" i="38"/>
  <c r="DY56" i="38"/>
  <c r="DY53" i="38"/>
  <c r="DY58" i="38"/>
  <c r="DY60" i="38"/>
  <c r="DY62" i="38"/>
  <c r="DY54" i="38"/>
  <c r="DY57" i="38"/>
  <c r="DY65" i="38"/>
  <c r="DY67" i="38"/>
  <c r="DY71" i="38"/>
  <c r="DY73" i="38"/>
  <c r="DY64" i="38"/>
  <c r="DY66" i="38"/>
  <c r="DY72" i="38"/>
  <c r="DY74" i="38"/>
  <c r="DY75" i="38"/>
  <c r="DY78" i="38"/>
  <c r="DY79" i="38"/>
  <c r="DY80" i="38"/>
  <c r="DY76" i="38"/>
  <c r="DY81" i="38"/>
  <c r="DY77" i="38"/>
  <c r="DY82" i="38"/>
  <c r="DY83" i="38"/>
  <c r="DY84" i="38"/>
  <c r="DY86" i="38"/>
  <c r="DW89" i="38"/>
  <c r="DR22" i="9" s="1"/>
  <c r="DX87" i="38"/>
  <c r="DS24" i="9" s="1"/>
  <c r="DU18" i="9"/>
  <c r="DS17" i="9"/>
  <c r="DS16" i="9"/>
  <c r="DR36" i="9"/>
  <c r="DR37" i="9"/>
  <c r="DR26" i="9"/>
  <c r="DR27" i="9"/>
  <c r="DR25" i="9"/>
  <c r="DR28" i="9"/>
  <c r="DR21" i="9"/>
  <c r="DR23" i="9" s="1"/>
  <c r="DR29" i="9"/>
  <c r="DZ8" i="38"/>
  <c r="DU9" i="9"/>
  <c r="EB9" i="7"/>
  <c r="EB14" i="7"/>
  <c r="DT38" i="9"/>
  <c r="DT41" i="9"/>
  <c r="DU14" i="9"/>
  <c r="DV22" i="3"/>
  <c r="DT20" i="9"/>
  <c r="DT62" i="9"/>
  <c r="DW21" i="3" s="1" a="1"/>
  <c r="DW21" i="3" s="1"/>
  <c r="DW20" i="3" a="1"/>
  <c r="DW20" i="3" s="1"/>
  <c r="DY72" i="3"/>
  <c r="DY100" i="3"/>
  <c r="DY93" i="3"/>
  <c r="DT48" i="9"/>
  <c r="DT34" i="9"/>
  <c r="DT43" i="9"/>
  <c r="DT39" i="9"/>
  <c r="DT42" i="9"/>
  <c r="DT35" i="9"/>
  <c r="DT44" i="9"/>
  <c r="DT46" i="9"/>
  <c r="DU12" i="9"/>
  <c r="DV15" i="9"/>
  <c r="DU11" i="9"/>
  <c r="DU40" i="9" s="1"/>
  <c r="DU10" i="9"/>
  <c r="DU58" i="9" a="1"/>
  <c r="DU58" i="9" s="1"/>
  <c r="EB7" i="2"/>
  <c r="EB11" i="2"/>
  <c r="EB8" i="2"/>
  <c r="EB10" i="2"/>
  <c r="EB5" i="2"/>
  <c r="EB6" i="2"/>
  <c r="EB13" i="6"/>
  <c r="EB10" i="6"/>
  <c r="EB11" i="6"/>
  <c r="EB15" i="6"/>
  <c r="EB5" i="6"/>
  <c r="EB8" i="6"/>
  <c r="EB9" i="6"/>
  <c r="EB16" i="6"/>
  <c r="EB12" i="6"/>
  <c r="EB14" i="6"/>
  <c r="EB7" i="6"/>
  <c r="EA12" i="2"/>
  <c r="DX7" i="3" s="1" a="1"/>
  <c r="DX7" i="3" s="1"/>
  <c r="DZ2" i="3"/>
  <c r="DZ16" i="3"/>
  <c r="DZ110" i="3" a="1"/>
  <c r="DZ110" i="3" s="1"/>
  <c r="DZ41" i="3"/>
  <c r="DZ54" i="3"/>
  <c r="DZ36" i="3" s="1"/>
  <c r="DZ3" i="3"/>
  <c r="DZ28" i="3"/>
  <c r="DZ80" i="3"/>
  <c r="DZ62" i="3" s="1"/>
  <c r="EC4" i="11"/>
  <c r="DZ17" i="3"/>
  <c r="DZ18" i="3"/>
  <c r="DZ76" i="3"/>
  <c r="DZ47" i="3" s="1"/>
  <c r="EC4" i="7"/>
  <c r="EC4" i="2"/>
  <c r="EC9" i="2" s="1"/>
  <c r="DZ5" i="3"/>
  <c r="EA4" i="3"/>
  <c r="DZ61" i="3"/>
  <c r="EC4" i="6"/>
  <c r="DZ59" i="3"/>
  <c r="DZ12" i="3"/>
  <c r="DZ60" i="3"/>
  <c r="DZ13" i="3"/>
  <c r="DZ14" i="3"/>
  <c r="EB8" i="7"/>
  <c r="EB10" i="7"/>
  <c r="EB6" i="7"/>
  <c r="EB13" i="7"/>
  <c r="EB7" i="7"/>
  <c r="EB5" i="7"/>
  <c r="EB16" i="7"/>
  <c r="EB11" i="7"/>
  <c r="EB12" i="7"/>
  <c r="EB15" i="7"/>
  <c r="EA17" i="7"/>
  <c r="DX9" i="3" s="1" a="1"/>
  <c r="DX9" i="3" s="1"/>
  <c r="EB5" i="11"/>
  <c r="EB8" i="11"/>
  <c r="EB9" i="11"/>
  <c r="EB10" i="11"/>
  <c r="EB7" i="11"/>
  <c r="DD34" i="3"/>
  <c r="DM34" i="3"/>
  <c r="DM35" i="3" s="1"/>
  <c r="DG34" i="3"/>
  <c r="DG35" i="3" s="1"/>
  <c r="DE34" i="3"/>
  <c r="DE35" i="3" s="1"/>
  <c r="DC34" i="3"/>
  <c r="DC35" i="3" s="1"/>
  <c r="DH34" i="3"/>
  <c r="DH35" i="3" s="1"/>
  <c r="DK34" i="3"/>
  <c r="DK35" i="3" s="1"/>
  <c r="DI34" i="3"/>
  <c r="DI35" i="3" s="1"/>
  <c r="DS34" i="3"/>
  <c r="DS35" i="3" s="1"/>
  <c r="DN34" i="3"/>
  <c r="DN35" i="3" s="1"/>
  <c r="DQ34" i="3"/>
  <c r="DQ35" i="3" s="1"/>
  <c r="DB34" i="3"/>
  <c r="DB35" i="3" s="1"/>
  <c r="DO34" i="3"/>
  <c r="DJ34" i="3"/>
  <c r="DJ35" i="3" s="1"/>
  <c r="CZ9" i="3" a="1"/>
  <c r="CZ9" i="3" s="1"/>
  <c r="DA9" i="3" a="1"/>
  <c r="DA9" i="3" s="1"/>
  <c r="DV9" i="3" a="1"/>
  <c r="DV9" i="3" s="1"/>
  <c r="CZ7" i="3" a="1"/>
  <c r="CZ7" i="3" s="1"/>
  <c r="DV7" i="3" a="1"/>
  <c r="DV7" i="3" s="1"/>
  <c r="DT34" i="3"/>
  <c r="DT35" i="3" s="1"/>
  <c r="DL34" i="3"/>
  <c r="DL35" i="3" s="1"/>
  <c r="DP34" i="3"/>
  <c r="DP35" i="3" s="1"/>
  <c r="DU34" i="3"/>
  <c r="DU35" i="3" s="1"/>
  <c r="AO59" i="3"/>
  <c r="N59" i="3"/>
  <c r="O59" i="3"/>
  <c r="R7" i="23"/>
  <c r="BL47" i="9"/>
  <c r="BL55" i="9"/>
  <c r="BL56" i="9" s="1"/>
  <c r="BO25" i="3" s="1" a="1"/>
  <c r="BO25" i="3" s="1"/>
  <c r="DZ9" i="38" l="1"/>
  <c r="DZ11" i="38"/>
  <c r="DZ15" i="38"/>
  <c r="DZ10" i="38"/>
  <c r="DZ16" i="38"/>
  <c r="DZ17" i="38"/>
  <c r="DZ19" i="38"/>
  <c r="DZ18" i="38"/>
  <c r="DZ20" i="38"/>
  <c r="DZ22" i="38"/>
  <c r="DZ25" i="38"/>
  <c r="DZ24" i="38"/>
  <c r="DZ26" i="38"/>
  <c r="DZ31" i="38"/>
  <c r="DZ33" i="38"/>
  <c r="DZ21" i="38"/>
  <c r="DZ29" i="38"/>
  <c r="DZ30" i="38"/>
  <c r="DZ32" i="38"/>
  <c r="DZ34" i="38"/>
  <c r="DZ38" i="38"/>
  <c r="DZ28" i="38"/>
  <c r="DZ35" i="38"/>
  <c r="DZ36" i="38"/>
  <c r="DZ27" i="38"/>
  <c r="DZ37" i="38"/>
  <c r="DZ39" i="38"/>
  <c r="DZ41" i="38"/>
  <c r="DZ43" i="38"/>
  <c r="DZ45" i="38"/>
  <c r="DZ49" i="38"/>
  <c r="DZ51" i="38"/>
  <c r="DZ44" i="38"/>
  <c r="DZ46" i="38"/>
  <c r="DZ50" i="38"/>
  <c r="DZ53" i="38"/>
  <c r="DZ55" i="38"/>
  <c r="DZ57" i="38"/>
  <c r="DZ52" i="38"/>
  <c r="DZ54" i="38"/>
  <c r="DZ59" i="38"/>
  <c r="DZ61" i="38"/>
  <c r="DZ56" i="38"/>
  <c r="DZ58" i="38"/>
  <c r="DZ60" i="38"/>
  <c r="DZ62" i="38"/>
  <c r="DZ63" i="38"/>
  <c r="DZ65" i="38"/>
  <c r="DZ67" i="38"/>
  <c r="DZ71" i="38"/>
  <c r="DZ73" i="38"/>
  <c r="DZ75" i="38"/>
  <c r="DZ64" i="38"/>
  <c r="DZ76" i="38"/>
  <c r="DZ78" i="38"/>
  <c r="DZ80" i="38"/>
  <c r="DZ82" i="38"/>
  <c r="DZ66" i="38"/>
  <c r="DZ74" i="38"/>
  <c r="DZ77" i="38"/>
  <c r="DZ79" i="38"/>
  <c r="DZ81" i="38"/>
  <c r="DZ83" i="38"/>
  <c r="DZ72" i="38"/>
  <c r="DZ84" i="38"/>
  <c r="DZ86" i="38"/>
  <c r="DX89" i="38"/>
  <c r="DS22" i="9" s="1"/>
  <c r="DS21" i="9" s="1"/>
  <c r="DS23" i="9" s="1"/>
  <c r="DT16" i="9"/>
  <c r="DT37" i="9" s="1"/>
  <c r="DV18" i="9"/>
  <c r="DY87" i="38"/>
  <c r="DT24" i="9" s="1"/>
  <c r="DS37" i="9"/>
  <c r="DS36" i="9"/>
  <c r="DS26" i="9"/>
  <c r="DS27" i="9"/>
  <c r="DS25" i="9"/>
  <c r="DS28" i="9"/>
  <c r="DT17" i="9"/>
  <c r="BM30" i="9"/>
  <c r="BM31" i="9" s="1"/>
  <c r="BM55" i="9" s="1"/>
  <c r="BM56" i="9" s="1"/>
  <c r="BP25" i="3" s="1" a="1"/>
  <c r="BP25" i="3" s="1"/>
  <c r="DS29" i="9"/>
  <c r="EA8" i="38"/>
  <c r="DV9" i="9"/>
  <c r="EC9" i="7"/>
  <c r="EC14" i="7"/>
  <c r="DV14" i="9"/>
  <c r="DU38" i="9"/>
  <c r="DU41" i="9"/>
  <c r="DW22" i="3"/>
  <c r="DU20" i="9"/>
  <c r="DZ72" i="3"/>
  <c r="DZ120" i="3"/>
  <c r="DU62" i="9"/>
  <c r="DX21" i="3" s="1" a="1"/>
  <c r="DX21" i="3" s="1"/>
  <c r="DW15" i="9"/>
  <c r="DV12" i="9"/>
  <c r="DV11" i="9"/>
  <c r="DV40" i="9" s="1"/>
  <c r="DV10" i="9"/>
  <c r="DV58" i="9" a="1"/>
  <c r="DV58" i="9" s="1"/>
  <c r="DU39" i="9"/>
  <c r="DU43" i="9"/>
  <c r="DU46" i="9"/>
  <c r="DU35" i="9"/>
  <c r="DU48" i="9"/>
  <c r="DU34" i="9"/>
  <c r="DU42" i="9"/>
  <c r="DU44" i="9"/>
  <c r="DX20" i="3" a="1"/>
  <c r="DX20" i="3" s="1"/>
  <c r="DV10" i="3"/>
  <c r="DV29" i="3" s="1"/>
  <c r="DV34" i="3" s="1"/>
  <c r="DV35" i="3" s="1"/>
  <c r="EC13" i="6"/>
  <c r="EC16" i="6"/>
  <c r="EC12" i="6"/>
  <c r="EC15" i="6"/>
  <c r="EC11" i="6"/>
  <c r="EC5" i="6"/>
  <c r="EC8" i="6"/>
  <c r="EC9" i="6"/>
  <c r="EC7" i="6"/>
  <c r="EC14" i="6"/>
  <c r="EC10" i="6"/>
  <c r="EB12" i="2"/>
  <c r="DY7" i="3" s="1" a="1"/>
  <c r="DY7" i="3" s="1"/>
  <c r="EB17" i="7"/>
  <c r="DY9" i="3" s="1" a="1"/>
  <c r="DY9" i="3" s="1"/>
  <c r="EA3" i="3"/>
  <c r="EA28" i="3"/>
  <c r="EA5" i="3"/>
  <c r="EB4" i="3"/>
  <c r="EA61" i="3"/>
  <c r="EA110" i="3" a="1"/>
  <c r="EA110" i="3" s="1"/>
  <c r="EA13" i="3"/>
  <c r="ED4" i="11"/>
  <c r="EA12" i="3"/>
  <c r="EA76" i="3"/>
  <c r="EA47" i="3" s="1"/>
  <c r="ED4" i="2"/>
  <c r="ED9" i="2" s="1"/>
  <c r="EA17" i="3"/>
  <c r="EA41" i="3"/>
  <c r="EA80" i="3"/>
  <c r="EA62" i="3" s="1"/>
  <c r="EA54" i="3"/>
  <c r="EA36" i="3" s="1"/>
  <c r="ED4" i="6"/>
  <c r="EA18" i="3"/>
  <c r="EA59" i="3"/>
  <c r="EA14" i="3"/>
  <c r="EA60" i="3"/>
  <c r="EA16" i="3"/>
  <c r="ED4" i="7"/>
  <c r="EC5" i="11"/>
  <c r="EC10" i="11"/>
  <c r="EC7" i="11"/>
  <c r="EC9" i="11"/>
  <c r="EC8" i="11"/>
  <c r="EC11" i="2"/>
  <c r="EC8" i="2"/>
  <c r="EC10" i="2"/>
  <c r="EC5" i="2"/>
  <c r="EC7" i="2"/>
  <c r="EC6" i="2"/>
  <c r="EC16" i="7"/>
  <c r="EC5" i="7"/>
  <c r="EC12" i="7"/>
  <c r="EC15" i="7"/>
  <c r="EC8" i="7"/>
  <c r="EC10" i="7"/>
  <c r="EC6" i="7"/>
  <c r="EC13" i="7"/>
  <c r="EC11" i="7"/>
  <c r="EC7" i="7"/>
  <c r="EA2" i="3"/>
  <c r="DD35" i="3"/>
  <c r="DO35" i="3"/>
  <c r="AO54" i="3"/>
  <c r="AO36" i="3" s="1"/>
  <c r="N36" i="3"/>
  <c r="O36" i="3"/>
  <c r="EA9" i="38" l="1"/>
  <c r="EA11" i="38"/>
  <c r="EA15" i="38"/>
  <c r="EA10" i="38"/>
  <c r="EA17" i="38"/>
  <c r="EA16" i="38"/>
  <c r="EA21" i="38"/>
  <c r="EA25" i="38"/>
  <c r="EA19" i="38"/>
  <c r="EA18" i="38"/>
  <c r="EA20" i="38"/>
  <c r="EA22" i="38"/>
  <c r="EA24" i="38"/>
  <c r="EA27" i="38"/>
  <c r="EA29" i="38"/>
  <c r="EA26" i="38"/>
  <c r="EA31" i="38"/>
  <c r="EA33" i="38"/>
  <c r="EA35" i="38"/>
  <c r="EA30" i="38"/>
  <c r="EA32" i="38"/>
  <c r="EA34" i="38"/>
  <c r="EA38" i="38"/>
  <c r="EA28" i="38"/>
  <c r="EA36" i="38"/>
  <c r="EA37" i="38"/>
  <c r="EA39" i="38"/>
  <c r="EA41" i="38"/>
  <c r="EA43" i="38"/>
  <c r="EA45" i="38"/>
  <c r="EA49" i="38"/>
  <c r="EA51" i="38"/>
  <c r="EA44" i="38"/>
  <c r="EA46" i="38"/>
  <c r="EA50" i="38"/>
  <c r="EA52" i="38"/>
  <c r="EA54" i="38"/>
  <c r="EA56" i="38"/>
  <c r="EA57" i="38"/>
  <c r="EA55" i="38"/>
  <c r="EA59" i="38"/>
  <c r="EA61" i="38"/>
  <c r="EA63" i="38"/>
  <c r="EA53" i="38"/>
  <c r="EA58" i="38"/>
  <c r="EA60" i="38"/>
  <c r="EA62" i="38"/>
  <c r="EA66" i="38"/>
  <c r="EA72" i="38"/>
  <c r="EA74" i="38"/>
  <c r="EA65" i="38"/>
  <c r="EA67" i="38"/>
  <c r="EA71" i="38"/>
  <c r="EA73" i="38"/>
  <c r="EA64" i="38"/>
  <c r="EA76" i="38"/>
  <c r="EA78" i="38"/>
  <c r="EA80" i="38"/>
  <c r="EA82" i="38"/>
  <c r="EA77" i="38"/>
  <c r="EA79" i="38"/>
  <c r="EA81" i="38"/>
  <c r="EA83" i="38"/>
  <c r="EA75" i="38"/>
  <c r="EA84" i="38"/>
  <c r="EA86" i="38"/>
  <c r="DT25" i="9"/>
  <c r="DT27" i="9"/>
  <c r="DT26" i="9"/>
  <c r="DT28" i="9"/>
  <c r="DT36" i="9"/>
  <c r="DZ87" i="38"/>
  <c r="DU24" i="9" s="1"/>
  <c r="DY89" i="38"/>
  <c r="DT22" i="9" s="1"/>
  <c r="DT21" i="9" s="1"/>
  <c r="DT23" i="9" s="1"/>
  <c r="DU16" i="9"/>
  <c r="DU17" i="9"/>
  <c r="DW18" i="9"/>
  <c r="DT29" i="9"/>
  <c r="EB8" i="38"/>
  <c r="DW9" i="9"/>
  <c r="DV62" i="9"/>
  <c r="DY21" i="3" s="1" a="1"/>
  <c r="DY21" i="3" s="1"/>
  <c r="ED9" i="7"/>
  <c r="ED14" i="7"/>
  <c r="DV38" i="9"/>
  <c r="DV41" i="9"/>
  <c r="DW14" i="9"/>
  <c r="DV20" i="9"/>
  <c r="DZ100" i="3"/>
  <c r="DZ93" i="3"/>
  <c r="EA72" i="3"/>
  <c r="EA120" i="3"/>
  <c r="DX22" i="3"/>
  <c r="DY20" i="3" a="1"/>
  <c r="DY20" i="3" s="1"/>
  <c r="EC12" i="2"/>
  <c r="DZ7" i="3" s="1" a="1"/>
  <c r="DZ7" i="3" s="1"/>
  <c r="DV46" i="9"/>
  <c r="DV39" i="9"/>
  <c r="DV43" i="9"/>
  <c r="DV34" i="9"/>
  <c r="DV35" i="9"/>
  <c r="DV48" i="9"/>
  <c r="DV42" i="9"/>
  <c r="DV44" i="9"/>
  <c r="DW12" i="9"/>
  <c r="DX15" i="9"/>
  <c r="DW11" i="9"/>
  <c r="DW40" i="9" s="1"/>
  <c r="DW10" i="9"/>
  <c r="DW58" i="9" a="1"/>
  <c r="DW58" i="9" s="1"/>
  <c r="EC17" i="7"/>
  <c r="DZ9" i="3" s="1" a="1"/>
  <c r="DZ9" i="3" s="1"/>
  <c r="EB2" i="3"/>
  <c r="EB120" i="3" s="1"/>
  <c r="ED7" i="2"/>
  <c r="ED8" i="2"/>
  <c r="ED10" i="2"/>
  <c r="ED11" i="2"/>
  <c r="ED5" i="2"/>
  <c r="ED6" i="2"/>
  <c r="EB16" i="3"/>
  <c r="EB28" i="3"/>
  <c r="EB60" i="3"/>
  <c r="EB3" i="3"/>
  <c r="EB54" i="3"/>
  <c r="EB36" i="3" s="1"/>
  <c r="EB14" i="3"/>
  <c r="EB59" i="3"/>
  <c r="EB110" i="3" a="1"/>
  <c r="EB110" i="3" s="1"/>
  <c r="EB5" i="3"/>
  <c r="EE4" i="6"/>
  <c r="EB13" i="3"/>
  <c r="EB17" i="3"/>
  <c r="EE4" i="11"/>
  <c r="EC4" i="3"/>
  <c r="EB61" i="3"/>
  <c r="EE4" i="2"/>
  <c r="EE9" i="2" s="1"/>
  <c r="EB12" i="3"/>
  <c r="EB76" i="3"/>
  <c r="EB47" i="3" s="1"/>
  <c r="EB18" i="3"/>
  <c r="EB80" i="3"/>
  <c r="EB62" i="3" s="1"/>
  <c r="EE4" i="7"/>
  <c r="EB41" i="3"/>
  <c r="ED5" i="7"/>
  <c r="ED11" i="7"/>
  <c r="ED8" i="7"/>
  <c r="ED7" i="7"/>
  <c r="ED12" i="7"/>
  <c r="ED6" i="7"/>
  <c r="ED15" i="7"/>
  <c r="ED16" i="7"/>
  <c r="ED10" i="7"/>
  <c r="ED13" i="7"/>
  <c r="ED13" i="6"/>
  <c r="ED10" i="6"/>
  <c r="ED16" i="6"/>
  <c r="ED9" i="6"/>
  <c r="ED14" i="6"/>
  <c r="ED8" i="6"/>
  <c r="ED12" i="6"/>
  <c r="ED15" i="6"/>
  <c r="ED5" i="6"/>
  <c r="ED7" i="6"/>
  <c r="ED11" i="6"/>
  <c r="ED10" i="11"/>
  <c r="ED9" i="11"/>
  <c r="ED7" i="11"/>
  <c r="ED5" i="11"/>
  <c r="ED8" i="11"/>
  <c r="BF59" i="3"/>
  <c r="I59" i="3"/>
  <c r="BD59" i="3"/>
  <c r="BC59" i="3"/>
  <c r="K59" i="3"/>
  <c r="AI59" i="3"/>
  <c r="BA59" i="3"/>
  <c r="AT59" i="3"/>
  <c r="BP109" i="3" a="1"/>
  <c r="BP109" i="3" s="1"/>
  <c r="BP111" i="3" s="1"/>
  <c r="BP112" i="3" s="1"/>
  <c r="BM47" i="9"/>
  <c r="EB9" i="38" l="1"/>
  <c r="EB11" i="38"/>
  <c r="EB15" i="38"/>
  <c r="EB10" i="38"/>
  <c r="EB16" i="38"/>
  <c r="EB21" i="38"/>
  <c r="EB17" i="38"/>
  <c r="EB19" i="38"/>
  <c r="EB18" i="38"/>
  <c r="EB20" i="38"/>
  <c r="EB22" i="38"/>
  <c r="EB25" i="38"/>
  <c r="EB24" i="38"/>
  <c r="EB28" i="38"/>
  <c r="EB31" i="38"/>
  <c r="EB33" i="38"/>
  <c r="EB35" i="38"/>
  <c r="EB26" i="38"/>
  <c r="EB29" i="38"/>
  <c r="EB32" i="38"/>
  <c r="EB34" i="38"/>
  <c r="EB38" i="38"/>
  <c r="EB36" i="38"/>
  <c r="EB27" i="38"/>
  <c r="EB39" i="38"/>
  <c r="EB41" i="38"/>
  <c r="EB43" i="38"/>
  <c r="EB45" i="38"/>
  <c r="EB49" i="38"/>
  <c r="EB37" i="38"/>
  <c r="EB30" i="38"/>
  <c r="EB52" i="38"/>
  <c r="EB54" i="38"/>
  <c r="EB56" i="38"/>
  <c r="EB44" i="38"/>
  <c r="EB46" i="38"/>
  <c r="EB50" i="38"/>
  <c r="EB53" i="38"/>
  <c r="EB55" i="38"/>
  <c r="EB57" i="38"/>
  <c r="EB51" i="38"/>
  <c r="EB59" i="38"/>
  <c r="EB61" i="38"/>
  <c r="EB63" i="38"/>
  <c r="EB62" i="38"/>
  <c r="EB66" i="38"/>
  <c r="EB72" i="38"/>
  <c r="EB74" i="38"/>
  <c r="EB58" i="38"/>
  <c r="EB60" i="38"/>
  <c r="EB65" i="38"/>
  <c r="EB67" i="38"/>
  <c r="EB71" i="38"/>
  <c r="EB73" i="38"/>
  <c r="EB64" i="38"/>
  <c r="EB76" i="38"/>
  <c r="EB78" i="38"/>
  <c r="EB80" i="38"/>
  <c r="EB82" i="38"/>
  <c r="EB77" i="38"/>
  <c r="EB79" i="38"/>
  <c r="EB81" i="38"/>
  <c r="EB83" i="38"/>
  <c r="EB75" i="38"/>
  <c r="EB84" i="38"/>
  <c r="EB86" i="38"/>
  <c r="DZ89" i="38"/>
  <c r="DU22" i="9" s="1"/>
  <c r="DU21" i="9" s="1"/>
  <c r="DU23" i="9" s="1"/>
  <c r="DX18" i="9"/>
  <c r="DU37" i="9"/>
  <c r="DU36" i="9"/>
  <c r="DU25" i="9"/>
  <c r="DU26" i="9"/>
  <c r="DU28" i="9"/>
  <c r="DU27" i="9"/>
  <c r="DV16" i="9"/>
  <c r="DV17" i="9"/>
  <c r="EA87" i="38"/>
  <c r="DV24" i="9" s="1"/>
  <c r="BN30" i="9"/>
  <c r="BN31" i="9" s="1"/>
  <c r="BQ109" i="3" s="1" a="1"/>
  <c r="BQ109" i="3" s="1"/>
  <c r="BQ111" i="3" s="1"/>
  <c r="BQ112" i="3" s="1"/>
  <c r="DU29" i="9"/>
  <c r="EC8" i="38"/>
  <c r="DX9" i="9"/>
  <c r="DY22" i="3"/>
  <c r="EE9" i="7"/>
  <c r="EE14" i="7"/>
  <c r="DX14" i="9"/>
  <c r="DW38" i="9"/>
  <c r="DW41" i="9"/>
  <c r="DW20" i="9"/>
  <c r="DW62" i="9"/>
  <c r="DZ21" i="3" s="1" a="1"/>
  <c r="DZ21" i="3" s="1"/>
  <c r="EA100" i="3"/>
  <c r="EA93" i="3"/>
  <c r="EB100" i="3"/>
  <c r="EB93" i="3"/>
  <c r="DY15" i="9"/>
  <c r="DX12" i="9"/>
  <c r="DX11" i="9"/>
  <c r="DX40" i="9" s="1"/>
  <c r="DX10" i="9"/>
  <c r="DX58" i="9" a="1"/>
  <c r="DX58" i="9" s="1"/>
  <c r="DZ20" i="3" a="1"/>
  <c r="DZ20" i="3" s="1"/>
  <c r="DW44" i="9"/>
  <c r="DW35" i="9"/>
  <c r="DW39" i="9"/>
  <c r="DW46" i="9"/>
  <c r="DW48" i="9"/>
  <c r="DW43" i="9"/>
  <c r="DW34" i="9"/>
  <c r="DW42" i="9"/>
  <c r="EE7" i="11"/>
  <c r="EE9" i="11"/>
  <c r="EE8" i="11"/>
  <c r="EE10" i="11"/>
  <c r="EE5" i="11"/>
  <c r="EC2" i="3"/>
  <c r="EC120" i="3" s="1"/>
  <c r="ED17" i="7"/>
  <c r="EA9" i="3" s="1" a="1"/>
  <c r="EA9" i="3" s="1"/>
  <c r="ED12" i="2"/>
  <c r="EA7" i="3" s="1" a="1"/>
  <c r="EA7" i="3" s="1"/>
  <c r="EC13" i="3"/>
  <c r="EC28" i="3"/>
  <c r="EC41" i="3"/>
  <c r="EC18" i="3"/>
  <c r="EF4" i="6"/>
  <c r="EC76" i="3"/>
  <c r="EC47" i="3" s="1"/>
  <c r="EC12" i="3"/>
  <c r="EC16" i="3"/>
  <c r="EC60" i="3"/>
  <c r="EC17" i="3"/>
  <c r="EC54" i="3"/>
  <c r="EC36" i="3" s="1"/>
  <c r="ED4" i="3"/>
  <c r="EC110" i="3" a="1"/>
  <c r="EC110" i="3" s="1"/>
  <c r="EC59" i="3"/>
  <c r="EC61" i="3"/>
  <c r="EF4" i="7"/>
  <c r="EC5" i="3"/>
  <c r="EC80" i="3"/>
  <c r="EC62" i="3" s="1"/>
  <c r="EC3" i="3"/>
  <c r="EC14" i="3"/>
  <c r="EF4" i="2"/>
  <c r="EF9" i="2" s="1"/>
  <c r="EF4" i="11"/>
  <c r="EE8" i="2"/>
  <c r="EE10" i="2"/>
  <c r="EE5" i="2"/>
  <c r="EE7" i="2"/>
  <c r="EE6" i="2"/>
  <c r="EE11" i="2"/>
  <c r="EB72" i="3"/>
  <c r="EE9" i="6"/>
  <c r="EE10" i="6"/>
  <c r="EE15" i="6"/>
  <c r="EE7" i="6"/>
  <c r="EE13" i="6"/>
  <c r="EE12" i="6"/>
  <c r="EE16" i="6"/>
  <c r="EE11" i="6"/>
  <c r="EE14" i="6"/>
  <c r="EE5" i="6"/>
  <c r="EE8" i="6"/>
  <c r="EE11" i="7"/>
  <c r="EE16" i="7"/>
  <c r="EE10" i="7"/>
  <c r="EE6" i="7"/>
  <c r="EE15" i="7"/>
  <c r="EE13" i="7"/>
  <c r="EE5" i="7"/>
  <c r="EE12" i="7"/>
  <c r="EE7" i="7"/>
  <c r="EE8" i="7"/>
  <c r="Q71" i="23"/>
  <c r="CY80" i="3" s="1"/>
  <c r="CY62" i="3" s="1"/>
  <c r="P71" i="23"/>
  <c r="CY60" i="3" s="1"/>
  <c r="P69" i="23"/>
  <c r="Q69" i="23"/>
  <c r="Q70" i="23"/>
  <c r="P70" i="23"/>
  <c r="BF54" i="3"/>
  <c r="BF36" i="3" s="1"/>
  <c r="I54" i="3"/>
  <c r="I36" i="3" s="1"/>
  <c r="BC54" i="3"/>
  <c r="BC36" i="3" s="1"/>
  <c r="AI54" i="3"/>
  <c r="AI36" i="3" s="1"/>
  <c r="BD54" i="3"/>
  <c r="BD36" i="3" s="1"/>
  <c r="BA54" i="3"/>
  <c r="BA36" i="3" s="1"/>
  <c r="K54" i="3"/>
  <c r="K36" i="3" s="1"/>
  <c r="P68" i="23"/>
  <c r="Q68" i="23"/>
  <c r="AT54" i="3"/>
  <c r="AT36" i="3" s="1"/>
  <c r="EA20" i="3" l="1" a="1"/>
  <c r="EA20" i="3" s="1"/>
  <c r="EC9" i="38"/>
  <c r="EC11" i="38"/>
  <c r="EC16" i="38"/>
  <c r="EC18" i="38"/>
  <c r="EC20" i="38"/>
  <c r="EC15" i="38"/>
  <c r="EC17" i="38"/>
  <c r="EC19" i="38"/>
  <c r="EC21" i="38"/>
  <c r="EC10" i="38"/>
  <c r="EC22" i="38"/>
  <c r="EC25" i="38"/>
  <c r="EC27" i="38"/>
  <c r="EC24" i="38"/>
  <c r="EC28" i="38"/>
  <c r="EC31" i="38"/>
  <c r="EC33" i="38"/>
  <c r="EC26" i="38"/>
  <c r="EC29" i="38"/>
  <c r="EC30" i="38"/>
  <c r="EC37" i="38"/>
  <c r="EC32" i="38"/>
  <c r="EC34" i="38"/>
  <c r="EC35" i="38"/>
  <c r="EC36" i="38"/>
  <c r="EC44" i="38"/>
  <c r="EC46" i="38"/>
  <c r="EC50" i="38"/>
  <c r="EC38" i="38"/>
  <c r="EC39" i="38"/>
  <c r="EC41" i="38"/>
  <c r="EC43" i="38"/>
  <c r="EC45" i="38"/>
  <c r="EC49" i="38"/>
  <c r="EC51" i="38"/>
  <c r="EC52" i="38"/>
  <c r="EC58" i="38"/>
  <c r="EC60" i="38"/>
  <c r="EC62" i="38"/>
  <c r="EC57" i="38"/>
  <c r="EC55" i="38"/>
  <c r="EC59" i="38"/>
  <c r="EC61" i="38"/>
  <c r="EC56" i="38"/>
  <c r="EC53" i="38"/>
  <c r="EC64" i="38"/>
  <c r="EC63" i="38"/>
  <c r="EC66" i="38"/>
  <c r="EC72" i="38"/>
  <c r="EC54" i="38"/>
  <c r="EC65" i="38"/>
  <c r="EC67" i="38"/>
  <c r="EC71" i="38"/>
  <c r="EC73" i="38"/>
  <c r="EC75" i="38"/>
  <c r="EC74" i="38"/>
  <c r="EC76" i="38"/>
  <c r="EC77" i="38"/>
  <c r="EC78" i="38"/>
  <c r="EC79" i="38"/>
  <c r="EC84" i="38"/>
  <c r="EC86" i="38"/>
  <c r="EC80" i="38"/>
  <c r="EC81" i="38"/>
  <c r="EC82" i="38"/>
  <c r="EC83" i="38"/>
  <c r="DV36" i="9"/>
  <c r="DV37" i="9"/>
  <c r="DV28" i="9"/>
  <c r="DV27" i="9"/>
  <c r="DV25" i="9"/>
  <c r="DV26" i="9"/>
  <c r="EB87" i="38"/>
  <c r="EB89" i="38" s="1"/>
  <c r="DW22" i="9" s="1"/>
  <c r="DW17" i="9"/>
  <c r="DW16" i="9"/>
  <c r="DY18" i="9"/>
  <c r="EA89" i="38"/>
  <c r="DV22" i="9" s="1"/>
  <c r="DV21" i="9" s="1"/>
  <c r="DV23" i="9" s="1"/>
  <c r="DV29" i="9"/>
  <c r="ED8" i="38"/>
  <c r="DY9" i="9"/>
  <c r="EF9" i="7"/>
  <c r="EF14" i="7"/>
  <c r="CX60" i="3"/>
  <c r="CW80" i="3"/>
  <c r="CW62" i="3" s="1"/>
  <c r="CX80" i="3"/>
  <c r="CX62" i="3" s="1"/>
  <c r="CW60" i="3"/>
  <c r="DX38" i="9"/>
  <c r="DX41" i="9"/>
  <c r="DY14" i="9"/>
  <c r="DZ22" i="3"/>
  <c r="DX20" i="9"/>
  <c r="EC100" i="3"/>
  <c r="EC93" i="3"/>
  <c r="DX62" i="9"/>
  <c r="EA21" i="3" s="1" a="1"/>
  <c r="EA21" i="3" s="1"/>
  <c r="EA22" i="3" s="1"/>
  <c r="EC72" i="3"/>
  <c r="EE12" i="2"/>
  <c r="EB7" i="3" s="1" a="1"/>
  <c r="EB7" i="3" s="1"/>
  <c r="DX46" i="9"/>
  <c r="DX43" i="9"/>
  <c r="DX48" i="9"/>
  <c r="DX39" i="9"/>
  <c r="DX44" i="9"/>
  <c r="DX34" i="9"/>
  <c r="DX35" i="9"/>
  <c r="DX42" i="9"/>
  <c r="DZ15" i="9"/>
  <c r="DY12" i="9"/>
  <c r="DY10" i="9"/>
  <c r="DY11" i="9"/>
  <c r="DY40" i="9" s="1"/>
  <c r="DY58" i="9" a="1"/>
  <c r="DY58" i="9" s="1"/>
  <c r="EE17" i="7"/>
  <c r="EB9" i="3" s="1" a="1"/>
  <c r="EB9" i="3" s="1"/>
  <c r="ED17" i="3"/>
  <c r="ED59" i="3"/>
  <c r="ED13" i="3"/>
  <c r="EG4" i="6"/>
  <c r="ED18" i="3"/>
  <c r="ED61" i="3"/>
  <c r="ED60" i="3"/>
  <c r="ED76" i="3"/>
  <c r="ED47" i="3" s="1"/>
  <c r="ED110" i="3" a="1"/>
  <c r="ED110" i="3" s="1"/>
  <c r="EG4" i="7"/>
  <c r="ED3" i="3"/>
  <c r="ED80" i="3"/>
  <c r="ED62" i="3" s="1"/>
  <c r="EG4" i="11"/>
  <c r="ED5" i="3"/>
  <c r="ED28" i="3"/>
  <c r="ED16" i="3"/>
  <c r="EG4" i="2"/>
  <c r="EG9" i="2" s="1"/>
  <c r="EE4" i="3"/>
  <c r="ED12" i="3"/>
  <c r="ED54" i="3"/>
  <c r="ED36" i="3" s="1"/>
  <c r="ED41" i="3"/>
  <c r="ED14" i="3"/>
  <c r="EF15" i="6"/>
  <c r="EF13" i="6"/>
  <c r="EF9" i="6"/>
  <c r="EF11" i="6"/>
  <c r="EF5" i="6"/>
  <c r="EF16" i="6"/>
  <c r="EF7" i="6"/>
  <c r="EF8" i="6"/>
  <c r="EF12" i="6"/>
  <c r="EF14" i="6"/>
  <c r="EF10" i="6"/>
  <c r="EF8" i="7"/>
  <c r="EF5" i="7"/>
  <c r="EF12" i="7"/>
  <c r="EF13" i="7"/>
  <c r="EF15" i="7"/>
  <c r="EF11" i="7"/>
  <c r="EF6" i="7"/>
  <c r="EF16" i="7"/>
  <c r="EF10" i="7"/>
  <c r="EF7" i="7"/>
  <c r="ED2" i="3"/>
  <c r="EF5" i="11"/>
  <c r="EF7" i="11"/>
  <c r="EF8" i="11"/>
  <c r="EF9" i="11"/>
  <c r="EF10" i="11"/>
  <c r="EF6" i="2"/>
  <c r="EF8" i="2"/>
  <c r="EF7" i="2"/>
  <c r="EF10" i="2"/>
  <c r="EF5" i="2"/>
  <c r="EF11" i="2"/>
  <c r="J60" i="3"/>
  <c r="I60" i="3"/>
  <c r="J80" i="3"/>
  <c r="J62" i="3" s="1"/>
  <c r="I80" i="3"/>
  <c r="I62" i="3" s="1"/>
  <c r="K80" i="3"/>
  <c r="K62" i="3" s="1"/>
  <c r="K60" i="3"/>
  <c r="L80" i="3"/>
  <c r="L62" i="3" s="1"/>
  <c r="L60" i="3"/>
  <c r="BN47" i="9"/>
  <c r="BN55" i="9"/>
  <c r="BN56" i="9" s="1"/>
  <c r="BQ25" i="3" s="1" a="1"/>
  <c r="BQ25" i="3" s="1"/>
  <c r="J178" i="1"/>
  <c r="DC12" i="3" s="1"/>
  <c r="EB20" i="3" l="1" a="1"/>
  <c r="EB20" i="3" s="1"/>
  <c r="ED10" i="38"/>
  <c r="ED16" i="38"/>
  <c r="ED9" i="38"/>
  <c r="ED11" i="38"/>
  <c r="ED15" i="38"/>
  <c r="ED18" i="38"/>
  <c r="ED20" i="38"/>
  <c r="ED17" i="38"/>
  <c r="ED19" i="38"/>
  <c r="ED21" i="38"/>
  <c r="ED25" i="38"/>
  <c r="ED27" i="38"/>
  <c r="ED24" i="38"/>
  <c r="ED22" i="38"/>
  <c r="ED30" i="38"/>
  <c r="ED32" i="38"/>
  <c r="ED34" i="38"/>
  <c r="ED28" i="38"/>
  <c r="ED31" i="38"/>
  <c r="ED33" i="38"/>
  <c r="ED37" i="38"/>
  <c r="ED26" i="38"/>
  <c r="ED35" i="38"/>
  <c r="ED44" i="38"/>
  <c r="ED46" i="38"/>
  <c r="ED50" i="38"/>
  <c r="ED29" i="38"/>
  <c r="ED38" i="38"/>
  <c r="ED36" i="38"/>
  <c r="ED39" i="38"/>
  <c r="ED41" i="38"/>
  <c r="ED43" i="38"/>
  <c r="ED45" i="38"/>
  <c r="ED49" i="38"/>
  <c r="ED52" i="38"/>
  <c r="ED54" i="38"/>
  <c r="ED56" i="38"/>
  <c r="ED51" i="38"/>
  <c r="ED53" i="38"/>
  <c r="ED58" i="38"/>
  <c r="ED60" i="38"/>
  <c r="ED62" i="38"/>
  <c r="ED57" i="38"/>
  <c r="ED55" i="38"/>
  <c r="ED59" i="38"/>
  <c r="ED61" i="38"/>
  <c r="ED64" i="38"/>
  <c r="ED63" i="38"/>
  <c r="ED66" i="38"/>
  <c r="ED72" i="38"/>
  <c r="ED74" i="38"/>
  <c r="ED77" i="38"/>
  <c r="ED79" i="38"/>
  <c r="ED81" i="38"/>
  <c r="ED83" i="38"/>
  <c r="ED65" i="38"/>
  <c r="ED75" i="38"/>
  <c r="ED67" i="38"/>
  <c r="ED76" i="38"/>
  <c r="ED78" i="38"/>
  <c r="ED80" i="38"/>
  <c r="ED82" i="38"/>
  <c r="ED71" i="38"/>
  <c r="ED84" i="38"/>
  <c r="ED86" i="38"/>
  <c r="ED73" i="38"/>
  <c r="DW24" i="9"/>
  <c r="DW29" i="9" s="1"/>
  <c r="DX17" i="9"/>
  <c r="DX16" i="9"/>
  <c r="DZ18" i="9"/>
  <c r="DW36" i="9"/>
  <c r="DW37" i="9"/>
  <c r="DW25" i="9"/>
  <c r="DW26" i="9"/>
  <c r="DW28" i="9"/>
  <c r="DW27" i="9"/>
  <c r="EC87" i="38"/>
  <c r="DX24" i="9" s="1"/>
  <c r="BO30" i="9"/>
  <c r="BO31" i="9" s="1"/>
  <c r="BR109" i="3" s="1" a="1"/>
  <c r="BR109" i="3" s="1"/>
  <c r="BR111" i="3" s="1"/>
  <c r="BR112" i="3" s="1"/>
  <c r="DW21" i="9"/>
  <c r="DW23" i="9" s="1"/>
  <c r="EE8" i="38"/>
  <c r="DZ9" i="9"/>
  <c r="EG9" i="7"/>
  <c r="EG14" i="7"/>
  <c r="DZ14" i="9"/>
  <c r="DY38" i="9"/>
  <c r="DY41" i="9"/>
  <c r="DY20" i="9"/>
  <c r="ED72" i="3"/>
  <c r="ED120" i="3"/>
  <c r="BO12" i="3"/>
  <c r="DW12" i="3"/>
  <c r="DZ12" i="9"/>
  <c r="EA15" i="9"/>
  <c r="DZ11" i="9"/>
  <c r="DZ40" i="9" s="1"/>
  <c r="DZ10" i="9"/>
  <c r="DZ58" i="9" a="1"/>
  <c r="DZ58" i="9" s="1"/>
  <c r="DY35" i="9"/>
  <c r="DY46" i="9"/>
  <c r="DY43" i="9"/>
  <c r="DY34" i="9"/>
  <c r="DY39" i="9"/>
  <c r="DY48" i="9"/>
  <c r="DY42" i="9"/>
  <c r="DY44" i="9"/>
  <c r="DY62" i="9"/>
  <c r="EB21" i="3" s="1" a="1"/>
  <c r="EB21" i="3" s="1"/>
  <c r="EB22" i="3" s="1"/>
  <c r="EG16" i="6"/>
  <c r="EG15" i="6"/>
  <c r="EG7" i="6"/>
  <c r="EG10" i="6"/>
  <c r="EG13" i="6"/>
  <c r="EG14" i="6"/>
  <c r="EG11" i="6"/>
  <c r="EG8" i="6"/>
  <c r="EG12" i="6"/>
  <c r="EG5" i="6"/>
  <c r="EG9" i="6"/>
  <c r="EG8" i="2"/>
  <c r="EG5" i="2"/>
  <c r="EG6" i="2"/>
  <c r="EG7" i="2"/>
  <c r="EG10" i="2"/>
  <c r="EG11" i="2"/>
  <c r="EG10" i="7"/>
  <c r="EG8" i="7"/>
  <c r="EG5" i="7"/>
  <c r="EG15" i="7"/>
  <c r="EG13" i="7"/>
  <c r="EG12" i="7"/>
  <c r="EG6" i="7"/>
  <c r="EG16" i="7"/>
  <c r="EG11" i="7"/>
  <c r="EG7" i="7"/>
  <c r="EE3" i="3"/>
  <c r="EE12" i="3"/>
  <c r="EE59" i="3"/>
  <c r="EH4" i="7"/>
  <c r="EE54" i="3"/>
  <c r="EE36" i="3" s="1"/>
  <c r="EE5" i="3"/>
  <c r="EE60" i="3"/>
  <c r="EH4" i="6"/>
  <c r="EF4" i="3"/>
  <c r="EE18" i="3"/>
  <c r="EE61" i="3"/>
  <c r="EH4" i="11"/>
  <c r="EE13" i="3"/>
  <c r="EE16" i="3"/>
  <c r="EE28" i="3"/>
  <c r="EE17" i="3"/>
  <c r="EE110" i="3" a="1"/>
  <c r="EE110" i="3" s="1"/>
  <c r="EH4" i="2"/>
  <c r="EH9" i="2" s="1"/>
  <c r="EE80" i="3"/>
  <c r="EE62" i="3" s="1"/>
  <c r="EE14" i="3"/>
  <c r="EE41" i="3"/>
  <c r="EE76" i="3"/>
  <c r="EE47" i="3" s="1"/>
  <c r="EE2" i="3"/>
  <c r="EG5" i="11"/>
  <c r="EG9" i="11"/>
  <c r="EG8" i="11"/>
  <c r="EG10" i="11"/>
  <c r="EG7" i="11"/>
  <c r="EF17" i="7"/>
  <c r="EC9" i="3" s="1" a="1"/>
  <c r="EC9" i="3" s="1"/>
  <c r="EF12" i="2"/>
  <c r="EC7" i="3" s="1" a="1"/>
  <c r="EC7" i="3" s="1"/>
  <c r="J180" i="1"/>
  <c r="DC13" i="3" s="1"/>
  <c r="EC20" i="3" l="1" a="1"/>
  <c r="EC20" i="3" s="1"/>
  <c r="EE10" i="38"/>
  <c r="EE16" i="38"/>
  <c r="EE9" i="38"/>
  <c r="EE11" i="38"/>
  <c r="EE15" i="38"/>
  <c r="EE18" i="38"/>
  <c r="EE22" i="38"/>
  <c r="EE24" i="38"/>
  <c r="EE17" i="38"/>
  <c r="EE19" i="38"/>
  <c r="EE21" i="38"/>
  <c r="EE20" i="38"/>
  <c r="EE26" i="38"/>
  <c r="EE28" i="38"/>
  <c r="EE25" i="38"/>
  <c r="EE27" i="38"/>
  <c r="EE30" i="38"/>
  <c r="EE32" i="38"/>
  <c r="EE34" i="38"/>
  <c r="EE36" i="38"/>
  <c r="EE31" i="38"/>
  <c r="EE33" i="38"/>
  <c r="EE29" i="38"/>
  <c r="EE37" i="38"/>
  <c r="EE35" i="38"/>
  <c r="EE44" i="38"/>
  <c r="EE46" i="38"/>
  <c r="EE50" i="38"/>
  <c r="EE38" i="38"/>
  <c r="EE39" i="38"/>
  <c r="EE41" i="38"/>
  <c r="EE43" i="38"/>
  <c r="EE45" i="38"/>
  <c r="EE49" i="38"/>
  <c r="EE53" i="38"/>
  <c r="EE55" i="38"/>
  <c r="EE54" i="38"/>
  <c r="EE58" i="38"/>
  <c r="EE60" i="38"/>
  <c r="EE62" i="38"/>
  <c r="EE51" i="38"/>
  <c r="EE52" i="38"/>
  <c r="EE57" i="38"/>
  <c r="EE56" i="38"/>
  <c r="EE59" i="38"/>
  <c r="EE61" i="38"/>
  <c r="EE65" i="38"/>
  <c r="EE67" i="38"/>
  <c r="EE71" i="38"/>
  <c r="EE73" i="38"/>
  <c r="EE75" i="38"/>
  <c r="EE64" i="38"/>
  <c r="EE63" i="38"/>
  <c r="EE66" i="38"/>
  <c r="EE72" i="38"/>
  <c r="EE74" i="38"/>
  <c r="EE77" i="38"/>
  <c r="EE79" i="38"/>
  <c r="EE81" i="38"/>
  <c r="EE83" i="38"/>
  <c r="EE76" i="38"/>
  <c r="EE78" i="38"/>
  <c r="EE80" i="38"/>
  <c r="EE82" i="38"/>
  <c r="EE84" i="38"/>
  <c r="EE86" i="38"/>
  <c r="EC89" i="38"/>
  <c r="DY16" i="9"/>
  <c r="DY27" i="9" s="1"/>
  <c r="DY17" i="9"/>
  <c r="ED87" i="38"/>
  <c r="DY24" i="9" s="1"/>
  <c r="EA18" i="9"/>
  <c r="DX36" i="9"/>
  <c r="DX37" i="9"/>
  <c r="DX27" i="9"/>
  <c r="DX25" i="9"/>
  <c r="DX26" i="9"/>
  <c r="DX28" i="9"/>
  <c r="DX29" i="9"/>
  <c r="DX22" i="9"/>
  <c r="DX21" i="9" s="1"/>
  <c r="EF8" i="38"/>
  <c r="EA9" i="9"/>
  <c r="EH9" i="7"/>
  <c r="EH14" i="7"/>
  <c r="EA14" i="9"/>
  <c r="DZ38" i="9"/>
  <c r="DZ41" i="9"/>
  <c r="DZ20" i="9"/>
  <c r="ED100" i="3"/>
  <c r="ED93" i="3"/>
  <c r="EE72" i="3"/>
  <c r="EE120" i="3"/>
  <c r="DZ62" i="9"/>
  <c r="EC21" i="3" s="1" a="1"/>
  <c r="EC21" i="3" s="1"/>
  <c r="EC22" i="3" s="1"/>
  <c r="BO13" i="3"/>
  <c r="DW13" i="3"/>
  <c r="EB15" i="9"/>
  <c r="EA12" i="9"/>
  <c r="EA11" i="9"/>
  <c r="EA40" i="9" s="1"/>
  <c r="EA10" i="9"/>
  <c r="EA58" i="9" a="1"/>
  <c r="EA58" i="9" s="1"/>
  <c r="DZ46" i="9"/>
  <c r="DZ43" i="9"/>
  <c r="DZ34" i="9"/>
  <c r="DZ35" i="9"/>
  <c r="DZ48" i="9"/>
  <c r="DZ39" i="9"/>
  <c r="DZ42" i="9"/>
  <c r="DZ44" i="9"/>
  <c r="EF54" i="3"/>
  <c r="EF36" i="3" s="1"/>
  <c r="EI4" i="7"/>
  <c r="EF12" i="3"/>
  <c r="EI4" i="6"/>
  <c r="EF3" i="3"/>
  <c r="EF60" i="3"/>
  <c r="EI4" i="2"/>
  <c r="EI9" i="2" s="1"/>
  <c r="EF5" i="3"/>
  <c r="EF59" i="3"/>
  <c r="EI4" i="11"/>
  <c r="EF18" i="3"/>
  <c r="EF41" i="3"/>
  <c r="EF13" i="3"/>
  <c r="EF28" i="3"/>
  <c r="EF110" i="3" a="1"/>
  <c r="EF110" i="3" s="1"/>
  <c r="EF76" i="3"/>
  <c r="EF47" i="3" s="1"/>
  <c r="EF14" i="3"/>
  <c r="EF80" i="3"/>
  <c r="EF62" i="3" s="1"/>
  <c r="EF16" i="3"/>
  <c r="EF17" i="3"/>
  <c r="EF61" i="3"/>
  <c r="EG4" i="3"/>
  <c r="EH13" i="6"/>
  <c r="EH8" i="6"/>
  <c r="EH7" i="6"/>
  <c r="EH5" i="6"/>
  <c r="EH11" i="6"/>
  <c r="EH14" i="6"/>
  <c r="EH12" i="6"/>
  <c r="EH10" i="6"/>
  <c r="EH15" i="6"/>
  <c r="EH16" i="6"/>
  <c r="EH9" i="6"/>
  <c r="EG12" i="2"/>
  <c r="ED7" i="3" s="1" a="1"/>
  <c r="ED7" i="3" s="1"/>
  <c r="EF2" i="3"/>
  <c r="EF120" i="3" s="1"/>
  <c r="EG17" i="7"/>
  <c r="ED9" i="3" s="1" a="1"/>
  <c r="ED9" i="3" s="1"/>
  <c r="EH11" i="2"/>
  <c r="EH6" i="2"/>
  <c r="EH7" i="2"/>
  <c r="EH10" i="2"/>
  <c r="EH5" i="2"/>
  <c r="EH8" i="2"/>
  <c r="EH9" i="11"/>
  <c r="EH5" i="11"/>
  <c r="EH8" i="11"/>
  <c r="EH7" i="11"/>
  <c r="EH10" i="11"/>
  <c r="EH13" i="7"/>
  <c r="EH5" i="7"/>
  <c r="EH8" i="7"/>
  <c r="EH16" i="7"/>
  <c r="EH12" i="7"/>
  <c r="EH15" i="7"/>
  <c r="EH11" i="7"/>
  <c r="EH10" i="7"/>
  <c r="EH6" i="7"/>
  <c r="EH7" i="7"/>
  <c r="BO47" i="9"/>
  <c r="BO55" i="9"/>
  <c r="BO56" i="9" s="1"/>
  <c r="BR25" i="3" s="1" a="1"/>
  <c r="BR25" i="3" s="1"/>
  <c r="J181" i="1"/>
  <c r="EF10" i="38" l="1"/>
  <c r="EF16" i="38"/>
  <c r="EF9" i="38"/>
  <c r="EF11" i="38"/>
  <c r="EF15" i="38"/>
  <c r="EF22" i="38"/>
  <c r="EF17" i="38"/>
  <c r="EF19" i="38"/>
  <c r="EF21" i="38"/>
  <c r="EF18" i="38"/>
  <c r="EF20" i="38"/>
  <c r="EF27" i="38"/>
  <c r="EF29" i="38"/>
  <c r="EF25" i="38"/>
  <c r="EF30" i="38"/>
  <c r="EF32" i="38"/>
  <c r="EF34" i="38"/>
  <c r="EF28" i="38"/>
  <c r="EF36" i="38"/>
  <c r="EF31" i="38"/>
  <c r="EF33" i="38"/>
  <c r="EF37" i="38"/>
  <c r="EF24" i="38"/>
  <c r="EF26" i="38"/>
  <c r="EF44" i="38"/>
  <c r="EF46" i="38"/>
  <c r="EF50" i="38"/>
  <c r="EF38" i="38"/>
  <c r="EF53" i="38"/>
  <c r="EF55" i="38"/>
  <c r="EF57" i="38"/>
  <c r="EF39" i="38"/>
  <c r="EF43" i="38"/>
  <c r="EF35" i="38"/>
  <c r="EF45" i="38"/>
  <c r="EF49" i="38"/>
  <c r="EF52" i="38"/>
  <c r="EF54" i="38"/>
  <c r="EF56" i="38"/>
  <c r="EF41" i="38"/>
  <c r="EF51" i="38"/>
  <c r="EF58" i="38"/>
  <c r="EF60" i="38"/>
  <c r="EF62" i="38"/>
  <c r="EF64" i="38"/>
  <c r="EF61" i="38"/>
  <c r="EF65" i="38"/>
  <c r="EF67" i="38"/>
  <c r="EF71" i="38"/>
  <c r="EF73" i="38"/>
  <c r="EF59" i="38"/>
  <c r="EF63" i="38"/>
  <c r="EF66" i="38"/>
  <c r="EF72" i="38"/>
  <c r="EF75" i="38"/>
  <c r="EF77" i="38"/>
  <c r="EF79" i="38"/>
  <c r="EF81" i="38"/>
  <c r="EF83" i="38"/>
  <c r="EF74" i="38"/>
  <c r="EF76" i="38"/>
  <c r="EF78" i="38"/>
  <c r="EF80" i="38"/>
  <c r="EF82" i="38"/>
  <c r="EF84" i="38"/>
  <c r="EF86" i="38"/>
  <c r="ED89" i="38"/>
  <c r="DY22" i="9" s="1"/>
  <c r="DY21" i="9" s="1"/>
  <c r="DY23" i="9" s="1"/>
  <c r="DY36" i="9"/>
  <c r="DY28" i="9"/>
  <c r="DY26" i="9"/>
  <c r="DY25" i="9"/>
  <c r="DY37" i="9"/>
  <c r="EB18" i="9"/>
  <c r="EE87" i="38"/>
  <c r="DZ24" i="9" s="1"/>
  <c r="DZ16" i="9"/>
  <c r="DZ17" i="9"/>
  <c r="BP30" i="9"/>
  <c r="BP31" i="9" s="1"/>
  <c r="DX23" i="9"/>
  <c r="DY29" i="9"/>
  <c r="EG8" i="38"/>
  <c r="EB9" i="9"/>
  <c r="EI9" i="7"/>
  <c r="EI14" i="7"/>
  <c r="EB14" i="9"/>
  <c r="EA38" i="9"/>
  <c r="EA41" i="9"/>
  <c r="EA20" i="9"/>
  <c r="EF100" i="3"/>
  <c r="EF93" i="3"/>
  <c r="EE100" i="3"/>
  <c r="EE93" i="3"/>
  <c r="DW14" i="3"/>
  <c r="DC14" i="3"/>
  <c r="EA62" i="9"/>
  <c r="ED21" i="3" s="1" a="1"/>
  <c r="ED21" i="3" s="1"/>
  <c r="EA34" i="9"/>
  <c r="EA42" i="9"/>
  <c r="EA48" i="9"/>
  <c r="EA44" i="9"/>
  <c r="EA35" i="9"/>
  <c r="EA46" i="9"/>
  <c r="EA43" i="9"/>
  <c r="EA39" i="9"/>
  <c r="ED20" i="3" a="1"/>
  <c r="ED20" i="3" s="1"/>
  <c r="EC15" i="9"/>
  <c r="EB12" i="9"/>
  <c r="EB11" i="9"/>
  <c r="EB40" i="9" s="1"/>
  <c r="EB10" i="9"/>
  <c r="EB58" i="9" a="1"/>
  <c r="EB58" i="9" s="1"/>
  <c r="EI7" i="11"/>
  <c r="EI10" i="11"/>
  <c r="EI8" i="11"/>
  <c r="EI5" i="11"/>
  <c r="EI9" i="11"/>
  <c r="EI7" i="6"/>
  <c r="EI5" i="6"/>
  <c r="EI16" i="6"/>
  <c r="EI13" i="6"/>
  <c r="EI9" i="6"/>
  <c r="EI10" i="6"/>
  <c r="EI12" i="6"/>
  <c r="EI8" i="6"/>
  <c r="EI11" i="6"/>
  <c r="EI15" i="6"/>
  <c r="EI14" i="6"/>
  <c r="EH17" i="7"/>
  <c r="EE9" i="3" s="1" a="1"/>
  <c r="EE9" i="3" s="1"/>
  <c r="EH12" i="2"/>
  <c r="EE7" i="3" s="1" a="1"/>
  <c r="EE7" i="3" s="1"/>
  <c r="EG13" i="3"/>
  <c r="EG76" i="3"/>
  <c r="EG47" i="3" s="1"/>
  <c r="EG110" i="3" a="1"/>
  <c r="EG110" i="3" s="1"/>
  <c r="EG12" i="3"/>
  <c r="EG80" i="3"/>
  <c r="EG62" i="3" s="1"/>
  <c r="EJ4" i="11"/>
  <c r="EG59" i="3"/>
  <c r="EG3" i="3"/>
  <c r="EJ4" i="6"/>
  <c r="EG16" i="3"/>
  <c r="EG14" i="3"/>
  <c r="EG5" i="3"/>
  <c r="EG54" i="3"/>
  <c r="EG36" i="3" s="1"/>
  <c r="EJ4" i="7"/>
  <c r="EH4" i="3"/>
  <c r="EG41" i="3"/>
  <c r="EG60" i="3"/>
  <c r="EJ4" i="2"/>
  <c r="EJ9" i="2" s="1"/>
  <c r="EG17" i="3"/>
  <c r="EG18" i="3"/>
  <c r="EG28" i="3"/>
  <c r="EG61" i="3"/>
  <c r="EI13" i="7"/>
  <c r="EI5" i="7"/>
  <c r="EI11" i="7"/>
  <c r="EI10" i="7"/>
  <c r="EI8" i="7"/>
  <c r="EI6" i="7"/>
  <c r="EI16" i="7"/>
  <c r="EI12" i="7"/>
  <c r="EI7" i="7"/>
  <c r="EI15" i="7"/>
  <c r="EG2" i="3"/>
  <c r="EG120" i="3" s="1"/>
  <c r="EI10" i="2"/>
  <c r="EI11" i="2"/>
  <c r="EI8" i="2"/>
  <c r="EI6" i="2"/>
  <c r="EI5" i="2"/>
  <c r="EI7" i="2"/>
  <c r="EF72" i="3"/>
  <c r="BO14" i="3"/>
  <c r="J182" i="1"/>
  <c r="EG10" i="38" l="1"/>
  <c r="EG11" i="38"/>
  <c r="EG17" i="38"/>
  <c r="EG19" i="38"/>
  <c r="EG16" i="38"/>
  <c r="EG18" i="38"/>
  <c r="EG20" i="38"/>
  <c r="EG9" i="38"/>
  <c r="EG15" i="38"/>
  <c r="EG22" i="38"/>
  <c r="EG24" i="38"/>
  <c r="EG21" i="38"/>
  <c r="EG26" i="38"/>
  <c r="EG28" i="38"/>
  <c r="EG27" i="38"/>
  <c r="EG29" i="38"/>
  <c r="EG25" i="38"/>
  <c r="EG30" i="38"/>
  <c r="EG32" i="38"/>
  <c r="EG34" i="38"/>
  <c r="EG35" i="38"/>
  <c r="EG36" i="38"/>
  <c r="EG31" i="38"/>
  <c r="EG33" i="38"/>
  <c r="EG37" i="38"/>
  <c r="EG39" i="38"/>
  <c r="EG41" i="38"/>
  <c r="EG43" i="38"/>
  <c r="EG45" i="38"/>
  <c r="EG49" i="38"/>
  <c r="EG51" i="38"/>
  <c r="EG44" i="38"/>
  <c r="EG46" i="38"/>
  <c r="EG50" i="38"/>
  <c r="EG38" i="38"/>
  <c r="EG59" i="38"/>
  <c r="EG61" i="38"/>
  <c r="EG63" i="38"/>
  <c r="EG54" i="38"/>
  <c r="EG58" i="38"/>
  <c r="EG60" i="38"/>
  <c r="EG62" i="38"/>
  <c r="EG52" i="38"/>
  <c r="EG55" i="38"/>
  <c r="EG57" i="38"/>
  <c r="EG56" i="38"/>
  <c r="EG65" i="38"/>
  <c r="EG67" i="38"/>
  <c r="EG71" i="38"/>
  <c r="EG73" i="38"/>
  <c r="EG64" i="38"/>
  <c r="EG53" i="38"/>
  <c r="EG66" i="38"/>
  <c r="EG72" i="38"/>
  <c r="EG74" i="38"/>
  <c r="EG75" i="38"/>
  <c r="EG76" i="38"/>
  <c r="EG77" i="38"/>
  <c r="EG78" i="38"/>
  <c r="EG79" i="38"/>
  <c r="EG80" i="38"/>
  <c r="EG81" i="38"/>
  <c r="EG83" i="38"/>
  <c r="EG82" i="38"/>
  <c r="EG84" i="38"/>
  <c r="EG86" i="38"/>
  <c r="EF87" i="38"/>
  <c r="EA24" i="9" s="1"/>
  <c r="EA17" i="9"/>
  <c r="EA16" i="9"/>
  <c r="EA25" i="9" s="1"/>
  <c r="EC18" i="9"/>
  <c r="EE89" i="38"/>
  <c r="DZ22" i="9" s="1"/>
  <c r="DZ21" i="9" s="1"/>
  <c r="DZ23" i="9" s="1"/>
  <c r="DZ36" i="9"/>
  <c r="DZ37" i="9"/>
  <c r="DZ27" i="9"/>
  <c r="DZ26" i="9"/>
  <c r="DZ25" i="9"/>
  <c r="DZ28" i="9"/>
  <c r="DZ29" i="9"/>
  <c r="EH8" i="38"/>
  <c r="EC9" i="9"/>
  <c r="EJ9" i="7"/>
  <c r="EJ14" i="7"/>
  <c r="EB62" i="9"/>
  <c r="EE21" i="3" s="1" a="1"/>
  <c r="EE21" i="3" s="1"/>
  <c r="EB38" i="9"/>
  <c r="EB41" i="9"/>
  <c r="EC14" i="9"/>
  <c r="EB20" i="9"/>
  <c r="EG72" i="3"/>
  <c r="EG100" i="3"/>
  <c r="EG93" i="3"/>
  <c r="ED22" i="3"/>
  <c r="EE20" i="3" a="1"/>
  <c r="EE20" i="3" s="1"/>
  <c r="EB43" i="9"/>
  <c r="EB34" i="9"/>
  <c r="EB48" i="9"/>
  <c r="EB35" i="9"/>
  <c r="EB46" i="9"/>
  <c r="EB42" i="9"/>
  <c r="EB44" i="9"/>
  <c r="EB39" i="9"/>
  <c r="EC12" i="9"/>
  <c r="ED15" i="9"/>
  <c r="EC11" i="9"/>
  <c r="EC40" i="9" s="1"/>
  <c r="EC10" i="9"/>
  <c r="EC58" i="9" a="1"/>
  <c r="EC58" i="9" s="1"/>
  <c r="EJ6" i="7"/>
  <c r="EJ12" i="7"/>
  <c r="EJ7" i="7"/>
  <c r="EJ15" i="7"/>
  <c r="EJ10" i="7"/>
  <c r="EJ5" i="7"/>
  <c r="EJ8" i="7"/>
  <c r="EJ16" i="7"/>
  <c r="EJ11" i="7"/>
  <c r="EJ13" i="7"/>
  <c r="EH2" i="3"/>
  <c r="EH120" i="3" s="1"/>
  <c r="EI12" i="2"/>
  <c r="EF7" i="3" s="1" a="1"/>
  <c r="EF7" i="3" s="1"/>
  <c r="EI17" i="7"/>
  <c r="EF9" i="3" s="1" a="1"/>
  <c r="EF9" i="3" s="1"/>
  <c r="EI4" i="3"/>
  <c r="EH41" i="3"/>
  <c r="EH110" i="3" a="1"/>
  <c r="EH110" i="3" s="1"/>
  <c r="EH18" i="3"/>
  <c r="EK4" i="11"/>
  <c r="EK4" i="2"/>
  <c r="EK9" i="2" s="1"/>
  <c r="EH16" i="3"/>
  <c r="EH17" i="3"/>
  <c r="EH61" i="3"/>
  <c r="EK4" i="7"/>
  <c r="EH59" i="3"/>
  <c r="EH3" i="3"/>
  <c r="EH76" i="3"/>
  <c r="EH47" i="3" s="1"/>
  <c r="EH12" i="3"/>
  <c r="EH54" i="3"/>
  <c r="EH36" i="3" s="1"/>
  <c r="EH5" i="3"/>
  <c r="EH28" i="3"/>
  <c r="EH80" i="3"/>
  <c r="EH62" i="3" s="1"/>
  <c r="EK4" i="6"/>
  <c r="EH60" i="3"/>
  <c r="EH13" i="3"/>
  <c r="EH14" i="3"/>
  <c r="EJ7" i="2"/>
  <c r="EJ11" i="2"/>
  <c r="EJ5" i="2"/>
  <c r="EJ10" i="2"/>
  <c r="EJ6" i="2"/>
  <c r="EJ8" i="2"/>
  <c r="EJ5" i="11"/>
  <c r="EJ9" i="11"/>
  <c r="EJ7" i="11"/>
  <c r="EJ8" i="11"/>
  <c r="EJ10" i="11"/>
  <c r="EJ15" i="6"/>
  <c r="EJ7" i="6"/>
  <c r="EJ12" i="6"/>
  <c r="EJ13" i="6"/>
  <c r="EJ11" i="6"/>
  <c r="EJ14" i="6"/>
  <c r="EJ8" i="6"/>
  <c r="EJ10" i="6"/>
  <c r="EJ9" i="6"/>
  <c r="EJ16" i="6"/>
  <c r="EJ5" i="6"/>
  <c r="BP47" i="9"/>
  <c r="BP55" i="9"/>
  <c r="BP56" i="9" s="1"/>
  <c r="BS25" i="3" s="1" a="1"/>
  <c r="BS25" i="3" s="1"/>
  <c r="BS109" i="3" a="1"/>
  <c r="BS109" i="3" s="1"/>
  <c r="BS111" i="3" s="1"/>
  <c r="BS112" i="3" s="1"/>
  <c r="EF89" i="38" l="1"/>
  <c r="EA22" i="9" s="1"/>
  <c r="EH9" i="38"/>
  <c r="EH11" i="38"/>
  <c r="EH15" i="38"/>
  <c r="EH10" i="38"/>
  <c r="EH16" i="38"/>
  <c r="EH17" i="38"/>
  <c r="EH19" i="38"/>
  <c r="EH18" i="38"/>
  <c r="EH20" i="38"/>
  <c r="EH22" i="38"/>
  <c r="EH25" i="38"/>
  <c r="EH26" i="38"/>
  <c r="EH24" i="38"/>
  <c r="EH31" i="38"/>
  <c r="EH33" i="38"/>
  <c r="EH27" i="38"/>
  <c r="EH29" i="38"/>
  <c r="EH21" i="38"/>
  <c r="EH28" i="38"/>
  <c r="EH30" i="38"/>
  <c r="EH32" i="38"/>
  <c r="EH35" i="38"/>
  <c r="EH38" i="38"/>
  <c r="EH36" i="38"/>
  <c r="EH34" i="38"/>
  <c r="EH37" i="38"/>
  <c r="EH39" i="38"/>
  <c r="EH41" i="38"/>
  <c r="EH43" i="38"/>
  <c r="EH45" i="38"/>
  <c r="EH49" i="38"/>
  <c r="EH51" i="38"/>
  <c r="EH44" i="38"/>
  <c r="EH46" i="38"/>
  <c r="EH50" i="38"/>
  <c r="EH53" i="38"/>
  <c r="EH55" i="38"/>
  <c r="EH57" i="38"/>
  <c r="EH52" i="38"/>
  <c r="EH54" i="38"/>
  <c r="EH56" i="38"/>
  <c r="EH59" i="38"/>
  <c r="EH61" i="38"/>
  <c r="EH58" i="38"/>
  <c r="EH60" i="38"/>
  <c r="EH62" i="38"/>
  <c r="EH65" i="38"/>
  <c r="EH67" i="38"/>
  <c r="EH71" i="38"/>
  <c r="EH73" i="38"/>
  <c r="EH75" i="38"/>
  <c r="EH64" i="38"/>
  <c r="EH63" i="38"/>
  <c r="EH76" i="38"/>
  <c r="EH78" i="38"/>
  <c r="EH80" i="38"/>
  <c r="EH82" i="38"/>
  <c r="EH66" i="38"/>
  <c r="EH74" i="38"/>
  <c r="EH77" i="38"/>
  <c r="EH79" i="38"/>
  <c r="EH81" i="38"/>
  <c r="EH83" i="38"/>
  <c r="EH72" i="38"/>
  <c r="EH84" i="38"/>
  <c r="EH86" i="38"/>
  <c r="EA26" i="9"/>
  <c r="EA27" i="9"/>
  <c r="EA36" i="9"/>
  <c r="EA37" i="9"/>
  <c r="EA28" i="9"/>
  <c r="EG87" i="38"/>
  <c r="EB24" i="9" s="1"/>
  <c r="EB16" i="9"/>
  <c r="EB17" i="9"/>
  <c r="ED18" i="9"/>
  <c r="BQ30" i="9"/>
  <c r="BQ31" i="9" s="1"/>
  <c r="BQ55" i="9" s="1"/>
  <c r="BQ56" i="9" s="1"/>
  <c r="BT25" i="3" s="1" a="1"/>
  <c r="BT25" i="3" s="1"/>
  <c r="EA21" i="9"/>
  <c r="EA23" i="9" s="1"/>
  <c r="EA29" i="9"/>
  <c r="EI8" i="38"/>
  <c r="ED9" i="9"/>
  <c r="EE22" i="3"/>
  <c r="EK9" i="7"/>
  <c r="EK14" i="7"/>
  <c r="ED14" i="9"/>
  <c r="EC38" i="9"/>
  <c r="EC41" i="9"/>
  <c r="EC20" i="9"/>
  <c r="EC62" i="9"/>
  <c r="EF21" i="3" s="1" a="1"/>
  <c r="EF21" i="3" s="1"/>
  <c r="EH100" i="3"/>
  <c r="EH93" i="3"/>
  <c r="EF20" i="3" a="1"/>
  <c r="EF20" i="3" s="1"/>
  <c r="EE15" i="9"/>
  <c r="ED12" i="9"/>
  <c r="ED11" i="9"/>
  <c r="ED40" i="9" s="1"/>
  <c r="ED10" i="9"/>
  <c r="ED58" i="9" a="1"/>
  <c r="ED58" i="9" s="1"/>
  <c r="EC43" i="9"/>
  <c r="EC48" i="9"/>
  <c r="EC35" i="9"/>
  <c r="EC46" i="9"/>
  <c r="EC34" i="9"/>
  <c r="EC42" i="9"/>
  <c r="EC39" i="9"/>
  <c r="EC44" i="9"/>
  <c r="EK7" i="7"/>
  <c r="EK16" i="7"/>
  <c r="EK13" i="7"/>
  <c r="EK12" i="7"/>
  <c r="EK11" i="7"/>
  <c r="EK5" i="7"/>
  <c r="EK15" i="7"/>
  <c r="EK10" i="7"/>
  <c r="EK8" i="7"/>
  <c r="EK6" i="7"/>
  <c r="EJ17" i="7"/>
  <c r="EG9" i="3" s="1" a="1"/>
  <c r="EG9" i="3" s="1"/>
  <c r="EI28" i="3"/>
  <c r="EL4" i="7"/>
  <c r="EI110" i="3" a="1"/>
  <c r="EI110" i="3" s="1"/>
  <c r="EI16" i="3"/>
  <c r="EI61" i="3"/>
  <c r="EI12" i="3"/>
  <c r="EL4" i="2"/>
  <c r="EL9" i="2" s="1"/>
  <c r="EI17" i="3"/>
  <c r="EI41" i="3"/>
  <c r="EI76" i="3"/>
  <c r="EI47" i="3" s="1"/>
  <c r="EI3" i="3"/>
  <c r="EI18" i="3"/>
  <c r="EI54" i="3"/>
  <c r="EI36" i="3" s="1"/>
  <c r="EI80" i="3"/>
  <c r="EI62" i="3" s="1"/>
  <c r="EL4" i="11"/>
  <c r="EI14" i="3"/>
  <c r="EI59" i="3"/>
  <c r="EI5" i="3"/>
  <c r="B5" i="3" s="1"/>
  <c r="EI60" i="3"/>
  <c r="EL4" i="6"/>
  <c r="EI13" i="3"/>
  <c r="EI2" i="3"/>
  <c r="EI120" i="3" s="1"/>
  <c r="EJ12" i="2"/>
  <c r="EG7" i="3" s="1" a="1"/>
  <c r="EG7" i="3" s="1"/>
  <c r="EK13" i="6"/>
  <c r="EK14" i="6"/>
  <c r="EK8" i="6"/>
  <c r="EK5" i="6"/>
  <c r="EK15" i="6"/>
  <c r="EK12" i="6"/>
  <c r="EK9" i="6"/>
  <c r="EK10" i="6"/>
  <c r="EK16" i="6"/>
  <c r="EK11" i="6"/>
  <c r="EK7" i="6"/>
  <c r="EH72" i="3"/>
  <c r="EK10" i="2"/>
  <c r="EK7" i="2"/>
  <c r="EK6" i="2"/>
  <c r="EK11" i="2"/>
  <c r="EK8" i="2"/>
  <c r="EK5" i="2"/>
  <c r="EK9" i="11"/>
  <c r="EK10" i="11"/>
  <c r="EK7" i="11"/>
  <c r="EK5" i="11"/>
  <c r="EK8" i="11"/>
  <c r="EI9" i="38" l="1"/>
  <c r="EI11" i="38"/>
  <c r="EI15" i="38"/>
  <c r="EI10" i="38"/>
  <c r="EI16" i="38"/>
  <c r="EI17" i="38"/>
  <c r="EI20" i="38"/>
  <c r="EI21" i="38"/>
  <c r="EI22" i="38"/>
  <c r="EI24" i="38"/>
  <c r="EI19" i="38"/>
  <c r="EI25" i="38"/>
  <c r="EI27" i="38"/>
  <c r="EI29" i="38"/>
  <c r="EI18" i="38"/>
  <c r="EI26" i="38"/>
  <c r="EI31" i="38"/>
  <c r="EI33" i="38"/>
  <c r="EI35" i="38"/>
  <c r="EI28" i="38"/>
  <c r="EI30" i="38"/>
  <c r="EI32" i="38"/>
  <c r="EI34" i="38"/>
  <c r="EI38" i="38"/>
  <c r="EI36" i="38"/>
  <c r="EI37" i="38"/>
  <c r="EI39" i="38"/>
  <c r="EI41" i="38"/>
  <c r="EI43" i="38"/>
  <c r="EI45" i="38"/>
  <c r="EI49" i="38"/>
  <c r="EI51" i="38"/>
  <c r="EI44" i="38"/>
  <c r="EI46" i="38"/>
  <c r="EI52" i="38"/>
  <c r="EI54" i="38"/>
  <c r="EI56" i="38"/>
  <c r="EI53" i="38"/>
  <c r="EI59" i="38"/>
  <c r="EI61" i="38"/>
  <c r="EI63" i="38"/>
  <c r="EI50" i="38"/>
  <c r="EI55" i="38"/>
  <c r="EI57" i="38"/>
  <c r="EI58" i="38"/>
  <c r="EI60" i="38"/>
  <c r="EI62" i="38"/>
  <c r="EI66" i="38"/>
  <c r="EI72" i="38"/>
  <c r="EI74" i="38"/>
  <c r="EI65" i="38"/>
  <c r="EI67" i="38"/>
  <c r="EI71" i="38"/>
  <c r="EI73" i="38"/>
  <c r="EI64" i="38"/>
  <c r="EI76" i="38"/>
  <c r="EI78" i="38"/>
  <c r="EI80" i="38"/>
  <c r="EI82" i="38"/>
  <c r="EI75" i="38"/>
  <c r="EI77" i="38"/>
  <c r="EI79" i="38"/>
  <c r="EI81" i="38"/>
  <c r="EI83" i="38"/>
  <c r="EI84" i="38"/>
  <c r="EI86" i="38"/>
  <c r="EG89" i="38"/>
  <c r="EB22" i="9" s="1"/>
  <c r="EB21" i="9" s="1"/>
  <c r="EB23" i="9" s="1"/>
  <c r="EB37" i="9"/>
  <c r="EB36" i="9"/>
  <c r="EB28" i="9"/>
  <c r="EB26" i="9"/>
  <c r="EB25" i="9"/>
  <c r="EB27" i="9"/>
  <c r="EH87" i="38"/>
  <c r="EH89" i="38" s="1"/>
  <c r="EC22" i="9" s="1"/>
  <c r="EC17" i="9"/>
  <c r="EE18" i="9"/>
  <c r="EC16" i="9"/>
  <c r="EB29" i="9"/>
  <c r="EJ8" i="38"/>
  <c r="EE9" i="9"/>
  <c r="EL9" i="7"/>
  <c r="EL14" i="7"/>
  <c r="ED38" i="9"/>
  <c r="ED41" i="9"/>
  <c r="EE14" i="9"/>
  <c r="EF22" i="3"/>
  <c r="ED62" i="9"/>
  <c r="EG21" i="3" s="1" a="1"/>
  <c r="EG21" i="3" s="1"/>
  <c r="ED20" i="9"/>
  <c r="EG20" i="3" a="1"/>
  <c r="EG20" i="3" s="1"/>
  <c r="EI100" i="3"/>
  <c r="EI93" i="3"/>
  <c r="EF15" i="9"/>
  <c r="EE12" i="9"/>
  <c r="EE11" i="9"/>
  <c r="EE40" i="9" s="1"/>
  <c r="EE10" i="9"/>
  <c r="EE58" i="9" a="1"/>
  <c r="EE58" i="9" s="1"/>
  <c r="ED39" i="9"/>
  <c r="ED34" i="9"/>
  <c r="ED46" i="9"/>
  <c r="ED43" i="9"/>
  <c r="ED42" i="9"/>
  <c r="ED44" i="9"/>
  <c r="ED35" i="9"/>
  <c r="ED48" i="9"/>
  <c r="EK17" i="7"/>
  <c r="EH9" i="3" s="1" a="1"/>
  <c r="EH9" i="3" s="1"/>
  <c r="EL11" i="6"/>
  <c r="EL15" i="6"/>
  <c r="EL10" i="6"/>
  <c r="EL14" i="6"/>
  <c r="EL13" i="6"/>
  <c r="EL9" i="6"/>
  <c r="EL12" i="6"/>
  <c r="EL7" i="6"/>
  <c r="EL8" i="6"/>
  <c r="EL5" i="6"/>
  <c r="EL16" i="6"/>
  <c r="EI72" i="3"/>
  <c r="EL10" i="11"/>
  <c r="EL5" i="11"/>
  <c r="EL8" i="11"/>
  <c r="EL9" i="11"/>
  <c r="EL7" i="11"/>
  <c r="EL11" i="2"/>
  <c r="EL8" i="2"/>
  <c r="EL5" i="2"/>
  <c r="EL6" i="2"/>
  <c r="EL7" i="2"/>
  <c r="EL10" i="2"/>
  <c r="EL7" i="7"/>
  <c r="EL6" i="7"/>
  <c r="EL13" i="7"/>
  <c r="EL11" i="7"/>
  <c r="EL8" i="7"/>
  <c r="EL16" i="7"/>
  <c r="EL5" i="7"/>
  <c r="EL12" i="7"/>
  <c r="EL15" i="7"/>
  <c r="EL10" i="7"/>
  <c r="EK12" i="2"/>
  <c r="EH7" i="3" s="1" a="1"/>
  <c r="EH7" i="3" s="1"/>
  <c r="BT109" i="3" a="1"/>
  <c r="BT109" i="3" s="1"/>
  <c r="BT111" i="3" s="1"/>
  <c r="BT112" i="3" s="1"/>
  <c r="BQ47" i="9"/>
  <c r="EH20" i="3" l="1" a="1"/>
  <c r="EH20" i="3" s="1"/>
  <c r="EJ9" i="38"/>
  <c r="EJ11" i="38"/>
  <c r="EJ15" i="38"/>
  <c r="EJ10" i="38"/>
  <c r="EJ16" i="38"/>
  <c r="EJ18" i="38"/>
  <c r="EJ20" i="38"/>
  <c r="EJ21" i="38"/>
  <c r="EJ22" i="38"/>
  <c r="EJ17" i="38"/>
  <c r="EJ24" i="38"/>
  <c r="EJ19" i="38"/>
  <c r="EJ25" i="38"/>
  <c r="EJ26" i="38"/>
  <c r="EJ31" i="38"/>
  <c r="EJ33" i="38"/>
  <c r="EJ35" i="38"/>
  <c r="EJ27" i="38"/>
  <c r="EJ29" i="38"/>
  <c r="EJ30" i="38"/>
  <c r="EJ32" i="38"/>
  <c r="EJ38" i="38"/>
  <c r="EJ36" i="38"/>
  <c r="EJ28" i="38"/>
  <c r="EJ34" i="38"/>
  <c r="EJ39" i="38"/>
  <c r="EJ41" i="38"/>
  <c r="EJ43" i="38"/>
  <c r="EJ45" i="38"/>
  <c r="EJ49" i="38"/>
  <c r="EJ37" i="38"/>
  <c r="EJ51" i="38"/>
  <c r="EJ52" i="38"/>
  <c r="EJ54" i="38"/>
  <c r="EJ56" i="38"/>
  <c r="EJ44" i="38"/>
  <c r="EJ46" i="38"/>
  <c r="EJ53" i="38"/>
  <c r="EJ55" i="38"/>
  <c r="EJ50" i="38"/>
  <c r="EJ59" i="38"/>
  <c r="EJ61" i="38"/>
  <c r="EJ63" i="38"/>
  <c r="EJ66" i="38"/>
  <c r="EJ72" i="38"/>
  <c r="EJ74" i="38"/>
  <c r="EJ57" i="38"/>
  <c r="EJ58" i="38"/>
  <c r="EJ62" i="38"/>
  <c r="EJ60" i="38"/>
  <c r="EJ65" i="38"/>
  <c r="EJ67" i="38"/>
  <c r="EJ71" i="38"/>
  <c r="EJ73" i="38"/>
  <c r="EJ64" i="38"/>
  <c r="EJ76" i="38"/>
  <c r="EJ78" i="38"/>
  <c r="EJ80" i="38"/>
  <c r="EJ82" i="38"/>
  <c r="EJ75" i="38"/>
  <c r="EJ77" i="38"/>
  <c r="EJ79" i="38"/>
  <c r="EJ81" i="38"/>
  <c r="EJ83" i="38"/>
  <c r="EJ84" i="38"/>
  <c r="EJ86" i="38"/>
  <c r="EC24" i="9"/>
  <c r="EC21" i="9" s="1"/>
  <c r="EC23" i="9" s="1"/>
  <c r="EI87" i="38"/>
  <c r="ED24" i="9" s="1"/>
  <c r="EF18" i="9"/>
  <c r="ED16" i="9"/>
  <c r="ED17" i="9"/>
  <c r="EC37" i="9"/>
  <c r="EC36" i="9"/>
  <c r="EC28" i="9"/>
  <c r="EC26" i="9"/>
  <c r="EC25" i="9"/>
  <c r="EC27" i="9"/>
  <c r="BR30" i="9"/>
  <c r="BR31" i="9" s="1"/>
  <c r="BU109" i="3" s="1" a="1"/>
  <c r="BU109" i="3" s="1"/>
  <c r="BU111" i="3" s="1"/>
  <c r="BU112" i="3" s="1"/>
  <c r="EC29" i="9"/>
  <c r="EK8" i="38"/>
  <c r="EF9" i="9"/>
  <c r="EE38" i="9"/>
  <c r="EE41" i="9"/>
  <c r="EF14" i="9"/>
  <c r="EG22" i="3"/>
  <c r="EE20" i="9"/>
  <c r="EF12" i="9"/>
  <c r="EF11" i="9"/>
  <c r="EF40" i="9" s="1"/>
  <c r="EF10" i="9"/>
  <c r="EF58" i="9" a="1"/>
  <c r="EF58" i="9" s="1"/>
  <c r="G24" i="3" a="1"/>
  <c r="G24" i="3" s="1"/>
  <c r="G21" i="3" a="1"/>
  <c r="G21" i="3" s="1"/>
  <c r="G20" i="3" a="1"/>
  <c r="G20" i="3" s="1"/>
  <c r="G109" i="3" a="1"/>
  <c r="G109" i="3" s="1"/>
  <c r="G111" i="3" s="1"/>
  <c r="G112" i="3" s="1"/>
  <c r="G25" i="3" a="1"/>
  <c r="G25" i="3" s="1"/>
  <c r="EE62" i="9"/>
  <c r="EH21" i="3" s="1" a="1"/>
  <c r="EH21" i="3" s="1"/>
  <c r="EH22" i="3" s="1"/>
  <c r="EE39" i="9"/>
  <c r="EE42" i="9"/>
  <c r="EE44" i="9"/>
  <c r="EE48" i="9"/>
  <c r="EE35" i="9"/>
  <c r="EE34" i="9"/>
  <c r="EE46" i="9"/>
  <c r="EE43" i="9"/>
  <c r="EL12" i="2"/>
  <c r="EI7" i="3" s="1" a="1"/>
  <c r="EI7" i="3" s="1"/>
  <c r="B7" i="3" s="1"/>
  <c r="EL17" i="7"/>
  <c r="EI9" i="3" s="1" a="1"/>
  <c r="EI9" i="3" s="1"/>
  <c r="B9" i="3" s="1"/>
  <c r="EK9" i="38" l="1"/>
  <c r="EK11" i="38"/>
  <c r="EK10" i="38"/>
  <c r="EK18" i="38"/>
  <c r="EK20" i="38"/>
  <c r="EK15" i="38"/>
  <c r="EK17" i="38"/>
  <c r="EK19" i="38"/>
  <c r="EK16" i="38"/>
  <c r="EK21" i="38"/>
  <c r="EK22" i="38"/>
  <c r="EK24" i="38"/>
  <c r="EK25" i="38"/>
  <c r="EK27" i="38"/>
  <c r="EK26" i="38"/>
  <c r="EK31" i="38"/>
  <c r="EK33" i="38"/>
  <c r="EK29" i="38"/>
  <c r="EK37" i="38"/>
  <c r="EK30" i="38"/>
  <c r="EK35" i="38"/>
  <c r="EK32" i="38"/>
  <c r="EK36" i="38"/>
  <c r="EK28" i="38"/>
  <c r="EK34" i="38"/>
  <c r="EK44" i="38"/>
  <c r="EK46" i="38"/>
  <c r="EK50" i="38"/>
  <c r="EK39" i="38"/>
  <c r="EK41" i="38"/>
  <c r="EK43" i="38"/>
  <c r="EK45" i="38"/>
  <c r="EK49" i="38"/>
  <c r="EK51" i="38"/>
  <c r="EK52" i="38"/>
  <c r="EK57" i="38"/>
  <c r="EK58" i="38"/>
  <c r="EK60" i="38"/>
  <c r="EK62" i="38"/>
  <c r="EK38" i="38"/>
  <c r="EK53" i="38"/>
  <c r="EK56" i="38"/>
  <c r="EK54" i="38"/>
  <c r="EK59" i="38"/>
  <c r="EK61" i="38"/>
  <c r="EK55" i="38"/>
  <c r="EK66" i="38"/>
  <c r="EK72" i="38"/>
  <c r="EK65" i="38"/>
  <c r="EK67" i="38"/>
  <c r="EK71" i="38"/>
  <c r="EK73" i="38"/>
  <c r="EK64" i="38"/>
  <c r="EK76" i="38"/>
  <c r="EK74" i="38"/>
  <c r="EK75" i="38"/>
  <c r="EK83" i="38"/>
  <c r="EK82" i="38"/>
  <c r="EK63" i="38"/>
  <c r="EK77" i="38"/>
  <c r="EK84" i="38"/>
  <c r="EK86" i="38"/>
  <c r="EK78" i="38"/>
  <c r="EK79" i="38"/>
  <c r="EK80" i="38"/>
  <c r="EK81" i="38"/>
  <c r="EI89" i="38"/>
  <c r="ED22" i="9" s="1"/>
  <c r="ED21" i="9" s="1"/>
  <c r="ED23" i="9" s="1"/>
  <c r="EE17" i="9"/>
  <c r="EJ87" i="38"/>
  <c r="EE24" i="9" s="1"/>
  <c r="EE16" i="9"/>
  <c r="EE27" i="9" s="1"/>
  <c r="ED36" i="9"/>
  <c r="ED37" i="9"/>
  <c r="ED28" i="9"/>
  <c r="ED25" i="9"/>
  <c r="ED26" i="9"/>
  <c r="ED27" i="9"/>
  <c r="ED29" i="9"/>
  <c r="EF38" i="9"/>
  <c r="EF41" i="9"/>
  <c r="EF20" i="9"/>
  <c r="G22" i="3"/>
  <c r="G26" i="3"/>
  <c r="F6" i="32" s="1"/>
  <c r="EF62" i="9"/>
  <c r="EI21" i="3" s="1" a="1"/>
  <c r="EI21" i="3" s="1"/>
  <c r="CO59" i="9"/>
  <c r="CK59" i="9"/>
  <c r="CP59" i="9"/>
  <c r="CQ59" i="9"/>
  <c r="CL59" i="9"/>
  <c r="CT59" i="9"/>
  <c r="CN59" i="9"/>
  <c r="CU59" i="9"/>
  <c r="CR59" i="9"/>
  <c r="CM59" i="9"/>
  <c r="CS59" i="9"/>
  <c r="EI20" i="3" a="1"/>
  <c r="EI20" i="3" s="1"/>
  <c r="EF43" i="9"/>
  <c r="EF35" i="9"/>
  <c r="EF48" i="9"/>
  <c r="EF34" i="9"/>
  <c r="EF39" i="9"/>
  <c r="EF42" i="9"/>
  <c r="EF44" i="9"/>
  <c r="EF46" i="9"/>
  <c r="BR47" i="9"/>
  <c r="BR55" i="9"/>
  <c r="BR56" i="9" s="1"/>
  <c r="BU25" i="3" s="1" a="1"/>
  <c r="BU25" i="3" s="1"/>
  <c r="EJ89" i="38" l="1"/>
  <c r="EE22" i="9" s="1"/>
  <c r="EE21" i="9" s="1"/>
  <c r="EE23" i="9" s="1"/>
  <c r="EE36" i="9"/>
  <c r="EE28" i="9"/>
  <c r="EE26" i="9"/>
  <c r="EE25" i="9"/>
  <c r="EE37" i="9"/>
  <c r="EK87" i="38"/>
  <c r="EF24" i="9" s="1"/>
  <c r="EF17" i="9"/>
  <c r="EF16" i="9"/>
  <c r="BS30" i="9"/>
  <c r="BS31" i="9" s="1"/>
  <c r="BS55" i="9" s="1"/>
  <c r="BS56" i="9" s="1"/>
  <c r="BV25" i="3" s="1" a="1"/>
  <c r="BV25" i="3" s="1"/>
  <c r="EE29" i="9"/>
  <c r="EI22" i="3"/>
  <c r="H59" i="3"/>
  <c r="EK89" i="38" l="1"/>
  <c r="EF22" i="9" s="1"/>
  <c r="EF36" i="9"/>
  <c r="EF37" i="9"/>
  <c r="EF28" i="9"/>
  <c r="EF26" i="9"/>
  <c r="EF27" i="9"/>
  <c r="EF25" i="9"/>
  <c r="EF21" i="9"/>
  <c r="EF23" i="9" s="1"/>
  <c r="EF29" i="9"/>
  <c r="H63" i="3"/>
  <c r="I58" i="3" s="1"/>
  <c r="I63" i="3" s="1"/>
  <c r="J58" i="3" s="1"/>
  <c r="J63" i="3" s="1"/>
  <c r="K58" i="3" s="1"/>
  <c r="K63" i="3" s="1"/>
  <c r="L58" i="3" s="1"/>
  <c r="H54" i="3"/>
  <c r="H36" i="3" s="1"/>
  <c r="BV109" i="3" a="1"/>
  <c r="BV109" i="3" s="1"/>
  <c r="BV111" i="3" s="1"/>
  <c r="BV112" i="3" s="1"/>
  <c r="BS47" i="9"/>
  <c r="BT30" i="9" l="1"/>
  <c r="BT31" i="9" s="1"/>
  <c r="BT55" i="9" s="1"/>
  <c r="BT56" i="9" s="1"/>
  <c r="BW25" i="3" s="1" a="1"/>
  <c r="BW25" i="3" s="1"/>
  <c r="BW109" i="3" l="1" a="1"/>
  <c r="BW109" i="3" s="1"/>
  <c r="BW111" i="3" s="1"/>
  <c r="BW112" i="3" s="1"/>
  <c r="BT47" i="9"/>
  <c r="BU30" i="9" l="1"/>
  <c r="BU31" i="9" s="1"/>
  <c r="BU55" i="9" s="1"/>
  <c r="BU56" i="9" s="1"/>
  <c r="BX25" i="3" s="1" a="1"/>
  <c r="BX25" i="3" s="1"/>
  <c r="BX109" i="3" l="1" a="1"/>
  <c r="BX109" i="3" s="1"/>
  <c r="BX111" i="3" s="1"/>
  <c r="BX112" i="3" s="1"/>
  <c r="BU47" i="9"/>
  <c r="BV30" i="9" l="1"/>
  <c r="BV31" i="9" s="1"/>
  <c r="BV47" i="9" l="1"/>
  <c r="BV55" i="9"/>
  <c r="BV56" i="9" s="1"/>
  <c r="BY25" i="3" s="1" a="1"/>
  <c r="BY25" i="3" s="1"/>
  <c r="BY109" i="3" a="1"/>
  <c r="BY109" i="3" s="1"/>
  <c r="BY111" i="3" s="1"/>
  <c r="BY112" i="3" s="1"/>
  <c r="BW30" i="9" l="1"/>
  <c r="BW31" i="9" s="1"/>
  <c r="BZ109" i="3" s="1" a="1"/>
  <c r="BZ109" i="3" s="1"/>
  <c r="BZ111" i="3" s="1"/>
  <c r="BZ112" i="3" s="1"/>
  <c r="BW47" i="9" l="1"/>
  <c r="BW55" i="9"/>
  <c r="BW56" i="9" s="1"/>
  <c r="BZ25" i="3" s="1" a="1"/>
  <c r="BZ25" i="3" s="1"/>
  <c r="BX30" i="9" l="1"/>
  <c r="BX31" i="9" s="1"/>
  <c r="CA109" i="3" s="1" a="1"/>
  <c r="CA109" i="3" s="1"/>
  <c r="CA111" i="3" s="1"/>
  <c r="CA112" i="3" s="1"/>
  <c r="BX47" i="9" l="1"/>
  <c r="BX55" i="9"/>
  <c r="BX56" i="9" s="1"/>
  <c r="CA25" i="3" s="1" a="1"/>
  <c r="CA25" i="3" s="1"/>
  <c r="BY30" i="9" l="1"/>
  <c r="BY31" i="9" s="1"/>
  <c r="CB109" i="3" s="1" a="1"/>
  <c r="CB109" i="3" s="1"/>
  <c r="CB111" i="3" s="1"/>
  <c r="CB112" i="3" s="1"/>
  <c r="BY47" i="9" l="1"/>
  <c r="BY55" i="9"/>
  <c r="BY56" i="9" s="1"/>
  <c r="CB25" i="3" s="1" a="1"/>
  <c r="CB25" i="3" s="1"/>
  <c r="BZ30" i="9" l="1"/>
  <c r="BZ31" i="9" s="1"/>
  <c r="CC109" i="3" l="1" a="1"/>
  <c r="CC109" i="3" s="1"/>
  <c r="CC111" i="3" s="1"/>
  <c r="CC112" i="3" s="1"/>
  <c r="BZ55" i="9"/>
  <c r="BZ56" i="9" s="1"/>
  <c r="CC25" i="3" s="1" a="1"/>
  <c r="CC25" i="3" s="1"/>
  <c r="BZ47" i="9"/>
  <c r="CA30" i="9" l="1"/>
  <c r="CA31" i="9" s="1"/>
  <c r="CD109" i="3" s="1" a="1"/>
  <c r="CD109" i="3" s="1"/>
  <c r="CD111" i="3" s="1"/>
  <c r="CD112" i="3" s="1"/>
  <c r="CA47" i="9" l="1"/>
  <c r="CA55" i="9"/>
  <c r="CA56" i="9" s="1"/>
  <c r="CD25" i="3" s="1" a="1"/>
  <c r="CD25" i="3" s="1"/>
  <c r="CB30" i="9" l="1"/>
  <c r="CB31" i="9" s="1"/>
  <c r="CB47" i="9" l="1"/>
  <c r="CB55" i="9"/>
  <c r="CB56" i="9" s="1"/>
  <c r="CE25" i="3" s="1" a="1"/>
  <c r="CE25" i="3" s="1"/>
  <c r="CE109" i="3" a="1"/>
  <c r="CE109" i="3" s="1"/>
  <c r="CE111" i="3" s="1"/>
  <c r="CE112" i="3" s="1"/>
  <c r="CC30" i="9" l="1"/>
  <c r="CC31" i="9" s="1"/>
  <c r="CC47" i="9" l="1"/>
  <c r="CC55" i="9"/>
  <c r="CC56" i="9" s="1"/>
  <c r="CF25" i="3" s="1" a="1"/>
  <c r="CF25" i="3" s="1"/>
  <c r="CF109" i="3" a="1"/>
  <c r="CF109" i="3" s="1"/>
  <c r="CF111" i="3" s="1"/>
  <c r="CF112" i="3" s="1"/>
  <c r="BB109" i="3" a="1"/>
  <c r="BB109" i="3" s="1"/>
  <c r="BB111" i="3" s="1"/>
  <c r="BB112" i="3" s="1"/>
  <c r="B112" i="3" s="1"/>
  <c r="CD30" i="9" l="1"/>
  <c r="CD31" i="9" s="1"/>
  <c r="CD47" i="9" l="1"/>
  <c r="CD55" i="9"/>
  <c r="CD56" i="9" s="1"/>
  <c r="CG25" i="3" s="1" a="1"/>
  <c r="CG25" i="3" s="1"/>
  <c r="CG109" i="3" a="1"/>
  <c r="CG109" i="3" s="1"/>
  <c r="CG111" i="3" s="1"/>
  <c r="CG112" i="3" s="1"/>
  <c r="P6" i="6"/>
  <c r="Q6" i="6"/>
  <c r="R6" i="6"/>
  <c r="O12" i="6"/>
  <c r="P12" i="6"/>
  <c r="CE30" i="9" l="1"/>
  <c r="CE31" i="9" s="1"/>
  <c r="P18" i="6"/>
  <c r="CE47" i="9" l="1"/>
  <c r="CE55" i="9"/>
  <c r="CE56" i="9" s="1"/>
  <c r="CH25" i="3" s="1" a="1"/>
  <c r="CH25" i="3" s="1"/>
  <c r="CH109" i="3" a="1"/>
  <c r="CH109" i="3" s="1"/>
  <c r="CH111" i="3" s="1"/>
  <c r="CH112" i="3" s="1"/>
  <c r="M6" i="3" a="1"/>
  <c r="M6" i="3" s="1"/>
  <c r="M18" i="6"/>
  <c r="L18" i="6"/>
  <c r="K18" i="6"/>
  <c r="CF30" i="9" l="1"/>
  <c r="CF31" i="9" s="1"/>
  <c r="CI109" i="3" s="1" a="1"/>
  <c r="CI109" i="3" s="1"/>
  <c r="CI111" i="3" s="1"/>
  <c r="CI112" i="3" s="1"/>
  <c r="J6" i="3" a="1"/>
  <c r="J6" i="3" s="1"/>
  <c r="H6" i="3" a="1"/>
  <c r="H6" i="3" s="1"/>
  <c r="I6" i="3" a="1"/>
  <c r="I6" i="3" s="1"/>
  <c r="AT11" i="11"/>
  <c r="CF47" i="9" l="1"/>
  <c r="CF55" i="9"/>
  <c r="CF56" i="9" s="1"/>
  <c r="CI25" i="3" s="1" a="1"/>
  <c r="CI25" i="3" s="1"/>
  <c r="AW11" i="11"/>
  <c r="CG30" i="9" l="1"/>
  <c r="CG31" i="9" s="1"/>
  <c r="CJ109" i="3" s="1" a="1"/>
  <c r="CJ109" i="3" s="1"/>
  <c r="CJ111" i="3" s="1"/>
  <c r="CJ112" i="3" s="1"/>
  <c r="G132" i="3"/>
  <c r="G141" i="3"/>
  <c r="G142" i="3" s="1"/>
  <c r="CG47" i="9" l="1"/>
  <c r="CG55" i="9"/>
  <c r="CG56" i="9" s="1"/>
  <c r="CJ25" i="3" s="1" a="1"/>
  <c r="CJ25" i="3" s="1"/>
  <c r="G143" i="3"/>
  <c r="CH30" i="9" l="1"/>
  <c r="CH31" i="9" s="1"/>
  <c r="CK109" i="3" s="1" a="1"/>
  <c r="CK109" i="3" s="1"/>
  <c r="CK111" i="3" s="1"/>
  <c r="CK112" i="3" s="1"/>
  <c r="CH47" i="9" l="1"/>
  <c r="CH55" i="9"/>
  <c r="CH56" i="9" s="1"/>
  <c r="CK25" i="3" s="1" a="1"/>
  <c r="CK25" i="3" s="1"/>
  <c r="F87" i="3"/>
  <c r="CI30" i="9" l="1"/>
  <c r="CI31" i="9" s="1"/>
  <c r="CL109" i="3" l="1" a="1"/>
  <c r="CL109" i="3" s="1"/>
  <c r="CL111" i="3" s="1"/>
  <c r="CL112" i="3" s="1"/>
  <c r="CI55" i="9"/>
  <c r="CI56" i="9" s="1"/>
  <c r="CL25" i="3" s="1" a="1"/>
  <c r="CL25" i="3" s="1"/>
  <c r="CI47" i="9"/>
  <c r="CJ30" i="9" l="1"/>
  <c r="CJ31" i="9" s="1"/>
  <c r="CK30" i="9" l="1"/>
  <c r="CJ47" i="9"/>
  <c r="CJ55" i="9"/>
  <c r="CJ56" i="9" s="1"/>
  <c r="CM25" i="3" s="1" a="1"/>
  <c r="CM25" i="3" s="1"/>
  <c r="CM109" i="3" a="1"/>
  <c r="CM109" i="3" s="1"/>
  <c r="CM111" i="3" s="1"/>
  <c r="CM112" i="3" s="1"/>
  <c r="CK31" i="9" l="1"/>
  <c r="CN109" i="3" s="1" a="1"/>
  <c r="CN109" i="3" s="1"/>
  <c r="CN111" i="3" s="1"/>
  <c r="CN112" i="3" s="1"/>
  <c r="CK47" i="9" l="1"/>
  <c r="CK55" i="9"/>
  <c r="CK56" i="9" s="1"/>
  <c r="CN25" i="3" s="1" a="1"/>
  <c r="CN25" i="3" s="1"/>
  <c r="AL10" i="11"/>
  <c r="AL12" i="11" s="1"/>
  <c r="AM10" i="11"/>
  <c r="AM12" i="11" s="1"/>
  <c r="AN10" i="11"/>
  <c r="AN12" i="11" s="1"/>
  <c r="AO10" i="11"/>
  <c r="AO12" i="11" s="1"/>
  <c r="AP10" i="11"/>
  <c r="AP12" i="11" s="1"/>
  <c r="AQ10" i="11"/>
  <c r="AR10" i="11"/>
  <c r="AR12" i="11" s="1"/>
  <c r="AS10" i="11"/>
  <c r="AS12" i="11" s="1"/>
  <c r="AT10" i="11"/>
  <c r="AT12" i="11" s="1"/>
  <c r="AU10" i="11"/>
  <c r="AU12" i="11" s="1"/>
  <c r="AV10" i="11"/>
  <c r="AV12" i="11" s="1"/>
  <c r="AW10" i="11"/>
  <c r="AW12" i="11" s="1"/>
  <c r="AX10" i="11"/>
  <c r="AX12" i="11" s="1"/>
  <c r="AY10" i="11"/>
  <c r="AY12" i="11" s="1"/>
  <c r="AZ10" i="11"/>
  <c r="AZ12" i="11" s="1"/>
  <c r="BA10" i="11"/>
  <c r="BA12" i="11" s="1"/>
  <c r="BB10" i="11"/>
  <c r="BB11" i="11"/>
  <c r="CL30" i="9" l="1"/>
  <c r="CL31" i="9" s="1"/>
  <c r="CO109" i="3" s="1" a="1"/>
  <c r="CO109" i="3" s="1"/>
  <c r="CO111" i="3" s="1"/>
  <c r="CO112" i="3" s="1"/>
  <c r="AS8" i="3" a="1"/>
  <c r="AS8" i="3" s="1"/>
  <c r="AS10" i="3" s="1"/>
  <c r="AK8" i="3" a="1"/>
  <c r="AK8" i="3" s="1"/>
  <c r="AK10" i="3" s="1"/>
  <c r="AX8" i="3" a="1"/>
  <c r="AX8" i="3" s="1"/>
  <c r="AX10" i="3" s="1"/>
  <c r="AT8" i="3" a="1"/>
  <c r="AT8" i="3" s="1"/>
  <c r="AT10" i="3" s="1"/>
  <c r="AP8" i="3" a="1"/>
  <c r="AP8" i="3" s="1"/>
  <c r="AP10" i="3" s="1"/>
  <c r="AL8" i="3" a="1"/>
  <c r="AL8" i="3" s="1"/>
  <c r="AL10" i="3" s="1"/>
  <c r="AW8" i="3" a="1"/>
  <c r="AW8" i="3" s="1"/>
  <c r="AW10" i="3" s="1"/>
  <c r="AO8" i="3" a="1"/>
  <c r="AO8" i="3" s="1"/>
  <c r="AO10" i="3" s="1"/>
  <c r="AV8" i="3" a="1"/>
  <c r="AV8" i="3" s="1"/>
  <c r="AV10" i="3" s="1"/>
  <c r="AR8" i="3" a="1"/>
  <c r="AR8" i="3" s="1"/>
  <c r="AR10" i="3" s="1"/>
  <c r="AJ8" i="3" a="1"/>
  <c r="AJ8" i="3" s="1"/>
  <c r="AJ10" i="3" s="1"/>
  <c r="AU8" i="3" a="1"/>
  <c r="AU8" i="3" s="1"/>
  <c r="AU10" i="3" s="1"/>
  <c r="AQ8" i="3" a="1"/>
  <c r="AQ8" i="3" s="1"/>
  <c r="AQ10" i="3" s="1"/>
  <c r="AM8" i="3" a="1"/>
  <c r="AM8" i="3" s="1"/>
  <c r="AM10" i="3" s="1"/>
  <c r="AI8" i="3" a="1"/>
  <c r="AI8" i="3" s="1"/>
  <c r="AI10" i="3" s="1"/>
  <c r="BB12" i="11"/>
  <c r="P59" i="3" l="1"/>
  <c r="R59" i="3"/>
  <c r="BS59" i="3"/>
  <c r="BP59" i="3"/>
  <c r="BQ59" i="3"/>
  <c r="BJ59" i="3"/>
  <c r="BK59" i="3"/>
  <c r="AX59" i="3"/>
  <c r="BG59" i="3"/>
  <c r="AU59" i="3"/>
  <c r="AW59" i="3"/>
  <c r="AS59" i="3"/>
  <c r="BU59" i="3"/>
  <c r="AV59" i="3"/>
  <c r="BN59" i="3"/>
  <c r="BL59" i="3"/>
  <c r="BV59" i="3"/>
  <c r="BR59" i="3"/>
  <c r="BM59" i="3"/>
  <c r="BT59" i="3"/>
  <c r="CD59" i="3"/>
  <c r="CF59" i="3"/>
  <c r="CM59" i="3"/>
  <c r="CL47" i="9"/>
  <c r="CL55" i="9"/>
  <c r="CL56" i="9" s="1"/>
  <c r="CO25" i="3" s="1" a="1"/>
  <c r="CO25" i="3" s="1"/>
  <c r="AP29" i="3"/>
  <c r="AS29" i="3"/>
  <c r="AW29" i="3"/>
  <c r="AT29" i="3"/>
  <c r="AX29" i="3"/>
  <c r="AR29" i="3"/>
  <c r="AM29" i="3"/>
  <c r="AJ29" i="3"/>
  <c r="AK29" i="3"/>
  <c r="AU29" i="3"/>
  <c r="AO29" i="3"/>
  <c r="AI29" i="3"/>
  <c r="AV29" i="3"/>
  <c r="AQ29" i="3"/>
  <c r="AL29" i="3"/>
  <c r="AY8" i="3" a="1"/>
  <c r="AY8" i="3" s="1"/>
  <c r="AY10" i="3" s="1"/>
  <c r="O6" i="6"/>
  <c r="R12" i="6"/>
  <c r="CM30" i="9" l="1"/>
  <c r="CM31" i="9" s="1"/>
  <c r="W54" i="3"/>
  <c r="W36" i="3" s="1"/>
  <c r="X54" i="3"/>
  <c r="X36" i="3" s="1"/>
  <c r="W59" i="3"/>
  <c r="X59" i="3"/>
  <c r="AA54" i="3"/>
  <c r="AA36" i="3" s="1"/>
  <c r="AA59" i="3"/>
  <c r="AF54" i="3"/>
  <c r="AF36" i="3" s="1"/>
  <c r="T54" i="3"/>
  <c r="T36" i="3" s="1"/>
  <c r="T59" i="3"/>
  <c r="AG59" i="3"/>
  <c r="AF59" i="3"/>
  <c r="U54" i="3"/>
  <c r="U36" i="3" s="1"/>
  <c r="AG54" i="3"/>
  <c r="AG36" i="3" s="1"/>
  <c r="U59" i="3"/>
  <c r="Q54" i="3"/>
  <c r="Q36" i="3" s="1"/>
  <c r="Q59" i="3"/>
  <c r="R54" i="3"/>
  <c r="R36" i="3" s="1"/>
  <c r="P54" i="3"/>
  <c r="P36" i="3" s="1"/>
  <c r="BQ54" i="3"/>
  <c r="BQ36" i="3" s="1"/>
  <c r="BS54" i="3"/>
  <c r="BS36" i="3" s="1"/>
  <c r="BK54" i="3"/>
  <c r="BK36" i="3" s="1"/>
  <c r="BP54" i="3"/>
  <c r="BP36" i="3" s="1"/>
  <c r="BG54" i="3"/>
  <c r="BG36" i="3" s="1"/>
  <c r="BJ54" i="3"/>
  <c r="BJ36" i="3" s="1"/>
  <c r="AW54" i="3"/>
  <c r="AW36" i="3" s="1"/>
  <c r="AX54" i="3"/>
  <c r="AX36" i="3" s="1"/>
  <c r="AS54" i="3"/>
  <c r="AS36" i="3" s="1"/>
  <c r="AU54" i="3"/>
  <c r="AU36" i="3" s="1"/>
  <c r="BU54" i="3"/>
  <c r="BU36" i="3" s="1"/>
  <c r="AV54" i="3"/>
  <c r="AV36" i="3" s="1"/>
  <c r="BL54" i="3"/>
  <c r="BL36" i="3" s="1"/>
  <c r="BR54" i="3"/>
  <c r="BR36" i="3" s="1"/>
  <c r="BN54" i="3"/>
  <c r="BN36" i="3" s="1"/>
  <c r="BT54" i="3"/>
  <c r="BT36" i="3" s="1"/>
  <c r="BV54" i="3"/>
  <c r="BV36" i="3" s="1"/>
  <c r="CF54" i="3"/>
  <c r="CF36" i="3" s="1"/>
  <c r="BM54" i="3"/>
  <c r="BM36" i="3" s="1"/>
  <c r="CM54" i="3"/>
  <c r="CM36" i="3" s="1"/>
  <c r="CD54" i="3"/>
  <c r="CD36" i="3" s="1"/>
  <c r="AW34" i="3"/>
  <c r="AV34" i="3"/>
  <c r="AK34" i="3"/>
  <c r="AR34" i="3"/>
  <c r="AS34" i="3"/>
  <c r="AQ34" i="3"/>
  <c r="AU34" i="3"/>
  <c r="AI34" i="3"/>
  <c r="AJ34" i="3"/>
  <c r="AX34" i="3"/>
  <c r="AP34" i="3"/>
  <c r="AL34" i="3"/>
  <c r="AO34" i="3"/>
  <c r="AM34" i="3"/>
  <c r="AT34" i="3"/>
  <c r="AY29" i="3"/>
  <c r="R18" i="6"/>
  <c r="J12" i="6"/>
  <c r="Q12" i="6"/>
  <c r="AL35" i="3" l="1"/>
  <c r="AK35" i="3"/>
  <c r="AJ35" i="3"/>
  <c r="AI35" i="3"/>
  <c r="AP35" i="3"/>
  <c r="AX35" i="3"/>
  <c r="AV35" i="3"/>
  <c r="AT35" i="3"/>
  <c r="AR35" i="3"/>
  <c r="AU35" i="3"/>
  <c r="AS35" i="3"/>
  <c r="AW35" i="3"/>
  <c r="AM35" i="3"/>
  <c r="AO35" i="3"/>
  <c r="AQ35" i="3"/>
  <c r="AY34" i="3"/>
  <c r="CM47" i="9"/>
  <c r="CM55" i="9"/>
  <c r="CM56" i="9" s="1"/>
  <c r="CP25" i="3" s="1" a="1"/>
  <c r="CP25" i="3" s="1"/>
  <c r="CP109" i="3" a="1"/>
  <c r="CP109" i="3" s="1"/>
  <c r="CP111" i="3" s="1"/>
  <c r="CP112" i="3" s="1"/>
  <c r="Q18" i="6"/>
  <c r="N6" i="3" s="1" a="1"/>
  <c r="N6" i="3" s="1"/>
  <c r="O6" i="3" a="1"/>
  <c r="O6" i="3" s="1"/>
  <c r="CN30" i="9" l="1"/>
  <c r="CN31" i="9" s="1"/>
  <c r="CQ109" i="3" s="1" a="1"/>
  <c r="CQ109" i="3" s="1"/>
  <c r="CQ111" i="3" s="1"/>
  <c r="CQ112" i="3" s="1"/>
  <c r="CV80" i="3"/>
  <c r="CV62" i="3" s="1"/>
  <c r="AY35" i="3"/>
  <c r="O18" i="6"/>
  <c r="L6" i="3" s="1" a="1"/>
  <c r="L6" i="3" s="1"/>
  <c r="CN47" i="9" l="1"/>
  <c r="CN55" i="9"/>
  <c r="CN56" i="9" s="1"/>
  <c r="CQ25" i="3" s="1" a="1"/>
  <c r="CQ25" i="3" s="1"/>
  <c r="AI11" i="11"/>
  <c r="CO30" i="9" l="1"/>
  <c r="CO31" i="9" s="1"/>
  <c r="CR109" i="3" s="1" a="1"/>
  <c r="CR109" i="3" s="1"/>
  <c r="CR111" i="3" s="1"/>
  <c r="CR112" i="3" s="1"/>
  <c r="CO47" i="9" l="1"/>
  <c r="CO55" i="9"/>
  <c r="CO56" i="9" s="1"/>
  <c r="CR25" i="3" s="1" a="1"/>
  <c r="CR25" i="3" s="1"/>
  <c r="CP30" i="9" l="1"/>
  <c r="CP31" i="9" s="1"/>
  <c r="CS109" i="3" s="1" a="1"/>
  <c r="CS109" i="3" s="1"/>
  <c r="CS111" i="3" s="1"/>
  <c r="CS112" i="3" s="1"/>
  <c r="CP47" i="9" l="1"/>
  <c r="CP55" i="9"/>
  <c r="CP56" i="9" s="1"/>
  <c r="CS25" i="3" s="1" a="1"/>
  <c r="CS25" i="3" s="1"/>
  <c r="N6" i="6"/>
  <c r="CQ30" i="9" l="1"/>
  <c r="CQ31" i="9" s="1"/>
  <c r="N18" i="6"/>
  <c r="K6" i="3" s="1" a="1"/>
  <c r="K6" i="3" s="1"/>
  <c r="CQ47" i="9" l="1"/>
  <c r="CQ55" i="9"/>
  <c r="CQ56" i="9" s="1"/>
  <c r="CT25" i="3" s="1" a="1"/>
  <c r="CT25" i="3" s="1"/>
  <c r="CT109" i="3" a="1"/>
  <c r="CT109" i="3" s="1"/>
  <c r="CT111" i="3" s="1"/>
  <c r="CT112" i="3" s="1"/>
  <c r="CR30" i="9" l="1"/>
  <c r="CR31" i="9" s="1"/>
  <c r="CU109" i="3" s="1" a="1"/>
  <c r="CU109" i="3" s="1"/>
  <c r="CU111" i="3" s="1"/>
  <c r="CU112" i="3" s="1"/>
  <c r="K6" i="11"/>
  <c r="W6" i="11" l="1"/>
  <c r="L6" i="11"/>
  <c r="R6" i="11"/>
  <c r="Y6" i="11"/>
  <c r="N6" i="11"/>
  <c r="P6" i="11"/>
  <c r="Q6" i="11"/>
  <c r="AH6" i="11"/>
  <c r="O6" i="11"/>
  <c r="T6" i="11"/>
  <c r="V6" i="11"/>
  <c r="S6" i="11"/>
  <c r="M6" i="11"/>
  <c r="J10" i="11"/>
  <c r="CR47" i="9"/>
  <c r="CR55" i="9"/>
  <c r="CR56" i="9" s="1"/>
  <c r="CU25" i="3" s="1" a="1"/>
  <c r="CU25" i="3" s="1"/>
  <c r="CS30" i="9" l="1"/>
  <c r="CS31" i="9" s="1"/>
  <c r="CV109" i="3" s="1" a="1"/>
  <c r="CV109" i="3" s="1"/>
  <c r="CV111" i="3" s="1"/>
  <c r="CV112" i="3" s="1"/>
  <c r="L10" i="11"/>
  <c r="L12" i="11" s="1"/>
  <c r="I8" i="3" s="1" a="1"/>
  <c r="I8" i="3" s="1"/>
  <c r="I10" i="3" s="1"/>
  <c r="K10" i="11"/>
  <c r="AK10" i="11"/>
  <c r="AI10" i="11"/>
  <c r="AI12" i="11" s="1"/>
  <c r="AF8" i="3" s="1" a="1"/>
  <c r="AF8" i="3" s="1"/>
  <c r="AF10" i="3" s="1"/>
  <c r="AJ10" i="11"/>
  <c r="AJ12" i="11" s="1"/>
  <c r="AG8" i="3" s="1" a="1"/>
  <c r="AG8" i="3" s="1"/>
  <c r="AG10" i="3" s="1"/>
  <c r="W10" i="11"/>
  <c r="AA10" i="11"/>
  <c r="AA12" i="11" s="1"/>
  <c r="X8" i="3" s="1" a="1"/>
  <c r="X8" i="3" s="1"/>
  <c r="X10" i="3" s="1"/>
  <c r="AE10" i="11"/>
  <c r="AE12" i="11" s="1"/>
  <c r="AB8" i="3" s="1" a="1"/>
  <c r="AB8" i="3" s="1"/>
  <c r="AB10" i="3" s="1"/>
  <c r="U10" i="11"/>
  <c r="AC10" i="11"/>
  <c r="AC12" i="11" s="1"/>
  <c r="Z8" i="3" s="1" a="1"/>
  <c r="Z8" i="3" s="1"/>
  <c r="Z10" i="3" s="1"/>
  <c r="AG10" i="11"/>
  <c r="V10" i="11"/>
  <c r="Z10" i="11"/>
  <c r="Z12" i="11" s="1"/>
  <c r="W8" i="3" s="1" a="1"/>
  <c r="W8" i="3" s="1"/>
  <c r="W10" i="3" s="1"/>
  <c r="AH10" i="11"/>
  <c r="T10" i="11"/>
  <c r="X10" i="11"/>
  <c r="AB10" i="11"/>
  <c r="AB12" i="11" s="1"/>
  <c r="Y8" i="3" s="1" a="1"/>
  <c r="Y8" i="3" s="1"/>
  <c r="Y10" i="3" s="1"/>
  <c r="AF10" i="11"/>
  <c r="Y10" i="11"/>
  <c r="AD10" i="11"/>
  <c r="AD12" i="11" s="1"/>
  <c r="AA8" i="3" s="1" a="1"/>
  <c r="AA8" i="3" s="1"/>
  <c r="AA10" i="3" s="1"/>
  <c r="S10" i="11"/>
  <c r="N10" i="11"/>
  <c r="Q10" i="11"/>
  <c r="O10" i="11"/>
  <c r="M10" i="11"/>
  <c r="M12" i="11" s="1"/>
  <c r="J8" i="3" s="1" a="1"/>
  <c r="J8" i="3" s="1"/>
  <c r="J10" i="3" s="1"/>
  <c r="J29" i="3" s="1"/>
  <c r="J35" i="3" s="1"/>
  <c r="R10" i="11"/>
  <c r="P10" i="11"/>
  <c r="N11" i="11" l="1"/>
  <c r="N12" i="11" s="1"/>
  <c r="K8" i="3" s="1" a="1"/>
  <c r="K8" i="3" s="1"/>
  <c r="K10" i="3" s="1"/>
  <c r="K29" i="3" s="1"/>
  <c r="K35" i="3" s="1"/>
  <c r="K11" i="11"/>
  <c r="K12" i="11" s="1"/>
  <c r="H8" i="3" s="1" a="1"/>
  <c r="H8" i="3" s="1"/>
  <c r="H10" i="3" s="1"/>
  <c r="W11" i="11"/>
  <c r="W12" i="11" s="1"/>
  <c r="T8" i="3" s="1" a="1"/>
  <c r="T8" i="3" s="1"/>
  <c r="T10" i="3" s="1"/>
  <c r="T29" i="3" s="1"/>
  <c r="O11" i="11"/>
  <c r="O12" i="11" s="1"/>
  <c r="L8" i="3" s="1" a="1"/>
  <c r="L8" i="3" s="1"/>
  <c r="L10" i="3" s="1"/>
  <c r="I29" i="3"/>
  <c r="I35" i="3" s="1"/>
  <c r="R11" i="11"/>
  <c r="R12" i="11" s="1"/>
  <c r="O8" i="3" s="1" a="1"/>
  <c r="O8" i="3" s="1"/>
  <c r="O10" i="3" s="1"/>
  <c r="Y11" i="11"/>
  <c r="Y12" i="11" s="1"/>
  <c r="V8" i="3" s="1" a="1"/>
  <c r="V8" i="3" s="1"/>
  <c r="V10" i="3" s="1"/>
  <c r="AH11" i="11"/>
  <c r="AH12" i="11" s="1"/>
  <c r="AE8" i="3" s="1" a="1"/>
  <c r="AE8" i="3" s="1"/>
  <c r="AE10" i="3" s="1"/>
  <c r="P11" i="11"/>
  <c r="P12" i="11" s="1"/>
  <c r="M8" i="3" s="1" a="1"/>
  <c r="M8" i="3" s="1"/>
  <c r="M10" i="3" s="1"/>
  <c r="V11" i="11"/>
  <c r="V12" i="11" s="1"/>
  <c r="S8" i="3" s="1" a="1"/>
  <c r="S8" i="3" s="1"/>
  <c r="S10" i="3" s="1"/>
  <c r="S29" i="3" s="1"/>
  <c r="S35" i="3" s="1"/>
  <c r="Q11" i="11"/>
  <c r="Q12" i="11" s="1"/>
  <c r="N8" i="3" s="1" a="1"/>
  <c r="N8" i="3" s="1"/>
  <c r="N10" i="3" s="1"/>
  <c r="AF11" i="11"/>
  <c r="AF12" i="11" s="1"/>
  <c r="AC8" i="3" s="1" a="1"/>
  <c r="AC8" i="3" s="1"/>
  <c r="AC10" i="3" s="1"/>
  <c r="AG11" i="11"/>
  <c r="AG12" i="11" s="1"/>
  <c r="AD8" i="3" s="1" a="1"/>
  <c r="AD8" i="3" s="1"/>
  <c r="AD10" i="3" s="1"/>
  <c r="T11" i="11"/>
  <c r="T12" i="11" s="1"/>
  <c r="Q8" i="3" s="1" a="1"/>
  <c r="Q8" i="3" s="1"/>
  <c r="Q10" i="3" s="1"/>
  <c r="U11" i="11"/>
  <c r="U12" i="11" s="1"/>
  <c r="R8" i="3" s="1" a="1"/>
  <c r="R8" i="3" s="1"/>
  <c r="R10" i="3" s="1"/>
  <c r="X11" i="11"/>
  <c r="X12" i="11" s="1"/>
  <c r="U8" i="3" s="1" a="1"/>
  <c r="U8" i="3" s="1"/>
  <c r="U10" i="3" s="1"/>
  <c r="W29" i="3"/>
  <c r="AG29" i="3"/>
  <c r="AB29" i="3"/>
  <c r="X29" i="3"/>
  <c r="Y29" i="3"/>
  <c r="AA29" i="3"/>
  <c r="AF29" i="3"/>
  <c r="Z29" i="3"/>
  <c r="S11" i="11"/>
  <c r="S12" i="11" s="1"/>
  <c r="P8" i="3" s="1" a="1"/>
  <c r="P8" i="3" s="1"/>
  <c r="P10" i="3" s="1"/>
  <c r="AK11" i="11"/>
  <c r="AK12" i="11" s="1"/>
  <c r="AH8" i="3" s="1" a="1"/>
  <c r="AH8" i="3" s="1"/>
  <c r="AH10" i="3" s="1"/>
  <c r="CS47" i="9"/>
  <c r="CS55" i="9"/>
  <c r="CS56" i="9" s="1"/>
  <c r="CV25" i="3" s="1" a="1"/>
  <c r="CV25" i="3" s="1"/>
  <c r="CT30" i="9" l="1"/>
  <c r="CT31" i="9" s="1"/>
  <c r="CW109" i="3" s="1" a="1"/>
  <c r="CW109" i="3" s="1"/>
  <c r="CW111" i="3" s="1"/>
  <c r="CW112" i="3" s="1"/>
  <c r="H29" i="3"/>
  <c r="H35" i="3" s="1"/>
  <c r="L29" i="3"/>
  <c r="L35" i="3" s="1"/>
  <c r="V29" i="3"/>
  <c r="V34" i="3" s="1"/>
  <c r="O29" i="3"/>
  <c r="O35" i="3" s="1"/>
  <c r="M29" i="3"/>
  <c r="M35" i="3" s="1"/>
  <c r="AE29" i="3"/>
  <c r="AE34" i="3" s="1"/>
  <c r="N29" i="3"/>
  <c r="N35" i="3" s="1"/>
  <c r="T34" i="3"/>
  <c r="Z34" i="3"/>
  <c r="AG34" i="3"/>
  <c r="AB34" i="3"/>
  <c r="AF34" i="3"/>
  <c r="Y34" i="3"/>
  <c r="AA34" i="3"/>
  <c r="X34" i="3"/>
  <c r="W34" i="3"/>
  <c r="AD29" i="3"/>
  <c r="AC29" i="3"/>
  <c r="R29" i="3"/>
  <c r="R35" i="3" s="1"/>
  <c r="Q29" i="3"/>
  <c r="Q35" i="3" s="1"/>
  <c r="U29" i="3"/>
  <c r="AH29" i="3"/>
  <c r="P29" i="3"/>
  <c r="P35" i="3" s="1"/>
  <c r="Y35" i="3" l="1"/>
  <c r="W35" i="3"/>
  <c r="T35" i="3"/>
  <c r="AB35" i="3"/>
  <c r="AG35" i="3"/>
  <c r="Z35" i="3"/>
  <c r="X35" i="3"/>
  <c r="AF35" i="3"/>
  <c r="V35" i="3"/>
  <c r="AA35" i="3"/>
  <c r="AE35" i="3"/>
  <c r="U34" i="3"/>
  <c r="AD34" i="3"/>
  <c r="AC34" i="3"/>
  <c r="AH34" i="3"/>
  <c r="CT55" i="9"/>
  <c r="CT56" i="9" s="1"/>
  <c r="CW25" i="3" s="1" a="1"/>
  <c r="CW25" i="3" s="1"/>
  <c r="CT47" i="9"/>
  <c r="CU30" i="9" l="1"/>
  <c r="CU31" i="9" s="1"/>
  <c r="U35" i="3"/>
  <c r="AD35" i="3"/>
  <c r="AH35" i="3"/>
  <c r="AC35" i="3"/>
  <c r="CU47" i="9" l="1"/>
  <c r="CX109" i="3" a="1"/>
  <c r="CX109" i="3" s="1"/>
  <c r="CX111" i="3" s="1"/>
  <c r="CX112" i="3" s="1"/>
  <c r="CU55" i="9"/>
  <c r="CU56" i="9" s="1"/>
  <c r="CX25" i="3" s="1" a="1"/>
  <c r="CX25" i="3" s="1"/>
  <c r="CV30" i="9" l="1"/>
  <c r="CV31" i="9" s="1"/>
  <c r="CY109" i="3" s="1" a="1"/>
  <c r="CY109" i="3" s="1"/>
  <c r="CY111" i="3" s="1"/>
  <c r="CY112" i="3" s="1"/>
  <c r="G13" i="31"/>
  <c r="H13" i="31"/>
  <c r="I13" i="31"/>
  <c r="J13" i="31"/>
  <c r="K13" i="31"/>
  <c r="G21" i="31"/>
  <c r="H21" i="31"/>
  <c r="I21" i="31"/>
  <c r="J21" i="31"/>
  <c r="K21" i="31"/>
  <c r="G12" i="31"/>
  <c r="H12" i="31"/>
  <c r="I12" i="31"/>
  <c r="J12" i="31"/>
  <c r="K12" i="31"/>
  <c r="G20" i="31"/>
  <c r="H20" i="31"/>
  <c r="I20" i="31"/>
  <c r="J20" i="31"/>
  <c r="K20" i="31"/>
  <c r="CX30" i="9" l="1"/>
  <c r="CX31" i="9" s="1"/>
  <c r="CW30" i="9"/>
  <c r="CW31" i="9" s="1"/>
  <c r="CZ109" i="3" s="1" a="1"/>
  <c r="CZ109" i="3" s="1"/>
  <c r="CZ111" i="3" s="1"/>
  <c r="CZ112" i="3" s="1"/>
  <c r="G10" i="31"/>
  <c r="H10" i="31"/>
  <c r="I10" i="31"/>
  <c r="J10" i="31"/>
  <c r="K10" i="31"/>
  <c r="G11" i="31"/>
  <c r="H11" i="31"/>
  <c r="I11" i="31"/>
  <c r="J11" i="31"/>
  <c r="K11" i="31"/>
  <c r="G15" i="31"/>
  <c r="H15" i="31"/>
  <c r="I15" i="31"/>
  <c r="J15" i="31"/>
  <c r="K15" i="31"/>
  <c r="CV47" i="9"/>
  <c r="CV55" i="9"/>
  <c r="CV56" i="9" s="1"/>
  <c r="CY25" i="3" s="1" a="1"/>
  <c r="CY25" i="3" s="1"/>
  <c r="CY30" i="9" l="1"/>
  <c r="CY31" i="9" s="1"/>
  <c r="CY47" i="9" s="1"/>
  <c r="CW47" i="9"/>
  <c r="CW55" i="9"/>
  <c r="CW56" i="9" s="1"/>
  <c r="CZ25" i="3" s="1" a="1"/>
  <c r="CZ25" i="3" s="1"/>
  <c r="G31" i="31"/>
  <c r="H31" i="31"/>
  <c r="I31" i="31"/>
  <c r="J31" i="31"/>
  <c r="K31" i="31"/>
  <c r="G36" i="31"/>
  <c r="H36" i="31"/>
  <c r="I36" i="31"/>
  <c r="J36" i="31"/>
  <c r="K36" i="31"/>
  <c r="CX47" i="9"/>
  <c r="CX55" i="9"/>
  <c r="CX56" i="9" s="1"/>
  <c r="DA25" i="3" s="1" a="1"/>
  <c r="DA25" i="3" s="1"/>
  <c r="DA109" i="3" a="1"/>
  <c r="DA109" i="3" s="1"/>
  <c r="DA111" i="3" s="1"/>
  <c r="DA112" i="3" s="1"/>
  <c r="BP47" i="3"/>
  <c r="CZ30" i="9" l="1"/>
  <c r="CZ31" i="9" s="1"/>
  <c r="DB109" i="3" a="1"/>
  <c r="DB109" i="3" s="1"/>
  <c r="DB111" i="3" s="1"/>
  <c r="DB112" i="3" s="1"/>
  <c r="CY55" i="9"/>
  <c r="CY56" i="9" s="1"/>
  <c r="DB25" i="3" s="1" a="1"/>
  <c r="DB25" i="3" s="1"/>
  <c r="BQ47" i="3"/>
  <c r="DA30" i="9" l="1"/>
  <c r="DA31" i="9" s="1"/>
  <c r="CZ47" i="9"/>
  <c r="CZ55" i="9"/>
  <c r="CZ56" i="9" s="1"/>
  <c r="DC25" i="3" s="1" a="1"/>
  <c r="DC25" i="3" s="1"/>
  <c r="DC109" i="3" a="1"/>
  <c r="DC109" i="3" s="1"/>
  <c r="DC111" i="3" s="1"/>
  <c r="DC112" i="3" s="1"/>
  <c r="BR47" i="3"/>
  <c r="DB30" i="9" l="1"/>
  <c r="DB31" i="9" s="1"/>
  <c r="DA47" i="9"/>
  <c r="DA55" i="9"/>
  <c r="DA56" i="9" s="1"/>
  <c r="DD25" i="3" s="1" a="1"/>
  <c r="DD25" i="3" s="1"/>
  <c r="DD109" i="3" a="1"/>
  <c r="DD109" i="3" s="1"/>
  <c r="DD111" i="3" s="1"/>
  <c r="DD112" i="3" s="1"/>
  <c r="BS47" i="3"/>
  <c r="DC30" i="9" l="1"/>
  <c r="DC31" i="9" s="1"/>
  <c r="DB47" i="9"/>
  <c r="DB55" i="9"/>
  <c r="DB56" i="9" s="1"/>
  <c r="DE25" i="3" s="1" a="1"/>
  <c r="DE25" i="3" s="1"/>
  <c r="DE109" i="3" a="1"/>
  <c r="DE109" i="3" s="1"/>
  <c r="DE111" i="3" s="1"/>
  <c r="DE112" i="3" s="1"/>
  <c r="BT47" i="3"/>
  <c r="DD30" i="9" l="1"/>
  <c r="DD31" i="9" s="1"/>
  <c r="DC47" i="9"/>
  <c r="DC55" i="9"/>
  <c r="DC56" i="9" s="1"/>
  <c r="DF25" i="3" s="1" a="1"/>
  <c r="DF25" i="3" s="1"/>
  <c r="DF109" i="3" a="1"/>
  <c r="DF109" i="3" s="1"/>
  <c r="DF111" i="3" s="1"/>
  <c r="DF112" i="3" s="1"/>
  <c r="BU47" i="3"/>
  <c r="DD55" i="9" l="1"/>
  <c r="DD56" i="9" s="1"/>
  <c r="DG25" i="3" s="1" a="1"/>
  <c r="DG25" i="3" s="1"/>
  <c r="DG109" i="3" a="1"/>
  <c r="DG109" i="3" s="1"/>
  <c r="DG111" i="3" s="1"/>
  <c r="DG112" i="3" s="1"/>
  <c r="DE30" i="9"/>
  <c r="DE31" i="9" s="1"/>
  <c r="DE47" i="9" s="1"/>
  <c r="DD47" i="9"/>
  <c r="BV47" i="3"/>
  <c r="DF30" i="9" l="1"/>
  <c r="DF31" i="9" s="1"/>
  <c r="DF47" i="9" s="1"/>
  <c r="DE55" i="9"/>
  <c r="DE56" i="9" s="1"/>
  <c r="DH25" i="3" s="1" a="1"/>
  <c r="DH25" i="3" s="1"/>
  <c r="DH109" i="3" a="1"/>
  <c r="DH109" i="3" s="1"/>
  <c r="DH111" i="3" s="1"/>
  <c r="DH112" i="3" s="1"/>
  <c r="BW47" i="3"/>
  <c r="DG30" i="9" l="1"/>
  <c r="DG31" i="9" s="1"/>
  <c r="DG47" i="9" s="1"/>
  <c r="DF55" i="9"/>
  <c r="DF56" i="9" s="1"/>
  <c r="DI25" i="3" s="1" a="1"/>
  <c r="DI25" i="3" s="1"/>
  <c r="DI109" i="3" a="1"/>
  <c r="DI109" i="3" s="1"/>
  <c r="DI111" i="3" s="1"/>
  <c r="DI112" i="3" s="1"/>
  <c r="BX47" i="3"/>
  <c r="DH30" i="9" l="1"/>
  <c r="DH31" i="9" s="1"/>
  <c r="DJ109" i="3" a="1"/>
  <c r="DJ109" i="3" s="1"/>
  <c r="DJ111" i="3" s="1"/>
  <c r="DJ112" i="3" s="1"/>
  <c r="DG55" i="9"/>
  <c r="DG56" i="9" s="1"/>
  <c r="DJ25" i="3" s="1" a="1"/>
  <c r="DJ25" i="3" s="1"/>
  <c r="BY47" i="3"/>
  <c r="DI30" i="9" l="1"/>
  <c r="DI31" i="9" s="1"/>
  <c r="DI47" i="9" s="1"/>
  <c r="DH55" i="9"/>
  <c r="DH56" i="9" s="1"/>
  <c r="DK25" i="3" s="1" a="1"/>
  <c r="DK25" i="3" s="1"/>
  <c r="DH47" i="9"/>
  <c r="DK109" i="3" a="1"/>
  <c r="DK109" i="3" s="1"/>
  <c r="DK111" i="3" s="1"/>
  <c r="DK112" i="3" s="1"/>
  <c r="BZ47" i="3"/>
  <c r="DJ30" i="9" l="1"/>
  <c r="DJ31" i="9" s="1"/>
  <c r="DL109" i="3" a="1"/>
  <c r="DL109" i="3" s="1"/>
  <c r="DL111" i="3" s="1"/>
  <c r="DL112" i="3" s="1"/>
  <c r="DI55" i="9"/>
  <c r="DI56" i="9" s="1"/>
  <c r="DL25" i="3" s="1" a="1"/>
  <c r="DL25" i="3" s="1"/>
  <c r="CA47" i="3"/>
  <c r="DK30" i="9" l="1"/>
  <c r="DK31" i="9" s="1"/>
  <c r="DK55" i="9" s="1"/>
  <c r="DK56" i="9" s="1"/>
  <c r="DN25" i="3" s="1" a="1"/>
  <c r="DN25" i="3" s="1"/>
  <c r="DJ55" i="9"/>
  <c r="DJ56" i="9" s="1"/>
  <c r="DM25" i="3" s="1" a="1"/>
  <c r="DM25" i="3" s="1"/>
  <c r="DJ47" i="9"/>
  <c r="DM109" i="3" a="1"/>
  <c r="DM109" i="3" s="1"/>
  <c r="DM111" i="3" s="1"/>
  <c r="DM112" i="3" s="1"/>
  <c r="CB47" i="3"/>
  <c r="DL30" i="9" l="1"/>
  <c r="DL31" i="9" s="1"/>
  <c r="DN109" i="3" a="1"/>
  <c r="DN109" i="3" s="1"/>
  <c r="DN111" i="3" s="1"/>
  <c r="DN112" i="3" s="1"/>
  <c r="DK47" i="9"/>
  <c r="CC47" i="3"/>
  <c r="DM30" i="9" l="1"/>
  <c r="DM31" i="9" s="1"/>
  <c r="DL55" i="9"/>
  <c r="DL56" i="9" s="1"/>
  <c r="DO25" i="3" s="1" a="1"/>
  <c r="DO25" i="3" s="1"/>
  <c r="DL47" i="9"/>
  <c r="DO109" i="3" a="1"/>
  <c r="DO109" i="3" s="1"/>
  <c r="DO111" i="3" s="1"/>
  <c r="DO112" i="3" s="1"/>
  <c r="CD47" i="3"/>
  <c r="DN30" i="9" l="1"/>
  <c r="DN31" i="9" s="1"/>
  <c r="DM47" i="9"/>
  <c r="DM55" i="9"/>
  <c r="DM56" i="9" s="1"/>
  <c r="DP25" i="3" s="1" a="1"/>
  <c r="DP25" i="3" s="1"/>
  <c r="DP109" i="3" a="1"/>
  <c r="DP109" i="3" s="1"/>
  <c r="DP111" i="3" s="1"/>
  <c r="DP112" i="3" s="1"/>
  <c r="CE47" i="3"/>
  <c r="DO30" i="9" l="1"/>
  <c r="DO31" i="9" s="1"/>
  <c r="DN55" i="9"/>
  <c r="DN56" i="9" s="1"/>
  <c r="DQ25" i="3" s="1" a="1"/>
  <c r="DQ25" i="3" s="1"/>
  <c r="DN47" i="9"/>
  <c r="DQ109" i="3" a="1"/>
  <c r="DQ109" i="3" s="1"/>
  <c r="DQ111" i="3" s="1"/>
  <c r="DQ112" i="3" s="1"/>
  <c r="CF47" i="3"/>
  <c r="DP30" i="9" l="1"/>
  <c r="DP31" i="9" s="1"/>
  <c r="DP47" i="9" s="1"/>
  <c r="DO55" i="9"/>
  <c r="DO56" i="9" s="1"/>
  <c r="DR25" i="3" s="1" a="1"/>
  <c r="DR25" i="3" s="1"/>
  <c r="DO47" i="9"/>
  <c r="DR109" i="3" a="1"/>
  <c r="DR109" i="3" s="1"/>
  <c r="DR111" i="3" s="1"/>
  <c r="DR112" i="3" s="1"/>
  <c r="CG47" i="3"/>
  <c r="DQ30" i="9" l="1"/>
  <c r="DQ31" i="9" s="1"/>
  <c r="DQ55" i="9" s="1"/>
  <c r="DQ56" i="9" s="1"/>
  <c r="DT25" i="3" s="1" a="1"/>
  <c r="DT25" i="3" s="1"/>
  <c r="DS109" i="3" a="1"/>
  <c r="DS109" i="3" s="1"/>
  <c r="DS111" i="3" s="1"/>
  <c r="DS112" i="3" s="1"/>
  <c r="DP55" i="9"/>
  <c r="DP56" i="9" s="1"/>
  <c r="DS25" i="3" s="1" a="1"/>
  <c r="DS25" i="3" s="1"/>
  <c r="CH47" i="3"/>
  <c r="DR30" i="9" l="1"/>
  <c r="DR31" i="9" s="1"/>
  <c r="DT109" i="3" a="1"/>
  <c r="DT109" i="3" s="1"/>
  <c r="DT111" i="3" s="1"/>
  <c r="DT112" i="3" s="1"/>
  <c r="DQ47" i="9"/>
  <c r="CI47" i="3"/>
  <c r="DS30" i="9" l="1"/>
  <c r="DS31" i="9" s="1"/>
  <c r="DS47" i="9" s="1"/>
  <c r="DR55" i="9"/>
  <c r="DR56" i="9" s="1"/>
  <c r="DU25" i="3" s="1" a="1"/>
  <c r="DU25" i="3" s="1"/>
  <c r="DR47" i="9"/>
  <c r="DU109" i="3" a="1"/>
  <c r="DU109" i="3" s="1"/>
  <c r="DU111" i="3" s="1"/>
  <c r="DU112" i="3" s="1"/>
  <c r="CJ47" i="3"/>
  <c r="DT30" i="9" l="1"/>
  <c r="DT31" i="9" s="1"/>
  <c r="DT47" i="9" s="1"/>
  <c r="DV109" i="3" a="1"/>
  <c r="DV109" i="3" s="1"/>
  <c r="DV111" i="3" s="1"/>
  <c r="DV112" i="3" s="1"/>
  <c r="DS55" i="9"/>
  <c r="DS56" i="9" s="1"/>
  <c r="DV25" i="3" s="1" a="1"/>
  <c r="DV25" i="3" s="1"/>
  <c r="CK47" i="3"/>
  <c r="DU30" i="9" l="1"/>
  <c r="DU31" i="9" s="1"/>
  <c r="DT55" i="9"/>
  <c r="DT56" i="9" s="1"/>
  <c r="DW25" i="3" s="1" a="1"/>
  <c r="DW25" i="3" s="1"/>
  <c r="DW109" i="3" a="1"/>
  <c r="DW109" i="3" s="1"/>
  <c r="DW111" i="3" s="1"/>
  <c r="DW112" i="3" s="1"/>
  <c r="CL47" i="3"/>
  <c r="DV30" i="9" l="1"/>
  <c r="DV31" i="9" s="1"/>
  <c r="DU47" i="9"/>
  <c r="DU55" i="9"/>
  <c r="DU56" i="9" s="1"/>
  <c r="DX25" i="3" s="1" a="1"/>
  <c r="DX25" i="3" s="1"/>
  <c r="DX109" i="3" a="1"/>
  <c r="DX109" i="3" s="1"/>
  <c r="DX111" i="3" s="1"/>
  <c r="DX112" i="3" s="1"/>
  <c r="CM47" i="3"/>
  <c r="DW30" i="9" l="1"/>
  <c r="DW31" i="9" s="1"/>
  <c r="DV47" i="9"/>
  <c r="DV55" i="9"/>
  <c r="DV56" i="9" s="1"/>
  <c r="DY25" i="3" s="1" a="1"/>
  <c r="DY25" i="3" s="1"/>
  <c r="DY109" i="3" a="1"/>
  <c r="DY109" i="3" s="1"/>
  <c r="DY111" i="3" s="1"/>
  <c r="DY112" i="3" s="1"/>
  <c r="CN47" i="3"/>
  <c r="DX30" i="9" l="1"/>
  <c r="DX31" i="9" s="1"/>
  <c r="DX47" i="9" s="1"/>
  <c r="DW47" i="9"/>
  <c r="DW55" i="9"/>
  <c r="DW56" i="9" s="1"/>
  <c r="DZ25" i="3" s="1" a="1"/>
  <c r="DZ25" i="3" s="1"/>
  <c r="DZ109" i="3" a="1"/>
  <c r="DZ109" i="3" s="1"/>
  <c r="DZ111" i="3" s="1"/>
  <c r="DZ112" i="3" s="1"/>
  <c r="CO47" i="3"/>
  <c r="DY30" i="9" l="1"/>
  <c r="DY31" i="9" s="1"/>
  <c r="DY55" i="9" s="1"/>
  <c r="DY56" i="9" s="1"/>
  <c r="EB25" i="3" s="1" a="1"/>
  <c r="EB25" i="3" s="1"/>
  <c r="EA109" i="3" a="1"/>
  <c r="EA109" i="3" s="1"/>
  <c r="EA111" i="3" s="1"/>
  <c r="EA112" i="3" s="1"/>
  <c r="DX55" i="9"/>
  <c r="DX56" i="9" s="1"/>
  <c r="EA25" i="3" s="1" a="1"/>
  <c r="EA25" i="3" s="1"/>
  <c r="CP47" i="3"/>
  <c r="DZ30" i="9" l="1"/>
  <c r="DZ31" i="9" s="1"/>
  <c r="DZ47" i="9" s="1"/>
  <c r="DY47" i="9"/>
  <c r="EB109" i="3" a="1"/>
  <c r="EB109" i="3" s="1"/>
  <c r="EB111" i="3" s="1"/>
  <c r="EB112" i="3" s="1"/>
  <c r="CQ47" i="3"/>
  <c r="EA30" i="9" l="1"/>
  <c r="EA31" i="9" s="1"/>
  <c r="EA55" i="9" s="1"/>
  <c r="EA56" i="9" s="1"/>
  <c r="ED25" i="3" s="1" a="1"/>
  <c r="ED25" i="3" s="1"/>
  <c r="EC109" i="3" a="1"/>
  <c r="EC109" i="3" s="1"/>
  <c r="EC111" i="3" s="1"/>
  <c r="EC112" i="3" s="1"/>
  <c r="DZ55" i="9"/>
  <c r="DZ56" i="9" s="1"/>
  <c r="EC25" i="3" s="1" a="1"/>
  <c r="EC25" i="3" s="1"/>
  <c r="CR47" i="3"/>
  <c r="EB30" i="9" l="1"/>
  <c r="EB31" i="9" s="1"/>
  <c r="ED109" i="3" a="1"/>
  <c r="ED109" i="3" s="1"/>
  <c r="ED111" i="3" s="1"/>
  <c r="ED112" i="3" s="1"/>
  <c r="EA47" i="9"/>
  <c r="CS47" i="3"/>
  <c r="EC30" i="9" l="1"/>
  <c r="EC31" i="9" s="1"/>
  <c r="EC47" i="9" s="1"/>
  <c r="EB47" i="9"/>
  <c r="EB55" i="9"/>
  <c r="EB56" i="9" s="1"/>
  <c r="EE25" i="3" s="1" a="1"/>
  <c r="EE25" i="3" s="1"/>
  <c r="EE109" i="3" a="1"/>
  <c r="EE109" i="3" s="1"/>
  <c r="EE111" i="3" s="1"/>
  <c r="EE112" i="3" s="1"/>
  <c r="CT47" i="3"/>
  <c r="ED30" i="9" l="1"/>
  <c r="ED31" i="9" s="1"/>
  <c r="EC55" i="9"/>
  <c r="EC56" i="9" s="1"/>
  <c r="EF25" i="3" s="1" a="1"/>
  <c r="EF25" i="3" s="1"/>
  <c r="EF109" i="3" a="1"/>
  <c r="EF109" i="3" s="1"/>
  <c r="EF111" i="3" s="1"/>
  <c r="EF112" i="3" s="1"/>
  <c r="CU47" i="3"/>
  <c r="EE30" i="9" l="1"/>
  <c r="EE31" i="9" s="1"/>
  <c r="EE47" i="9" s="1"/>
  <c r="ED55" i="9"/>
  <c r="ED56" i="9" s="1"/>
  <c r="EG25" i="3" s="1" a="1"/>
  <c r="EG25" i="3" s="1"/>
  <c r="ED47" i="9"/>
  <c r="EG109" i="3" a="1"/>
  <c r="EG109" i="3" s="1"/>
  <c r="EG111" i="3" s="1"/>
  <c r="EG112" i="3" s="1"/>
  <c r="CV47" i="3"/>
  <c r="EF30" i="9" l="1"/>
  <c r="EF31" i="9" s="1"/>
  <c r="EH109" i="3" a="1"/>
  <c r="EH109" i="3" s="1"/>
  <c r="EH111" i="3" s="1"/>
  <c r="EH112" i="3" s="1"/>
  <c r="EE55" i="9"/>
  <c r="EE56" i="9" s="1"/>
  <c r="EH25" i="3" s="1" a="1"/>
  <c r="EH25" i="3" s="1"/>
  <c r="I131" i="1"/>
  <c r="I21" i="30" l="1"/>
  <c r="EF55" i="9"/>
  <c r="EF56" i="9" s="1"/>
  <c r="EI25" i="3" s="1" a="1"/>
  <c r="EI25" i="3" s="1"/>
  <c r="EF47" i="9"/>
  <c r="EI109" i="3" a="1"/>
  <c r="EI109" i="3" s="1"/>
  <c r="EI111" i="3" s="1"/>
  <c r="EI112" i="3" s="1"/>
  <c r="J164" i="1"/>
  <c r="I164" i="1" l="1"/>
  <c r="J21" i="30" s="1"/>
  <c r="K21" i="30"/>
  <c r="L27" i="1"/>
  <c r="K29" i="1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F65" i="23" l="1"/>
  <c r="F69" i="23"/>
  <c r="F64" i="23"/>
  <c r="F68" i="23"/>
  <c r="F72" i="23"/>
  <c r="F63" i="23"/>
  <c r="F67" i="23"/>
  <c r="F71" i="23"/>
  <c r="F66" i="23"/>
  <c r="F70" i="23"/>
  <c r="BM41" i="3" l="1"/>
  <c r="BI41" i="3"/>
  <c r="BN41" i="3"/>
  <c r="BF41" i="3"/>
  <c r="BL41" i="3"/>
  <c r="BK41" i="3"/>
  <c r="BO41" i="3"/>
  <c r="BG41" i="3"/>
  <c r="BJ41" i="3"/>
  <c r="BH41" i="3"/>
  <c r="J162" i="1" l="1"/>
  <c r="I162" i="1" l="1"/>
  <c r="DB45" i="9" s="1"/>
  <c r="DB49" i="9" s="1"/>
  <c r="DB51" i="9" s="1"/>
  <c r="DB64" i="9" s="1"/>
  <c r="K19" i="30"/>
  <c r="CX45" i="9"/>
  <c r="CX49" i="9" s="1"/>
  <c r="CX51" i="9" s="1"/>
  <c r="CX64" i="9" s="1"/>
  <c r="DA45" i="9"/>
  <c r="DA49" i="9" s="1"/>
  <c r="DA51" i="9" s="1"/>
  <c r="DA64" i="9" s="1"/>
  <c r="DE45" i="9"/>
  <c r="DE49" i="9" s="1"/>
  <c r="DE51" i="9" s="1"/>
  <c r="DE64" i="9" s="1"/>
  <c r="DF45" i="9"/>
  <c r="DF49" i="9" s="1"/>
  <c r="DF51" i="9" s="1"/>
  <c r="DF64" i="9" s="1"/>
  <c r="DG45" i="9"/>
  <c r="DG49" i="9" s="1"/>
  <c r="DG51" i="9" s="1"/>
  <c r="DG64" i="9" s="1"/>
  <c r="DH45" i="9"/>
  <c r="DH49" i="9" s="1"/>
  <c r="DH51" i="9" s="1"/>
  <c r="DH64" i="9" s="1"/>
  <c r="DI45" i="9"/>
  <c r="DI49" i="9" s="1"/>
  <c r="DI51" i="9" s="1"/>
  <c r="DI64" i="9" s="1"/>
  <c r="DK45" i="9"/>
  <c r="DK49" i="9" s="1"/>
  <c r="DK51" i="9" s="1"/>
  <c r="DK64" i="9" s="1"/>
  <c r="DM45" i="9"/>
  <c r="DM49" i="9" s="1"/>
  <c r="DM51" i="9" s="1"/>
  <c r="DM64" i="9" s="1"/>
  <c r="DN45" i="9"/>
  <c r="DN49" i="9" s="1"/>
  <c r="DN51" i="9" s="1"/>
  <c r="DN64" i="9" s="1"/>
  <c r="DO45" i="9"/>
  <c r="DO49" i="9" s="1"/>
  <c r="DO51" i="9" s="1"/>
  <c r="DO64" i="9" s="1"/>
  <c r="DP45" i="9"/>
  <c r="DP49" i="9" s="1"/>
  <c r="DP51" i="9" s="1"/>
  <c r="DP64" i="9" s="1"/>
  <c r="DQ45" i="9"/>
  <c r="DQ49" i="9" s="1"/>
  <c r="DQ51" i="9" s="1"/>
  <c r="DQ64" i="9" s="1"/>
  <c r="DR45" i="9"/>
  <c r="DR49" i="9" s="1"/>
  <c r="DR51" i="9" s="1"/>
  <c r="DR64" i="9" s="1"/>
  <c r="DS45" i="9"/>
  <c r="DS49" i="9" s="1"/>
  <c r="DS51" i="9" s="1"/>
  <c r="DS64" i="9" s="1"/>
  <c r="DU45" i="9"/>
  <c r="DU49" i="9" s="1"/>
  <c r="DU51" i="9" s="1"/>
  <c r="DU64" i="9" s="1"/>
  <c r="DV45" i="9"/>
  <c r="DV49" i="9" s="1"/>
  <c r="DV51" i="9" s="1"/>
  <c r="DV64" i="9" s="1"/>
  <c r="DW45" i="9"/>
  <c r="DW49" i="9" s="1"/>
  <c r="DW51" i="9" s="1"/>
  <c r="DW64" i="9" s="1"/>
  <c r="DX45" i="9"/>
  <c r="DX49" i="9" s="1"/>
  <c r="DX51" i="9" s="1"/>
  <c r="DX64" i="9" s="1"/>
  <c r="DY45" i="9"/>
  <c r="DY49" i="9" s="1"/>
  <c r="DY51" i="9" s="1"/>
  <c r="DY64" i="9" s="1"/>
  <c r="DZ45" i="9"/>
  <c r="DZ49" i="9" s="1"/>
  <c r="DZ51" i="9" s="1"/>
  <c r="DZ64" i="9" s="1"/>
  <c r="EA45" i="9"/>
  <c r="EA49" i="9" s="1"/>
  <c r="EA51" i="9" s="1"/>
  <c r="EA64" i="9" s="1"/>
  <c r="EC45" i="9"/>
  <c r="EC49" i="9" s="1"/>
  <c r="EC51" i="9" s="1"/>
  <c r="EC64" i="9" s="1"/>
  <c r="ED45" i="9"/>
  <c r="ED49" i="9" s="1"/>
  <c r="ED51" i="9" s="1"/>
  <c r="ED64" i="9" s="1"/>
  <c r="EE45" i="9"/>
  <c r="EE49" i="9" s="1"/>
  <c r="EE51" i="9" s="1"/>
  <c r="EE64" i="9" s="1"/>
  <c r="EF45" i="9"/>
  <c r="EF49" i="9" s="1"/>
  <c r="EF51" i="9" s="1"/>
  <c r="CK45" i="9"/>
  <c r="CK49" i="9" s="1"/>
  <c r="CK51" i="9" s="1"/>
  <c r="CT45" i="9"/>
  <c r="CT49" i="9" s="1"/>
  <c r="CT51" i="9" s="1"/>
  <c r="CT64" i="9" s="1"/>
  <c r="CS45" i="9"/>
  <c r="CS49" i="9" s="1"/>
  <c r="CS51" i="9" s="1"/>
  <c r="CJ45" i="9"/>
  <c r="CJ49" i="9" s="1"/>
  <c r="CJ51" i="9" s="1"/>
  <c r="CA45" i="9"/>
  <c r="CA49" i="9" s="1"/>
  <c r="CA51" i="9" s="1"/>
  <c r="CH45" i="9"/>
  <c r="CH49" i="9" s="1"/>
  <c r="CH51" i="9" s="1"/>
  <c r="CH64" i="9" s="1"/>
  <c r="CI45" i="9"/>
  <c r="CI49" i="9" s="1"/>
  <c r="CI51" i="9" s="1"/>
  <c r="CB45" i="9"/>
  <c r="CB49" i="9" s="1"/>
  <c r="CB51" i="9" s="1"/>
  <c r="CR45" i="9"/>
  <c r="CR49" i="9" s="1"/>
  <c r="CR51" i="9" s="1"/>
  <c r="BZ45" i="9"/>
  <c r="BZ49" i="9" s="1"/>
  <c r="BZ51" i="9" s="1"/>
  <c r="BZ64" i="9" s="1"/>
  <c r="CQ45" i="9"/>
  <c r="CQ49" i="9" s="1"/>
  <c r="CQ51" i="9" s="1"/>
  <c r="CQ64" i="9" s="1"/>
  <c r="BR45" i="9"/>
  <c r="BR49" i="9" s="1"/>
  <c r="BR51" i="9" s="1"/>
  <c r="BR64" i="9" s="1"/>
  <c r="BO45" i="9"/>
  <c r="BO49" i="9" s="1"/>
  <c r="BO51" i="9" s="1"/>
  <c r="BP45" i="9"/>
  <c r="BP49" i="9" s="1"/>
  <c r="BP51" i="9" s="1"/>
  <c r="BG45" i="9"/>
  <c r="BG49" i="9" s="1"/>
  <c r="BG51" i="9" s="1"/>
  <c r="BF45" i="9"/>
  <c r="BF49" i="9" s="1"/>
  <c r="BF51" i="9" s="1"/>
  <c r="BF64" i="9" s="1"/>
  <c r="BE45" i="9"/>
  <c r="BE49" i="9" s="1"/>
  <c r="BE51" i="9" s="1"/>
  <c r="BE64" i="9" s="1"/>
  <c r="BN45" i="9"/>
  <c r="BN49" i="9" s="1"/>
  <c r="BN51" i="9" s="1"/>
  <c r="BN64" i="9" s="1"/>
  <c r="BD45" i="9"/>
  <c r="BD49" i="9" s="1"/>
  <c r="BD51" i="9" s="1"/>
  <c r="CP45" i="9"/>
  <c r="CP49" i="9" s="1"/>
  <c r="CP51" i="9" s="1"/>
  <c r="CP64" i="9" s="1"/>
  <c r="BB45" i="9"/>
  <c r="BB49" i="9" s="1"/>
  <c r="BB51" i="9" s="1"/>
  <c r="BB64" i="9" s="1"/>
  <c r="BX45" i="9"/>
  <c r="BX49" i="9" s="1"/>
  <c r="BX51" i="9" s="1"/>
  <c r="CF45" i="9"/>
  <c r="CF49" i="9" s="1"/>
  <c r="CF51" i="9" s="1"/>
  <c r="CN45" i="9"/>
  <c r="CN49" i="9" s="1"/>
  <c r="CN51" i="9" s="1"/>
  <c r="CE45" i="9"/>
  <c r="CE49" i="9" s="1"/>
  <c r="CE51" i="9" s="1"/>
  <c r="BV45" i="9"/>
  <c r="BV49" i="9" s="1"/>
  <c r="BV51" i="9" s="1"/>
  <c r="BV64" i="9" s="1"/>
  <c r="BL45" i="9"/>
  <c r="BL49" i="9" s="1"/>
  <c r="BL51" i="9" s="1"/>
  <c r="AZ45" i="9"/>
  <c r="AZ49" i="9" s="1"/>
  <c r="AZ51" i="9" s="1"/>
  <c r="BW45" i="9"/>
  <c r="BW49" i="9" s="1"/>
  <c r="BW51" i="9" s="1"/>
  <c r="CV45" i="9"/>
  <c r="CV49" i="9" s="1"/>
  <c r="CV51" i="9" s="1"/>
  <c r="CV64" i="9" s="1"/>
  <c r="CM45" i="9"/>
  <c r="CM49" i="9" s="1"/>
  <c r="CM51" i="9" s="1"/>
  <c r="CD45" i="9"/>
  <c r="CD49" i="9" s="1"/>
  <c r="CD51" i="9" s="1"/>
  <c r="CD64" i="9" s="1"/>
  <c r="BU45" i="9"/>
  <c r="BU49" i="9" s="1"/>
  <c r="BU51" i="9" s="1"/>
  <c r="BU64" i="9" s="1"/>
  <c r="BJ45" i="9"/>
  <c r="BJ49" i="9" s="1"/>
  <c r="BJ51" i="9" s="1"/>
  <c r="BJ64" i="9" s="1"/>
  <c r="AY45" i="9"/>
  <c r="AY49" i="9" s="1"/>
  <c r="AY51" i="9" s="1"/>
  <c r="BM45" i="9"/>
  <c r="BM49" i="9" s="1"/>
  <c r="BM51" i="9" s="1"/>
  <c r="CU45" i="9"/>
  <c r="CU49" i="9" s="1"/>
  <c r="CU51" i="9" s="1"/>
  <c r="CU64" i="9" s="1"/>
  <c r="CL45" i="9"/>
  <c r="CL49" i="9" s="1"/>
  <c r="CL51" i="9" s="1"/>
  <c r="CL64" i="9" s="1"/>
  <c r="CC45" i="9"/>
  <c r="CC49" i="9" s="1"/>
  <c r="CC51" i="9" s="1"/>
  <c r="CC64" i="9" s="1"/>
  <c r="BT45" i="9"/>
  <c r="BT49" i="9" s="1"/>
  <c r="BT51" i="9" s="1"/>
  <c r="BH45" i="9"/>
  <c r="BH49" i="9" s="1"/>
  <c r="BH51" i="9" s="1"/>
  <c r="AX45" i="9"/>
  <c r="AX49" i="9" s="1"/>
  <c r="AX51" i="9" s="1"/>
  <c r="AX64" i="9" s="1"/>
  <c r="AV45" i="9"/>
  <c r="AV49" i="9" s="1"/>
  <c r="AV51" i="9" s="1"/>
  <c r="AW45" i="9"/>
  <c r="AW49" i="9" s="1"/>
  <c r="AW51" i="9" s="1"/>
  <c r="AT45" i="9"/>
  <c r="AT49" i="9" s="1"/>
  <c r="AT51" i="9" s="1"/>
  <c r="AT64" i="9" s="1"/>
  <c r="AR45" i="9"/>
  <c r="AR49" i="9" s="1"/>
  <c r="AR51" i="9" s="1"/>
  <c r="AQ45" i="9"/>
  <c r="AQ49" i="9" s="1"/>
  <c r="AQ51" i="9" s="1"/>
  <c r="AP45" i="9"/>
  <c r="AP49" i="9" s="1"/>
  <c r="AP51" i="9" s="1"/>
  <c r="AP64" i="9" s="1"/>
  <c r="AO45" i="9"/>
  <c r="AL45" i="9"/>
  <c r="AL49" i="9" s="1"/>
  <c r="AL51" i="9" s="1"/>
  <c r="AL64" i="9" s="1"/>
  <c r="AJ45" i="9"/>
  <c r="AJ49" i="9" s="1"/>
  <c r="AJ51" i="9" s="1"/>
  <c r="AI45" i="9"/>
  <c r="AI49" i="9" s="1"/>
  <c r="AI51" i="9" s="1"/>
  <c r="AF45" i="9"/>
  <c r="AF49" i="9" s="1"/>
  <c r="AF51" i="9" s="1"/>
  <c r="AE45" i="9"/>
  <c r="AE49" i="9" s="1"/>
  <c r="AE51" i="9" s="1"/>
  <c r="AN45" i="9"/>
  <c r="AN49" i="9" s="1"/>
  <c r="AN51" i="9" s="1"/>
  <c r="AD45" i="9"/>
  <c r="AD49" i="9" s="1"/>
  <c r="AD51" i="9" s="1"/>
  <c r="AD64" i="9" s="1"/>
  <c r="BS45" i="9"/>
  <c r="BS49" i="9" s="1"/>
  <c r="BS51" i="9" s="1"/>
  <c r="BK45" i="9"/>
  <c r="BK49" i="9" s="1"/>
  <c r="BK51" i="9" s="1"/>
  <c r="BC45" i="9"/>
  <c r="BC49" i="9" s="1"/>
  <c r="BC51" i="9" s="1"/>
  <c r="AU45" i="9"/>
  <c r="AU49" i="9" s="1"/>
  <c r="AU51" i="9" s="1"/>
  <c r="AM45" i="9"/>
  <c r="AM49" i="9" s="1"/>
  <c r="AM51" i="9" s="1"/>
  <c r="AC45" i="9"/>
  <c r="AA45" i="9"/>
  <c r="AA49" i="9" s="1"/>
  <c r="AA51" i="9" s="1"/>
  <c r="CO45" i="9"/>
  <c r="CO49" i="9" s="1"/>
  <c r="CO51" i="9" s="1"/>
  <c r="CG45" i="9"/>
  <c r="CG49" i="9" s="1"/>
  <c r="CG51" i="9" s="1"/>
  <c r="CG64" i="9" s="1"/>
  <c r="BY45" i="9"/>
  <c r="BY49" i="9" s="1"/>
  <c r="BY51" i="9" s="1"/>
  <c r="BY64" i="9" s="1"/>
  <c r="BQ45" i="9"/>
  <c r="BQ49" i="9" s="1"/>
  <c r="BQ51" i="9" s="1"/>
  <c r="BQ64" i="9" s="1"/>
  <c r="BI45" i="9"/>
  <c r="BI49" i="9" s="1"/>
  <c r="BI51" i="9" s="1"/>
  <c r="BA45" i="9"/>
  <c r="AS45" i="9"/>
  <c r="AS49" i="9" s="1"/>
  <c r="AS51" i="9" s="1"/>
  <c r="AK45" i="9"/>
  <c r="AK49" i="9" s="1"/>
  <c r="AK51" i="9" s="1"/>
  <c r="AK64" i="9" s="1"/>
  <c r="V45" i="9"/>
  <c r="V49" i="9" s="1"/>
  <c r="V51" i="9" s="1"/>
  <c r="V64" i="9" s="1"/>
  <c r="AB45" i="9"/>
  <c r="AB49" i="9" s="1"/>
  <c r="AB51" i="9" s="1"/>
  <c r="X45" i="9"/>
  <c r="X49" i="9" s="1"/>
  <c r="X51" i="9" s="1"/>
  <c r="X64" i="9" s="1"/>
  <c r="W45" i="9"/>
  <c r="W49" i="9" s="1"/>
  <c r="W51" i="9" s="1"/>
  <c r="T45" i="9"/>
  <c r="T49" i="9" s="1"/>
  <c r="T51" i="9" s="1"/>
  <c r="U45" i="9"/>
  <c r="U49" i="9" s="1"/>
  <c r="U51" i="9" s="1"/>
  <c r="O45" i="9"/>
  <c r="O49" i="9" s="1"/>
  <c r="O51" i="9" s="1"/>
  <c r="N45" i="9"/>
  <c r="N49" i="9" s="1"/>
  <c r="N51" i="9" s="1"/>
  <c r="N64" i="9" s="1"/>
  <c r="P45" i="9"/>
  <c r="P49" i="9" s="1"/>
  <c r="P51" i="9" s="1"/>
  <c r="M45" i="9"/>
  <c r="M49" i="9" s="1"/>
  <c r="M51" i="9" s="1"/>
  <c r="M64" i="9" s="1"/>
  <c r="L45" i="9"/>
  <c r="L49" i="9" s="1"/>
  <c r="L51" i="9" s="1"/>
  <c r="L64" i="9" s="1"/>
  <c r="S45" i="9"/>
  <c r="S49" i="9" s="1"/>
  <c r="S51" i="9" s="1"/>
  <c r="K45" i="9"/>
  <c r="K49" i="9" s="1"/>
  <c r="K51" i="9" s="1"/>
  <c r="AH45" i="9"/>
  <c r="AH49" i="9" s="1"/>
  <c r="AH51" i="9" s="1"/>
  <c r="AH64" i="9" s="1"/>
  <c r="Z45" i="9"/>
  <c r="Z49" i="9" s="1"/>
  <c r="Z51" i="9" s="1"/>
  <c r="Z64" i="9" s="1"/>
  <c r="R45" i="9"/>
  <c r="R49" i="9" s="1"/>
  <c r="R51" i="9" s="1"/>
  <c r="R64" i="9" s="1"/>
  <c r="J45" i="9"/>
  <c r="J49" i="9" s="1"/>
  <c r="J51" i="9" s="1"/>
  <c r="J64" i="9" s="1"/>
  <c r="AG45" i="9"/>
  <c r="AG49" i="9" s="1"/>
  <c r="AG51" i="9" s="1"/>
  <c r="Y45" i="9"/>
  <c r="Y49" i="9" s="1"/>
  <c r="Y51" i="9" s="1"/>
  <c r="Y64" i="9" s="1"/>
  <c r="Q45" i="9"/>
  <c r="I45" i="9"/>
  <c r="I49" i="9" s="1"/>
  <c r="I51" i="9" s="1"/>
  <c r="H45" i="9"/>
  <c r="H49" i="9" s="1"/>
  <c r="H51" i="9" s="1"/>
  <c r="H64" i="9" s="1"/>
  <c r="G45" i="9"/>
  <c r="G49" i="9" s="1"/>
  <c r="G51" i="9" s="1"/>
  <c r="G64" i="9" s="1"/>
  <c r="F45" i="9"/>
  <c r="F49" i="9" s="1"/>
  <c r="F51" i="9" s="1"/>
  <c r="F64" i="9" s="1"/>
  <c r="E45" i="9"/>
  <c r="J166" i="1"/>
  <c r="N24" i="3" l="1" a="1"/>
  <c r="N24" i="3" s="1"/>
  <c r="N26" i="3" s="1"/>
  <c r="N28" i="3" s="1"/>
  <c r="K64" i="9"/>
  <c r="W24" i="3" a="1"/>
  <c r="W24" i="3" s="1"/>
  <c r="W26" i="3" s="1"/>
  <c r="W28" i="3" s="1"/>
  <c r="T64" i="9"/>
  <c r="BL24" i="3" a="1"/>
  <c r="BL24" i="3" s="1"/>
  <c r="BL26" i="3" s="1"/>
  <c r="BI64" i="9"/>
  <c r="AX24" i="3" a="1"/>
  <c r="AX24" i="3" s="1"/>
  <c r="AX26" i="3" s="1"/>
  <c r="AX28" i="3" s="1"/>
  <c r="AU64" i="9"/>
  <c r="AL24" i="3" a="1"/>
  <c r="AL24" i="3" s="1"/>
  <c r="AL26" i="3" s="1"/>
  <c r="AL28" i="3" s="1"/>
  <c r="AI64" i="9"/>
  <c r="AZ24" i="3" a="1"/>
  <c r="AZ24" i="3" s="1"/>
  <c r="AZ26" i="3" s="1"/>
  <c r="AW64" i="9"/>
  <c r="BP24" i="3" a="1"/>
  <c r="BP24" i="3" s="1"/>
  <c r="BP26" i="3" s="1"/>
  <c r="BM64" i="9"/>
  <c r="BC24" i="3" a="1"/>
  <c r="BC24" i="3" s="1"/>
  <c r="BC26" i="3" s="1"/>
  <c r="BC28" i="3" s="1"/>
  <c r="AZ64" i="9"/>
  <c r="CM24" i="3" a="1"/>
  <c r="CM24" i="3" s="1"/>
  <c r="CM26" i="3" s="1"/>
  <c r="CJ64" i="9"/>
  <c r="L24" i="3" a="1"/>
  <c r="L24" i="3" s="1"/>
  <c r="L26" i="3" s="1"/>
  <c r="I64" i="9"/>
  <c r="AY24" i="3" a="1"/>
  <c r="AY24" i="3" s="1"/>
  <c r="AY26" i="3" s="1"/>
  <c r="AY28" i="3" s="1"/>
  <c r="AV64" i="9"/>
  <c r="BG24" i="3" a="1"/>
  <c r="BG24" i="3" s="1"/>
  <c r="BG26" i="3" s="1"/>
  <c r="BG28" i="3" s="1"/>
  <c r="BD64" i="9"/>
  <c r="BN24" i="3" a="1"/>
  <c r="BN24" i="3" s="1"/>
  <c r="BN26" i="3" s="1"/>
  <c r="BN28" i="3" s="1"/>
  <c r="BK64" i="9"/>
  <c r="AJ24" i="3" a="1"/>
  <c r="AJ24" i="3" s="1"/>
  <c r="AJ26" i="3" s="1"/>
  <c r="AG64" i="9"/>
  <c r="AE24" i="3" a="1"/>
  <c r="AE24" i="3" s="1"/>
  <c r="AE26" i="3" s="1"/>
  <c r="AE28" i="3" s="1"/>
  <c r="AB64" i="9"/>
  <c r="BV24" i="3" a="1"/>
  <c r="BV24" i="3" s="1"/>
  <c r="BV26" i="3" s="1"/>
  <c r="BS64" i="9"/>
  <c r="BK24" i="3" a="1"/>
  <c r="BK24" i="3" s="1"/>
  <c r="BK26" i="3" s="1"/>
  <c r="BK28" i="3" s="1"/>
  <c r="BH64" i="9"/>
  <c r="CH24" i="3" a="1"/>
  <c r="CH24" i="3" s="1"/>
  <c r="CH26" i="3" s="1"/>
  <c r="CE64" i="9"/>
  <c r="CU24" i="3" a="1"/>
  <c r="CU24" i="3" s="1"/>
  <c r="CU26" i="3" s="1"/>
  <c r="CR64" i="9"/>
  <c r="CN24" i="3" a="1"/>
  <c r="CN24" i="3" s="1"/>
  <c r="CN26" i="3" s="1"/>
  <c r="CK64" i="9"/>
  <c r="Z24" i="3" a="1"/>
  <c r="Z24" i="3" s="1"/>
  <c r="Z26" i="3" s="1"/>
  <c r="Z28" i="3" s="1"/>
  <c r="W64" i="9"/>
  <c r="BO24" i="3" a="1"/>
  <c r="BO24" i="3" s="1"/>
  <c r="BO26" i="3" s="1"/>
  <c r="BL64" i="9"/>
  <c r="S24" i="3" a="1"/>
  <c r="S24" i="3" s="1"/>
  <c r="S26" i="3" s="1"/>
  <c r="S28" i="3" s="1"/>
  <c r="P64" i="9"/>
  <c r="CR24" i="3" a="1"/>
  <c r="CR24" i="3" s="1"/>
  <c r="CR26" i="3" s="1"/>
  <c r="CO64" i="9"/>
  <c r="BW24" i="3" a="1"/>
  <c r="BW24" i="3" s="1"/>
  <c r="BW26" i="3" s="1"/>
  <c r="BT64" i="9"/>
  <c r="CQ24" i="3" a="1"/>
  <c r="CQ24" i="3" s="1"/>
  <c r="CQ26" i="3" s="1"/>
  <c r="CN64" i="9"/>
  <c r="CE24" i="3" a="1"/>
  <c r="CE24" i="3" s="1"/>
  <c r="CE26" i="3" s="1"/>
  <c r="CB64" i="9"/>
  <c r="EE52" i="9"/>
  <c r="EF64" i="9"/>
  <c r="EE65" i="9" s="1"/>
  <c r="V24" i="3" a="1"/>
  <c r="V24" i="3" s="1"/>
  <c r="V26" i="3" s="1"/>
  <c r="V28" i="3" s="1"/>
  <c r="S64" i="9"/>
  <c r="BB24" i="3" a="1"/>
  <c r="BB24" i="3" s="1"/>
  <c r="BB26" i="3" s="1"/>
  <c r="BB28" i="3" s="1"/>
  <c r="AY64" i="9"/>
  <c r="AD24" i="3" a="1"/>
  <c r="AD24" i="3" s="1"/>
  <c r="AD26" i="3" s="1"/>
  <c r="AD28" i="3" s="1"/>
  <c r="AA64" i="9"/>
  <c r="AQ24" i="3" a="1"/>
  <c r="AQ24" i="3" s="1"/>
  <c r="AQ26" i="3" s="1"/>
  <c r="AQ28" i="3" s="1"/>
  <c r="AN64" i="9"/>
  <c r="AT24" i="3" a="1"/>
  <c r="AT24" i="3" s="1"/>
  <c r="AT26" i="3" s="1"/>
  <c r="AT28" i="3" s="1"/>
  <c r="AQ64" i="9"/>
  <c r="CP24" i="3" a="1"/>
  <c r="CP24" i="3" s="1"/>
  <c r="CP26" i="3" s="1"/>
  <c r="CM64" i="9"/>
  <c r="CI24" i="3" a="1"/>
  <c r="CI24" i="3" s="1"/>
  <c r="CI26" i="3" s="1"/>
  <c r="CF64" i="9"/>
  <c r="BJ24" i="3" a="1"/>
  <c r="BJ24" i="3" s="1"/>
  <c r="BJ26" i="3" s="1"/>
  <c r="BJ28" i="3" s="1"/>
  <c r="BG64" i="9"/>
  <c r="CL24" i="3" a="1"/>
  <c r="CL24" i="3" s="1"/>
  <c r="CL26" i="3" s="1"/>
  <c r="CI64" i="9"/>
  <c r="AM24" i="3" a="1"/>
  <c r="AM24" i="3" s="1"/>
  <c r="AM26" i="3" s="1"/>
  <c r="AM28" i="3" s="1"/>
  <c r="AJ64" i="9"/>
  <c r="R24" i="3" a="1"/>
  <c r="R24" i="3" s="1"/>
  <c r="R26" i="3" s="1"/>
  <c r="R28" i="3" s="1"/>
  <c r="O64" i="9"/>
  <c r="AV24" i="3" a="1"/>
  <c r="AV24" i="3" s="1"/>
  <c r="AV26" i="3" s="1"/>
  <c r="AV28" i="3" s="1"/>
  <c r="AS64" i="9"/>
  <c r="AH24" i="3" a="1"/>
  <c r="AH24" i="3" s="1"/>
  <c r="AH26" i="3" s="1"/>
  <c r="AH28" i="3" s="1"/>
  <c r="AE64" i="9"/>
  <c r="AU24" i="3" a="1"/>
  <c r="AU24" i="3" s="1"/>
  <c r="AU26" i="3" s="1"/>
  <c r="AU28" i="3" s="1"/>
  <c r="AR64" i="9"/>
  <c r="CA24" i="3" a="1"/>
  <c r="CA24" i="3" s="1"/>
  <c r="CA26" i="3" s="1"/>
  <c r="BX64" i="9"/>
  <c r="BS24" i="3" a="1"/>
  <c r="BS24" i="3" s="1"/>
  <c r="BS26" i="3" s="1"/>
  <c r="BP64" i="9"/>
  <c r="BF24" i="3" a="1"/>
  <c r="BF24" i="3" s="1"/>
  <c r="BF26" i="3" s="1"/>
  <c r="BF28" i="3" s="1"/>
  <c r="BC64" i="9"/>
  <c r="CV24" i="3" a="1"/>
  <c r="CV24" i="3" s="1"/>
  <c r="CV26" i="3" s="1"/>
  <c r="CS64" i="9"/>
  <c r="X24" i="3" a="1"/>
  <c r="X24" i="3" s="1"/>
  <c r="X26" i="3" s="1"/>
  <c r="U64" i="9"/>
  <c r="AP24" i="3" a="1"/>
  <c r="AP24" i="3" s="1"/>
  <c r="AP26" i="3" s="1"/>
  <c r="AP28" i="3" s="1"/>
  <c r="AM64" i="9"/>
  <c r="AI24" i="3" a="1"/>
  <c r="AI24" i="3" s="1"/>
  <c r="AI26" i="3" s="1"/>
  <c r="AI28" i="3" s="1"/>
  <c r="AF64" i="9"/>
  <c r="BZ24" i="3" a="1"/>
  <c r="BZ24" i="3" s="1"/>
  <c r="BZ26" i="3" s="1"/>
  <c r="BW64" i="9"/>
  <c r="BR24" i="3" a="1"/>
  <c r="BR24" i="3" s="1"/>
  <c r="BR26" i="3" s="1"/>
  <c r="BO64" i="9"/>
  <c r="CD24" i="3" a="1"/>
  <c r="CD24" i="3" s="1"/>
  <c r="CD26" i="3" s="1"/>
  <c r="CA64" i="9"/>
  <c r="DJ45" i="9"/>
  <c r="DJ49" i="9" s="1"/>
  <c r="DJ51" i="9" s="1"/>
  <c r="DJ64" i="9" s="1"/>
  <c r="CZ45" i="9"/>
  <c r="CZ49" i="9" s="1"/>
  <c r="CZ51" i="9" s="1"/>
  <c r="CY45" i="9"/>
  <c r="CY49" i="9" s="1"/>
  <c r="CY51" i="9" s="1"/>
  <c r="CW45" i="9"/>
  <c r="CW49" i="9" s="1"/>
  <c r="CW51" i="9" s="1"/>
  <c r="CW64" i="9" s="1"/>
  <c r="EB45" i="9"/>
  <c r="EB49" i="9" s="1"/>
  <c r="EB51" i="9" s="1"/>
  <c r="DT45" i="9"/>
  <c r="DT49" i="9" s="1"/>
  <c r="DT51" i="9" s="1"/>
  <c r="DT64" i="9" s="1"/>
  <c r="DL45" i="9"/>
  <c r="DL49" i="9" s="1"/>
  <c r="DL51" i="9" s="1"/>
  <c r="DL64" i="9" s="1"/>
  <c r="DD45" i="9"/>
  <c r="DD49" i="9" s="1"/>
  <c r="DD51" i="9" s="1"/>
  <c r="I166" i="1"/>
  <c r="DC45" i="9"/>
  <c r="DC49" i="9" s="1"/>
  <c r="DC51" i="9" s="1"/>
  <c r="E49" i="9"/>
  <c r="G33" i="31" s="1"/>
  <c r="G29" i="31"/>
  <c r="AC49" i="9"/>
  <c r="AC51" i="9" s="1"/>
  <c r="AC64" i="9" s="1"/>
  <c r="I29" i="31"/>
  <c r="BA49" i="9"/>
  <c r="BA51" i="9" s="1"/>
  <c r="BA64" i="9" s="1"/>
  <c r="K29" i="31"/>
  <c r="Q49" i="9"/>
  <c r="Q51" i="9" s="1"/>
  <c r="Q64" i="9" s="1"/>
  <c r="H29" i="31"/>
  <c r="K23" i="30"/>
  <c r="AO49" i="9"/>
  <c r="AO51" i="9" s="1"/>
  <c r="AO64" i="9" s="1"/>
  <c r="J29" i="31"/>
  <c r="J19" i="30"/>
  <c r="BY24" i="3" a="1"/>
  <c r="BY24" i="3" s="1"/>
  <c r="BY26" i="3" s="1"/>
  <c r="EB52" i="9"/>
  <c r="DV24" i="3" a="1"/>
  <c r="DV24" i="3" s="1"/>
  <c r="DV26" i="3" s="1"/>
  <c r="DN24" i="3" a="1"/>
  <c r="DN24" i="3" s="1"/>
  <c r="DN26" i="3" s="1"/>
  <c r="DU24" i="3" a="1"/>
  <c r="DU24" i="3" s="1"/>
  <c r="DU26" i="3" s="1"/>
  <c r="DE24" i="3" a="1"/>
  <c r="DE24" i="3" s="1"/>
  <c r="DE26" i="3" s="1"/>
  <c r="DT24" i="3" a="1"/>
  <c r="DT24" i="3" s="1"/>
  <c r="DT26" i="3" s="1"/>
  <c r="DL24" i="3" a="1"/>
  <c r="DL24" i="3" s="1"/>
  <c r="DL26" i="3" s="1"/>
  <c r="DD24" i="3" a="1"/>
  <c r="DD24" i="3" s="1"/>
  <c r="DD26" i="3" s="1"/>
  <c r="DS24" i="3" a="1"/>
  <c r="DS24" i="3" s="1"/>
  <c r="DS26" i="3" s="1"/>
  <c r="DK24" i="3" a="1"/>
  <c r="DK24" i="3" s="1"/>
  <c r="DK26" i="3" s="1"/>
  <c r="ED52" i="9"/>
  <c r="DR24" i="3" a="1"/>
  <c r="DR24" i="3" s="1"/>
  <c r="DR26" i="3" s="1"/>
  <c r="DJ24" i="3" a="1"/>
  <c r="DJ24" i="3" s="1"/>
  <c r="DJ26" i="3" s="1"/>
  <c r="CY24" i="3" a="1"/>
  <c r="CY24" i="3" s="1"/>
  <c r="CY26" i="3" s="1"/>
  <c r="EC52" i="9"/>
  <c r="DQ24" i="3" a="1"/>
  <c r="DQ24" i="3" s="1"/>
  <c r="DQ26" i="3" s="1"/>
  <c r="DI24" i="3" a="1"/>
  <c r="DI24" i="3" s="1"/>
  <c r="DI26" i="3" s="1"/>
  <c r="DA24" i="3" a="1"/>
  <c r="DA24" i="3" s="1"/>
  <c r="DA26" i="3" s="1"/>
  <c r="CX24" i="3" a="1"/>
  <c r="CX24" i="3" s="1"/>
  <c r="CX26" i="3" s="1"/>
  <c r="DP24" i="3" a="1"/>
  <c r="DP24" i="3" s="1"/>
  <c r="DP26" i="3" s="1"/>
  <c r="DH24" i="3" a="1"/>
  <c r="DH24" i="3" s="1"/>
  <c r="DH26" i="3" s="1"/>
  <c r="ED24" i="3" a="1"/>
  <c r="ED24" i="3" s="1"/>
  <c r="ED26" i="3" s="1"/>
  <c r="CW24" i="3" a="1"/>
  <c r="CW24" i="3" s="1"/>
  <c r="CW26" i="3" s="1"/>
  <c r="EC24" i="3" a="1"/>
  <c r="EC24" i="3" s="1"/>
  <c r="EC26" i="3" s="1"/>
  <c r="EB24" i="3" a="1"/>
  <c r="EB24" i="3" s="1"/>
  <c r="EB26" i="3" s="1"/>
  <c r="EI24" i="3" a="1"/>
  <c r="EI24" i="3" s="1"/>
  <c r="EI26" i="3" s="1"/>
  <c r="EA24" i="3" a="1"/>
  <c r="EA24" i="3" s="1"/>
  <c r="EA26" i="3" s="1"/>
  <c r="BH24" i="3" a="1"/>
  <c r="BH24" i="3" s="1"/>
  <c r="BH26" i="3" s="1"/>
  <c r="BH28" i="3" s="1"/>
  <c r="EH24" i="3" a="1"/>
  <c r="EH24" i="3" s="1"/>
  <c r="EH26" i="3" s="1"/>
  <c r="DZ24" i="3" a="1"/>
  <c r="DZ24" i="3" s="1"/>
  <c r="DZ26" i="3" s="1"/>
  <c r="EG24" i="3" a="1"/>
  <c r="EG24" i="3" s="1"/>
  <c r="EG26" i="3" s="1"/>
  <c r="DY24" i="3" a="1"/>
  <c r="DY24" i="3" s="1"/>
  <c r="DY26" i="3" s="1"/>
  <c r="EF24" i="3" a="1"/>
  <c r="EF24" i="3" s="1"/>
  <c r="EF26" i="3" s="1"/>
  <c r="DX24" i="3" a="1"/>
  <c r="DX24" i="3" s="1"/>
  <c r="DX26" i="3" s="1"/>
  <c r="CT24" i="3" a="1"/>
  <c r="CT24" i="3" s="1"/>
  <c r="CT26" i="3" s="1"/>
  <c r="CS24" i="3" a="1"/>
  <c r="CS24" i="3" s="1"/>
  <c r="CS26" i="3" s="1"/>
  <c r="BA24" i="3" a="1"/>
  <c r="BA24" i="3" s="1"/>
  <c r="BA26" i="3" s="1"/>
  <c r="BA28" i="3" s="1"/>
  <c r="BM24" i="3" a="1"/>
  <c r="BM24" i="3" s="1"/>
  <c r="BM26" i="3" s="1"/>
  <c r="BM28" i="3" s="1"/>
  <c r="BQ24" i="3" a="1"/>
  <c r="BQ24" i="3" s="1"/>
  <c r="BQ26" i="3" s="1"/>
  <c r="BX24" i="3" a="1"/>
  <c r="BX24" i="3" s="1"/>
  <c r="BX26" i="3" s="1"/>
  <c r="BU24" i="3" a="1"/>
  <c r="BU24" i="3" s="1"/>
  <c r="BU26" i="3" s="1"/>
  <c r="O24" i="3" a="1"/>
  <c r="O24" i="3" s="1"/>
  <c r="O26" i="3" s="1"/>
  <c r="O28" i="3" s="1"/>
  <c r="CB24" i="3" a="1"/>
  <c r="CB24" i="3" s="1"/>
  <c r="CB26" i="3" s="1"/>
  <c r="AA24" i="3" a="1"/>
  <c r="AA24" i="3" s="1"/>
  <c r="AA26" i="3" s="1"/>
  <c r="AA28" i="3" s="1"/>
  <c r="AO24" i="3" a="1"/>
  <c r="AO24" i="3" s="1"/>
  <c r="AO26" i="3" s="1"/>
  <c r="AO28" i="3" s="1"/>
  <c r="CC24" i="3" a="1"/>
  <c r="CC24" i="3" s="1"/>
  <c r="CC26" i="3" s="1"/>
  <c r="CJ24" i="3" a="1"/>
  <c r="CJ24" i="3" s="1"/>
  <c r="CJ26" i="3" s="1"/>
  <c r="CG24" i="3" a="1"/>
  <c r="CG24" i="3" s="1"/>
  <c r="CG26" i="3" s="1"/>
  <c r="AW24" i="3" a="1"/>
  <c r="AW24" i="3" s="1"/>
  <c r="AW26" i="3" s="1"/>
  <c r="AW28" i="3" s="1"/>
  <c r="CK24" i="3" a="1"/>
  <c r="CK24" i="3" s="1"/>
  <c r="CK26" i="3" s="1"/>
  <c r="CO24" i="3" a="1"/>
  <c r="CO24" i="3" s="1"/>
  <c r="CO26" i="3" s="1"/>
  <c r="K24" i="3" a="1"/>
  <c r="K24" i="3" s="1"/>
  <c r="K26" i="3" s="1"/>
  <c r="K28" i="3" s="1"/>
  <c r="AN24" i="3" a="1"/>
  <c r="AN24" i="3" s="1"/>
  <c r="AN26" i="3" s="1"/>
  <c r="CF24" i="3" a="1"/>
  <c r="CF24" i="3" s="1"/>
  <c r="CF26" i="3" s="1"/>
  <c r="CD52" i="9"/>
  <c r="BI24" i="3" a="1"/>
  <c r="BI24" i="3" s="1"/>
  <c r="BI26" i="3" s="1"/>
  <c r="BI28" i="3" s="1"/>
  <c r="CG52" i="9"/>
  <c r="M24" i="3" a="1"/>
  <c r="M24" i="3" s="1"/>
  <c r="M26" i="3" s="1"/>
  <c r="M28" i="3" s="1"/>
  <c r="Y24" i="3" a="1"/>
  <c r="Y24" i="3" s="1"/>
  <c r="Y26" i="3" s="1"/>
  <c r="Y28" i="3" s="1"/>
  <c r="AG24" i="3" a="1"/>
  <c r="AG24" i="3" s="1"/>
  <c r="AG26" i="3" s="1"/>
  <c r="AG28" i="3" s="1"/>
  <c r="CA52" i="9"/>
  <c r="BC52" i="9"/>
  <c r="AS24" i="3" a="1"/>
  <c r="AS24" i="3" s="1"/>
  <c r="AS26" i="3" s="1"/>
  <c r="AS28" i="3" s="1"/>
  <c r="CB52" i="9"/>
  <c r="CC52" i="9"/>
  <c r="BZ52" i="9"/>
  <c r="BY52" i="9"/>
  <c r="BX52" i="9"/>
  <c r="BS52" i="9"/>
  <c r="BE24" i="3" a="1"/>
  <c r="BE24" i="3" s="1"/>
  <c r="BE26" i="3" s="1"/>
  <c r="BE28" i="3" s="1"/>
  <c r="BW52" i="9"/>
  <c r="BU52" i="9"/>
  <c r="BN52" i="9"/>
  <c r="BV52" i="9"/>
  <c r="BE52" i="9"/>
  <c r="CI52" i="9"/>
  <c r="BM52" i="9"/>
  <c r="BT52" i="9"/>
  <c r="BR52" i="9"/>
  <c r="BQ52" i="9"/>
  <c r="BF52" i="9"/>
  <c r="CF52" i="9"/>
  <c r="BH52" i="9"/>
  <c r="BD52" i="9"/>
  <c r="CH52" i="9"/>
  <c r="CE52" i="9"/>
  <c r="CJ52" i="9"/>
  <c r="BI52" i="9"/>
  <c r="BB52" i="9"/>
  <c r="BO52" i="9"/>
  <c r="BP52" i="9"/>
  <c r="BJ52" i="9"/>
  <c r="BT24" i="3" a="1"/>
  <c r="BT24" i="3" s="1"/>
  <c r="BT26" i="3" s="1"/>
  <c r="BL52" i="9"/>
  <c r="E176" i="1" s="1" a="1"/>
  <c r="E176" i="1" s="1"/>
  <c r="P26" i="32" s="1"/>
  <c r="BA52" i="9"/>
  <c r="BG52" i="9"/>
  <c r="BK52" i="9"/>
  <c r="P24" i="3" a="1"/>
  <c r="P24" i="3" s="1"/>
  <c r="P26" i="3" s="1"/>
  <c r="P28" i="3" s="1"/>
  <c r="Q24" i="3" a="1"/>
  <c r="Q24" i="3" s="1"/>
  <c r="Q26" i="3" s="1"/>
  <c r="Q28" i="3" s="1"/>
  <c r="AK24" i="3" a="1"/>
  <c r="AK24" i="3" s="1"/>
  <c r="AK26" i="3" s="1"/>
  <c r="AK28" i="3" s="1"/>
  <c r="U24" i="3" a="1"/>
  <c r="U24" i="3" s="1"/>
  <c r="U26" i="3" s="1"/>
  <c r="U28" i="3" s="1"/>
  <c r="J24" i="3" a="1"/>
  <c r="J24" i="3" s="1"/>
  <c r="J26" i="3" s="1"/>
  <c r="J28" i="3" s="1"/>
  <c r="AC24" i="3" a="1"/>
  <c r="AC24" i="3" s="1"/>
  <c r="AC26" i="3" s="1"/>
  <c r="AC28" i="3" s="1"/>
  <c r="I24" i="3" a="1"/>
  <c r="I24" i="3" s="1"/>
  <c r="I26" i="3" s="1"/>
  <c r="I28" i="3" s="1"/>
  <c r="AB24" i="3" a="1"/>
  <c r="AB24" i="3" s="1"/>
  <c r="AB26" i="3" s="1"/>
  <c r="AB28" i="3" s="1"/>
  <c r="X28" i="3"/>
  <c r="AZ28" i="3"/>
  <c r="L28" i="3"/>
  <c r="AJ28" i="3"/>
  <c r="BL28" i="3"/>
  <c r="CK65" i="9" l="1"/>
  <c r="CE65" i="9"/>
  <c r="CG65" i="9"/>
  <c r="AC65" i="9"/>
  <c r="BB65" i="9"/>
  <c r="EB65" i="9"/>
  <c r="ED65" i="9"/>
  <c r="EC65" i="9"/>
  <c r="AO65" i="9"/>
  <c r="DM24" i="3" a="1"/>
  <c r="DM24" i="3" s="1"/>
  <c r="DM26" i="3" s="1"/>
  <c r="AN65" i="9"/>
  <c r="BV65" i="9"/>
  <c r="AZ65" i="9"/>
  <c r="BX65" i="9"/>
  <c r="AJ65" i="9"/>
  <c r="P65" i="9"/>
  <c r="DG65" i="9"/>
  <c r="BW65" i="9"/>
  <c r="BF65" i="9"/>
  <c r="DJ65" i="9"/>
  <c r="AB65" i="9"/>
  <c r="BM65" i="9"/>
  <c r="AW65" i="9"/>
  <c r="BA65" i="9"/>
  <c r="BP65" i="9"/>
  <c r="BI65" i="9"/>
  <c r="AG65" i="9"/>
  <c r="N65" i="9"/>
  <c r="CA65" i="9"/>
  <c r="DF65" i="9"/>
  <c r="CJ65" i="9"/>
  <c r="BG65" i="9"/>
  <c r="AF65" i="9"/>
  <c r="AY65" i="9"/>
  <c r="AT65" i="9"/>
  <c r="DZ52" i="9"/>
  <c r="EB64" i="9"/>
  <c r="DP65" i="9" s="1"/>
  <c r="DL65" i="9"/>
  <c r="Z65" i="9"/>
  <c r="R65" i="9"/>
  <c r="BK65" i="9"/>
  <c r="BY65" i="9"/>
  <c r="BZ65" i="9"/>
  <c r="AS65" i="9"/>
  <c r="G65" i="9"/>
  <c r="AQ65" i="9"/>
  <c r="Y65" i="9"/>
  <c r="CL65" i="9"/>
  <c r="BE65" i="9"/>
  <c r="BR65" i="9"/>
  <c r="W65" i="9"/>
  <c r="X65" i="9"/>
  <c r="BL65" i="9"/>
  <c r="BH65" i="9"/>
  <c r="DB24" i="3" a="1"/>
  <c r="DB24" i="3" s="1"/>
  <c r="DB26" i="3" s="1"/>
  <c r="CY64" i="9"/>
  <c r="AE65" i="9"/>
  <c r="K65" i="9"/>
  <c r="F65" i="9"/>
  <c r="V65" i="9"/>
  <c r="BU65" i="9"/>
  <c r="BC65" i="9"/>
  <c r="DF24" i="3" a="1"/>
  <c r="DF24" i="3" s="1"/>
  <c r="DF26" i="3" s="1"/>
  <c r="DC64" i="9"/>
  <c r="DC24" i="3" a="1"/>
  <c r="DC24" i="3" s="1"/>
  <c r="DC26" i="3" s="1"/>
  <c r="CZ64" i="9"/>
  <c r="BN65" i="9"/>
  <c r="BO65" i="9"/>
  <c r="AD65" i="9"/>
  <c r="E65" i="9"/>
  <c r="CH65" i="9"/>
  <c r="CB65" i="9"/>
  <c r="M65" i="9"/>
  <c r="DM65" i="9"/>
  <c r="U65" i="9"/>
  <c r="BD65" i="9"/>
  <c r="CF65" i="9"/>
  <c r="CI65" i="9"/>
  <c r="AV65" i="9"/>
  <c r="S65" i="9"/>
  <c r="DI65" i="9"/>
  <c r="AL65" i="9"/>
  <c r="AP65" i="9"/>
  <c r="Q65" i="9"/>
  <c r="CC65" i="9"/>
  <c r="O65" i="9"/>
  <c r="DD65" i="9"/>
  <c r="CD65" i="9"/>
  <c r="AA65" i="9"/>
  <c r="DE65" i="9"/>
  <c r="AU65" i="9"/>
  <c r="DG24" i="3" a="1"/>
  <c r="DG24" i="3" s="1"/>
  <c r="DG26" i="3" s="1"/>
  <c r="DD64" i="9"/>
  <c r="DC65" i="9" s="1"/>
  <c r="AR65" i="9"/>
  <c r="AI65" i="9"/>
  <c r="BS65" i="9"/>
  <c r="DN65" i="9"/>
  <c r="DO65" i="9"/>
  <c r="AK65" i="9"/>
  <c r="BQ65" i="9"/>
  <c r="AH65" i="9"/>
  <c r="J65" i="9"/>
  <c r="DK65" i="9"/>
  <c r="DH65" i="9"/>
  <c r="T65" i="9"/>
  <c r="AM65" i="9"/>
  <c r="AX65" i="9"/>
  <c r="I65" i="9"/>
  <c r="BT65" i="9"/>
  <c r="L65" i="9"/>
  <c r="BJ65" i="9"/>
  <c r="H65" i="9"/>
  <c r="DV52" i="9"/>
  <c r="DW52" i="9"/>
  <c r="J23" i="30"/>
  <c r="J26" i="30" s="1"/>
  <c r="DS52" i="9"/>
  <c r="DL52" i="9"/>
  <c r="DW24" i="3" a="1"/>
  <c r="DW24" i="3" s="1"/>
  <c r="DW26" i="3" s="1"/>
  <c r="DT52" i="9"/>
  <c r="EA52" i="9"/>
  <c r="EE24" i="3" a="1"/>
  <c r="EE24" i="3" s="1"/>
  <c r="EE26" i="3" s="1"/>
  <c r="DU52" i="9"/>
  <c r="DM52" i="9"/>
  <c r="DX52" i="9"/>
  <c r="DY52" i="9"/>
  <c r="DQ52" i="9"/>
  <c r="DI52" i="9"/>
  <c r="DR52" i="9"/>
  <c r="CZ52" i="9"/>
  <c r="DO52" i="9"/>
  <c r="DK52" i="9"/>
  <c r="DJ52" i="9"/>
  <c r="DO24" i="3" a="1"/>
  <c r="DO24" i="3" s="1"/>
  <c r="DO26" i="3" s="1"/>
  <c r="DA52" i="9"/>
  <c r="CX52" i="9"/>
  <c r="CY52" i="9"/>
  <c r="DE52" i="9"/>
  <c r="DH52" i="9"/>
  <c r="DD52" i="9"/>
  <c r="DF52" i="9"/>
  <c r="DG52" i="9"/>
  <c r="DC52" i="9"/>
  <c r="DP52" i="9"/>
  <c r="DN52" i="9"/>
  <c r="E51" i="9"/>
  <c r="CU52" i="9"/>
  <c r="CR52" i="9"/>
  <c r="CS52" i="9"/>
  <c r="CK52" i="9"/>
  <c r="CM52" i="9"/>
  <c r="CL52" i="9"/>
  <c r="CQ52" i="9"/>
  <c r="CZ24" i="3" a="1"/>
  <c r="CZ24" i="3" s="1"/>
  <c r="CZ26" i="3" s="1"/>
  <c r="CT52" i="9"/>
  <c r="DB52" i="9"/>
  <c r="CO52" i="9"/>
  <c r="CN52" i="9"/>
  <c r="CP52" i="9"/>
  <c r="CV52" i="9"/>
  <c r="CW52" i="9"/>
  <c r="K33" i="31"/>
  <c r="I33" i="31"/>
  <c r="Y52" i="9"/>
  <c r="W52" i="9"/>
  <c r="U52" i="9"/>
  <c r="Z52" i="9"/>
  <c r="V52" i="9"/>
  <c r="S52" i="9"/>
  <c r="AB52" i="9"/>
  <c r="T52" i="9"/>
  <c r="X52" i="9"/>
  <c r="Q52" i="9"/>
  <c r="AA52" i="9"/>
  <c r="R52" i="9"/>
  <c r="H33" i="31"/>
  <c r="J33" i="31"/>
  <c r="R36" i="32"/>
  <c r="R38" i="32"/>
  <c r="R37" i="32"/>
  <c r="R39" i="32"/>
  <c r="R35" i="32"/>
  <c r="K52" i="9"/>
  <c r="O52" i="9"/>
  <c r="E52" i="9"/>
  <c r="F52" i="9"/>
  <c r="G52" i="9"/>
  <c r="J52" i="9"/>
  <c r="M52" i="9"/>
  <c r="R6" i="9" a="1"/>
  <c r="R6" i="9" s="1"/>
  <c r="H52" i="9"/>
  <c r="I52" i="9"/>
  <c r="L52" i="9"/>
  <c r="N52" i="9"/>
  <c r="P52" i="9"/>
  <c r="AK52" i="9"/>
  <c r="AC52" i="9"/>
  <c r="AE52" i="9"/>
  <c r="AF52" i="9"/>
  <c r="AI52" i="9"/>
  <c r="AG52" i="9"/>
  <c r="AM52" i="9"/>
  <c r="AJ52" i="9"/>
  <c r="AH52" i="9"/>
  <c r="AD52" i="9"/>
  <c r="AL52" i="9"/>
  <c r="AN52" i="9"/>
  <c r="AO52" i="9"/>
  <c r="AZ52" i="9"/>
  <c r="AY52" i="9"/>
  <c r="AT52" i="9"/>
  <c r="AV52" i="9"/>
  <c r="AQ52" i="9"/>
  <c r="AR52" i="9"/>
  <c r="AS52" i="9"/>
  <c r="AU52" i="9"/>
  <c r="AW52" i="9"/>
  <c r="AP52" i="9"/>
  <c r="AX52" i="9"/>
  <c r="E178" i="1"/>
  <c r="E180" i="1" s="1"/>
  <c r="P30" i="32" s="1"/>
  <c r="K24" i="30"/>
  <c r="K26" i="30"/>
  <c r="K27" i="30" s="1"/>
  <c r="AF24" i="3" a="1"/>
  <c r="AF24" i="3" s="1"/>
  <c r="AF26" i="3" s="1"/>
  <c r="I35" i="31"/>
  <c r="I37" i="31" s="1"/>
  <c r="T24" i="3" a="1"/>
  <c r="T24" i="3" s="1"/>
  <c r="T26" i="3" s="1"/>
  <c r="H35" i="31"/>
  <c r="H37" i="31" s="1"/>
  <c r="BD24" i="3" a="1"/>
  <c r="BD24" i="3" s="1"/>
  <c r="BD26" i="3" s="1"/>
  <c r="K35" i="31"/>
  <c r="K37" i="31" s="1"/>
  <c r="AR24" i="3" a="1"/>
  <c r="AR24" i="3" s="1"/>
  <c r="AR26" i="3" s="1"/>
  <c r="J35" i="31"/>
  <c r="J37" i="31" s="1"/>
  <c r="DW16" i="3"/>
  <c r="DC16" i="3"/>
  <c r="CY65" i="9" l="1"/>
  <c r="DB65" i="9"/>
  <c r="DA65" i="9"/>
  <c r="CZ65" i="9"/>
  <c r="EA65" i="9"/>
  <c r="DX65" i="9"/>
  <c r="DW65" i="9"/>
  <c r="DV65" i="9"/>
  <c r="DY65" i="9"/>
  <c r="DZ65" i="9"/>
  <c r="DU65" i="9"/>
  <c r="DT65" i="9"/>
  <c r="CX65" i="9"/>
  <c r="CT65" i="9"/>
  <c r="CW65" i="9"/>
  <c r="CU65" i="9"/>
  <c r="CQ65" i="9"/>
  <c r="CN65" i="9"/>
  <c r="CV65" i="9"/>
  <c r="DR65" i="9"/>
  <c r="DS65" i="9"/>
  <c r="E64" i="9"/>
  <c r="R24" i="1" s="1" a="1"/>
  <c r="R24" i="1" s="1"/>
  <c r="R26" i="1" s="1"/>
  <c r="R33" i="1" s="1"/>
  <c r="CR65" i="9"/>
  <c r="CS65" i="9"/>
  <c r="CO65" i="9"/>
  <c r="CM65" i="9"/>
  <c r="DQ65" i="9"/>
  <c r="CP65" i="9"/>
  <c r="G35" i="31"/>
  <c r="G37" i="31" s="1"/>
  <c r="L21" i="1"/>
  <c r="H24" i="3" a="1"/>
  <c r="H24" i="3" s="1"/>
  <c r="H26" i="3" s="1"/>
  <c r="L38" i="1" a="1"/>
  <c r="L38" i="1" s="1"/>
  <c r="L34" i="1" s="1"/>
  <c r="BO16" i="3"/>
  <c r="E182" i="1"/>
  <c r="P32" i="32" s="1"/>
  <c r="P28" i="32"/>
  <c r="S35" i="32"/>
  <c r="T35" i="32"/>
  <c r="S39" i="32"/>
  <c r="T39" i="32"/>
  <c r="S37" i="32"/>
  <c r="T37" i="32"/>
  <c r="S38" i="32"/>
  <c r="T38" i="32"/>
  <c r="T36" i="32"/>
  <c r="S36" i="32"/>
  <c r="T28" i="3"/>
  <c r="H6" i="32"/>
  <c r="AR28" i="3"/>
  <c r="J6" i="32"/>
  <c r="AF28" i="3"/>
  <c r="I6" i="32"/>
  <c r="BD28" i="3"/>
  <c r="K6" i="32"/>
  <c r="DW17" i="3"/>
  <c r="DC17" i="3"/>
  <c r="E181" i="1"/>
  <c r="P31" i="32" s="1"/>
  <c r="BO17" i="3"/>
  <c r="R3" i="9" l="1"/>
  <c r="R5" i="9" s="1"/>
  <c r="H28" i="3"/>
  <c r="G6" i="32"/>
  <c r="L35" i="1"/>
  <c r="L36" i="1"/>
  <c r="DW18" i="3"/>
  <c r="DC18" i="3"/>
  <c r="DC28" i="3" s="1"/>
  <c r="BE59" i="3"/>
  <c r="BI59" i="3"/>
  <c r="AM59" i="3"/>
  <c r="AP59" i="3"/>
  <c r="BO18" i="3"/>
  <c r="BO28" i="3" s="1"/>
  <c r="BO36" i="3" l="1"/>
  <c r="L37" i="1"/>
  <c r="AN59" i="3" s="1"/>
  <c r="L59" i="3"/>
  <c r="L63" i="3" s="1"/>
  <c r="M58" i="3" s="1"/>
  <c r="K12" i="32"/>
  <c r="DW28" i="3"/>
  <c r="G16" i="32"/>
  <c r="H16" i="32"/>
  <c r="I16" i="32"/>
  <c r="J16" i="32"/>
  <c r="K16" i="32"/>
  <c r="G31" i="1"/>
  <c r="E6" i="11" s="1"/>
  <c r="S59" i="3"/>
  <c r="AR59" i="3"/>
  <c r="J12" i="32" s="1"/>
  <c r="BI54" i="3"/>
  <c r="BI36" i="3" s="1"/>
  <c r="F53" i="23"/>
  <c r="AV41" i="3" s="1"/>
  <c r="F60" i="23"/>
  <c r="BC41" i="3" s="1"/>
  <c r="F57" i="23"/>
  <c r="AZ41" i="3" s="1"/>
  <c r="F61" i="23"/>
  <c r="BD41" i="3" s="1"/>
  <c r="F58" i="23"/>
  <c r="BA41" i="3" s="1"/>
  <c r="F51" i="23"/>
  <c r="AT41" i="3" s="1"/>
  <c r="F62" i="23"/>
  <c r="BE41" i="3" s="1"/>
  <c r="F55" i="23"/>
  <c r="AX41" i="3" s="1"/>
  <c r="F54" i="23"/>
  <c r="AW41" i="3" s="1"/>
  <c r="F50" i="23"/>
  <c r="AS41" i="3" s="1"/>
  <c r="F59" i="23"/>
  <c r="BB41" i="3" s="1"/>
  <c r="F52" i="23"/>
  <c r="AU41" i="3" s="1"/>
  <c r="F56" i="23"/>
  <c r="AY41" i="3" s="1"/>
  <c r="AP54" i="3"/>
  <c r="AP36" i="3" s="1"/>
  <c r="BE54" i="3"/>
  <c r="BE36" i="3" s="1"/>
  <c r="AM54" i="3"/>
  <c r="AM36" i="3" s="1"/>
  <c r="AQ59" i="3" l="1"/>
  <c r="Y59" i="3"/>
  <c r="AK59" i="3"/>
  <c r="I12" i="32" s="1"/>
  <c r="L40" i="1"/>
  <c r="AQ54" i="3" s="1"/>
  <c r="AQ36" i="3" s="1"/>
  <c r="E11" i="11"/>
  <c r="AQ11" i="11" s="1"/>
  <c r="AQ12" i="11" s="1"/>
  <c r="AN8" i="3" s="1" a="1"/>
  <c r="AN8" i="3" s="1"/>
  <c r="AN10" i="3" s="1"/>
  <c r="V54" i="3"/>
  <c r="V36" i="3" s="1"/>
  <c r="Y54" i="3"/>
  <c r="Y36" i="3" s="1"/>
  <c r="AE59" i="3"/>
  <c r="V59" i="3"/>
  <c r="R8" i="23"/>
  <c r="Q37" i="23" s="1"/>
  <c r="G12" i="32"/>
  <c r="L54" i="3"/>
  <c r="L36" i="3" s="1"/>
  <c r="AE54" i="3"/>
  <c r="AE36" i="3" s="1"/>
  <c r="F15" i="23"/>
  <c r="J41" i="3" s="1"/>
  <c r="B38" i="3"/>
  <c r="G29" i="1"/>
  <c r="F7" i="1"/>
  <c r="E6" i="6"/>
  <c r="J6" i="6" s="1"/>
  <c r="Q65" i="23"/>
  <c r="Q66" i="23"/>
  <c r="Q67" i="23"/>
  <c r="CU80" i="3" s="1"/>
  <c r="CU62" i="3" s="1"/>
  <c r="Q63" i="23"/>
  <c r="P62" i="23"/>
  <c r="Q64" i="23"/>
  <c r="P65" i="23"/>
  <c r="P66" i="23"/>
  <c r="Q62" i="23"/>
  <c r="P64" i="23"/>
  <c r="Q61" i="23"/>
  <c r="P61" i="23"/>
  <c r="P63" i="23"/>
  <c r="P67" i="23"/>
  <c r="CU60" i="3" s="1"/>
  <c r="S54" i="3"/>
  <c r="S36" i="3" s="1"/>
  <c r="Q57" i="23"/>
  <c r="Q56" i="23"/>
  <c r="Q60" i="23"/>
  <c r="Q59" i="23"/>
  <c r="P57" i="23"/>
  <c r="P56" i="23"/>
  <c r="P59" i="23"/>
  <c r="P55" i="23"/>
  <c r="CV60" i="3" s="1"/>
  <c r="Q55" i="23"/>
  <c r="Q58" i="23"/>
  <c r="P60" i="23"/>
  <c r="P58" i="23"/>
  <c r="EB6" i="11"/>
  <c r="EC6" i="11"/>
  <c r="EF6" i="11"/>
  <c r="EG6" i="11"/>
  <c r="EI6" i="11"/>
  <c r="EJ6" i="11"/>
  <c r="EK6" i="11"/>
  <c r="EA6" i="11"/>
  <c r="ED6" i="11"/>
  <c r="EH6" i="11"/>
  <c r="DZ6" i="11"/>
  <c r="EL6" i="11"/>
  <c r="EE6" i="11"/>
  <c r="EI6" i="6"/>
  <c r="EK6" i="6"/>
  <c r="EH6" i="6"/>
  <c r="DZ6" i="6"/>
  <c r="EL6" i="6"/>
  <c r="EA6" i="6"/>
  <c r="ED6" i="6"/>
  <c r="EC6" i="6"/>
  <c r="EE6" i="6"/>
  <c r="EG6" i="6"/>
  <c r="EF6" i="6"/>
  <c r="EJ6" i="6"/>
  <c r="EB6" i="6"/>
  <c r="F45" i="23"/>
  <c r="AN41" i="3" s="1"/>
  <c r="F38" i="23"/>
  <c r="AG41" i="3" s="1"/>
  <c r="H12" i="23"/>
  <c r="D13" i="23" s="1"/>
  <c r="F41" i="23"/>
  <c r="AJ41" i="3" s="1"/>
  <c r="F17" i="23"/>
  <c r="L41" i="3" s="1"/>
  <c r="F37" i="23"/>
  <c r="AF41" i="3" s="1"/>
  <c r="AR54" i="3"/>
  <c r="AR36" i="3" s="1"/>
  <c r="CP80" i="3" l="1"/>
  <c r="CP62" i="3" s="1"/>
  <c r="CS80" i="3"/>
  <c r="CS62" i="3" s="1"/>
  <c r="CN80" i="3"/>
  <c r="CN62" i="3" s="1"/>
  <c r="CS60" i="3"/>
  <c r="CT80" i="3"/>
  <c r="CT62" i="3" s="1"/>
  <c r="AN29" i="3"/>
  <c r="AN28" i="3"/>
  <c r="CR80" i="3"/>
  <c r="CR62" i="3" s="1"/>
  <c r="CR60" i="3"/>
  <c r="CT60" i="3"/>
  <c r="CP60" i="3"/>
  <c r="CQ60" i="3"/>
  <c r="CQ80" i="3"/>
  <c r="CQ62" i="3" s="1"/>
  <c r="CO60" i="3"/>
  <c r="CO80" i="3"/>
  <c r="CO62" i="3" s="1"/>
  <c r="AK54" i="3"/>
  <c r="AK36" i="3" s="1"/>
  <c r="AN54" i="3"/>
  <c r="AN36" i="3" s="1"/>
  <c r="CI80" i="3"/>
  <c r="CI62" i="3" s="1"/>
  <c r="CK60" i="3"/>
  <c r="CM80" i="3"/>
  <c r="CM62" i="3" s="1"/>
  <c r="CN60" i="3"/>
  <c r="J6" i="11"/>
  <c r="CL60" i="3"/>
  <c r="CK80" i="3"/>
  <c r="CK62" i="3" s="1"/>
  <c r="CM60" i="3"/>
  <c r="CJ80" i="3"/>
  <c r="CJ62" i="3" s="1"/>
  <c r="CL80" i="3"/>
  <c r="CL62" i="3" s="1"/>
  <c r="CJ60" i="3"/>
  <c r="Q28" i="23"/>
  <c r="Q18" i="23"/>
  <c r="R80" i="3" s="1"/>
  <c r="R62" i="3" s="1"/>
  <c r="P15" i="23"/>
  <c r="O60" i="3" s="1"/>
  <c r="P23" i="23"/>
  <c r="Q25" i="23"/>
  <c r="Q17" i="23"/>
  <c r="Q80" i="3" s="1"/>
  <c r="Q62" i="3" s="1"/>
  <c r="P46" i="23"/>
  <c r="P19" i="23"/>
  <c r="S60" i="3" s="1"/>
  <c r="Q13" i="23"/>
  <c r="M80" i="3" s="1"/>
  <c r="M62" i="3" s="1"/>
  <c r="Q32" i="23"/>
  <c r="P24" i="23"/>
  <c r="Q14" i="23"/>
  <c r="U80" i="3" s="1"/>
  <c r="U62" i="3" s="1"/>
  <c r="Q36" i="23"/>
  <c r="Q23" i="23"/>
  <c r="Q45" i="23"/>
  <c r="P50" i="23"/>
  <c r="P32" i="23"/>
  <c r="P29" i="23"/>
  <c r="P27" i="23"/>
  <c r="Q33" i="23"/>
  <c r="P14" i="23"/>
  <c r="N60" i="3" s="1"/>
  <c r="P44" i="23"/>
  <c r="Q34" i="23"/>
  <c r="Q27" i="23"/>
  <c r="Q31" i="23"/>
  <c r="Q49" i="23"/>
  <c r="CB80" i="3" s="1"/>
  <c r="CB62" i="3" s="1"/>
  <c r="Q26" i="23"/>
  <c r="Q52" i="23"/>
  <c r="P48" i="23"/>
  <c r="Q48" i="23"/>
  <c r="Q43" i="23"/>
  <c r="P31" i="23"/>
  <c r="Q21" i="23"/>
  <c r="P18" i="23"/>
  <c r="R60" i="3" s="1"/>
  <c r="Q24" i="23"/>
  <c r="P28" i="23"/>
  <c r="R12" i="23"/>
  <c r="O13" i="23" s="1"/>
  <c r="P41" i="23"/>
  <c r="Q47" i="23"/>
  <c r="Q53" i="23"/>
  <c r="P53" i="23"/>
  <c r="CF60" i="3" s="1"/>
  <c r="P45" i="23"/>
  <c r="P20" i="23"/>
  <c r="P52" i="23"/>
  <c r="CE60" i="3" s="1"/>
  <c r="Q42" i="23"/>
  <c r="Q16" i="23"/>
  <c r="P80" i="3" s="1"/>
  <c r="P62" i="3" s="1"/>
  <c r="P17" i="23"/>
  <c r="Q60" i="3" s="1"/>
  <c r="P35" i="23"/>
  <c r="Q30" i="23"/>
  <c r="P49" i="23"/>
  <c r="Q50" i="23"/>
  <c r="CC80" i="3" s="1"/>
  <c r="CC62" i="3" s="1"/>
  <c r="P42" i="23"/>
  <c r="Q44" i="23"/>
  <c r="Q41" i="23"/>
  <c r="P26" i="23"/>
  <c r="P34" i="23"/>
  <c r="Q22" i="23"/>
  <c r="P33" i="23"/>
  <c r="Q15" i="23"/>
  <c r="O80" i="3" s="1"/>
  <c r="O62" i="3" s="1"/>
  <c r="P25" i="23"/>
  <c r="Q35" i="23"/>
  <c r="P13" i="23"/>
  <c r="M60" i="3" s="1"/>
  <c r="M63" i="3" s="1"/>
  <c r="N58" i="3" s="1"/>
  <c r="P22" i="23"/>
  <c r="Q54" i="23"/>
  <c r="P47" i="23"/>
  <c r="P43" i="23"/>
  <c r="P51" i="23"/>
  <c r="Q19" i="23"/>
  <c r="S80" i="3" s="1"/>
  <c r="S62" i="3" s="1"/>
  <c r="P16" i="23"/>
  <c r="P60" i="3" s="1"/>
  <c r="Q20" i="23"/>
  <c r="AA80" i="3" s="1"/>
  <c r="AA62" i="3" s="1"/>
  <c r="Q29" i="23"/>
  <c r="P21" i="23"/>
  <c r="AH60" i="3" s="1"/>
  <c r="P30" i="23"/>
  <c r="Q46" i="23"/>
  <c r="P54" i="23"/>
  <c r="F8" i="32"/>
  <c r="P39" i="23"/>
  <c r="Q51" i="23"/>
  <c r="Q40" i="23"/>
  <c r="P38" i="23"/>
  <c r="Q38" i="23"/>
  <c r="P40" i="23"/>
  <c r="Q39" i="23"/>
  <c r="P36" i="23"/>
  <c r="P37" i="23"/>
  <c r="AD80" i="3"/>
  <c r="AD62" i="3" s="1"/>
  <c r="H12" i="32"/>
  <c r="F27" i="23"/>
  <c r="V41" i="3" s="1"/>
  <c r="F35" i="23"/>
  <c r="AD41" i="3" s="1"/>
  <c r="E17" i="6"/>
  <c r="E18" i="6" s="1"/>
  <c r="F12" i="1" s="1"/>
  <c r="CH80" i="3"/>
  <c r="CH62" i="3" s="1"/>
  <c r="CE80" i="3"/>
  <c r="CE62" i="3" s="1"/>
  <c r="CH60" i="3"/>
  <c r="G42" i="3"/>
  <c r="F16" i="23"/>
  <c r="K41" i="3" s="1"/>
  <c r="F31" i="23"/>
  <c r="Z41" i="3" s="1"/>
  <c r="F24" i="23"/>
  <c r="S41" i="3" s="1"/>
  <c r="F33" i="23"/>
  <c r="AB41" i="3" s="1"/>
  <c r="F28" i="23"/>
  <c r="W41" i="3" s="1"/>
  <c r="F22" i="23"/>
  <c r="Q41" i="3" s="1"/>
  <c r="F42" i="23"/>
  <c r="AK41" i="3" s="1"/>
  <c r="F32" i="23"/>
  <c r="AA41" i="3" s="1"/>
  <c r="F18" i="23"/>
  <c r="M41" i="3" s="1"/>
  <c r="F36" i="23"/>
  <c r="AE41" i="3" s="1"/>
  <c r="F30" i="23"/>
  <c r="Y41" i="3" s="1"/>
  <c r="F39" i="23"/>
  <c r="AH41" i="3" s="1"/>
  <c r="F44" i="23"/>
  <c r="AM41" i="3" s="1"/>
  <c r="F26" i="23"/>
  <c r="U41" i="3" s="1"/>
  <c r="F13" i="23"/>
  <c r="H41" i="3" s="1"/>
  <c r="F40" i="23"/>
  <c r="AI41" i="3" s="1"/>
  <c r="F25" i="23"/>
  <c r="T41" i="3" s="1"/>
  <c r="G13" i="23"/>
  <c r="H76" i="3" s="1"/>
  <c r="H47" i="3" s="1"/>
  <c r="F47" i="23"/>
  <c r="AP41" i="3" s="1"/>
  <c r="F43" i="23"/>
  <c r="AL41" i="3" s="1"/>
  <c r="F34" i="23"/>
  <c r="AC41" i="3" s="1"/>
  <c r="F21" i="23"/>
  <c r="P41" i="3" s="1"/>
  <c r="F49" i="23"/>
  <c r="AR41" i="3" s="1"/>
  <c r="F23" i="23"/>
  <c r="R41" i="3" s="1"/>
  <c r="F20" i="23"/>
  <c r="O41" i="3" s="1"/>
  <c r="F14" i="23"/>
  <c r="I41" i="3" s="1"/>
  <c r="F19" i="23"/>
  <c r="N41" i="3" s="1"/>
  <c r="F46" i="23"/>
  <c r="AO41" i="3" s="1"/>
  <c r="F48" i="23"/>
  <c r="AQ41" i="3" s="1"/>
  <c r="F29" i="23"/>
  <c r="X41" i="3" s="1"/>
  <c r="CI60" i="3"/>
  <c r="N80" i="3"/>
  <c r="N62" i="3" s="1"/>
  <c r="Y60" i="3"/>
  <c r="AE80" i="3"/>
  <c r="AE62" i="3" s="1"/>
  <c r="AA60" i="3"/>
  <c r="V60" i="3"/>
  <c r="X60" i="3"/>
  <c r="AC60" i="3"/>
  <c r="V80" i="3"/>
  <c r="V62" i="3" s="1"/>
  <c r="AK60" i="3"/>
  <c r="W60" i="3"/>
  <c r="AB60" i="3"/>
  <c r="Y80" i="3"/>
  <c r="Y62" i="3" s="1"/>
  <c r="AJ60" i="3"/>
  <c r="U60" i="3"/>
  <c r="T80" i="3"/>
  <c r="T62" i="3" s="1"/>
  <c r="J11" i="11"/>
  <c r="EF11" i="11"/>
  <c r="EF12" i="11" s="1"/>
  <c r="EC8" i="3" s="1" a="1"/>
  <c r="EC8" i="3" s="1"/>
  <c r="EG11" i="11"/>
  <c r="EG12" i="11" s="1"/>
  <c r="ED8" i="3" s="1" a="1"/>
  <c r="ED8" i="3" s="1"/>
  <c r="EI11" i="11"/>
  <c r="EI12" i="11" s="1"/>
  <c r="EF8" i="3" s="1" a="1"/>
  <c r="EF8" i="3" s="1"/>
  <c r="EA11" i="11"/>
  <c r="EA12" i="11" s="1"/>
  <c r="DX8" i="3" s="1" a="1"/>
  <c r="DX8" i="3" s="1"/>
  <c r="EJ11" i="11"/>
  <c r="EJ12" i="11" s="1"/>
  <c r="EG8" i="3" s="1" a="1"/>
  <c r="EG8" i="3" s="1"/>
  <c r="EK11" i="11"/>
  <c r="EK12" i="11" s="1"/>
  <c r="EH8" i="3" s="1" a="1"/>
  <c r="EH8" i="3" s="1"/>
  <c r="EB11" i="11"/>
  <c r="EB12" i="11" s="1"/>
  <c r="DY8" i="3" s="1" a="1"/>
  <c r="DY8" i="3" s="1"/>
  <c r="EC11" i="11"/>
  <c r="EC12" i="11" s="1"/>
  <c r="DZ8" i="3" s="1" a="1"/>
  <c r="DZ8" i="3" s="1"/>
  <c r="EH11" i="11"/>
  <c r="EH12" i="11" s="1"/>
  <c r="EE8" i="3" s="1" a="1"/>
  <c r="EE8" i="3" s="1"/>
  <c r="EL11" i="11"/>
  <c r="EL12" i="11" s="1"/>
  <c r="DZ11" i="11"/>
  <c r="DZ12" i="11" s="1"/>
  <c r="DW8" i="3" s="1" a="1"/>
  <c r="DW8" i="3" s="1"/>
  <c r="EE11" i="11"/>
  <c r="EE12" i="11" s="1"/>
  <c r="EB8" i="3" s="1" a="1"/>
  <c r="EB8" i="3" s="1"/>
  <c r="ED11" i="11"/>
  <c r="ED12" i="11" s="1"/>
  <c r="EA8" i="3" s="1" a="1"/>
  <c r="EA8" i="3" s="1"/>
  <c r="ED17" i="6"/>
  <c r="ED18" i="6" s="1"/>
  <c r="EA6" i="3" s="1" a="1"/>
  <c r="EA6" i="3" s="1"/>
  <c r="EL17" i="6"/>
  <c r="EL18" i="6" s="1"/>
  <c r="EE17" i="6"/>
  <c r="EE18" i="6" s="1"/>
  <c r="EB6" i="3" s="1" a="1"/>
  <c r="EB6" i="3" s="1"/>
  <c r="EF17" i="6"/>
  <c r="EF18" i="6" s="1"/>
  <c r="EC6" i="3" s="1" a="1"/>
  <c r="EC6" i="3" s="1"/>
  <c r="EJ17" i="6"/>
  <c r="EJ18" i="6" s="1"/>
  <c r="EG6" i="3" s="1" a="1"/>
  <c r="EG6" i="3" s="1"/>
  <c r="EH17" i="6"/>
  <c r="EH18" i="6" s="1"/>
  <c r="EE6" i="3" s="1" a="1"/>
  <c r="EE6" i="3" s="1"/>
  <c r="EC17" i="6"/>
  <c r="EC18" i="6" s="1"/>
  <c r="DZ6" i="3" s="1" a="1"/>
  <c r="DZ6" i="3" s="1"/>
  <c r="DZ17" i="6"/>
  <c r="DZ18" i="6" s="1"/>
  <c r="DW6" i="3" s="1" a="1"/>
  <c r="DW6" i="3" s="1"/>
  <c r="EI17" i="6"/>
  <c r="EI18" i="6" s="1"/>
  <c r="EF6" i="3" s="1" a="1"/>
  <c r="EF6" i="3" s="1"/>
  <c r="EA17" i="6"/>
  <c r="EA18" i="6" s="1"/>
  <c r="DX6" i="3" s="1" a="1"/>
  <c r="DX6" i="3" s="1"/>
  <c r="EB17" i="6"/>
  <c r="EB18" i="6" s="1"/>
  <c r="DY6" i="3" s="1" a="1"/>
  <c r="DY6" i="3" s="1"/>
  <c r="EK17" i="6"/>
  <c r="EK18" i="6" s="1"/>
  <c r="EH6" i="3" s="1" a="1"/>
  <c r="EH6" i="3" s="1"/>
  <c r="EG17" i="6"/>
  <c r="EG18" i="6" s="1"/>
  <c r="ED6" i="3" s="1" a="1"/>
  <c r="ED6" i="3" s="1"/>
  <c r="E12" i="11"/>
  <c r="F14" i="1" s="1"/>
  <c r="AI60" i="3" l="1"/>
  <c r="AD60" i="3"/>
  <c r="Z80" i="3"/>
  <c r="Z62" i="3" s="1"/>
  <c r="AC80" i="3"/>
  <c r="AC62" i="3" s="1"/>
  <c r="Z60" i="3"/>
  <c r="AG80" i="3"/>
  <c r="AG62" i="3" s="1"/>
  <c r="X80" i="3"/>
  <c r="X62" i="3" s="1"/>
  <c r="W80" i="3"/>
  <c r="W62" i="3" s="1"/>
  <c r="T60" i="3"/>
  <c r="AG60" i="3"/>
  <c r="AK80" i="3"/>
  <c r="AK62" i="3" s="1"/>
  <c r="AJ80" i="3"/>
  <c r="AJ62" i="3" s="1"/>
  <c r="AI80" i="3"/>
  <c r="AI62" i="3" s="1"/>
  <c r="BG60" i="3"/>
  <c r="AF60" i="3"/>
  <c r="BB80" i="3"/>
  <c r="BB62" i="3" s="1"/>
  <c r="CA60" i="3"/>
  <c r="BD80" i="3"/>
  <c r="BD62" i="3" s="1"/>
  <c r="BX80" i="3"/>
  <c r="BX62" i="3" s="1"/>
  <c r="BK60" i="3"/>
  <c r="AN34" i="3"/>
  <c r="AN35" i="3" s="1"/>
  <c r="AZ60" i="3"/>
  <c r="BE60" i="3"/>
  <c r="BC80" i="3"/>
  <c r="BC62" i="3" s="1"/>
  <c r="BZ60" i="3"/>
  <c r="CG80" i="3"/>
  <c r="CG62" i="3" s="1"/>
  <c r="CG60" i="3"/>
  <c r="AU60" i="3"/>
  <c r="CB60" i="3"/>
  <c r="CF80" i="3"/>
  <c r="CF62" i="3" s="1"/>
  <c r="BR60" i="3"/>
  <c r="BX60" i="3"/>
  <c r="BU80" i="3"/>
  <c r="BU62" i="3" s="1"/>
  <c r="BH80" i="3"/>
  <c r="BH62" i="3" s="1"/>
  <c r="BI80" i="3"/>
  <c r="BI62" i="3" s="1"/>
  <c r="BI60" i="3"/>
  <c r="AT80" i="3"/>
  <c r="AT62" i="3" s="1"/>
  <c r="BW80" i="3"/>
  <c r="BW62" i="3" s="1"/>
  <c r="BJ80" i="3"/>
  <c r="BJ62" i="3" s="1"/>
  <c r="CA80" i="3"/>
  <c r="CA62" i="3" s="1"/>
  <c r="CC60" i="3"/>
  <c r="J12" i="11"/>
  <c r="G8" i="3" s="1" a="1"/>
  <c r="G8" i="3" s="1"/>
  <c r="CD80" i="3"/>
  <c r="CD62" i="3" s="1"/>
  <c r="BB60" i="3"/>
  <c r="BE80" i="3"/>
  <c r="BE62" i="3" s="1"/>
  <c r="BW60" i="3"/>
  <c r="BT80" i="3"/>
  <c r="BT62" i="3" s="1"/>
  <c r="BP80" i="3"/>
  <c r="BP62" i="3" s="1"/>
  <c r="BR80" i="3"/>
  <c r="BR62" i="3" s="1"/>
  <c r="BS60" i="3"/>
  <c r="BQ60" i="3"/>
  <c r="AV80" i="3"/>
  <c r="AV62" i="3" s="1"/>
  <c r="CD60" i="3"/>
  <c r="BU60" i="3"/>
  <c r="AX80" i="3"/>
  <c r="AX62" i="3" s="1"/>
  <c r="BF80" i="3"/>
  <c r="BF62" i="3" s="1"/>
  <c r="AV60" i="3"/>
  <c r="BZ80" i="3"/>
  <c r="BZ62" i="3" s="1"/>
  <c r="AZ80" i="3"/>
  <c r="AZ62" i="3" s="1"/>
  <c r="BD60" i="3"/>
  <c r="AU80" i="3"/>
  <c r="AU62" i="3" s="1"/>
  <c r="BA80" i="3"/>
  <c r="BA62" i="3" s="1"/>
  <c r="AL80" i="3"/>
  <c r="AL62" i="3" s="1"/>
  <c r="AO80" i="3"/>
  <c r="AO62" i="3" s="1"/>
  <c r="AP80" i="3"/>
  <c r="AP62" i="3" s="1"/>
  <c r="AY80" i="3"/>
  <c r="AY62" i="3" s="1"/>
  <c r="BL80" i="3"/>
  <c r="BL62" i="3" s="1"/>
  <c r="BY80" i="3"/>
  <c r="BY62" i="3" s="1"/>
  <c r="AW80" i="3"/>
  <c r="AW62" i="3" s="1"/>
  <c r="AT60" i="3"/>
  <c r="BH60" i="3"/>
  <c r="BV60" i="3"/>
  <c r="BT60" i="3"/>
  <c r="AQ80" i="3"/>
  <c r="AQ62" i="3" s="1"/>
  <c r="AQ60" i="3"/>
  <c r="R13" i="23"/>
  <c r="O14" i="23" s="1"/>
  <c r="R14" i="23" s="1"/>
  <c r="O15" i="23" s="1"/>
  <c r="R15" i="23" s="1"/>
  <c r="O16" i="23" s="1"/>
  <c r="R16" i="23" s="1"/>
  <c r="O17" i="23" s="1"/>
  <c r="R17" i="23" s="1"/>
  <c r="O18" i="23" s="1"/>
  <c r="R18" i="23" s="1"/>
  <c r="O19" i="23" s="1"/>
  <c r="R19" i="23" s="1"/>
  <c r="O20" i="23" s="1"/>
  <c r="R20" i="23" s="1"/>
  <c r="O21" i="23" s="1"/>
  <c r="R21" i="23" s="1"/>
  <c r="O22" i="23" s="1"/>
  <c r="R22" i="23" s="1"/>
  <c r="O23" i="23" s="1"/>
  <c r="R23" i="23" s="1"/>
  <c r="O24" i="23" s="1"/>
  <c r="R24" i="23" s="1"/>
  <c r="O25" i="23" s="1"/>
  <c r="R25" i="23" s="1"/>
  <c r="O26" i="23" s="1"/>
  <c r="R26" i="23" s="1"/>
  <c r="O27" i="23" s="1"/>
  <c r="R27" i="23" s="1"/>
  <c r="O28" i="23" s="1"/>
  <c r="R28" i="23" s="1"/>
  <c r="O29" i="23" s="1"/>
  <c r="R29" i="23" s="1"/>
  <c r="O30" i="23" s="1"/>
  <c r="R30" i="23" s="1"/>
  <c r="O31" i="23" s="1"/>
  <c r="R31" i="23" s="1"/>
  <c r="O32" i="23" s="1"/>
  <c r="R32" i="23" s="1"/>
  <c r="O33" i="23" s="1"/>
  <c r="R33" i="23" s="1"/>
  <c r="O34" i="23" s="1"/>
  <c r="R34" i="23" s="1"/>
  <c r="O35" i="23" s="1"/>
  <c r="R35" i="23" s="1"/>
  <c r="O36" i="23" s="1"/>
  <c r="R36" i="23" s="1"/>
  <c r="O37" i="23" s="1"/>
  <c r="R37" i="23" s="1"/>
  <c r="O38" i="23" s="1"/>
  <c r="R38" i="23" s="1"/>
  <c r="O39" i="23" s="1"/>
  <c r="R39" i="23" s="1"/>
  <c r="O40" i="23" s="1"/>
  <c r="R40" i="23" s="1"/>
  <c r="O41" i="23" s="1"/>
  <c r="R41" i="23" s="1"/>
  <c r="O42" i="23" s="1"/>
  <c r="R42" i="23" s="1"/>
  <c r="O43" i="23" s="1"/>
  <c r="R43" i="23" s="1"/>
  <c r="O44" i="23" s="1"/>
  <c r="R44" i="23" s="1"/>
  <c r="O45" i="23" s="1"/>
  <c r="R45" i="23" s="1"/>
  <c r="O46" i="23" s="1"/>
  <c r="R46" i="23" s="1"/>
  <c r="O47" i="23" s="1"/>
  <c r="R47" i="23" s="1"/>
  <c r="O48" i="23" s="1"/>
  <c r="R48" i="23" s="1"/>
  <c r="O49" i="23" s="1"/>
  <c r="R49" i="23" s="1"/>
  <c r="O50" i="23" s="1"/>
  <c r="R50" i="23" s="1"/>
  <c r="O51" i="23" s="1"/>
  <c r="R51" i="23" s="1"/>
  <c r="O52" i="23" s="1"/>
  <c r="R52" i="23" s="1"/>
  <c r="O53" i="23" s="1"/>
  <c r="R53" i="23" s="1"/>
  <c r="O54" i="23" s="1"/>
  <c r="R54" i="23" s="1"/>
  <c r="O55" i="23" s="1"/>
  <c r="R55" i="23" s="1"/>
  <c r="O56" i="23" s="1"/>
  <c r="R56" i="23" s="1"/>
  <c r="O57" i="23" s="1"/>
  <c r="R57" i="23" s="1"/>
  <c r="O58" i="23" s="1"/>
  <c r="R58" i="23" s="1"/>
  <c r="O59" i="23" s="1"/>
  <c r="R59" i="23" s="1"/>
  <c r="O60" i="23" s="1"/>
  <c r="R60" i="23" s="1"/>
  <c r="O61" i="23" s="1"/>
  <c r="R61" i="23" s="1"/>
  <c r="O62" i="23" s="1"/>
  <c r="R62" i="23" s="1"/>
  <c r="O63" i="23" s="1"/>
  <c r="R63" i="23" s="1"/>
  <c r="O64" i="23" s="1"/>
  <c r="R64" i="23" s="1"/>
  <c r="O65" i="23" s="1"/>
  <c r="R65" i="23" s="1"/>
  <c r="O66" i="23" s="1"/>
  <c r="R66" i="23" s="1"/>
  <c r="O67" i="23" s="1"/>
  <c r="R67" i="23" s="1"/>
  <c r="O68" i="23" s="1"/>
  <c r="R68" i="23" s="1"/>
  <c r="O69" i="23" s="1"/>
  <c r="R69" i="23" s="1"/>
  <c r="O70" i="23" s="1"/>
  <c r="R70" i="23" s="1"/>
  <c r="O71" i="23" s="1"/>
  <c r="R71" i="23" s="1"/>
  <c r="O72" i="23" s="1"/>
  <c r="R72" i="23" s="1"/>
  <c r="O73" i="23" s="1"/>
  <c r="R73" i="23" s="1"/>
  <c r="O74" i="23" s="1"/>
  <c r="R74" i="23" s="1"/>
  <c r="O75" i="23" s="1"/>
  <c r="R75" i="23" s="1"/>
  <c r="O76" i="23" s="1"/>
  <c r="R76" i="23" s="1"/>
  <c r="O77" i="23" s="1"/>
  <c r="R77" i="23" s="1"/>
  <c r="O78" i="23" s="1"/>
  <c r="R78" i="23" s="1"/>
  <c r="O79" i="23" s="1"/>
  <c r="R79" i="23" s="1"/>
  <c r="O80" i="23" s="1"/>
  <c r="R80" i="23" s="1"/>
  <c r="O81" i="23" s="1"/>
  <c r="R81" i="23" s="1"/>
  <c r="O82" i="23" s="1"/>
  <c r="R82" i="23" s="1"/>
  <c r="O83" i="23" s="1"/>
  <c r="R83" i="23" s="1"/>
  <c r="O84" i="23" s="1"/>
  <c r="R84" i="23" s="1"/>
  <c r="O85" i="23" s="1"/>
  <c r="R85" i="23" s="1"/>
  <c r="O86" i="23" s="1"/>
  <c r="R86" i="23" s="1"/>
  <c r="O87" i="23" s="1"/>
  <c r="R87" i="23" s="1"/>
  <c r="O88" i="23" s="1"/>
  <c r="R88" i="23" s="1"/>
  <c r="O89" i="23" s="1"/>
  <c r="R89" i="23" s="1"/>
  <c r="O90" i="23" s="1"/>
  <c r="R90" i="23" s="1"/>
  <c r="O91" i="23" s="1"/>
  <c r="R91" i="23" s="1"/>
  <c r="O92" i="23" s="1"/>
  <c r="R92" i="23" s="1"/>
  <c r="O93" i="23" s="1"/>
  <c r="R93" i="23" s="1"/>
  <c r="O94" i="23" s="1"/>
  <c r="R94" i="23" s="1"/>
  <c r="O95" i="23" s="1"/>
  <c r="R95" i="23" s="1"/>
  <c r="BP60" i="3"/>
  <c r="AM60" i="3"/>
  <c r="N63" i="3"/>
  <c r="O58" i="3" s="1"/>
  <c r="O63" i="3" s="1"/>
  <c r="P58" i="3" s="1"/>
  <c r="P63" i="3" s="1"/>
  <c r="Q58" i="3" s="1"/>
  <c r="Q63" i="3" s="1"/>
  <c r="R58" i="3" s="1"/>
  <c r="R63" i="3" s="1"/>
  <c r="S58" i="3" s="1"/>
  <c r="S63" i="3" s="1"/>
  <c r="T58" i="3" s="1"/>
  <c r="BL60" i="3"/>
  <c r="BV80" i="3"/>
  <c r="BV62" i="3" s="1"/>
  <c r="AL60" i="3"/>
  <c r="BM60" i="3"/>
  <c r="BM80" i="3"/>
  <c r="BM62" i="3" s="1"/>
  <c r="BG80" i="3"/>
  <c r="BG62" i="3" s="1"/>
  <c r="AP60" i="3"/>
  <c r="AY60" i="3"/>
  <c r="BY60" i="3"/>
  <c r="BS80" i="3"/>
  <c r="BS62" i="3" s="1"/>
  <c r="AX60" i="3"/>
  <c r="BO60" i="3"/>
  <c r="BK80" i="3"/>
  <c r="BK62" i="3" s="1"/>
  <c r="BA60" i="3"/>
  <c r="AR80" i="3"/>
  <c r="AR62" i="3" s="1"/>
  <c r="AR60" i="3"/>
  <c r="BF60" i="3"/>
  <c r="AS60" i="3"/>
  <c r="AS80" i="3"/>
  <c r="AS62" i="3" s="1"/>
  <c r="BN60" i="3"/>
  <c r="AH80" i="3"/>
  <c r="AH62" i="3" s="1"/>
  <c r="AN80" i="3"/>
  <c r="AN62" i="3" s="1"/>
  <c r="BQ80" i="3"/>
  <c r="BQ62" i="3" s="1"/>
  <c r="AW60" i="3"/>
  <c r="BC60" i="3"/>
  <c r="AO60" i="3"/>
  <c r="AM80" i="3"/>
  <c r="AM62" i="3" s="1"/>
  <c r="AN60" i="3"/>
  <c r="AE60" i="3"/>
  <c r="BN80" i="3"/>
  <c r="BN62" i="3" s="1"/>
  <c r="AB80" i="3"/>
  <c r="AB62" i="3" s="1"/>
  <c r="AF80" i="3"/>
  <c r="AF62" i="3" s="1"/>
  <c r="BJ60" i="3"/>
  <c r="BO80" i="3"/>
  <c r="BO62" i="3" s="1"/>
  <c r="J17" i="6"/>
  <c r="J18" i="6" s="1"/>
  <c r="G6" i="3" s="1" a="1"/>
  <c r="G6" i="3" s="1"/>
  <c r="G43" i="3"/>
  <c r="H39" i="3" s="1"/>
  <c r="H40" i="3" s="1"/>
  <c r="E13" i="23" s="1" a="1"/>
  <c r="E13" i="23" s="1"/>
  <c r="H13" i="23" s="1"/>
  <c r="D14" i="23" s="1"/>
  <c r="F10" i="32"/>
  <c r="G13" i="32"/>
  <c r="ED10" i="3"/>
  <c r="ED29" i="3" s="1"/>
  <c r="ED34" i="3" s="1"/>
  <c r="ED35" i="3" s="1"/>
  <c r="EG10" i="3"/>
  <c r="EG29" i="3" s="1"/>
  <c r="EG34" i="3" s="1"/>
  <c r="EG35" i="3" s="1"/>
  <c r="EE10" i="3"/>
  <c r="EE29" i="3" s="1"/>
  <c r="EE34" i="3" s="1"/>
  <c r="EE35" i="3" s="1"/>
  <c r="EC10" i="3"/>
  <c r="EC29" i="3" s="1"/>
  <c r="EC34" i="3" s="1"/>
  <c r="EC35" i="3" s="1"/>
  <c r="EB10" i="3"/>
  <c r="EB29" i="3" s="1"/>
  <c r="EB34" i="3" s="1"/>
  <c r="EB35" i="3" s="1"/>
  <c r="DZ10" i="3"/>
  <c r="DZ29" i="3" s="1"/>
  <c r="DZ34" i="3" s="1"/>
  <c r="EA10" i="3"/>
  <c r="EA29" i="3" s="1"/>
  <c r="EA34" i="3" s="1"/>
  <c r="CZ8" i="3" a="1"/>
  <c r="CZ8" i="3" s="1"/>
  <c r="DA8" i="3" a="1"/>
  <c r="DA8" i="3" s="1"/>
  <c r="DA10" i="3" s="1"/>
  <c r="DA29" i="3" s="1"/>
  <c r="EI8" i="3" a="1"/>
  <c r="EI8" i="3" s="1"/>
  <c r="EH10" i="3"/>
  <c r="EH29" i="3" s="1"/>
  <c r="DY10" i="3"/>
  <c r="DY29" i="3" s="1"/>
  <c r="DX10" i="3"/>
  <c r="DX29" i="3" s="1"/>
  <c r="CZ6" i="3" a="1"/>
  <c r="CZ6" i="3" s="1"/>
  <c r="EI6" i="3" a="1"/>
  <c r="EI6" i="3" s="1"/>
  <c r="EF10" i="3"/>
  <c r="EF29" i="3" s="1"/>
  <c r="DW10" i="3"/>
  <c r="DW29" i="3" s="1"/>
  <c r="T63" i="3" l="1"/>
  <c r="U58" i="3" s="1"/>
  <c r="U63" i="3" s="1"/>
  <c r="V58" i="3" s="1"/>
  <c r="V63" i="3" s="1"/>
  <c r="W58" i="3" s="1"/>
  <c r="W63" i="3" s="1"/>
  <c r="X58" i="3" s="1"/>
  <c r="X63" i="3" s="1"/>
  <c r="Y58" i="3" s="1"/>
  <c r="Y63" i="3" s="1"/>
  <c r="Z58" i="3" s="1"/>
  <c r="Z63" i="3" s="1"/>
  <c r="AA58" i="3" s="1"/>
  <c r="AA63" i="3" s="1"/>
  <c r="AB58" i="3" s="1"/>
  <c r="AB63" i="3" s="1"/>
  <c r="AC58" i="3" s="1"/>
  <c r="AC63" i="3" s="1"/>
  <c r="AD58" i="3" s="1"/>
  <c r="AD63" i="3" s="1"/>
  <c r="AE58" i="3" s="1"/>
  <c r="AE63" i="3" s="1"/>
  <c r="AF58" i="3" s="1"/>
  <c r="AF63" i="3" s="1"/>
  <c r="AG58" i="3" s="1"/>
  <c r="AG63" i="3" s="1"/>
  <c r="AH58" i="3" s="1"/>
  <c r="AH63" i="3" s="1"/>
  <c r="AI58" i="3" s="1"/>
  <c r="AI63" i="3" s="1"/>
  <c r="AJ58" i="3" s="1"/>
  <c r="AJ63" i="3" s="1"/>
  <c r="AK58" i="3" s="1"/>
  <c r="AK63" i="3" s="1"/>
  <c r="AL58" i="3" s="1"/>
  <c r="AL63" i="3" s="1"/>
  <c r="AM58" i="3" s="1"/>
  <c r="AM63" i="3" s="1"/>
  <c r="AN58" i="3" s="1"/>
  <c r="AN63" i="3" s="1"/>
  <c r="AO58" i="3" s="1"/>
  <c r="AO63" i="3" s="1"/>
  <c r="AP58" i="3" s="1"/>
  <c r="AP63" i="3" s="1"/>
  <c r="AQ58" i="3" s="1"/>
  <c r="AQ63" i="3" s="1"/>
  <c r="AR58" i="3" s="1"/>
  <c r="AR63" i="3" s="1"/>
  <c r="AS58" i="3" s="1"/>
  <c r="AS63" i="3" s="1"/>
  <c r="AT58" i="3" s="1"/>
  <c r="AT63" i="3" s="1"/>
  <c r="AU58" i="3" s="1"/>
  <c r="AU63" i="3" s="1"/>
  <c r="AV58" i="3" s="1"/>
  <c r="AV63" i="3" s="1"/>
  <c r="AW58" i="3" s="1"/>
  <c r="AW63" i="3" s="1"/>
  <c r="AX58" i="3" s="1"/>
  <c r="AX63" i="3" s="1"/>
  <c r="AY58" i="3" s="1"/>
  <c r="AY63" i="3" s="1"/>
  <c r="AZ58" i="3" s="1"/>
  <c r="AZ63" i="3" s="1"/>
  <c r="BA58" i="3" s="1"/>
  <c r="BA63" i="3" s="1"/>
  <c r="BB58" i="3" s="1"/>
  <c r="BB63" i="3" s="1"/>
  <c r="BC58" i="3" s="1"/>
  <c r="BC63" i="3" s="1"/>
  <c r="BD58" i="3" s="1"/>
  <c r="BD63" i="3" s="1"/>
  <c r="BE58" i="3" s="1"/>
  <c r="BE63" i="3" s="1"/>
  <c r="BF58" i="3" s="1"/>
  <c r="BF63" i="3" s="1"/>
  <c r="BG58" i="3" s="1"/>
  <c r="BG63" i="3" s="1"/>
  <c r="BH58" i="3" s="1"/>
  <c r="BH63" i="3" s="1"/>
  <c r="BI58" i="3" s="1"/>
  <c r="BI63" i="3" s="1"/>
  <c r="BJ58" i="3" s="1"/>
  <c r="BJ63" i="3" s="1"/>
  <c r="BK58" i="3" s="1"/>
  <c r="BK63" i="3" s="1"/>
  <c r="BL58" i="3" s="1"/>
  <c r="BL63" i="3" s="1"/>
  <c r="BM58" i="3" s="1"/>
  <c r="BM63" i="3" s="1"/>
  <c r="BN58" i="3" s="1"/>
  <c r="BN63" i="3" s="1"/>
  <c r="BO58" i="3" s="1"/>
  <c r="G10" i="3"/>
  <c r="G29" i="3" s="1"/>
  <c r="G35" i="3" s="1"/>
  <c r="G45" i="3" s="1"/>
  <c r="H13" i="32"/>
  <c r="J13" i="32"/>
  <c r="K13" i="32"/>
  <c r="I13" i="32"/>
  <c r="G14" i="23"/>
  <c r="I76" i="3" s="1"/>
  <c r="I47" i="3" s="1"/>
  <c r="H42" i="3"/>
  <c r="H48" i="3" s="1"/>
  <c r="B8" i="3"/>
  <c r="CZ10" i="3"/>
  <c r="CZ29" i="3" s="1"/>
  <c r="CZ34" i="3" s="1"/>
  <c r="CZ35" i="3" s="1"/>
  <c r="EI10" i="3"/>
  <c r="EI29" i="3" s="1"/>
  <c r="EI34" i="3" s="1"/>
  <c r="EI35" i="3" s="1"/>
  <c r="DW34" i="3"/>
  <c r="EF34" i="3"/>
  <c r="EF35" i="3" s="1"/>
  <c r="DY34" i="3"/>
  <c r="DY35" i="3" s="1"/>
  <c r="EH34" i="3"/>
  <c r="EH35" i="3" s="1"/>
  <c r="B6" i="3"/>
  <c r="DX34" i="3"/>
  <c r="DX35" i="3" s="1"/>
  <c r="DA34" i="3"/>
  <c r="DZ35" i="3"/>
  <c r="EA35" i="3"/>
  <c r="G28" i="3" l="1"/>
  <c r="H45" i="3"/>
  <c r="H43" i="3"/>
  <c r="I39" i="3" s="1"/>
  <c r="I40" i="3" s="1"/>
  <c r="E14" i="23" s="1" a="1"/>
  <c r="E14" i="23" s="1"/>
  <c r="H14" i="23" s="1"/>
  <c r="D15" i="23" s="1"/>
  <c r="B10" i="3"/>
  <c r="F29" i="3"/>
  <c r="DA35" i="3"/>
  <c r="DW35" i="3"/>
  <c r="F30" i="3" l="1"/>
  <c r="F32" i="3" s="1"/>
  <c r="G48" i="3"/>
  <c r="F31" i="3"/>
  <c r="G15" i="23"/>
  <c r="J76" i="3" s="1"/>
  <c r="J47" i="3" s="1"/>
  <c r="I42" i="3"/>
  <c r="I48" i="3" s="1"/>
  <c r="K21" i="32" l="1"/>
  <c r="I43" i="3"/>
  <c r="J39" i="3" s="1"/>
  <c r="J40" i="3" s="1"/>
  <c r="E15" i="23" s="1" a="1"/>
  <c r="E15" i="23" s="1"/>
  <c r="H15" i="23" s="1"/>
  <c r="D16" i="23" s="1"/>
  <c r="I45" i="3"/>
  <c r="G16" i="23" l="1"/>
  <c r="K76" i="3" s="1"/>
  <c r="K47" i="3" s="1"/>
  <c r="J42" i="3" l="1"/>
  <c r="J48" i="3" s="1"/>
  <c r="J43" i="3" l="1"/>
  <c r="K39" i="3" s="1"/>
  <c r="K40" i="3" s="1"/>
  <c r="E16" i="23" s="1" a="1"/>
  <c r="E16" i="23" s="1"/>
  <c r="H16" i="23" s="1"/>
  <c r="D17" i="23" s="1"/>
  <c r="J45" i="3"/>
  <c r="G17" i="23" l="1"/>
  <c r="L76" i="3" s="1"/>
  <c r="L47" i="3" s="1"/>
  <c r="K42" i="3"/>
  <c r="K48" i="3" s="1"/>
  <c r="K45" i="3" l="1"/>
  <c r="K43" i="3"/>
  <c r="L39" i="3" s="1"/>
  <c r="L40" i="3" l="1"/>
  <c r="E17" i="23" s="1" a="1"/>
  <c r="E17" i="23" s="1"/>
  <c r="H17" i="23" s="1"/>
  <c r="D18" i="23" s="1"/>
  <c r="G18" i="23" l="1"/>
  <c r="M76" i="3" s="1"/>
  <c r="M47" i="3" s="1"/>
  <c r="L42" i="3"/>
  <c r="L48" i="3" s="1"/>
  <c r="L43" i="3" l="1"/>
  <c r="M39" i="3" s="1"/>
  <c r="M40" i="3" s="1"/>
  <c r="E18" i="23" s="1" a="1"/>
  <c r="E18" i="23" s="1"/>
  <c r="H18" i="23" s="1"/>
  <c r="D19" i="23" s="1"/>
  <c r="L45" i="3"/>
  <c r="G19" i="23" l="1"/>
  <c r="N76" i="3" s="1"/>
  <c r="N47" i="3" s="1"/>
  <c r="M42" i="3"/>
  <c r="M48" i="3" s="1"/>
  <c r="M43" i="3" l="1"/>
  <c r="N39" i="3" s="1"/>
  <c r="N40" i="3" s="1"/>
  <c r="E19" i="23" s="1" a="1"/>
  <c r="E19" i="23" s="1"/>
  <c r="H19" i="23" s="1"/>
  <c r="D20" i="23" s="1"/>
  <c r="M45" i="3"/>
  <c r="G20" i="23" l="1"/>
  <c r="O76" i="3" s="1"/>
  <c r="O47" i="3" s="1"/>
  <c r="N42" i="3"/>
  <c r="N48" i="3" s="1"/>
  <c r="N43" i="3" l="1"/>
  <c r="O39" i="3" s="1"/>
  <c r="O40" i="3" s="1"/>
  <c r="E20" i="23" s="1" a="1"/>
  <c r="E20" i="23" s="1"/>
  <c r="H20" i="23" s="1"/>
  <c r="D21" i="23" s="1"/>
  <c r="N45" i="3"/>
  <c r="G21" i="23" l="1"/>
  <c r="P76" i="3" s="1"/>
  <c r="P47" i="3" s="1"/>
  <c r="O42" i="3"/>
  <c r="O48" i="3" s="1"/>
  <c r="O43" i="3" l="1"/>
  <c r="P39" i="3" s="1"/>
  <c r="P40" i="3" s="1"/>
  <c r="E21" i="23" s="1" a="1"/>
  <c r="E21" i="23" s="1"/>
  <c r="H21" i="23" s="1"/>
  <c r="D22" i="23" s="1"/>
  <c r="O45" i="3"/>
  <c r="G22" i="23" l="1"/>
  <c r="Q76" i="3" s="1"/>
  <c r="Q47" i="3" s="1"/>
  <c r="P42" i="3" l="1"/>
  <c r="P48" i="3" s="1"/>
  <c r="P45" i="3" l="1"/>
  <c r="P43" i="3"/>
  <c r="Q39" i="3" s="1"/>
  <c r="Q40" i="3" s="1"/>
  <c r="E22" i="23" s="1" a="1"/>
  <c r="E22" i="23" s="1"/>
  <c r="H22" i="23" s="1"/>
  <c r="D23" i="23" s="1"/>
  <c r="G23" i="23" l="1"/>
  <c r="R76" i="3" s="1"/>
  <c r="R47" i="3" s="1"/>
  <c r="Q42" i="3"/>
  <c r="Q48" i="3" s="1"/>
  <c r="Q43" i="3" l="1"/>
  <c r="R39" i="3" s="1"/>
  <c r="R40" i="3" s="1"/>
  <c r="E23" i="23" s="1" a="1"/>
  <c r="E23" i="23" s="1"/>
  <c r="H23" i="23" s="1"/>
  <c r="D24" i="23" s="1"/>
  <c r="Q45" i="3"/>
  <c r="G24" i="23" l="1"/>
  <c r="S76" i="3" s="1"/>
  <c r="S47" i="3" s="1"/>
  <c r="R42" i="3" l="1"/>
  <c r="R48" i="3" s="1"/>
  <c r="R43" i="3" l="1"/>
  <c r="S39" i="3" s="1"/>
  <c r="S40" i="3" s="1"/>
  <c r="E24" i="23" s="1" a="1"/>
  <c r="E24" i="23" s="1"/>
  <c r="H24" i="23" s="1"/>
  <c r="D25" i="23" s="1"/>
  <c r="R45" i="3"/>
  <c r="G25" i="23" l="1"/>
  <c r="T76" i="3" s="1"/>
  <c r="T47" i="3" s="1"/>
  <c r="S42" i="3"/>
  <c r="S48" i="3" s="1"/>
  <c r="S45" i="3" l="1"/>
  <c r="S43" i="3"/>
  <c r="T39" i="3" s="1"/>
  <c r="T40" i="3" s="1"/>
  <c r="E25" i="23" s="1" a="1"/>
  <c r="E25" i="23" s="1"/>
  <c r="H25" i="23" s="1"/>
  <c r="D26" i="23" s="1"/>
  <c r="G26" i="23" l="1"/>
  <c r="U76" i="3" s="1"/>
  <c r="U47" i="3" s="1"/>
  <c r="T42" i="3"/>
  <c r="T48" i="3" s="1"/>
  <c r="T43" i="3" l="1"/>
  <c r="U39" i="3" s="1"/>
  <c r="U40" i="3" s="1"/>
  <c r="E26" i="23" s="1" a="1"/>
  <c r="E26" i="23" s="1"/>
  <c r="H26" i="23" s="1"/>
  <c r="D27" i="23" s="1"/>
  <c r="T45" i="3"/>
  <c r="G27" i="23" l="1"/>
  <c r="V76" i="3" s="1"/>
  <c r="V47" i="3" s="1"/>
  <c r="U42" i="3"/>
  <c r="U48" i="3" s="1"/>
  <c r="U45" i="3" l="1"/>
  <c r="U43" i="3"/>
  <c r="V39" i="3" s="1"/>
  <c r="V40" i="3" s="1"/>
  <c r="E27" i="23" s="1" a="1"/>
  <c r="E27" i="23" s="1"/>
  <c r="H27" i="23" s="1"/>
  <c r="D28" i="23" s="1"/>
  <c r="G28" i="23" l="1"/>
  <c r="W76" i="3" s="1"/>
  <c r="W47" i="3" s="1"/>
  <c r="V42" i="3"/>
  <c r="V48" i="3" s="1"/>
  <c r="V43" i="3" l="1"/>
  <c r="W39" i="3" s="1"/>
  <c r="W40" i="3" s="1"/>
  <c r="E28" i="23" s="1" a="1"/>
  <c r="E28" i="23" s="1"/>
  <c r="H28" i="23" s="1"/>
  <c r="D29" i="23" s="1"/>
  <c r="V45" i="3"/>
  <c r="G29" i="23" l="1"/>
  <c r="X76" i="3" s="1"/>
  <c r="X47" i="3" s="1"/>
  <c r="W42" i="3"/>
  <c r="W48" i="3" s="1"/>
  <c r="W45" i="3" l="1"/>
  <c r="W43" i="3"/>
  <c r="X39" i="3" s="1"/>
  <c r="X40" i="3" s="1"/>
  <c r="E29" i="23" s="1" a="1"/>
  <c r="E29" i="23" s="1"/>
  <c r="H29" i="23" s="1"/>
  <c r="D30" i="23" s="1"/>
  <c r="G30" i="23" l="1"/>
  <c r="Y76" i="3" s="1"/>
  <c r="Y47" i="3" s="1"/>
  <c r="X42" i="3"/>
  <c r="X48" i="3" s="1"/>
  <c r="X43" i="3" l="1"/>
  <c r="Y39" i="3" s="1"/>
  <c r="X45" i="3"/>
  <c r="Y40" i="3" l="1"/>
  <c r="Y42" i="3" l="1"/>
  <c r="Y48" i="3" s="1"/>
  <c r="E30" i="23" a="1"/>
  <c r="E30" i="23" s="1"/>
  <c r="H30" i="23" s="1"/>
  <c r="D31" i="23" s="1"/>
  <c r="G31" i="23" s="1"/>
  <c r="Z76" i="3" s="1"/>
  <c r="Z47" i="3" s="1"/>
  <c r="Y45" i="3" l="1"/>
  <c r="Y43" i="3"/>
  <c r="Z39" i="3" s="1"/>
  <c r="Z40" i="3" s="1"/>
  <c r="Z42" i="3" s="1"/>
  <c r="Z48" i="3" s="1"/>
  <c r="E31" i="23" l="1" a="1"/>
  <c r="E31" i="23" s="1"/>
  <c r="H31" i="23" s="1"/>
  <c r="D32" i="23" s="1"/>
  <c r="G32" i="23" s="1"/>
  <c r="AA76" i="3" s="1"/>
  <c r="AA47" i="3" s="1"/>
  <c r="Z45" i="3"/>
  <c r="Z43" i="3"/>
  <c r="AA39" i="3" s="1"/>
  <c r="AA40" i="3" s="1"/>
  <c r="E32" i="23" s="1" a="1"/>
  <c r="E32" i="23" s="1"/>
  <c r="H32" i="23" l="1"/>
  <c r="D33" i="23" s="1"/>
  <c r="G33" i="23" s="1"/>
  <c r="AB76" i="3" s="1"/>
  <c r="AB47" i="3" s="1"/>
  <c r="AA42" i="3"/>
  <c r="AA48" i="3" s="1"/>
  <c r="AA45" i="3" l="1"/>
  <c r="AA43" i="3"/>
  <c r="AB39" i="3" s="1"/>
  <c r="AB40" i="3" s="1"/>
  <c r="E33" i="23" s="1" a="1"/>
  <c r="E33" i="23" s="1"/>
  <c r="H33" i="23" s="1"/>
  <c r="D34" i="23" s="1"/>
  <c r="G34" i="23" s="1"/>
  <c r="AC76" i="3" s="1"/>
  <c r="AC47" i="3" s="1"/>
  <c r="AB42" i="3" l="1"/>
  <c r="AB48" i="3" s="1"/>
  <c r="AB45" i="3" l="1"/>
  <c r="AB43" i="3"/>
  <c r="AC39" i="3" s="1"/>
  <c r="AC40" i="3" s="1"/>
  <c r="E34" i="23" s="1" a="1"/>
  <c r="E34" i="23" s="1"/>
  <c r="H34" i="23" s="1"/>
  <c r="D35" i="23" s="1"/>
  <c r="G35" i="23" s="1"/>
  <c r="AD76" i="3" s="1"/>
  <c r="AD47" i="3" s="1"/>
  <c r="AC42" i="3" l="1"/>
  <c r="AC48" i="3" s="1"/>
  <c r="AC45" i="3" l="1"/>
  <c r="AC43" i="3"/>
  <c r="AD39" i="3" s="1"/>
  <c r="AD40" i="3" s="1"/>
  <c r="E35" i="23" s="1" a="1"/>
  <c r="E35" i="23" s="1"/>
  <c r="H35" i="23" s="1"/>
  <c r="D36" i="23" s="1"/>
  <c r="G36" i="23" s="1"/>
  <c r="AE76" i="3" s="1"/>
  <c r="AE47" i="3" s="1"/>
  <c r="AD42" i="3" l="1"/>
  <c r="AD48" i="3" s="1"/>
  <c r="AD45" i="3" l="1"/>
  <c r="AD43" i="3"/>
  <c r="AE39" i="3" s="1"/>
  <c r="AE40" i="3" s="1"/>
  <c r="E36" i="23" s="1" a="1"/>
  <c r="E36" i="23" s="1"/>
  <c r="H36" i="23" s="1"/>
  <c r="D37" i="23" s="1"/>
  <c r="G37" i="23" s="1"/>
  <c r="AF76" i="3" s="1"/>
  <c r="AF47" i="3" s="1"/>
  <c r="AE42" i="3" l="1"/>
  <c r="AE48" i="3" s="1"/>
  <c r="AE45" i="3" l="1"/>
  <c r="AE43" i="3"/>
  <c r="AF39" i="3" s="1"/>
  <c r="AF40" i="3" s="1"/>
  <c r="E37" i="23" s="1" a="1"/>
  <c r="E37" i="23" s="1"/>
  <c r="H37" i="23" s="1"/>
  <c r="D38" i="23" s="1"/>
  <c r="G38" i="23" s="1"/>
  <c r="AG76" i="3" s="1"/>
  <c r="AG47" i="3" s="1"/>
  <c r="G9" i="32" l="1"/>
  <c r="H9" i="32"/>
  <c r="D73" i="23"/>
  <c r="AF42" i="3"/>
  <c r="AF48" i="3" s="1"/>
  <c r="D74" i="23" l="1"/>
  <c r="AF45" i="3"/>
  <c r="AF43" i="3"/>
  <c r="AG39" i="3" s="1"/>
  <c r="AG40" i="3" s="1"/>
  <c r="E38" i="23" s="1" a="1"/>
  <c r="E38" i="23" s="1"/>
  <c r="H38" i="23" s="1"/>
  <c r="D39" i="23" s="1"/>
  <c r="G39" i="23" s="1"/>
  <c r="AH76" i="3" s="1"/>
  <c r="AH47" i="3" s="1"/>
  <c r="D75" i="23" l="1"/>
  <c r="AG42" i="3"/>
  <c r="AG48" i="3" s="1"/>
  <c r="D76" i="23" l="1"/>
  <c r="AG45" i="3"/>
  <c r="AG43" i="3"/>
  <c r="AH39" i="3" s="1"/>
  <c r="AH40" i="3" s="1"/>
  <c r="E39" i="23" s="1" a="1"/>
  <c r="E39" i="23" s="1"/>
  <c r="H39" i="23" s="1"/>
  <c r="D40" i="23" s="1"/>
  <c r="G40" i="23" s="1"/>
  <c r="AI76" i="3" s="1"/>
  <c r="AI47" i="3" s="1"/>
  <c r="D77" i="23" l="1"/>
  <c r="AH42" i="3"/>
  <c r="AH48" i="3" s="1"/>
  <c r="D78" i="23" l="1"/>
  <c r="AH45" i="3"/>
  <c r="AH43" i="3"/>
  <c r="AI39" i="3" s="1"/>
  <c r="AI40" i="3" s="1"/>
  <c r="E40" i="23" s="1" a="1"/>
  <c r="E40" i="23" s="1"/>
  <c r="H40" i="23" s="1"/>
  <c r="D41" i="23" s="1"/>
  <c r="G41" i="23" s="1"/>
  <c r="AJ76" i="3" s="1"/>
  <c r="AJ47" i="3" s="1"/>
  <c r="D79" i="23" l="1"/>
  <c r="AI42" i="3"/>
  <c r="AI48" i="3" s="1"/>
  <c r="D80" i="23" l="1"/>
  <c r="AI45" i="3"/>
  <c r="AI43" i="3"/>
  <c r="AJ39" i="3" s="1"/>
  <c r="AJ40" i="3" s="1"/>
  <c r="E41" i="23" s="1" a="1"/>
  <c r="E41" i="23" s="1"/>
  <c r="H41" i="23" s="1"/>
  <c r="D42" i="23" s="1"/>
  <c r="G42" i="23" s="1"/>
  <c r="AK76" i="3" s="1"/>
  <c r="AK47" i="3" s="1"/>
  <c r="D81" i="23" l="1"/>
  <c r="AJ42" i="3"/>
  <c r="AJ48" i="3" s="1"/>
  <c r="D82" i="23" l="1"/>
  <c r="AJ45" i="3"/>
  <c r="AJ43" i="3"/>
  <c r="AK39" i="3" s="1"/>
  <c r="AK40" i="3" s="1"/>
  <c r="E42" i="23" s="1" a="1"/>
  <c r="E42" i="23" s="1"/>
  <c r="H42" i="23" s="1"/>
  <c r="D43" i="23" s="1"/>
  <c r="G43" i="23" s="1"/>
  <c r="AL76" i="3" s="1"/>
  <c r="AL47" i="3" s="1"/>
  <c r="D83" i="23" l="1"/>
  <c r="AK42" i="3"/>
  <c r="AK48" i="3" s="1"/>
  <c r="D84" i="23" l="1"/>
  <c r="AK45" i="3"/>
  <c r="AK43" i="3"/>
  <c r="AL39" i="3" s="1"/>
  <c r="AL40" i="3" s="1"/>
  <c r="E43" i="23" s="1" a="1"/>
  <c r="E43" i="23" s="1"/>
  <c r="H43" i="23" s="1"/>
  <c r="D44" i="23" s="1"/>
  <c r="G44" i="23" s="1"/>
  <c r="AM76" i="3" s="1"/>
  <c r="AM47" i="3" s="1"/>
  <c r="D85" i="23" l="1"/>
  <c r="AL42" i="3"/>
  <c r="AL48" i="3" s="1"/>
  <c r="D86" i="23" l="1"/>
  <c r="AL45" i="3"/>
  <c r="AL43" i="3"/>
  <c r="AM39" i="3" s="1"/>
  <c r="AM40" i="3" s="1"/>
  <c r="E44" i="23" s="1" a="1"/>
  <c r="E44" i="23" s="1"/>
  <c r="H44" i="23" s="1"/>
  <c r="D45" i="23" s="1"/>
  <c r="G45" i="23" s="1"/>
  <c r="AN76" i="3" s="1"/>
  <c r="AN47" i="3" s="1"/>
  <c r="D87" i="23" l="1"/>
  <c r="AM42" i="3"/>
  <c r="AM48" i="3" s="1"/>
  <c r="D88" i="23" l="1"/>
  <c r="AM45" i="3"/>
  <c r="AM43" i="3"/>
  <c r="AN39" i="3" s="1"/>
  <c r="AN40" i="3" s="1"/>
  <c r="E45" i="23" s="1" a="1"/>
  <c r="E45" i="23" s="1"/>
  <c r="H45" i="23" s="1"/>
  <c r="D46" i="23" s="1"/>
  <c r="G46" i="23" s="1"/>
  <c r="AO76" i="3" s="1"/>
  <c r="AO47" i="3" s="1"/>
  <c r="D89" i="23" l="1"/>
  <c r="AN42" i="3"/>
  <c r="AN48" i="3" s="1"/>
  <c r="D90" i="23" l="1"/>
  <c r="AN45" i="3"/>
  <c r="AN43" i="3"/>
  <c r="AO39" i="3" s="1"/>
  <c r="AO40" i="3" s="1"/>
  <c r="E46" i="23" s="1" a="1"/>
  <c r="E46" i="23" s="1"/>
  <c r="H46" i="23" s="1"/>
  <c r="D47" i="23" s="1"/>
  <c r="G47" i="23" s="1"/>
  <c r="AP76" i="3" s="1"/>
  <c r="AP47" i="3" s="1"/>
  <c r="D91" i="23" l="1"/>
  <c r="AO42" i="3"/>
  <c r="AO48" i="3" s="1"/>
  <c r="D92" i="23" l="1"/>
  <c r="AO45" i="3"/>
  <c r="AO43" i="3"/>
  <c r="AP39" i="3" s="1"/>
  <c r="AP40" i="3" s="1"/>
  <c r="E47" i="23" s="1" a="1"/>
  <c r="E47" i="23" s="1"/>
  <c r="H47" i="23" s="1"/>
  <c r="D48" i="23" s="1"/>
  <c r="G48" i="23" s="1"/>
  <c r="AQ76" i="3" s="1"/>
  <c r="AQ47" i="3" s="1"/>
  <c r="I9" i="32" s="1"/>
  <c r="D93" i="23" l="1"/>
  <c r="AP42" i="3"/>
  <c r="AP48" i="3" s="1"/>
  <c r="D94" i="23" l="1"/>
  <c r="AP45" i="3"/>
  <c r="AP43" i="3"/>
  <c r="AQ39" i="3" s="1"/>
  <c r="AQ40" i="3" s="1"/>
  <c r="E48" i="23" s="1" a="1"/>
  <c r="E48" i="23" s="1"/>
  <c r="H48" i="23" s="1"/>
  <c r="D49" i="23" s="1"/>
  <c r="G49" i="23" s="1"/>
  <c r="AR76" i="3" s="1"/>
  <c r="AR47" i="3" s="1"/>
  <c r="D95" i="23" l="1"/>
  <c r="AQ42" i="3"/>
  <c r="AQ48" i="3" s="1"/>
  <c r="D96" i="23" l="1"/>
  <c r="AQ45" i="3"/>
  <c r="AQ43" i="3"/>
  <c r="AR39" i="3" s="1"/>
  <c r="AR40" i="3" s="1"/>
  <c r="E49" i="23" s="1" a="1"/>
  <c r="E49" i="23" s="1"/>
  <c r="H49" i="23" s="1"/>
  <c r="D50" i="23" s="1"/>
  <c r="G50" i="23" s="1"/>
  <c r="AS76" i="3" s="1"/>
  <c r="AS47" i="3" s="1"/>
  <c r="D97" i="23" l="1"/>
  <c r="AR42" i="3"/>
  <c r="AR48" i="3" s="1"/>
  <c r="D98" i="23" l="1"/>
  <c r="AR45" i="3"/>
  <c r="AR43" i="3"/>
  <c r="AS39" i="3" s="1"/>
  <c r="AS40" i="3" s="1"/>
  <c r="E50" i="23" s="1" a="1"/>
  <c r="E50" i="23" s="1"/>
  <c r="H50" i="23" s="1"/>
  <c r="D51" i="23" s="1"/>
  <c r="G51" i="23" s="1"/>
  <c r="AT76" i="3" s="1"/>
  <c r="AT47" i="3" s="1"/>
  <c r="D99" i="23" l="1"/>
  <c r="AS42" i="3"/>
  <c r="AS48" i="3" s="1"/>
  <c r="D100" i="23" l="1"/>
  <c r="AS45" i="3"/>
  <c r="AS43" i="3"/>
  <c r="AT39" i="3" s="1"/>
  <c r="AT40" i="3" s="1"/>
  <c r="E51" i="23" s="1" a="1"/>
  <c r="E51" i="23" s="1"/>
  <c r="H51" i="23" s="1"/>
  <c r="D52" i="23" s="1"/>
  <c r="G52" i="23" s="1"/>
  <c r="AU76" i="3" s="1"/>
  <c r="AU47" i="3" s="1"/>
  <c r="D101" i="23" l="1"/>
  <c r="AT42" i="3"/>
  <c r="AT48" i="3" s="1"/>
  <c r="D102" i="23" l="1"/>
  <c r="AT45" i="3"/>
  <c r="AT43" i="3"/>
  <c r="AU39" i="3" s="1"/>
  <c r="AU40" i="3" s="1"/>
  <c r="E52" i="23" s="1" a="1"/>
  <c r="E52" i="23" s="1"/>
  <c r="H52" i="23" s="1"/>
  <c r="D53" i="23" s="1"/>
  <c r="G53" i="23" s="1"/>
  <c r="AV76" i="3" s="1"/>
  <c r="AV47" i="3" s="1"/>
  <c r="D103" i="23" l="1"/>
  <c r="AU42" i="3"/>
  <c r="AU48" i="3" s="1"/>
  <c r="D104" i="23" l="1"/>
  <c r="AU45" i="3"/>
  <c r="AU43" i="3"/>
  <c r="AV39" i="3" s="1"/>
  <c r="AV40" i="3" s="1"/>
  <c r="E53" i="23" s="1" a="1"/>
  <c r="E53" i="23" s="1"/>
  <c r="H53" i="23" s="1"/>
  <c r="D54" i="23" s="1"/>
  <c r="G54" i="23" s="1"/>
  <c r="AW76" i="3" s="1"/>
  <c r="AW47" i="3" s="1"/>
  <c r="D105" i="23" l="1"/>
  <c r="AV42" i="3"/>
  <c r="AV48" i="3" s="1"/>
  <c r="D106" i="23" l="1"/>
  <c r="AV45" i="3"/>
  <c r="AV43" i="3"/>
  <c r="AW39" i="3" s="1"/>
  <c r="AW40" i="3" s="1"/>
  <c r="E54" i="23" s="1" a="1"/>
  <c r="E54" i="23" s="1"/>
  <c r="H54" i="23" s="1"/>
  <c r="D55" i="23" s="1"/>
  <c r="G55" i="23" s="1"/>
  <c r="AX76" i="3" s="1"/>
  <c r="AX47" i="3" s="1"/>
  <c r="D107" i="23" l="1"/>
  <c r="AW42" i="3"/>
  <c r="AW48" i="3" s="1"/>
  <c r="D108" i="23" l="1"/>
  <c r="AW45" i="3"/>
  <c r="AW43" i="3"/>
  <c r="AX39" i="3" s="1"/>
  <c r="AX40" i="3" s="1"/>
  <c r="E55" i="23" s="1" a="1"/>
  <c r="E55" i="23" s="1"/>
  <c r="H55" i="23" s="1"/>
  <c r="D56" i="23" s="1"/>
  <c r="G56" i="23" s="1"/>
  <c r="AY76" i="3" s="1"/>
  <c r="AY47" i="3" s="1"/>
  <c r="AX42" i="3" l="1"/>
  <c r="AX48" i="3" s="1"/>
  <c r="AX45" i="3" l="1"/>
  <c r="AX43" i="3"/>
  <c r="AY39" i="3" s="1"/>
  <c r="AY40" i="3" s="1"/>
  <c r="E56" i="23" s="1" a="1"/>
  <c r="E56" i="23" s="1"/>
  <c r="H56" i="23" s="1"/>
  <c r="D57" i="23" s="1"/>
  <c r="G57" i="23" s="1"/>
  <c r="AZ76" i="3" s="1"/>
  <c r="AZ47" i="3" s="1"/>
  <c r="AY42" i="3" l="1"/>
  <c r="AY48" i="3" s="1"/>
  <c r="AY45" i="3" l="1"/>
  <c r="AY43" i="3"/>
  <c r="AZ39" i="3" s="1"/>
  <c r="AZ40" i="3" s="1"/>
  <c r="E57" i="23" s="1" a="1"/>
  <c r="E57" i="23" s="1"/>
  <c r="H57" i="23" s="1"/>
  <c r="D58" i="23" s="1"/>
  <c r="G58" i="23" s="1"/>
  <c r="BA76" i="3" s="1"/>
  <c r="BA47" i="3" s="1"/>
  <c r="AZ42" i="3" l="1"/>
  <c r="AZ48" i="3" s="1"/>
  <c r="AZ45" i="3" l="1"/>
  <c r="AZ43" i="3"/>
  <c r="BA39" i="3" s="1"/>
  <c r="BA40" i="3" s="1"/>
  <c r="E58" i="23" s="1" a="1"/>
  <c r="E58" i="23" s="1"/>
  <c r="H58" i="23" s="1"/>
  <c r="D59" i="23" s="1"/>
  <c r="G59" i="23" s="1"/>
  <c r="BB76" i="3" s="1"/>
  <c r="BB47" i="3" s="1"/>
  <c r="BA42" i="3" l="1"/>
  <c r="BA48" i="3" s="1"/>
  <c r="BA45" i="3" l="1"/>
  <c r="BA43" i="3"/>
  <c r="BB39" i="3" s="1"/>
  <c r="BB40" i="3" s="1"/>
  <c r="E59" i="23" s="1" a="1"/>
  <c r="E59" i="23" s="1"/>
  <c r="H59" i="23" s="1"/>
  <c r="D60" i="23" s="1"/>
  <c r="G60" i="23" s="1"/>
  <c r="BC76" i="3" s="1"/>
  <c r="BC47" i="3" s="1"/>
  <c r="BB42" i="3" l="1"/>
  <c r="BB48" i="3" s="1"/>
  <c r="BB45" i="3" l="1"/>
  <c r="BB43" i="3"/>
  <c r="BC39" i="3" s="1"/>
  <c r="BC40" i="3" s="1"/>
  <c r="E60" i="23" s="1" a="1"/>
  <c r="E60" i="23" s="1"/>
  <c r="H60" i="23" s="1"/>
  <c r="D61" i="23" s="1"/>
  <c r="G61" i="23" s="1"/>
  <c r="BD76" i="3" s="1"/>
  <c r="BD47" i="3" s="1"/>
  <c r="BC42" i="3" l="1"/>
  <c r="BC48" i="3" s="1"/>
  <c r="BC45" i="3" l="1"/>
  <c r="BC43" i="3"/>
  <c r="BD39" i="3" s="1"/>
  <c r="BD40" i="3" s="1"/>
  <c r="E61" i="23" s="1" a="1"/>
  <c r="E61" i="23" s="1"/>
  <c r="H61" i="23" s="1"/>
  <c r="D62" i="23" s="1"/>
  <c r="G62" i="23" s="1"/>
  <c r="BE76" i="3" s="1"/>
  <c r="BE47" i="3" s="1"/>
  <c r="BD42" i="3" l="1"/>
  <c r="BD48" i="3" s="1"/>
  <c r="BD45" i="3" l="1"/>
  <c r="BD43" i="3"/>
  <c r="BE39" i="3" s="1"/>
  <c r="BE40" i="3" s="1"/>
  <c r="E62" i="23" s="1" a="1"/>
  <c r="E62" i="23" s="1"/>
  <c r="H62" i="23" s="1"/>
  <c r="D63" i="23" s="1"/>
  <c r="G63" i="23" s="1"/>
  <c r="BF76" i="3" s="1"/>
  <c r="BF47" i="3" s="1"/>
  <c r="BE42" i="3" l="1"/>
  <c r="BE48" i="3" s="1"/>
  <c r="BE45" i="3" l="1"/>
  <c r="BE43" i="3"/>
  <c r="BF39" i="3" s="1"/>
  <c r="BF40" i="3" s="1"/>
  <c r="E63" i="23" s="1" a="1"/>
  <c r="E63" i="23" s="1"/>
  <c r="H63" i="23" s="1"/>
  <c r="D64" i="23" s="1"/>
  <c r="G64" i="23" s="1"/>
  <c r="BG76" i="3" s="1"/>
  <c r="BG47" i="3" s="1"/>
  <c r="BF42" i="3" l="1"/>
  <c r="BF48" i="3" s="1"/>
  <c r="BF45" i="3" l="1"/>
  <c r="BF43" i="3"/>
  <c r="BG39" i="3" s="1"/>
  <c r="BG40" i="3" s="1"/>
  <c r="E64" i="23" s="1" a="1"/>
  <c r="E64" i="23" s="1"/>
  <c r="H64" i="23" s="1"/>
  <c r="D65" i="23" s="1"/>
  <c r="G65" i="23" s="1"/>
  <c r="BH76" i="3" s="1"/>
  <c r="BH47" i="3" s="1"/>
  <c r="BG42" i="3" l="1"/>
  <c r="BG48" i="3" s="1"/>
  <c r="BG45" i="3" l="1"/>
  <c r="BG43" i="3"/>
  <c r="BH39" i="3" s="1"/>
  <c r="BH40" i="3" s="1"/>
  <c r="E65" i="23" s="1" a="1"/>
  <c r="E65" i="23" s="1"/>
  <c r="H65" i="23" s="1"/>
  <c r="D66" i="23" s="1"/>
  <c r="G66" i="23" s="1"/>
  <c r="BI76" i="3" s="1"/>
  <c r="BI47" i="3" s="1"/>
  <c r="BH42" i="3" l="1"/>
  <c r="BH48" i="3" s="1"/>
  <c r="BH45" i="3" l="1"/>
  <c r="BH43" i="3"/>
  <c r="BI39" i="3" s="1"/>
  <c r="BI40" i="3" s="1"/>
  <c r="E66" i="23" s="1" a="1"/>
  <c r="E66" i="23" s="1"/>
  <c r="H66" i="23" s="1"/>
  <c r="D67" i="23" s="1"/>
  <c r="G67" i="23" s="1"/>
  <c r="BJ76" i="3" s="1"/>
  <c r="BJ47" i="3" s="1"/>
  <c r="BI42" i="3" l="1"/>
  <c r="BI48" i="3" s="1"/>
  <c r="BI45" i="3" l="1"/>
  <c r="BI43" i="3"/>
  <c r="BJ39" i="3" s="1"/>
  <c r="BJ40" i="3" s="1"/>
  <c r="E67" i="23" s="1" a="1"/>
  <c r="E67" i="23" s="1"/>
  <c r="H67" i="23" s="1"/>
  <c r="D68" i="23" s="1"/>
  <c r="G68" i="23" s="1"/>
  <c r="BK76" i="3" s="1"/>
  <c r="BK47" i="3" s="1"/>
  <c r="BJ42" i="3" l="1"/>
  <c r="BJ48" i="3" s="1"/>
  <c r="BJ45" i="3" l="1"/>
  <c r="BJ43" i="3"/>
  <c r="BK39" i="3" s="1"/>
  <c r="BK40" i="3" s="1"/>
  <c r="E68" i="23" s="1" a="1"/>
  <c r="E68" i="23" s="1"/>
  <c r="H68" i="23" s="1"/>
  <c r="D69" i="23" s="1"/>
  <c r="G69" i="23" s="1"/>
  <c r="BL76" i="3" s="1"/>
  <c r="BL47" i="3" s="1"/>
  <c r="BK42" i="3" l="1"/>
  <c r="BK48" i="3" s="1"/>
  <c r="BK45" i="3" l="1"/>
  <c r="BK43" i="3"/>
  <c r="BL39" i="3" s="1"/>
  <c r="BL40" i="3" s="1"/>
  <c r="E69" i="23" s="1" a="1"/>
  <c r="E69" i="23" s="1"/>
  <c r="H69" i="23" s="1"/>
  <c r="D70" i="23" s="1"/>
  <c r="G70" i="23" s="1"/>
  <c r="BM76" i="3" s="1"/>
  <c r="BM47" i="3" s="1"/>
  <c r="BL42" i="3" l="1"/>
  <c r="BL48" i="3" s="1"/>
  <c r="BL45" i="3" l="1"/>
  <c r="BL43" i="3"/>
  <c r="BM39" i="3" s="1"/>
  <c r="BM40" i="3" s="1"/>
  <c r="E70" i="23" s="1" a="1"/>
  <c r="E70" i="23" s="1"/>
  <c r="H70" i="23" s="1"/>
  <c r="D71" i="23" s="1"/>
  <c r="G71" i="23" s="1"/>
  <c r="BN76" i="3" s="1"/>
  <c r="BN47" i="3" s="1"/>
  <c r="BM42" i="3" l="1"/>
  <c r="BM48" i="3" s="1"/>
  <c r="BM45" i="3" l="1"/>
  <c r="BM43" i="3"/>
  <c r="BN39" i="3" s="1"/>
  <c r="BN40" i="3" s="1"/>
  <c r="E71" i="23" s="1" a="1"/>
  <c r="E71" i="23" s="1"/>
  <c r="H71" i="23" s="1"/>
  <c r="D72" i="23" s="1"/>
  <c r="G72" i="23" s="1"/>
  <c r="BO76" i="3" s="1"/>
  <c r="BO47" i="3" s="1"/>
  <c r="K9" i="32" l="1"/>
  <c r="J9" i="32"/>
  <c r="BN42" i="3"/>
  <c r="BN48" i="3" s="1"/>
  <c r="BN45" i="3" l="1"/>
  <c r="BN43" i="3"/>
  <c r="BO39" i="3" s="1"/>
  <c r="BO40" i="3" s="1"/>
  <c r="E72" i="23" s="1" a="1"/>
  <c r="E72" i="23" s="1"/>
  <c r="H72" i="23" s="1"/>
  <c r="BO42" i="3" l="1"/>
  <c r="BO48" i="3" s="1"/>
  <c r="BO45" i="3" l="1"/>
  <c r="BO43" i="3"/>
  <c r="BP39" i="3" s="1"/>
  <c r="BP40" i="3" s="1"/>
  <c r="E73" i="23" s="1" a="1"/>
  <c r="E73" i="23" s="1"/>
  <c r="H73" i="23" s="1"/>
  <c r="BP42" i="3" l="1"/>
  <c r="BP48" i="3" s="1"/>
  <c r="BP45" i="3" l="1"/>
  <c r="BP43" i="3"/>
  <c r="BQ39" i="3" s="1"/>
  <c r="BQ40" i="3" s="1"/>
  <c r="E74" i="23" s="1" a="1"/>
  <c r="E74" i="23" s="1"/>
  <c r="H74" i="23" s="1"/>
  <c r="BQ42" i="3" l="1"/>
  <c r="BQ48" i="3" s="1"/>
  <c r="BQ45" i="3" l="1"/>
  <c r="BQ43" i="3"/>
  <c r="BR39" i="3" s="1"/>
  <c r="BR40" i="3" s="1"/>
  <c r="E75" i="23" s="1" a="1"/>
  <c r="E75" i="23" s="1"/>
  <c r="H75" i="23" s="1"/>
  <c r="BR42" i="3" l="1"/>
  <c r="BR48" i="3" s="1"/>
  <c r="BR45" i="3" l="1"/>
  <c r="BR43" i="3"/>
  <c r="BS39" i="3" s="1"/>
  <c r="BS40" i="3" s="1"/>
  <c r="E76" i="23" s="1" a="1"/>
  <c r="E76" i="23" s="1"/>
  <c r="H76" i="23" s="1"/>
  <c r="BS42" i="3" l="1"/>
  <c r="BS48" i="3" s="1"/>
  <c r="BS45" i="3" l="1"/>
  <c r="BS43" i="3"/>
  <c r="BT39" i="3" s="1"/>
  <c r="BT40" i="3" s="1"/>
  <c r="E77" i="23" s="1" a="1"/>
  <c r="E77" i="23" s="1"/>
  <c r="H77" i="23" s="1"/>
  <c r="BT42" i="3" l="1"/>
  <c r="BT48" i="3" s="1"/>
  <c r="BT45" i="3" l="1"/>
  <c r="BT43" i="3"/>
  <c r="BU39" i="3" s="1"/>
  <c r="BU40" i="3" s="1"/>
  <c r="E78" i="23" s="1" a="1"/>
  <c r="E78" i="23" s="1"/>
  <c r="H78" i="23" s="1"/>
  <c r="BU42" i="3" l="1"/>
  <c r="BU48" i="3" s="1"/>
  <c r="BU45" i="3" l="1"/>
  <c r="BU43" i="3"/>
  <c r="BV39" i="3" s="1"/>
  <c r="BV40" i="3" s="1"/>
  <c r="E79" i="23" s="1" a="1"/>
  <c r="E79" i="23" s="1"/>
  <c r="H79" i="23" s="1"/>
  <c r="BV42" i="3" l="1"/>
  <c r="BV48" i="3" s="1"/>
  <c r="BV45" i="3" l="1"/>
  <c r="BV43" i="3"/>
  <c r="BW39" i="3" s="1"/>
  <c r="BW40" i="3" s="1"/>
  <c r="E80" i="23" s="1" a="1"/>
  <c r="E80" i="23" s="1"/>
  <c r="H80" i="23" s="1"/>
  <c r="BW42" i="3" l="1"/>
  <c r="BW48" i="3" s="1"/>
  <c r="BW45" i="3" l="1"/>
  <c r="BW43" i="3"/>
  <c r="BX39" i="3" s="1"/>
  <c r="BX40" i="3" s="1"/>
  <c r="E81" i="23" s="1" a="1"/>
  <c r="E81" i="23" s="1"/>
  <c r="H81" i="23" s="1"/>
  <c r="BX42" i="3" l="1"/>
  <c r="BX48" i="3" s="1"/>
  <c r="BX45" i="3" l="1"/>
  <c r="BX43" i="3"/>
  <c r="BY39" i="3" s="1"/>
  <c r="BY40" i="3" s="1"/>
  <c r="E82" i="23" s="1" a="1"/>
  <c r="E82" i="23" s="1"/>
  <c r="H82" i="23" s="1"/>
  <c r="BY42" i="3" l="1"/>
  <c r="BY48" i="3" s="1"/>
  <c r="BY45" i="3" l="1"/>
  <c r="BY43" i="3"/>
  <c r="BZ39" i="3" s="1"/>
  <c r="BZ40" i="3" s="1"/>
  <c r="E83" i="23" s="1" a="1"/>
  <c r="E83" i="23" s="1"/>
  <c r="H83" i="23" s="1"/>
  <c r="BZ42" i="3" l="1"/>
  <c r="BZ48" i="3" s="1"/>
  <c r="BZ45" i="3" l="1"/>
  <c r="BZ43" i="3"/>
  <c r="CA39" i="3" s="1"/>
  <c r="CA40" i="3" s="1"/>
  <c r="E84" i="23" s="1" a="1"/>
  <c r="E84" i="23" s="1"/>
  <c r="H84" i="23" s="1"/>
  <c r="CA42" i="3" l="1"/>
  <c r="CA48" i="3" s="1"/>
  <c r="CA45" i="3" l="1"/>
  <c r="CA43" i="3"/>
  <c r="CB39" i="3" s="1"/>
  <c r="CB40" i="3" s="1"/>
  <c r="E85" i="23" s="1" a="1"/>
  <c r="E85" i="23" s="1"/>
  <c r="H85" i="23" s="1"/>
  <c r="CB42" i="3" l="1"/>
  <c r="CB48" i="3" s="1"/>
  <c r="CB45" i="3" l="1"/>
  <c r="CB43" i="3"/>
  <c r="CC39" i="3" s="1"/>
  <c r="CC40" i="3" s="1"/>
  <c r="E86" i="23" s="1" a="1"/>
  <c r="E86" i="23" s="1"/>
  <c r="H86" i="23" s="1"/>
  <c r="CC42" i="3" l="1"/>
  <c r="CC48" i="3" s="1"/>
  <c r="CC45" i="3" l="1"/>
  <c r="CC43" i="3"/>
  <c r="CD39" i="3" s="1"/>
  <c r="CD40" i="3" s="1"/>
  <c r="E87" i="23" s="1" a="1"/>
  <c r="E87" i="23" s="1"/>
  <c r="H87" i="23" s="1"/>
  <c r="CD42" i="3" l="1"/>
  <c r="CD48" i="3" s="1"/>
  <c r="CD45" i="3" l="1"/>
  <c r="CD43" i="3"/>
  <c r="CE39" i="3" s="1"/>
  <c r="CE40" i="3" s="1"/>
  <c r="E88" i="23" s="1" a="1"/>
  <c r="E88" i="23" s="1"/>
  <c r="H88" i="23" s="1"/>
  <c r="CE42" i="3" l="1"/>
  <c r="CE48" i="3" s="1"/>
  <c r="CE45" i="3" l="1"/>
  <c r="CE43" i="3"/>
  <c r="CF39" i="3" s="1"/>
  <c r="CF40" i="3" s="1"/>
  <c r="E89" i="23" s="1" a="1"/>
  <c r="E89" i="23" s="1"/>
  <c r="H89" i="23" s="1"/>
  <c r="CF42" i="3" l="1"/>
  <c r="CF48" i="3" s="1"/>
  <c r="CF45" i="3" l="1"/>
  <c r="CF43" i="3"/>
  <c r="CG39" i="3" s="1"/>
  <c r="CG40" i="3" s="1"/>
  <c r="E90" i="23" s="1" a="1"/>
  <c r="E90" i="23" s="1"/>
  <c r="H90" i="23" s="1"/>
  <c r="CG42" i="3" l="1"/>
  <c r="CG48" i="3" s="1"/>
  <c r="CG45" i="3" l="1"/>
  <c r="CG43" i="3"/>
  <c r="CH39" i="3" s="1"/>
  <c r="CH40" i="3" s="1"/>
  <c r="E91" i="23" s="1" a="1"/>
  <c r="E91" i="23" s="1"/>
  <c r="H91" i="23" s="1"/>
  <c r="CH42" i="3" l="1"/>
  <c r="CH48" i="3" s="1"/>
  <c r="CH45" i="3" l="1"/>
  <c r="CH43" i="3"/>
  <c r="CI39" i="3" s="1"/>
  <c r="CI40" i="3" s="1"/>
  <c r="E92" i="23" s="1" a="1"/>
  <c r="E92" i="23" s="1"/>
  <c r="H92" i="23" s="1"/>
  <c r="CI42" i="3" l="1"/>
  <c r="CI48" i="3" s="1"/>
  <c r="CI45" i="3" l="1"/>
  <c r="CI43" i="3"/>
  <c r="CJ39" i="3" s="1"/>
  <c r="CJ40" i="3" s="1"/>
  <c r="E93" i="23" s="1" a="1"/>
  <c r="E93" i="23" s="1"/>
  <c r="H93" i="23" s="1"/>
  <c r="CJ42" i="3" l="1"/>
  <c r="CJ48" i="3" s="1"/>
  <c r="CJ45" i="3" l="1"/>
  <c r="CJ43" i="3"/>
  <c r="CK39" i="3" s="1"/>
  <c r="CK40" i="3" s="1"/>
  <c r="E94" i="23" s="1" a="1"/>
  <c r="E94" i="23" s="1"/>
  <c r="H94" i="23" s="1"/>
  <c r="CK42" i="3" l="1"/>
  <c r="CK48" i="3" s="1"/>
  <c r="CK45" i="3" l="1"/>
  <c r="CK43" i="3"/>
  <c r="CL39" i="3" s="1"/>
  <c r="CL40" i="3" s="1"/>
  <c r="E95" i="23" s="1" a="1"/>
  <c r="E95" i="23" s="1"/>
  <c r="H95" i="23" s="1"/>
  <c r="CL42" i="3" l="1"/>
  <c r="CL48" i="3" s="1"/>
  <c r="CL45" i="3" l="1"/>
  <c r="CL43" i="3"/>
  <c r="CM39" i="3" s="1"/>
  <c r="CM40" i="3" s="1"/>
  <c r="E96" i="23" s="1" a="1"/>
  <c r="E96" i="23" s="1"/>
  <c r="H96" i="23" s="1"/>
  <c r="CM42" i="3" l="1"/>
  <c r="CM48" i="3" s="1"/>
  <c r="CM45" i="3" l="1"/>
  <c r="CM43" i="3"/>
  <c r="CN39" i="3" s="1"/>
  <c r="CN40" i="3" s="1"/>
  <c r="E97" i="23" s="1" a="1"/>
  <c r="E97" i="23" s="1"/>
  <c r="H97" i="23" s="1"/>
  <c r="CN42" i="3" l="1"/>
  <c r="CN48" i="3" s="1"/>
  <c r="CN45" i="3" l="1"/>
  <c r="CN43" i="3"/>
  <c r="CO39" i="3" s="1"/>
  <c r="CO40" i="3" s="1"/>
  <c r="E98" i="23" s="1" a="1"/>
  <c r="E98" i="23" s="1"/>
  <c r="H98" i="23" s="1"/>
  <c r="CO42" i="3" l="1"/>
  <c r="CO48" i="3" s="1"/>
  <c r="CO45" i="3" l="1"/>
  <c r="CO43" i="3"/>
  <c r="CP39" i="3" s="1"/>
  <c r="CP40" i="3" s="1"/>
  <c r="E99" i="23" s="1" a="1"/>
  <c r="E99" i="23" s="1"/>
  <c r="H99" i="23" s="1"/>
  <c r="CP42" i="3" l="1"/>
  <c r="CP48" i="3" s="1"/>
  <c r="CP45" i="3" l="1"/>
  <c r="CP43" i="3"/>
  <c r="CQ39" i="3" s="1"/>
  <c r="CQ40" i="3" s="1"/>
  <c r="E100" i="23" s="1" a="1"/>
  <c r="E100" i="23" s="1"/>
  <c r="H100" i="23" s="1"/>
  <c r="CQ42" i="3" l="1"/>
  <c r="CQ48" i="3" s="1"/>
  <c r="CQ45" i="3" l="1"/>
  <c r="CQ43" i="3"/>
  <c r="CR39" i="3" s="1"/>
  <c r="CR40" i="3" s="1"/>
  <c r="E101" i="23" s="1" a="1"/>
  <c r="E101" i="23" s="1"/>
  <c r="H101" i="23" s="1"/>
  <c r="CR42" i="3" l="1"/>
  <c r="CR48" i="3" s="1"/>
  <c r="CR45" i="3" l="1"/>
  <c r="CR43" i="3"/>
  <c r="CS39" i="3" s="1"/>
  <c r="CS40" i="3" s="1"/>
  <c r="E102" i="23" s="1" a="1"/>
  <c r="E102" i="23" s="1"/>
  <c r="H102" i="23" s="1"/>
  <c r="CS42" i="3" l="1"/>
  <c r="CS48" i="3" s="1"/>
  <c r="CS45" i="3" l="1"/>
  <c r="CS43" i="3"/>
  <c r="CT39" i="3" s="1"/>
  <c r="CT40" i="3" s="1"/>
  <c r="E103" i="23" s="1" a="1"/>
  <c r="E103" i="23" s="1"/>
  <c r="H103" i="23" s="1"/>
  <c r="CT42" i="3" l="1"/>
  <c r="CT48" i="3" s="1"/>
  <c r="CT45" i="3" l="1"/>
  <c r="CT43" i="3"/>
  <c r="CU39" i="3" s="1"/>
  <c r="CU40" i="3" s="1"/>
  <c r="E104" i="23" s="1" a="1"/>
  <c r="E104" i="23" s="1"/>
  <c r="H104" i="23" s="1"/>
  <c r="CU42" i="3" l="1"/>
  <c r="CU48" i="3" s="1"/>
  <c r="CU45" i="3" l="1"/>
  <c r="CU43" i="3"/>
  <c r="CV39" i="3" s="1"/>
  <c r="CV40" i="3" s="1"/>
  <c r="E105" i="23" s="1" a="1"/>
  <c r="E105" i="23" s="1"/>
  <c r="H105" i="23" s="1"/>
  <c r="CV42" i="3" l="1"/>
  <c r="CV48" i="3" s="1"/>
  <c r="CV45" i="3" l="1"/>
  <c r="CV43" i="3"/>
  <c r="CW39" i="3" s="1"/>
  <c r="CW40" i="3" s="1"/>
  <c r="E106" i="23" s="1" a="1"/>
  <c r="E106" i="23" s="1"/>
  <c r="H106" i="23" s="1"/>
  <c r="CW42" i="3" l="1"/>
  <c r="CW48" i="3" s="1"/>
  <c r="CW45" i="3" l="1"/>
  <c r="CW43" i="3"/>
  <c r="CX39" i="3" s="1"/>
  <c r="CX40" i="3" s="1"/>
  <c r="E107" i="23" s="1" a="1"/>
  <c r="E107" i="23" s="1"/>
  <c r="H107" i="23" s="1"/>
  <c r="CX42" i="3" l="1"/>
  <c r="CX48" i="3" s="1"/>
  <c r="CX45" i="3" l="1"/>
  <c r="CX43" i="3"/>
  <c r="CY39" i="3" s="1"/>
  <c r="CY40" i="3" s="1"/>
  <c r="E108" i="23" s="1" a="1"/>
  <c r="E108" i="23" s="1"/>
  <c r="H108" i="23" s="1"/>
  <c r="CY42" i="3" l="1"/>
  <c r="CY48" i="3" s="1"/>
  <c r="CY43" i="3" l="1"/>
  <c r="CZ39" i="3" s="1"/>
  <c r="CZ40" i="3" s="1"/>
  <c r="CY45" i="3"/>
  <c r="CZ42" i="3" l="1"/>
  <c r="CZ48" i="3" s="1"/>
  <c r="CZ45" i="3" l="1"/>
  <c r="CZ43" i="3"/>
  <c r="DA39" i="3" s="1"/>
  <c r="DA40" i="3" s="1"/>
  <c r="DA42" i="3" l="1"/>
  <c r="DA48" i="3" s="1"/>
  <c r="DA43" i="3" l="1"/>
  <c r="DB39" i="3" s="1"/>
  <c r="DB40" i="3" s="1"/>
  <c r="DA45" i="3"/>
  <c r="DB42" i="3" l="1"/>
  <c r="DB48" i="3" s="1"/>
  <c r="DB43" i="3" l="1"/>
  <c r="DC39" i="3" s="1"/>
  <c r="DC40" i="3" s="1"/>
  <c r="DB45" i="3"/>
  <c r="DC42" i="3" l="1"/>
  <c r="DC48" i="3" s="1"/>
  <c r="DC43" i="3" l="1"/>
  <c r="DD39" i="3" s="1"/>
  <c r="DD40" i="3" s="1"/>
  <c r="DC45" i="3"/>
  <c r="DD42" i="3" l="1"/>
  <c r="DD48" i="3" s="1"/>
  <c r="DD43" i="3" l="1"/>
  <c r="DE39" i="3" s="1"/>
  <c r="DE40" i="3" s="1"/>
  <c r="DD45" i="3"/>
  <c r="DE42" i="3" l="1"/>
  <c r="DE48" i="3" s="1"/>
  <c r="DE43" i="3" l="1"/>
  <c r="DF39" i="3" s="1"/>
  <c r="DF40" i="3" s="1"/>
  <c r="DE45" i="3"/>
  <c r="DF42" i="3" l="1"/>
  <c r="DF48" i="3" s="1"/>
  <c r="DF43" i="3" l="1"/>
  <c r="DG39" i="3" s="1"/>
  <c r="DG40" i="3" s="1"/>
  <c r="DF45" i="3"/>
  <c r="DG42" i="3" l="1"/>
  <c r="DG48" i="3" s="1"/>
  <c r="DG43" i="3" l="1"/>
  <c r="DH39" i="3" s="1"/>
  <c r="DH40" i="3" s="1"/>
  <c r="DG45" i="3"/>
  <c r="DH42" i="3" l="1"/>
  <c r="DH48" i="3" s="1"/>
  <c r="DH43" i="3" l="1"/>
  <c r="DI39" i="3" s="1"/>
  <c r="DI40" i="3" s="1"/>
  <c r="DH45" i="3"/>
  <c r="DI42" i="3" l="1"/>
  <c r="DI48" i="3" s="1"/>
  <c r="DI43" i="3" l="1"/>
  <c r="DJ39" i="3" s="1"/>
  <c r="DJ40" i="3" s="1"/>
  <c r="DI45" i="3"/>
  <c r="DJ42" i="3" l="1"/>
  <c r="DJ48" i="3" s="1"/>
  <c r="DJ43" i="3" l="1"/>
  <c r="DK39" i="3" s="1"/>
  <c r="DK40" i="3" s="1"/>
  <c r="DJ45" i="3"/>
  <c r="DK42" i="3" l="1"/>
  <c r="DK48" i="3" s="1"/>
  <c r="DK43" i="3" l="1"/>
  <c r="DL39" i="3" s="1"/>
  <c r="DL40" i="3" s="1"/>
  <c r="DK45" i="3"/>
  <c r="DL42" i="3" l="1"/>
  <c r="DL48" i="3" s="1"/>
  <c r="DL43" i="3" l="1"/>
  <c r="DM39" i="3" s="1"/>
  <c r="DM40" i="3" s="1"/>
  <c r="DL45" i="3"/>
  <c r="DM42" i="3" l="1"/>
  <c r="DM48" i="3" s="1"/>
  <c r="DM43" i="3" l="1"/>
  <c r="DN39" i="3" s="1"/>
  <c r="DN40" i="3" s="1"/>
  <c r="DM45" i="3"/>
  <c r="DN42" i="3" l="1"/>
  <c r="DN48" i="3" s="1"/>
  <c r="DN43" i="3" l="1"/>
  <c r="DO39" i="3" s="1"/>
  <c r="DO40" i="3" s="1"/>
  <c r="DN45" i="3"/>
  <c r="DO42" i="3" l="1"/>
  <c r="DO48" i="3" s="1"/>
  <c r="DO43" i="3" l="1"/>
  <c r="DP39" i="3" s="1"/>
  <c r="DP40" i="3" s="1"/>
  <c r="DO45" i="3"/>
  <c r="DP42" i="3" l="1"/>
  <c r="DP48" i="3" s="1"/>
  <c r="DP45" i="3" l="1"/>
  <c r="DP43" i="3"/>
  <c r="DQ39" i="3" s="1"/>
  <c r="DQ40" i="3" s="1"/>
  <c r="DQ42" i="3" l="1"/>
  <c r="DQ48" i="3" s="1"/>
  <c r="DQ43" i="3" l="1"/>
  <c r="DR39" i="3" s="1"/>
  <c r="DR40" i="3" s="1"/>
  <c r="DQ45" i="3"/>
  <c r="DR42" i="3" l="1"/>
  <c r="DR48" i="3" s="1"/>
  <c r="DR43" i="3" l="1"/>
  <c r="DS39" i="3" s="1"/>
  <c r="DS40" i="3" s="1"/>
  <c r="DR45" i="3"/>
  <c r="DS42" i="3" l="1"/>
  <c r="DS48" i="3" s="1"/>
  <c r="DS45" i="3" l="1"/>
  <c r="DS43" i="3"/>
  <c r="DT39" i="3" s="1"/>
  <c r="DT40" i="3" s="1"/>
  <c r="DT42" i="3" l="1"/>
  <c r="DT48" i="3" s="1"/>
  <c r="DT43" i="3" l="1"/>
  <c r="DU39" i="3" s="1"/>
  <c r="DU40" i="3" s="1"/>
  <c r="DT45" i="3"/>
  <c r="DU42" i="3" l="1"/>
  <c r="DU48" i="3" s="1"/>
  <c r="DU43" i="3" l="1"/>
  <c r="DV39" i="3" s="1"/>
  <c r="DV40" i="3" s="1"/>
  <c r="DU45" i="3"/>
  <c r="DV42" i="3" l="1"/>
  <c r="DV48" i="3" s="1"/>
  <c r="DV45" i="3" l="1"/>
  <c r="DV43" i="3"/>
  <c r="DW39" i="3" s="1"/>
  <c r="DW40" i="3" s="1"/>
  <c r="DW42" i="3" l="1"/>
  <c r="DW48" i="3" s="1"/>
  <c r="G8" i="32"/>
  <c r="H8" i="32"/>
  <c r="I8" i="32"/>
  <c r="J8" i="32"/>
  <c r="K8" i="32"/>
  <c r="DW45" i="3" l="1"/>
  <c r="DW43" i="3"/>
  <c r="DX39" i="3" s="1"/>
  <c r="DX40" i="3" s="1"/>
  <c r="G10" i="32"/>
  <c r="H10" i="32"/>
  <c r="I10" i="32"/>
  <c r="J10" i="32"/>
  <c r="K10" i="32"/>
  <c r="DX42" i="3" l="1"/>
  <c r="DX48" i="3" s="1"/>
  <c r="DX43" i="3" l="1"/>
  <c r="DY39" i="3" s="1"/>
  <c r="DY40" i="3" s="1"/>
  <c r="DX45" i="3"/>
  <c r="DY42" i="3" l="1"/>
  <c r="DY48" i="3" s="1"/>
  <c r="DY43" i="3" l="1"/>
  <c r="DZ39" i="3" s="1"/>
  <c r="DZ40" i="3" s="1"/>
  <c r="DY45" i="3"/>
  <c r="DZ42" i="3" l="1"/>
  <c r="DZ48" i="3" s="1"/>
  <c r="DZ43" i="3" l="1"/>
  <c r="EA39" i="3" s="1"/>
  <c r="EA40" i="3" s="1"/>
  <c r="DZ45" i="3"/>
  <c r="EA42" i="3" l="1"/>
  <c r="EA48" i="3" s="1"/>
  <c r="EA45" i="3" l="1"/>
  <c r="EA43" i="3"/>
  <c r="EB39" i="3" s="1"/>
  <c r="EB40" i="3" s="1"/>
  <c r="EB42" i="3" l="1"/>
  <c r="EB48" i="3" s="1"/>
  <c r="EB43" i="3" l="1"/>
  <c r="EC39" i="3" s="1"/>
  <c r="EC40" i="3" s="1"/>
  <c r="EB45" i="3"/>
  <c r="EC42" i="3" l="1"/>
  <c r="EC48" i="3" s="1"/>
  <c r="EC45" i="3" l="1"/>
  <c r="EC43" i="3"/>
  <c r="ED39" i="3" s="1"/>
  <c r="ED40" i="3" s="1"/>
  <c r="ED42" i="3" l="1"/>
  <c r="ED48" i="3" s="1"/>
  <c r="ED43" i="3" l="1"/>
  <c r="EE39" i="3" s="1"/>
  <c r="EE40" i="3" s="1"/>
  <c r="ED45" i="3"/>
  <c r="EE42" i="3" l="1"/>
  <c r="EE48" i="3" s="1"/>
  <c r="EE43" i="3" l="1"/>
  <c r="EF39" i="3" s="1"/>
  <c r="EF40" i="3" s="1"/>
  <c r="EE45" i="3"/>
  <c r="EF42" i="3" l="1"/>
  <c r="EF48" i="3" s="1"/>
  <c r="EF45" i="3" l="1"/>
  <c r="EF43" i="3"/>
  <c r="EG39" i="3" s="1"/>
  <c r="EG40" i="3" s="1"/>
  <c r="EG42" i="3" l="1"/>
  <c r="EG48" i="3" s="1"/>
  <c r="EG43" i="3" l="1"/>
  <c r="EH39" i="3" s="1"/>
  <c r="EH40" i="3" s="1"/>
  <c r="EG45" i="3"/>
  <c r="EH42" i="3" l="1"/>
  <c r="EH48" i="3" s="1"/>
  <c r="EH43" i="3" l="1"/>
  <c r="EI39" i="3" s="1"/>
  <c r="EI40" i="3" s="1"/>
  <c r="EH45" i="3"/>
  <c r="EI42" i="3" l="1"/>
  <c r="EI48" i="3" s="1"/>
  <c r="EI43" i="3" l="1"/>
  <c r="EI45" i="3"/>
  <c r="DC61" i="3" l="1"/>
  <c r="DW61" i="3" l="1"/>
  <c r="G14" i="32" l="1"/>
  <c r="H14" i="32"/>
  <c r="I14" i="32"/>
  <c r="J14" i="32"/>
  <c r="F22" i="1" l="1"/>
  <c r="S3" i="9" l="1"/>
  <c r="S6" i="9"/>
  <c r="S4" i="9"/>
  <c r="BO49" i="3" l="1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B49" i="3" l="1"/>
  <c r="L31" i="1" s="1"/>
  <c r="F16" i="1" s="1"/>
  <c r="F17" i="1" l="1"/>
  <c r="F8" i="1" l="1"/>
  <c r="G15" i="1"/>
  <c r="L23" i="1" a="1"/>
  <c r="L23" i="1" s="1"/>
  <c r="G11" i="1"/>
  <c r="G12" i="1"/>
  <c r="G17" i="1"/>
  <c r="G14" i="1"/>
  <c r="G13" i="1"/>
  <c r="G38" i="31"/>
  <c r="H38" i="31"/>
  <c r="I38" i="31"/>
  <c r="J38" i="31"/>
  <c r="K38" i="31"/>
  <c r="G16" i="1"/>
  <c r="G8" i="1" l="1"/>
  <c r="F6" i="1"/>
  <c r="G7" i="1"/>
  <c r="L4" i="1" l="1"/>
  <c r="G6" i="1"/>
  <c r="F5" i="1"/>
  <c r="B51" i="3" l="1"/>
  <c r="G5" i="1"/>
  <c r="L3" i="1"/>
  <c r="L5" i="1" s="1"/>
  <c r="G51" i="3" l="1"/>
  <c r="G66" i="3"/>
  <c r="E21" i="32" l="1"/>
  <c r="B66" i="3"/>
  <c r="G120" i="3"/>
  <c r="G55" i="3"/>
  <c r="G65" i="3" s="1"/>
  <c r="G52" i="3"/>
  <c r="H51" i="3" s="1"/>
  <c r="F18" i="32" l="1"/>
  <c r="G114" i="3"/>
  <c r="G121" i="3"/>
  <c r="G125" i="3" s="1"/>
  <c r="G126" i="3" s="1"/>
  <c r="G144" i="3" s="1"/>
  <c r="G162" i="3" s="1"/>
  <c r="G106" i="3"/>
  <c r="H55" i="3"/>
  <c r="H65" i="3" s="1"/>
  <c r="H52" i="3"/>
  <c r="I51" i="3" s="1"/>
  <c r="G100" i="3"/>
  <c r="G93" i="3"/>
  <c r="G123" i="3" l="1"/>
  <c r="G122" i="3"/>
  <c r="H118" i="3" s="1"/>
  <c r="H119" i="3" s="1"/>
  <c r="H121" i="3" s="1"/>
  <c r="G133" i="3"/>
  <c r="G151" i="3"/>
  <c r="I55" i="3"/>
  <c r="I65" i="3" s="1"/>
  <c r="I52" i="3"/>
  <c r="J51" i="3" s="1"/>
  <c r="G165" i="3"/>
  <c r="G167" i="3"/>
  <c r="G92" i="3" s="1"/>
  <c r="L22" i="1" a="1"/>
  <c r="L22" i="1" s="1"/>
  <c r="H106" i="3"/>
  <c r="H114" i="3"/>
  <c r="H122" i="3" l="1"/>
  <c r="I118" i="3" s="1"/>
  <c r="I119" i="3" s="1"/>
  <c r="I106" i="3"/>
  <c r="I114" i="3"/>
  <c r="G94" i="3"/>
  <c r="G139" i="3"/>
  <c r="G137" i="3"/>
  <c r="H131" i="3" s="1"/>
  <c r="G99" i="3"/>
  <c r="G168" i="3"/>
  <c r="J52" i="3"/>
  <c r="K51" i="3" s="1"/>
  <c r="J55" i="3"/>
  <c r="J65" i="3" s="1"/>
  <c r="H125" i="3"/>
  <c r="H123" i="3"/>
  <c r="H133" i="3"/>
  <c r="H151" i="3"/>
  <c r="G155" i="3"/>
  <c r="H149" i="3" s="1"/>
  <c r="G157" i="3"/>
  <c r="J114" i="3" l="1"/>
  <c r="J106" i="3"/>
  <c r="I121" i="3"/>
  <c r="H134" i="3"/>
  <c r="H126" i="3"/>
  <c r="K52" i="3"/>
  <c r="L51" i="3" s="1"/>
  <c r="K55" i="3"/>
  <c r="K65" i="3" s="1"/>
  <c r="H150" i="3"/>
  <c r="I133" i="3"/>
  <c r="I151" i="3"/>
  <c r="H132" i="3"/>
  <c r="G101" i="3"/>
  <c r="G107" i="3" s="1"/>
  <c r="G105" i="3" s="1"/>
  <c r="H135" i="3" l="1"/>
  <c r="H136" i="3"/>
  <c r="H141" i="3" s="1"/>
  <c r="H152" i="3" s="1"/>
  <c r="K114" i="3"/>
  <c r="K106" i="3"/>
  <c r="L52" i="3"/>
  <c r="M51" i="3" s="1"/>
  <c r="L55" i="3"/>
  <c r="L65" i="3" s="1"/>
  <c r="J133" i="3"/>
  <c r="J151" i="3"/>
  <c r="I125" i="3"/>
  <c r="I123" i="3"/>
  <c r="I122" i="3"/>
  <c r="J118" i="3" s="1"/>
  <c r="H137" i="3" l="1"/>
  <c r="I131" i="3" s="1"/>
  <c r="I132" i="3" s="1"/>
  <c r="H139" i="3"/>
  <c r="J119" i="3"/>
  <c r="J121" i="3" s="1"/>
  <c r="I134" i="3"/>
  <c r="I126" i="3"/>
  <c r="L114" i="3"/>
  <c r="L106" i="3"/>
  <c r="H153" i="3"/>
  <c r="M55" i="3"/>
  <c r="M65" i="3" s="1"/>
  <c r="M52" i="3"/>
  <c r="N51" i="3" s="1"/>
  <c r="H142" i="3"/>
  <c r="K133" i="3"/>
  <c r="K151" i="3"/>
  <c r="I135" i="3" l="1"/>
  <c r="J122" i="3"/>
  <c r="K118" i="3" s="1"/>
  <c r="K119" i="3" s="1"/>
  <c r="K121" i="3" s="1"/>
  <c r="N55" i="3"/>
  <c r="N65" i="3" s="1"/>
  <c r="N52" i="3"/>
  <c r="O51" i="3" s="1"/>
  <c r="J123" i="3"/>
  <c r="J125" i="3"/>
  <c r="M106" i="3"/>
  <c r="M114" i="3"/>
  <c r="L133" i="3"/>
  <c r="L151" i="3"/>
  <c r="I136" i="3"/>
  <c r="I141" i="3" s="1"/>
  <c r="I152" i="3" s="1"/>
  <c r="H143" i="3"/>
  <c r="H144" i="3" s="1"/>
  <c r="I137" i="3" l="1"/>
  <c r="J131" i="3" s="1"/>
  <c r="J132" i="3" s="1"/>
  <c r="I139" i="3"/>
  <c r="N106" i="3"/>
  <c r="N114" i="3"/>
  <c r="J134" i="3"/>
  <c r="J126" i="3"/>
  <c r="K123" i="3"/>
  <c r="K125" i="3"/>
  <c r="H154" i="3"/>
  <c r="K122" i="3"/>
  <c r="L118" i="3" s="1"/>
  <c r="I142" i="3"/>
  <c r="M133" i="3"/>
  <c r="M151" i="3"/>
  <c r="O55" i="3"/>
  <c r="O65" i="3" s="1"/>
  <c r="O52" i="3"/>
  <c r="P51" i="3" s="1"/>
  <c r="J135" i="3" l="1"/>
  <c r="I143" i="3"/>
  <c r="I144" i="3" s="1"/>
  <c r="L119" i="3"/>
  <c r="L121" i="3" s="1"/>
  <c r="J136" i="3"/>
  <c r="J141" i="3" s="1"/>
  <c r="O106" i="3"/>
  <c r="O114" i="3"/>
  <c r="P55" i="3"/>
  <c r="P65" i="3" s="1"/>
  <c r="P52" i="3"/>
  <c r="Q51" i="3" s="1"/>
  <c r="H159" i="3"/>
  <c r="H157" i="3"/>
  <c r="H155" i="3"/>
  <c r="I149" i="3" s="1"/>
  <c r="N133" i="3"/>
  <c r="N151" i="3"/>
  <c r="K134" i="3"/>
  <c r="K126" i="3"/>
  <c r="J142" i="3" l="1"/>
  <c r="J143" i="3" s="1"/>
  <c r="J144" i="3" s="1"/>
  <c r="H160" i="3"/>
  <c r="Q55" i="3"/>
  <c r="Q65" i="3" s="1"/>
  <c r="Q52" i="3"/>
  <c r="R51" i="3" s="1"/>
  <c r="P106" i="3"/>
  <c r="P114" i="3"/>
  <c r="J152" i="3"/>
  <c r="L123" i="3"/>
  <c r="L125" i="3"/>
  <c r="L122" i="3"/>
  <c r="M118" i="3" s="1"/>
  <c r="J139" i="3"/>
  <c r="I150" i="3"/>
  <c r="I153" i="3" s="1"/>
  <c r="O133" i="3"/>
  <c r="O151" i="3"/>
  <c r="J137" i="3"/>
  <c r="K131" i="3" s="1"/>
  <c r="I154" i="3" l="1"/>
  <c r="I155" i="3" s="1"/>
  <c r="J149" i="3" s="1"/>
  <c r="J150" i="3" s="1"/>
  <c r="J153" i="3" s="1"/>
  <c r="Q106" i="3"/>
  <c r="Q114" i="3"/>
  <c r="M119" i="3"/>
  <c r="K132" i="3"/>
  <c r="K135" i="3" s="1"/>
  <c r="P133" i="3"/>
  <c r="P151" i="3"/>
  <c r="L134" i="3"/>
  <c r="L126" i="3"/>
  <c r="R52" i="3"/>
  <c r="S51" i="3" s="1"/>
  <c r="R55" i="3"/>
  <c r="R65" i="3" s="1"/>
  <c r="H161" i="3"/>
  <c r="H162" i="3" s="1"/>
  <c r="I159" i="3" l="1"/>
  <c r="I160" i="3" s="1"/>
  <c r="I157" i="3"/>
  <c r="K136" i="3"/>
  <c r="K137" i="3" s="1"/>
  <c r="L131" i="3" s="1"/>
  <c r="R114" i="3"/>
  <c r="R106" i="3"/>
  <c r="S52" i="3"/>
  <c r="T51" i="3" s="1"/>
  <c r="S55" i="3"/>
  <c r="S65" i="3" s="1"/>
  <c r="J154" i="3"/>
  <c r="Q133" i="3"/>
  <c r="Q151" i="3"/>
  <c r="H165" i="3"/>
  <c r="H167" i="3"/>
  <c r="H92" i="3" s="1"/>
  <c r="M121" i="3"/>
  <c r="M122" i="3" s="1"/>
  <c r="N118" i="3" s="1"/>
  <c r="K139" i="3" l="1"/>
  <c r="K141" i="3"/>
  <c r="K142" i="3" s="1"/>
  <c r="K143" i="3" s="1"/>
  <c r="K144" i="3" s="1"/>
  <c r="L132" i="3"/>
  <c r="L135" i="3" s="1"/>
  <c r="L136" i="3"/>
  <c r="J159" i="3"/>
  <c r="J157" i="3"/>
  <c r="R133" i="3"/>
  <c r="R151" i="3"/>
  <c r="S114" i="3"/>
  <c r="S106" i="3"/>
  <c r="N119" i="3"/>
  <c r="N121" i="3" s="1"/>
  <c r="T52" i="3"/>
  <c r="U51" i="3" s="1"/>
  <c r="T55" i="3"/>
  <c r="T65" i="3" s="1"/>
  <c r="H168" i="3"/>
  <c r="H99" i="3"/>
  <c r="M123" i="3"/>
  <c r="M125" i="3"/>
  <c r="H94" i="3"/>
  <c r="I161" i="3"/>
  <c r="I162" i="3" s="1"/>
  <c r="J155" i="3"/>
  <c r="K149" i="3" s="1"/>
  <c r="K152" i="3" l="1"/>
  <c r="L141" i="3"/>
  <c r="L139" i="3"/>
  <c r="L137" i="3"/>
  <c r="M131" i="3" s="1"/>
  <c r="T114" i="3"/>
  <c r="T106" i="3"/>
  <c r="M132" i="3"/>
  <c r="M135" i="3" s="1"/>
  <c r="S133" i="3"/>
  <c r="S151" i="3"/>
  <c r="N123" i="3"/>
  <c r="N125" i="3"/>
  <c r="M134" i="3"/>
  <c r="M126" i="3"/>
  <c r="U55" i="3"/>
  <c r="U65" i="3" s="1"/>
  <c r="U52" i="3"/>
  <c r="V51" i="3" s="1"/>
  <c r="K150" i="3"/>
  <c r="K154" i="3" s="1"/>
  <c r="K159" i="3" s="1"/>
  <c r="H101" i="3"/>
  <c r="H107" i="3" s="1"/>
  <c r="H105" i="3" s="1"/>
  <c r="N122" i="3"/>
  <c r="O118" i="3" s="1"/>
  <c r="I167" i="3"/>
  <c r="I92" i="3" s="1"/>
  <c r="I165" i="3"/>
  <c r="J160" i="3"/>
  <c r="J161" i="3" s="1"/>
  <c r="J162" i="3" s="1"/>
  <c r="M136" i="3" l="1"/>
  <c r="M141" i="3" s="1"/>
  <c r="K153" i="3"/>
  <c r="K155" i="3" s="1"/>
  <c r="L149" i="3" s="1"/>
  <c r="L150" i="3" s="1"/>
  <c r="L152" i="3"/>
  <c r="L142" i="3"/>
  <c r="L143" i="3" s="1"/>
  <c r="L144" i="3" s="1"/>
  <c r="J167" i="3"/>
  <c r="J92" i="3" s="1"/>
  <c r="J94" i="3" s="1"/>
  <c r="J165" i="3"/>
  <c r="M142" i="3"/>
  <c r="M143" i="3" s="1"/>
  <c r="M144" i="3" s="1"/>
  <c r="M137" i="3"/>
  <c r="N131" i="3" s="1"/>
  <c r="U106" i="3"/>
  <c r="U114" i="3"/>
  <c r="V55" i="3"/>
  <c r="V65" i="3" s="1"/>
  <c r="V52" i="3"/>
  <c r="W51" i="3" s="1"/>
  <c r="K157" i="3"/>
  <c r="I168" i="3"/>
  <c r="I99" i="3"/>
  <c r="I94" i="3"/>
  <c r="M152" i="3"/>
  <c r="T133" i="3"/>
  <c r="T151" i="3"/>
  <c r="K160" i="3"/>
  <c r="K161" i="3" s="1"/>
  <c r="K162" i="3" s="1"/>
  <c r="O119" i="3"/>
  <c r="O121" i="3" s="1"/>
  <c r="N134" i="3"/>
  <c r="N126" i="3"/>
  <c r="M139" i="3" l="1"/>
  <c r="J168" i="3"/>
  <c r="L154" i="3"/>
  <c r="L157" i="3" s="1"/>
  <c r="L153" i="3"/>
  <c r="O122" i="3"/>
  <c r="P118" i="3" s="1"/>
  <c r="J99" i="3"/>
  <c r="J101" i="3" s="1"/>
  <c r="J107" i="3" s="1"/>
  <c r="J105" i="3" s="1"/>
  <c r="P119" i="3"/>
  <c r="P121" i="3" s="1"/>
  <c r="K167" i="3"/>
  <c r="K92" i="3" s="1"/>
  <c r="K165" i="3"/>
  <c r="N132" i="3"/>
  <c r="N136" i="3" s="1"/>
  <c r="N141" i="3" s="1"/>
  <c r="N152" i="3" s="1"/>
  <c r="I101" i="3"/>
  <c r="I107" i="3" s="1"/>
  <c r="I105" i="3" s="1"/>
  <c r="W55" i="3"/>
  <c r="W65" i="3" s="1"/>
  <c r="W52" i="3"/>
  <c r="X51" i="3" s="1"/>
  <c r="O123" i="3"/>
  <c r="O125" i="3"/>
  <c r="V106" i="3"/>
  <c r="V114" i="3"/>
  <c r="U133" i="3"/>
  <c r="U151" i="3"/>
  <c r="L155" i="3" l="1"/>
  <c r="M149" i="3" s="1"/>
  <c r="M150" i="3" s="1"/>
  <c r="M153" i="3" s="1"/>
  <c r="L159" i="3"/>
  <c r="L160" i="3" s="1"/>
  <c r="L161" i="3" s="1"/>
  <c r="L162" i="3" s="1"/>
  <c r="K168" i="3"/>
  <c r="M154" i="3"/>
  <c r="M159" i="3" s="1"/>
  <c r="M160" i="3" s="1"/>
  <c r="M161" i="3" s="1"/>
  <c r="M162" i="3" s="1"/>
  <c r="P122" i="3"/>
  <c r="Q118" i="3" s="1"/>
  <c r="Q119" i="3" s="1"/>
  <c r="Q121" i="3" s="1"/>
  <c r="K99" i="3"/>
  <c r="K101" i="3" s="1"/>
  <c r="N135" i="3"/>
  <c r="N137" i="3" s="1"/>
  <c r="O131" i="3" s="1"/>
  <c r="O132" i="3" s="1"/>
  <c r="K94" i="3"/>
  <c r="P123" i="3"/>
  <c r="P125" i="3"/>
  <c r="N142" i="3"/>
  <c r="N139" i="3"/>
  <c r="V133" i="3"/>
  <c r="V151" i="3"/>
  <c r="X55" i="3"/>
  <c r="X65" i="3" s="1"/>
  <c r="X52" i="3"/>
  <c r="Y51" i="3" s="1"/>
  <c r="W106" i="3"/>
  <c r="W114" i="3"/>
  <c r="O134" i="3"/>
  <c r="O126" i="3"/>
  <c r="M157" i="3" l="1"/>
  <c r="M155" i="3"/>
  <c r="N149" i="3" s="1"/>
  <c r="O135" i="3"/>
  <c r="O136" i="3"/>
  <c r="O141" i="3" s="1"/>
  <c r="Q122" i="3"/>
  <c r="R118" i="3" s="1"/>
  <c r="R119" i="3" s="1"/>
  <c r="R121" i="3" s="1"/>
  <c r="K107" i="3"/>
  <c r="K105" i="3" s="1"/>
  <c r="O142" i="3"/>
  <c r="L167" i="3"/>
  <c r="L92" i="3" s="1"/>
  <c r="L165" i="3"/>
  <c r="X106" i="3"/>
  <c r="X114" i="3"/>
  <c r="P134" i="3"/>
  <c r="P126" i="3"/>
  <c r="Q125" i="3"/>
  <c r="Q123" i="3"/>
  <c r="W133" i="3"/>
  <c r="W151" i="3"/>
  <c r="M167" i="3"/>
  <c r="M92" i="3" s="1"/>
  <c r="M94" i="3" s="1"/>
  <c r="M165" i="3"/>
  <c r="N143" i="3"/>
  <c r="N144" i="3" s="1"/>
  <c r="Y55" i="3"/>
  <c r="Y65" i="3" s="1"/>
  <c r="Y52" i="3"/>
  <c r="Z51" i="3" s="1"/>
  <c r="O152" i="3"/>
  <c r="O139" i="3" l="1"/>
  <c r="L99" i="3"/>
  <c r="L101" i="3" s="1"/>
  <c r="N150" i="3"/>
  <c r="N154" i="3" s="1"/>
  <c r="L168" i="3"/>
  <c r="O137" i="3"/>
  <c r="P131" i="3" s="1"/>
  <c r="R122" i="3"/>
  <c r="S118" i="3" s="1"/>
  <c r="S119" i="3" s="1"/>
  <c r="Y106" i="3"/>
  <c r="Y114" i="3"/>
  <c r="X133" i="3"/>
  <c r="X151" i="3"/>
  <c r="O143" i="3"/>
  <c r="O144" i="3" s="1"/>
  <c r="Q134" i="3"/>
  <c r="Q126" i="3"/>
  <c r="M99" i="3"/>
  <c r="M101" i="3" s="1"/>
  <c r="M107" i="3" s="1"/>
  <c r="M105" i="3" s="1"/>
  <c r="R123" i="3"/>
  <c r="R125" i="3"/>
  <c r="Z52" i="3"/>
  <c r="AA51" i="3" s="1"/>
  <c r="Z55" i="3"/>
  <c r="Z65" i="3" s="1"/>
  <c r="M168" i="3"/>
  <c r="L94" i="3"/>
  <c r="N153" i="3" l="1"/>
  <c r="S121" i="3"/>
  <c r="S123" i="3" s="1"/>
  <c r="P132" i="3"/>
  <c r="P136" i="3" s="1"/>
  <c r="Z114" i="3"/>
  <c r="Z106" i="3"/>
  <c r="AA52" i="3"/>
  <c r="AB51" i="3" s="1"/>
  <c r="AA55" i="3"/>
  <c r="AA65" i="3" s="1"/>
  <c r="N159" i="3"/>
  <c r="N157" i="3"/>
  <c r="N155" i="3"/>
  <c r="O149" i="3" s="1"/>
  <c r="Y133" i="3"/>
  <c r="Y151" i="3"/>
  <c r="R134" i="3"/>
  <c r="R126" i="3"/>
  <c r="L107" i="3"/>
  <c r="L105" i="3" s="1"/>
  <c r="P135" i="3" l="1"/>
  <c r="P137" i="3" s="1"/>
  <c r="Q131" i="3" s="1"/>
  <c r="Q132" i="3" s="1"/>
  <c r="Q135" i="3" s="1"/>
  <c r="S122" i="3"/>
  <c r="T118" i="3" s="1"/>
  <c r="T119" i="3" s="1"/>
  <c r="T121" i="3" s="1"/>
  <c r="S125" i="3"/>
  <c r="S134" i="3" s="1"/>
  <c r="P141" i="3"/>
  <c r="P139" i="3"/>
  <c r="AA114" i="3"/>
  <c r="AA106" i="3"/>
  <c r="O150" i="3"/>
  <c r="O153" i="3" s="1"/>
  <c r="Z133" i="3"/>
  <c r="Z151" i="3"/>
  <c r="AB52" i="3"/>
  <c r="AC51" i="3" s="1"/>
  <c r="AB55" i="3"/>
  <c r="AB65" i="3" s="1"/>
  <c r="N160" i="3"/>
  <c r="N161" i="3" s="1"/>
  <c r="N162" i="3" s="1"/>
  <c r="S126" i="3" l="1"/>
  <c r="Q136" i="3"/>
  <c r="Q141" i="3" s="1"/>
  <c r="Q152" i="3" s="1"/>
  <c r="O154" i="3"/>
  <c r="O155" i="3" s="1"/>
  <c r="P149" i="3" s="1"/>
  <c r="P150" i="3" s="1"/>
  <c r="P142" i="3"/>
  <c r="P143" i="3" s="1"/>
  <c r="P144" i="3" s="1"/>
  <c r="P152" i="3"/>
  <c r="AA133" i="3"/>
  <c r="AA151" i="3"/>
  <c r="T123" i="3"/>
  <c r="T125" i="3"/>
  <c r="AB114" i="3"/>
  <c r="AB106" i="3"/>
  <c r="N165" i="3"/>
  <c r="N167" i="3"/>
  <c r="N92" i="3" s="1"/>
  <c r="N94" i="3" s="1"/>
  <c r="T122" i="3"/>
  <c r="U118" i="3" s="1"/>
  <c r="AC55" i="3"/>
  <c r="AC65" i="3" s="1"/>
  <c r="AC52" i="3"/>
  <c r="AD51" i="3" s="1"/>
  <c r="Q139" i="3" l="1"/>
  <c r="Q137" i="3"/>
  <c r="R131" i="3" s="1"/>
  <c r="R132" i="3" s="1"/>
  <c r="R135" i="3" s="1"/>
  <c r="Q142" i="3"/>
  <c r="Q143" i="3" s="1"/>
  <c r="Q144" i="3" s="1"/>
  <c r="O159" i="3"/>
  <c r="O160" i="3" s="1"/>
  <c r="O161" i="3" s="1"/>
  <c r="O162" i="3" s="1"/>
  <c r="O157" i="3"/>
  <c r="R136" i="3"/>
  <c r="R139" i="3" s="1"/>
  <c r="P153" i="3"/>
  <c r="N99" i="3"/>
  <c r="N101" i="3" s="1"/>
  <c r="N107" i="3" s="1"/>
  <c r="N105" i="3" s="1"/>
  <c r="P154" i="3"/>
  <c r="P159" i="3" s="1"/>
  <c r="AC106" i="3"/>
  <c r="AC114" i="3"/>
  <c r="U119" i="3"/>
  <c r="T134" i="3"/>
  <c r="T126" i="3"/>
  <c r="AB133" i="3"/>
  <c r="AB151" i="3"/>
  <c r="AD55" i="3"/>
  <c r="AD65" i="3" s="1"/>
  <c r="AD52" i="3"/>
  <c r="AE51" i="3" s="1"/>
  <c r="N168" i="3"/>
  <c r="R137" i="3" l="1"/>
  <c r="S131" i="3" s="1"/>
  <c r="S132" i="3" s="1"/>
  <c r="S136" i="3" s="1"/>
  <c r="R141" i="3"/>
  <c r="P155" i="3"/>
  <c r="Q149" i="3" s="1"/>
  <c r="P157" i="3"/>
  <c r="AD106" i="3"/>
  <c r="AD114" i="3"/>
  <c r="O165" i="3"/>
  <c r="O167" i="3"/>
  <c r="O92" i="3" s="1"/>
  <c r="O94" i="3" s="1"/>
  <c r="P160" i="3"/>
  <c r="AE55" i="3"/>
  <c r="AE65" i="3" s="1"/>
  <c r="AE52" i="3"/>
  <c r="AF51" i="3" s="1"/>
  <c r="R142" i="3"/>
  <c r="R143" i="3" s="1"/>
  <c r="R144" i="3" s="1"/>
  <c r="R152" i="3"/>
  <c r="U121" i="3"/>
  <c r="AC133" i="3"/>
  <c r="AC151" i="3"/>
  <c r="S135" i="3" l="1"/>
  <c r="Q150" i="3"/>
  <c r="Q153" i="3" s="1"/>
  <c r="AE106" i="3"/>
  <c r="AE114" i="3"/>
  <c r="AD133" i="3"/>
  <c r="AD151" i="3"/>
  <c r="S137" i="3"/>
  <c r="T131" i="3" s="1"/>
  <c r="O168" i="3"/>
  <c r="S141" i="3"/>
  <c r="S139" i="3"/>
  <c r="P161" i="3"/>
  <c r="P162" i="3" s="1"/>
  <c r="AF55" i="3"/>
  <c r="AF65" i="3" s="1"/>
  <c r="AF52" i="3"/>
  <c r="AG51" i="3" s="1"/>
  <c r="U123" i="3"/>
  <c r="U125" i="3"/>
  <c r="O99" i="3"/>
  <c r="O101" i="3" s="1"/>
  <c r="O107" i="3" s="1"/>
  <c r="O105" i="3" s="1"/>
  <c r="U122" i="3"/>
  <c r="V118" i="3" s="1"/>
  <c r="Q154" i="3" l="1"/>
  <c r="S142" i="3"/>
  <c r="S143" i="3" s="1"/>
  <c r="S144" i="3" s="1"/>
  <c r="S152" i="3"/>
  <c r="T132" i="3"/>
  <c r="T136" i="3" s="1"/>
  <c r="AE133" i="3"/>
  <c r="AE151" i="3"/>
  <c r="V119" i="3"/>
  <c r="V121" i="3" s="1"/>
  <c r="U134" i="3"/>
  <c r="U126" i="3"/>
  <c r="AG55" i="3"/>
  <c r="AG65" i="3" s="1"/>
  <c r="AG52" i="3"/>
  <c r="AH51" i="3" s="1"/>
  <c r="AF106" i="3"/>
  <c r="AF114" i="3"/>
  <c r="P165" i="3"/>
  <c r="P167" i="3"/>
  <c r="P92" i="3" s="1"/>
  <c r="P94" i="3" s="1"/>
  <c r="Q159" i="3" l="1"/>
  <c r="Q157" i="3"/>
  <c r="Q155" i="3"/>
  <c r="R149" i="3" s="1"/>
  <c r="T135" i="3"/>
  <c r="AG106" i="3"/>
  <c r="AG114" i="3"/>
  <c r="T137" i="3"/>
  <c r="U131" i="3" s="1"/>
  <c r="V123" i="3"/>
  <c r="V125" i="3"/>
  <c r="V122" i="3"/>
  <c r="W118" i="3" s="1"/>
  <c r="T141" i="3"/>
  <c r="T139" i="3"/>
  <c r="AF133" i="3"/>
  <c r="AF151" i="3"/>
  <c r="AH52" i="3"/>
  <c r="AI51" i="3" s="1"/>
  <c r="AH55" i="3"/>
  <c r="AH65" i="3" s="1"/>
  <c r="P168" i="3"/>
  <c r="P99" i="3"/>
  <c r="P101" i="3" s="1"/>
  <c r="P107" i="3" s="1"/>
  <c r="P105" i="3" s="1"/>
  <c r="R150" i="3" l="1"/>
  <c r="R154" i="3" s="1"/>
  <c r="Q160" i="3"/>
  <c r="Q161" i="3" s="1"/>
  <c r="Q162" i="3" s="1"/>
  <c r="AH114" i="3"/>
  <c r="AH106" i="3"/>
  <c r="T142" i="3"/>
  <c r="T152" i="3"/>
  <c r="W119" i="3"/>
  <c r="AI52" i="3"/>
  <c r="AJ51" i="3" s="1"/>
  <c r="AI55" i="3"/>
  <c r="AI65" i="3" s="1"/>
  <c r="AG133" i="3"/>
  <c r="AG151" i="3"/>
  <c r="U132" i="3"/>
  <c r="U135" i="3" s="1"/>
  <c r="V134" i="3"/>
  <c r="V126" i="3"/>
  <c r="R153" i="3" l="1"/>
  <c r="R155" i="3" s="1"/>
  <c r="S149" i="3" s="1"/>
  <c r="Q165" i="3"/>
  <c r="Q167" i="3"/>
  <c r="Q92" i="3" s="1"/>
  <c r="Q94" i="3" s="1"/>
  <c r="R159" i="3"/>
  <c r="R157" i="3"/>
  <c r="U136" i="3"/>
  <c r="U141" i="3" s="1"/>
  <c r="W121" i="3"/>
  <c r="W122" i="3" s="1"/>
  <c r="X118" i="3" s="1"/>
  <c r="AI114" i="3"/>
  <c r="AI106" i="3"/>
  <c r="AH133" i="3"/>
  <c r="AH151" i="3"/>
  <c r="AJ52" i="3"/>
  <c r="AK51" i="3" s="1"/>
  <c r="AJ55" i="3"/>
  <c r="AJ65" i="3" s="1"/>
  <c r="T143" i="3"/>
  <c r="T144" i="3" s="1"/>
  <c r="S150" i="3" l="1"/>
  <c r="S153" i="3" s="1"/>
  <c r="R160" i="3"/>
  <c r="R161" i="3" s="1"/>
  <c r="R162" i="3" s="1"/>
  <c r="Q168" i="3"/>
  <c r="Q99" i="3"/>
  <c r="Q101" i="3" s="1"/>
  <c r="Q107" i="3" s="1"/>
  <c r="Q105" i="3" s="1"/>
  <c r="W123" i="3"/>
  <c r="W125" i="3"/>
  <c r="W126" i="3" s="1"/>
  <c r="U139" i="3"/>
  <c r="U137" i="3"/>
  <c r="V131" i="3" s="1"/>
  <c r="V132" i="3" s="1"/>
  <c r="V136" i="3" s="1"/>
  <c r="X119" i="3"/>
  <c r="X121" i="3" s="1"/>
  <c r="X123" i="3" s="1"/>
  <c r="AK55" i="3"/>
  <c r="AK65" i="3" s="1"/>
  <c r="AK52" i="3"/>
  <c r="AL51" i="3" s="1"/>
  <c r="AJ114" i="3"/>
  <c r="AJ106" i="3"/>
  <c r="U142" i="3"/>
  <c r="U143" i="3" s="1"/>
  <c r="U144" i="3" s="1"/>
  <c r="U152" i="3"/>
  <c r="AI133" i="3"/>
  <c r="AI151" i="3"/>
  <c r="S154" i="3" l="1"/>
  <c r="S159" i="3" s="1"/>
  <c r="S160" i="3" s="1"/>
  <c r="W134" i="3"/>
  <c r="R167" i="3"/>
  <c r="R92" i="3" s="1"/>
  <c r="R94" i="3" s="1"/>
  <c r="R165" i="3"/>
  <c r="X125" i="3"/>
  <c r="X134" i="3" s="1"/>
  <c r="V135" i="3"/>
  <c r="V137" i="3" s="1"/>
  <c r="W131" i="3" s="1"/>
  <c r="W132" i="3" s="1"/>
  <c r="X122" i="3"/>
  <c r="Y118" i="3" s="1"/>
  <c r="AL55" i="3"/>
  <c r="AL65" i="3" s="1"/>
  <c r="AL52" i="3"/>
  <c r="AM51" i="3" s="1"/>
  <c r="AK106" i="3"/>
  <c r="AK114" i="3"/>
  <c r="V141" i="3"/>
  <c r="V139" i="3"/>
  <c r="AJ133" i="3"/>
  <c r="AJ151" i="3"/>
  <c r="R168" i="3" l="1"/>
  <c r="S155" i="3"/>
  <c r="T149" i="3" s="1"/>
  <c r="T150" i="3" s="1"/>
  <c r="S157" i="3"/>
  <c r="R99" i="3"/>
  <c r="R101" i="3" s="1"/>
  <c r="R107" i="3" s="1"/>
  <c r="R105" i="3" s="1"/>
  <c r="S161" i="3"/>
  <c r="S162" i="3" s="1"/>
  <c r="X126" i="3"/>
  <c r="W135" i="3"/>
  <c r="W136" i="3"/>
  <c r="W141" i="3" s="1"/>
  <c r="W142" i="3" s="1"/>
  <c r="Y119" i="3"/>
  <c r="Y121" i="3" s="1"/>
  <c r="AL106" i="3"/>
  <c r="AL114" i="3"/>
  <c r="AM55" i="3"/>
  <c r="AM65" i="3" s="1"/>
  <c r="AM52" i="3"/>
  <c r="AN51" i="3" s="1"/>
  <c r="AK133" i="3"/>
  <c r="AK151" i="3"/>
  <c r="V142" i="3"/>
  <c r="V143" i="3" s="1"/>
  <c r="V144" i="3" s="1"/>
  <c r="V152" i="3"/>
  <c r="T153" i="3" l="1"/>
  <c r="T154" i="3"/>
  <c r="W139" i="3"/>
  <c r="W137" i="3"/>
  <c r="X131" i="3" s="1"/>
  <c r="X132" i="3" s="1"/>
  <c r="X135" i="3" s="1"/>
  <c r="S167" i="3"/>
  <c r="S92" i="3" s="1"/>
  <c r="S94" i="3" s="1"/>
  <c r="S165" i="3"/>
  <c r="W152" i="3"/>
  <c r="Y125" i="3"/>
  <c r="Y123" i="3"/>
  <c r="Y122" i="3"/>
  <c r="Z118" i="3" s="1"/>
  <c r="AN55" i="3"/>
  <c r="AN65" i="3" s="1"/>
  <c r="AN52" i="3"/>
  <c r="AO51" i="3" s="1"/>
  <c r="AM106" i="3"/>
  <c r="AM114" i="3"/>
  <c r="AL133" i="3"/>
  <c r="AL151" i="3"/>
  <c r="W143" i="3"/>
  <c r="W144" i="3" s="1"/>
  <c r="T155" i="3" l="1"/>
  <c r="U149" i="3" s="1"/>
  <c r="U150" i="3" s="1"/>
  <c r="U154" i="3" s="1"/>
  <c r="T157" i="3"/>
  <c r="T159" i="3"/>
  <c r="T160" i="3" s="1"/>
  <c r="S168" i="3"/>
  <c r="S99" i="3"/>
  <c r="S101" i="3" s="1"/>
  <c r="S107" i="3" s="1"/>
  <c r="S105" i="3" s="1"/>
  <c r="T161" i="3"/>
  <c r="T162" i="3" s="1"/>
  <c r="X136" i="3"/>
  <c r="Z119" i="3"/>
  <c r="Z121" i="3" s="1"/>
  <c r="Y126" i="3"/>
  <c r="Y134" i="3"/>
  <c r="AN106" i="3"/>
  <c r="AN114" i="3"/>
  <c r="AO55" i="3"/>
  <c r="AO65" i="3" s="1"/>
  <c r="AO52" i="3"/>
  <c r="AP51" i="3" s="1"/>
  <c r="AM133" i="3"/>
  <c r="AM151" i="3"/>
  <c r="U153" i="3" l="1"/>
  <c r="U155" i="3" s="1"/>
  <c r="V149" i="3" s="1"/>
  <c r="U159" i="3"/>
  <c r="U160" i="3" s="1"/>
  <c r="U157" i="3"/>
  <c r="T165" i="3"/>
  <c r="T167" i="3"/>
  <c r="T92" i="3" s="1"/>
  <c r="T94" i="3" s="1"/>
  <c r="X141" i="3"/>
  <c r="X139" i="3"/>
  <c r="X137" i="3"/>
  <c r="Y131" i="3" s="1"/>
  <c r="Y132" i="3" s="1"/>
  <c r="Y135" i="3" s="1"/>
  <c r="Z123" i="3"/>
  <c r="Z125" i="3"/>
  <c r="Z122" i="3"/>
  <c r="AA118" i="3" s="1"/>
  <c r="L24" i="1" a="1"/>
  <c r="L24" i="1" s="1"/>
  <c r="AO106" i="3"/>
  <c r="AO114" i="3"/>
  <c r="AP52" i="3"/>
  <c r="AQ51" i="3" s="1"/>
  <c r="AP55" i="3"/>
  <c r="AP65" i="3" s="1"/>
  <c r="AN133" i="3"/>
  <c r="AN151" i="3"/>
  <c r="V150" i="3" l="1"/>
  <c r="V154" i="3" s="1"/>
  <c r="T168" i="3"/>
  <c r="T99" i="3"/>
  <c r="T101" i="3" s="1"/>
  <c r="T107" i="3" s="1"/>
  <c r="T105" i="3" s="1"/>
  <c r="U161" i="3"/>
  <c r="U162" i="3" s="1"/>
  <c r="X142" i="3"/>
  <c r="X143" i="3" s="1"/>
  <c r="X144" i="3" s="1"/>
  <c r="X152" i="3"/>
  <c r="Y136" i="3"/>
  <c r="Z134" i="3"/>
  <c r="Z126" i="3"/>
  <c r="AA119" i="3"/>
  <c r="AA121" i="3" s="1"/>
  <c r="AO133" i="3"/>
  <c r="AO151" i="3"/>
  <c r="AQ52" i="3"/>
  <c r="AR51" i="3" s="1"/>
  <c r="AQ55" i="3"/>
  <c r="AQ65" i="3" s="1"/>
  <c r="AP114" i="3"/>
  <c r="AP106" i="3"/>
  <c r="V153" i="3" l="1"/>
  <c r="V155" i="3" s="1"/>
  <c r="W149" i="3" s="1"/>
  <c r="V157" i="3"/>
  <c r="V159" i="3"/>
  <c r="V160" i="3" s="1"/>
  <c r="V161" i="3" s="1"/>
  <c r="V162" i="3" s="1"/>
  <c r="V165" i="3" s="1"/>
  <c r="U165" i="3"/>
  <c r="U167" i="3"/>
  <c r="U92" i="3" s="1"/>
  <c r="U94" i="3" s="1"/>
  <c r="Y141" i="3"/>
  <c r="Y139" i="3"/>
  <c r="Y137" i="3"/>
  <c r="Z131" i="3" s="1"/>
  <c r="Z132" i="3" s="1"/>
  <c r="Z136" i="3" s="1"/>
  <c r="Z141" i="3" s="1"/>
  <c r="AA123" i="3"/>
  <c r="AA125" i="3"/>
  <c r="AA122" i="3"/>
  <c r="AB118" i="3" s="1"/>
  <c r="L41" i="1" a="1"/>
  <c r="L41" i="1" s="1"/>
  <c r="AQ114" i="3"/>
  <c r="AQ106" i="3"/>
  <c r="AP133" i="3"/>
  <c r="AP151" i="3"/>
  <c r="AR52" i="3"/>
  <c r="AS51" i="3" s="1"/>
  <c r="AR55" i="3"/>
  <c r="AR65" i="3" s="1"/>
  <c r="V167" i="3" l="1"/>
  <c r="V92" i="3" s="1"/>
  <c r="V94" i="3" s="1"/>
  <c r="W150" i="3"/>
  <c r="W153" i="3" s="1"/>
  <c r="U168" i="3"/>
  <c r="U99" i="3"/>
  <c r="U101" i="3" s="1"/>
  <c r="U107" i="3" s="1"/>
  <c r="U105" i="3" s="1"/>
  <c r="Z135" i="3"/>
  <c r="Z137" i="3" s="1"/>
  <c r="AA131" i="3" s="1"/>
  <c r="AA132" i="3" s="1"/>
  <c r="Z139" i="3"/>
  <c r="Y152" i="3"/>
  <c r="Y142" i="3"/>
  <c r="Y143" i="3" s="1"/>
  <c r="Y144" i="3" s="1"/>
  <c r="AB119" i="3"/>
  <c r="AB121" i="3" s="1"/>
  <c r="AA134" i="3"/>
  <c r="AA126" i="3"/>
  <c r="AR114" i="3"/>
  <c r="AR106" i="3"/>
  <c r="AQ133" i="3"/>
  <c r="AQ151" i="3"/>
  <c r="AS55" i="3"/>
  <c r="AS65" i="3" s="1"/>
  <c r="AS52" i="3"/>
  <c r="AT51" i="3" s="1"/>
  <c r="Z142" i="3"/>
  <c r="Z143" i="3" s="1"/>
  <c r="Z144" i="3" s="1"/>
  <c r="Z152" i="3"/>
  <c r="V99" i="3" l="1"/>
  <c r="V101" i="3" s="1"/>
  <c r="V107" i="3" s="1"/>
  <c r="V105" i="3" s="1"/>
  <c r="V168" i="3"/>
  <c r="W154" i="3"/>
  <c r="W159" i="3" s="1"/>
  <c r="AA135" i="3"/>
  <c r="AA136" i="3"/>
  <c r="AA141" i="3" s="1"/>
  <c r="AB122" i="3"/>
  <c r="AC118" i="3" s="1"/>
  <c r="AB125" i="3"/>
  <c r="AB123" i="3"/>
  <c r="AR133" i="3"/>
  <c r="AR151" i="3"/>
  <c r="AT55" i="3"/>
  <c r="AT65" i="3" s="1"/>
  <c r="AT52" i="3"/>
  <c r="AU51" i="3" s="1"/>
  <c r="AS106" i="3"/>
  <c r="AS114" i="3"/>
  <c r="W155" i="3" l="1"/>
  <c r="X149" i="3" s="1"/>
  <c r="W157" i="3"/>
  <c r="X150" i="3"/>
  <c r="X153" i="3" s="1"/>
  <c r="W160" i="3"/>
  <c r="W161" i="3" s="1"/>
  <c r="W162" i="3" s="1"/>
  <c r="AA137" i="3"/>
  <c r="AB131" i="3" s="1"/>
  <c r="AB132" i="3" s="1"/>
  <c r="AA139" i="3"/>
  <c r="AB126" i="3"/>
  <c r="AB134" i="3"/>
  <c r="AC119" i="3"/>
  <c r="AC121" i="3" s="1"/>
  <c r="AT106" i="3"/>
  <c r="AT114" i="3"/>
  <c r="AA142" i="3"/>
  <c r="AA143" i="3" s="1"/>
  <c r="AA144" i="3" s="1"/>
  <c r="AA152" i="3"/>
  <c r="AS133" i="3"/>
  <c r="AS151" i="3"/>
  <c r="AU55" i="3"/>
  <c r="AU65" i="3" s="1"/>
  <c r="AU52" i="3"/>
  <c r="AV51" i="3" s="1"/>
  <c r="X154" i="3" l="1"/>
  <c r="X157" i="3" s="1"/>
  <c r="W165" i="3"/>
  <c r="W167" i="3"/>
  <c r="W92" i="3" s="1"/>
  <c r="W94" i="3" s="1"/>
  <c r="AB135" i="3"/>
  <c r="AB136" i="3"/>
  <c r="AB141" i="3" s="1"/>
  <c r="AC122" i="3"/>
  <c r="AD118" i="3" s="1"/>
  <c r="AC125" i="3"/>
  <c r="AC123" i="3"/>
  <c r="AV55" i="3"/>
  <c r="AV65" i="3" s="1"/>
  <c r="AV52" i="3"/>
  <c r="AW51" i="3" s="1"/>
  <c r="AT133" i="3"/>
  <c r="AT151" i="3"/>
  <c r="AU106" i="3"/>
  <c r="AU114" i="3"/>
  <c r="X159" i="3" l="1"/>
  <c r="X160" i="3" s="1"/>
  <c r="X161" i="3" s="1"/>
  <c r="X162" i="3" s="1"/>
  <c r="X155" i="3"/>
  <c r="Y149" i="3" s="1"/>
  <c r="Y150" i="3" s="1"/>
  <c r="Y153" i="3" s="1"/>
  <c r="W168" i="3"/>
  <c r="W99" i="3"/>
  <c r="W101" i="3" s="1"/>
  <c r="W107" i="3" s="1"/>
  <c r="W105" i="3" s="1"/>
  <c r="AB139" i="3"/>
  <c r="AB137" i="3"/>
  <c r="AC131" i="3" s="1"/>
  <c r="AC132" i="3" s="1"/>
  <c r="AB152" i="3"/>
  <c r="AB142" i="3"/>
  <c r="AB143" i="3" s="1"/>
  <c r="AB144" i="3" s="1"/>
  <c r="AC126" i="3"/>
  <c r="AC134" i="3"/>
  <c r="AD119" i="3"/>
  <c r="AD121" i="3" s="1"/>
  <c r="AV106" i="3"/>
  <c r="AV114" i="3"/>
  <c r="AU133" i="3"/>
  <c r="AU151" i="3"/>
  <c r="AW55" i="3"/>
  <c r="AW65" i="3" s="1"/>
  <c r="AW52" i="3"/>
  <c r="AX51" i="3" s="1"/>
  <c r="Y154" i="3" l="1"/>
  <c r="Y159" i="3" s="1"/>
  <c r="X167" i="3"/>
  <c r="X92" i="3" s="1"/>
  <c r="X94" i="3" s="1"/>
  <c r="X165" i="3"/>
  <c r="X168" i="3" s="1"/>
  <c r="AD122" i="3"/>
  <c r="AE118" i="3" s="1"/>
  <c r="AE119" i="3" s="1"/>
  <c r="AE121" i="3" s="1"/>
  <c r="AD123" i="3"/>
  <c r="AD125" i="3"/>
  <c r="AC135" i="3"/>
  <c r="AC136" i="3"/>
  <c r="AV133" i="3"/>
  <c r="AV151" i="3"/>
  <c r="AX52" i="3"/>
  <c r="AY51" i="3" s="1"/>
  <c r="AX55" i="3"/>
  <c r="AX65" i="3" s="1"/>
  <c r="AW106" i="3"/>
  <c r="AW114" i="3"/>
  <c r="Y155" i="3" l="1"/>
  <c r="Z149" i="3" s="1"/>
  <c r="Z150" i="3" s="1"/>
  <c r="Z153" i="3" s="1"/>
  <c r="Y157" i="3"/>
  <c r="Y160" i="3"/>
  <c r="Y161" i="3" s="1"/>
  <c r="Y162" i="3" s="1"/>
  <c r="X99" i="3"/>
  <c r="X101" i="3" s="1"/>
  <c r="X107" i="3" s="1"/>
  <c r="X105" i="3" s="1"/>
  <c r="AC137" i="3"/>
  <c r="AD131" i="3" s="1"/>
  <c r="AC139" i="3"/>
  <c r="AC141" i="3"/>
  <c r="AD134" i="3"/>
  <c r="AD126" i="3"/>
  <c r="AE122" i="3"/>
  <c r="AF118" i="3" s="1"/>
  <c r="AE123" i="3"/>
  <c r="AE125" i="3"/>
  <c r="AY52" i="3"/>
  <c r="AZ51" i="3" s="1"/>
  <c r="AY55" i="3"/>
  <c r="AY65" i="3" s="1"/>
  <c r="AW133" i="3"/>
  <c r="AW151" i="3"/>
  <c r="AX114" i="3"/>
  <c r="AX106" i="3"/>
  <c r="Z154" i="3" l="1"/>
  <c r="Z159" i="3" s="1"/>
  <c r="Z160" i="3" s="1"/>
  <c r="Z161" i="3" s="1"/>
  <c r="Z162" i="3" s="1"/>
  <c r="Z165" i="3" s="1"/>
  <c r="Y167" i="3"/>
  <c r="Y92" i="3" s="1"/>
  <c r="Y94" i="3" s="1"/>
  <c r="Y165" i="3"/>
  <c r="AF119" i="3"/>
  <c r="AF121" i="3" s="1"/>
  <c r="AC152" i="3"/>
  <c r="AC142" i="3"/>
  <c r="AC143" i="3" s="1"/>
  <c r="AC144" i="3" s="1"/>
  <c r="AE126" i="3"/>
  <c r="AE134" i="3"/>
  <c r="AD132" i="3"/>
  <c r="AD136" i="3" s="1"/>
  <c r="AY114" i="3"/>
  <c r="AY106" i="3"/>
  <c r="AX133" i="3"/>
  <c r="AX151" i="3"/>
  <c r="AZ52" i="3"/>
  <c r="BA51" i="3" s="1"/>
  <c r="AZ55" i="3"/>
  <c r="AZ65" i="3" s="1"/>
  <c r="Z167" i="3" l="1"/>
  <c r="Z92" i="3" s="1"/>
  <c r="Z94" i="3" s="1"/>
  <c r="Z155" i="3"/>
  <c r="AA149" i="3" s="1"/>
  <c r="Z157" i="3"/>
  <c r="Y168" i="3"/>
  <c r="Y99" i="3"/>
  <c r="Y101" i="3" s="1"/>
  <c r="Y107" i="3" s="1"/>
  <c r="Y105" i="3" s="1"/>
  <c r="AD135" i="3"/>
  <c r="AD137" i="3" s="1"/>
  <c r="AE131" i="3" s="1"/>
  <c r="AE132" i="3" s="1"/>
  <c r="AD139" i="3"/>
  <c r="AD141" i="3"/>
  <c r="AF123" i="3"/>
  <c r="AF125" i="3"/>
  <c r="AF122" i="3"/>
  <c r="AG118" i="3" s="1"/>
  <c r="BA55" i="3"/>
  <c r="BA65" i="3" s="1"/>
  <c r="BA52" i="3"/>
  <c r="BB51" i="3" s="1"/>
  <c r="AY133" i="3"/>
  <c r="AY151" i="3"/>
  <c r="AZ114" i="3"/>
  <c r="AZ106" i="3"/>
  <c r="Z99" i="3" l="1"/>
  <c r="Z101" i="3" s="1"/>
  <c r="Z107" i="3" s="1"/>
  <c r="Z105" i="3" s="1"/>
  <c r="Z168" i="3"/>
  <c r="AA150" i="3"/>
  <c r="AA153" i="3" s="1"/>
  <c r="AE135" i="3"/>
  <c r="AE136" i="3"/>
  <c r="AE137" i="3" s="1"/>
  <c r="AF131" i="3" s="1"/>
  <c r="AG119" i="3"/>
  <c r="AG121" i="3" s="1"/>
  <c r="AG122" i="3" s="1"/>
  <c r="AH118" i="3" s="1"/>
  <c r="AF126" i="3"/>
  <c r="AF134" i="3"/>
  <c r="AD142" i="3"/>
  <c r="AD143" i="3" s="1"/>
  <c r="AD144" i="3" s="1"/>
  <c r="AD152" i="3"/>
  <c r="AZ133" i="3"/>
  <c r="AZ151" i="3"/>
  <c r="BB55" i="3"/>
  <c r="BB65" i="3" s="1"/>
  <c r="BB52" i="3"/>
  <c r="BC51" i="3" s="1"/>
  <c r="BA106" i="3"/>
  <c r="BA114" i="3"/>
  <c r="AA154" i="3" l="1"/>
  <c r="AA155" i="3" s="1"/>
  <c r="AB149" i="3" s="1"/>
  <c r="AE141" i="3"/>
  <c r="AE142" i="3" s="1"/>
  <c r="AE143" i="3" s="1"/>
  <c r="AE144" i="3" s="1"/>
  <c r="AE139" i="3"/>
  <c r="AF132" i="3"/>
  <c r="AF136" i="3" s="1"/>
  <c r="AF141" i="3" s="1"/>
  <c r="AH119" i="3"/>
  <c r="AH121" i="3" s="1"/>
  <c r="AG125" i="3"/>
  <c r="AG123" i="3"/>
  <c r="BA133" i="3"/>
  <c r="BA151" i="3"/>
  <c r="BB106" i="3"/>
  <c r="BB114" i="3"/>
  <c r="BC55" i="3"/>
  <c r="BC65" i="3" s="1"/>
  <c r="BC52" i="3"/>
  <c r="BD51" i="3" s="1"/>
  <c r="AA159" i="3" l="1"/>
  <c r="AA160" i="3" s="1"/>
  <c r="AA157" i="3"/>
  <c r="AE152" i="3"/>
  <c r="AB150" i="3"/>
  <c r="AB153" i="3" s="1"/>
  <c r="AF135" i="3"/>
  <c r="AF137" i="3" s="1"/>
  <c r="AG131" i="3" s="1"/>
  <c r="AG132" i="3" s="1"/>
  <c r="AF142" i="3"/>
  <c r="AF143" i="3" s="1"/>
  <c r="AF144" i="3" s="1"/>
  <c r="AH123" i="3"/>
  <c r="AH125" i="3"/>
  <c r="AF139" i="3"/>
  <c r="AG126" i="3"/>
  <c r="AG134" i="3"/>
  <c r="AH122" i="3"/>
  <c r="AI118" i="3" s="1"/>
  <c r="AF152" i="3"/>
  <c r="BC106" i="3"/>
  <c r="BC114" i="3"/>
  <c r="BD55" i="3"/>
  <c r="BD65" i="3" s="1"/>
  <c r="BD52" i="3"/>
  <c r="BE51" i="3" s="1"/>
  <c r="BB133" i="3"/>
  <c r="BB151" i="3"/>
  <c r="AB154" i="3" l="1"/>
  <c r="AB157" i="3" s="1"/>
  <c r="AA161" i="3"/>
  <c r="AA162" i="3" s="1"/>
  <c r="AA167" i="3"/>
  <c r="AA92" i="3" s="1"/>
  <c r="AA94" i="3" s="1"/>
  <c r="AA165" i="3"/>
  <c r="AH126" i="3"/>
  <c r="AH134" i="3"/>
  <c r="AI119" i="3"/>
  <c r="AI121" i="3" s="1"/>
  <c r="AG135" i="3"/>
  <c r="AG136" i="3"/>
  <c r="AG141" i="3" s="1"/>
  <c r="BD106" i="3"/>
  <c r="BD114" i="3"/>
  <c r="BE55" i="3"/>
  <c r="BE65" i="3" s="1"/>
  <c r="BE52" i="3"/>
  <c r="BF51" i="3" s="1"/>
  <c r="BC133" i="3"/>
  <c r="BC151" i="3"/>
  <c r="AB155" i="3" l="1"/>
  <c r="AC149" i="3" s="1"/>
  <c r="AB159" i="3"/>
  <c r="AB160" i="3" s="1"/>
  <c r="AB161" i="3" s="1"/>
  <c r="AB162" i="3" s="1"/>
  <c r="AA168" i="3"/>
  <c r="AA99" i="3"/>
  <c r="AA101" i="3" s="1"/>
  <c r="AA107" i="3" s="1"/>
  <c r="AA105" i="3" s="1"/>
  <c r="AB167" i="3"/>
  <c r="AB92" i="3" s="1"/>
  <c r="AB94" i="3" s="1"/>
  <c r="AB165" i="3"/>
  <c r="AC150" i="3"/>
  <c r="AC153" i="3" s="1"/>
  <c r="AG137" i="3"/>
  <c r="AH131" i="3" s="1"/>
  <c r="AH132" i="3" s="1"/>
  <c r="AH135" i="3" s="1"/>
  <c r="AI123" i="3"/>
  <c r="AI125" i="3"/>
  <c r="AI122" i="3"/>
  <c r="AJ118" i="3" s="1"/>
  <c r="AG142" i="3"/>
  <c r="AG143" i="3" s="1"/>
  <c r="AG144" i="3" s="1"/>
  <c r="AG152" i="3"/>
  <c r="AG139" i="3"/>
  <c r="BD133" i="3"/>
  <c r="BD151" i="3"/>
  <c r="BE106" i="3"/>
  <c r="BE114" i="3"/>
  <c r="BF52" i="3"/>
  <c r="BG51" i="3" s="1"/>
  <c r="BF55" i="3"/>
  <c r="BF65" i="3" s="1"/>
  <c r="AB168" i="3" l="1"/>
  <c r="AB99" i="3"/>
  <c r="AB101" i="3" s="1"/>
  <c r="AB107" i="3" s="1"/>
  <c r="AB105" i="3" s="1"/>
  <c r="AC154" i="3"/>
  <c r="AC157" i="3" s="1"/>
  <c r="AH136" i="3"/>
  <c r="AH137" i="3" s="1"/>
  <c r="AI131" i="3" s="1"/>
  <c r="AJ119" i="3"/>
  <c r="AJ121" i="3" s="1"/>
  <c r="AJ122" i="3" s="1"/>
  <c r="AK118" i="3" s="1"/>
  <c r="AI134" i="3"/>
  <c r="AI126" i="3"/>
  <c r="BF114" i="3"/>
  <c r="BF106" i="3"/>
  <c r="BG52" i="3"/>
  <c r="BH51" i="3" s="1"/>
  <c r="BG55" i="3"/>
  <c r="BG65" i="3" s="1"/>
  <c r="BE133" i="3"/>
  <c r="BE151" i="3"/>
  <c r="AC155" i="3" l="1"/>
  <c r="AD149" i="3" s="1"/>
  <c r="AD150" i="3" s="1"/>
  <c r="AD154" i="3" s="1"/>
  <c r="AC159" i="3"/>
  <c r="AC160" i="3" s="1"/>
  <c r="AC161" i="3" s="1"/>
  <c r="AC162" i="3" s="1"/>
  <c r="AC167" i="3" s="1"/>
  <c r="AC92" i="3" s="1"/>
  <c r="AC94" i="3" s="1"/>
  <c r="AH141" i="3"/>
  <c r="AH139" i="3"/>
  <c r="AJ123" i="3"/>
  <c r="AJ125" i="3"/>
  <c r="AK119" i="3"/>
  <c r="AK121" i="3" s="1"/>
  <c r="AK122" i="3" s="1"/>
  <c r="AL118" i="3" s="1"/>
  <c r="AI132" i="3"/>
  <c r="AI135" i="3" s="1"/>
  <c r="BG114" i="3"/>
  <c r="BG106" i="3"/>
  <c r="BF133" i="3"/>
  <c r="BF151" i="3"/>
  <c r="BH52" i="3"/>
  <c r="BI51" i="3" s="1"/>
  <c r="BH55" i="3"/>
  <c r="BH65" i="3" s="1"/>
  <c r="AC165" i="3" l="1"/>
  <c r="AC168" i="3" s="1"/>
  <c r="AD153" i="3"/>
  <c r="AD155" i="3" s="1"/>
  <c r="AE149" i="3" s="1"/>
  <c r="AC99" i="3"/>
  <c r="AC101" i="3" s="1"/>
  <c r="AC107" i="3" s="1"/>
  <c r="AC105" i="3" s="1"/>
  <c r="AD159" i="3"/>
  <c r="AD160" i="3" s="1"/>
  <c r="AD157" i="3"/>
  <c r="AH152" i="3"/>
  <c r="AH142" i="3"/>
  <c r="AH143" i="3" s="1"/>
  <c r="AH144" i="3" s="1"/>
  <c r="AI136" i="3"/>
  <c r="AJ134" i="3"/>
  <c r="AJ126" i="3"/>
  <c r="AL119" i="3"/>
  <c r="AL121" i="3" s="1"/>
  <c r="AK123" i="3"/>
  <c r="AK125" i="3"/>
  <c r="BI55" i="3"/>
  <c r="BI65" i="3" s="1"/>
  <c r="BI52" i="3"/>
  <c r="BJ51" i="3" s="1"/>
  <c r="BH114" i="3"/>
  <c r="BH106" i="3"/>
  <c r="BG133" i="3"/>
  <c r="BG151" i="3"/>
  <c r="AE150" i="3" l="1"/>
  <c r="AE153" i="3" s="1"/>
  <c r="AD161" i="3"/>
  <c r="AD162" i="3" s="1"/>
  <c r="AL123" i="3"/>
  <c r="AL125" i="3"/>
  <c r="AL122" i="3"/>
  <c r="AM118" i="3" s="1"/>
  <c r="AI141" i="3"/>
  <c r="AI139" i="3"/>
  <c r="AK134" i="3"/>
  <c r="AK126" i="3"/>
  <c r="AI137" i="3"/>
  <c r="AJ131" i="3" s="1"/>
  <c r="BH133" i="3"/>
  <c r="BH151" i="3"/>
  <c r="BJ55" i="3"/>
  <c r="BJ65" i="3" s="1"/>
  <c r="BJ52" i="3"/>
  <c r="BK51" i="3" s="1"/>
  <c r="BI106" i="3"/>
  <c r="BI114" i="3"/>
  <c r="AD167" i="3" l="1"/>
  <c r="AD92" i="3" s="1"/>
  <c r="AD94" i="3" s="1"/>
  <c r="AD165" i="3"/>
  <c r="AE154" i="3"/>
  <c r="AI142" i="3"/>
  <c r="AI143" i="3" s="1"/>
  <c r="AI144" i="3" s="1"/>
  <c r="AI152" i="3"/>
  <c r="AL134" i="3"/>
  <c r="AL126" i="3"/>
  <c r="AJ132" i="3"/>
  <c r="AJ135" i="3" s="1"/>
  <c r="AM119" i="3"/>
  <c r="AM121" i="3" s="1"/>
  <c r="BJ106" i="3"/>
  <c r="BJ114" i="3"/>
  <c r="BI133" i="3"/>
  <c r="BI151" i="3"/>
  <c r="BK55" i="3"/>
  <c r="BK65" i="3" s="1"/>
  <c r="BK52" i="3"/>
  <c r="BL51" i="3" s="1"/>
  <c r="AE157" i="3" l="1"/>
  <c r="AE159" i="3"/>
  <c r="AE155" i="3"/>
  <c r="AF149" i="3" s="1"/>
  <c r="AD168" i="3"/>
  <c r="AD99" i="3"/>
  <c r="AD101" i="3" s="1"/>
  <c r="AD107" i="3" s="1"/>
  <c r="AD105" i="3" s="1"/>
  <c r="AJ136" i="3"/>
  <c r="AJ137" i="3" s="1"/>
  <c r="AK131" i="3" s="1"/>
  <c r="AM122" i="3"/>
  <c r="AN118" i="3" s="1"/>
  <c r="AN119" i="3" s="1"/>
  <c r="AM123" i="3"/>
  <c r="AM125" i="3"/>
  <c r="BK106" i="3"/>
  <c r="BK114" i="3"/>
  <c r="BL55" i="3"/>
  <c r="BL65" i="3" s="1"/>
  <c r="BL52" i="3"/>
  <c r="BM51" i="3" s="1"/>
  <c r="BJ133" i="3"/>
  <c r="BJ151" i="3"/>
  <c r="AE160" i="3" l="1"/>
  <c r="AE161" i="3" s="1"/>
  <c r="AE162" i="3" s="1"/>
  <c r="AF150" i="3"/>
  <c r="AF153" i="3" s="1"/>
  <c r="AJ139" i="3"/>
  <c r="AJ141" i="3"/>
  <c r="AJ142" i="3" s="1"/>
  <c r="AJ143" i="3" s="1"/>
  <c r="AJ144" i="3" s="1"/>
  <c r="AK132" i="3"/>
  <c r="AK135" i="3" s="1"/>
  <c r="AN121" i="3"/>
  <c r="AM134" i="3"/>
  <c r="AM126" i="3"/>
  <c r="BM55" i="3"/>
  <c r="BM65" i="3" s="1"/>
  <c r="BM52" i="3"/>
  <c r="BN51" i="3" s="1"/>
  <c r="BL106" i="3"/>
  <c r="BL114" i="3"/>
  <c r="BK133" i="3"/>
  <c r="BK151" i="3"/>
  <c r="AE165" i="3" l="1"/>
  <c r="AE167" i="3"/>
  <c r="AE92" i="3" s="1"/>
  <c r="AE94" i="3" s="1"/>
  <c r="AF154" i="3"/>
  <c r="AJ152" i="3"/>
  <c r="AK136" i="3"/>
  <c r="AN123" i="3"/>
  <c r="AN125" i="3"/>
  <c r="AN122" i="3"/>
  <c r="AO118" i="3" s="1"/>
  <c r="BL133" i="3"/>
  <c r="BL151" i="3"/>
  <c r="BM106" i="3"/>
  <c r="BM114" i="3"/>
  <c r="BN52" i="3"/>
  <c r="BO51" i="3" s="1"/>
  <c r="BN55" i="3"/>
  <c r="BN65" i="3" s="1"/>
  <c r="AE99" i="3" l="1"/>
  <c r="AE101" i="3" s="1"/>
  <c r="AE107" i="3" s="1"/>
  <c r="AE105" i="3" s="1"/>
  <c r="AF159" i="3"/>
  <c r="AF160" i="3" s="1"/>
  <c r="AF157" i="3"/>
  <c r="AF155" i="3"/>
  <c r="AG149" i="3" s="1"/>
  <c r="AE168" i="3"/>
  <c r="AK139" i="3"/>
  <c r="AK141" i="3"/>
  <c r="AK137" i="3"/>
  <c r="AL131" i="3" s="1"/>
  <c r="AO119" i="3"/>
  <c r="AO121" i="3" s="1"/>
  <c r="AN126" i="3"/>
  <c r="AN134" i="3"/>
  <c r="BM133" i="3"/>
  <c r="BM151" i="3"/>
  <c r="BO52" i="3"/>
  <c r="BP51" i="3" s="1"/>
  <c r="BO55" i="3"/>
  <c r="BO61" i="3" s="1"/>
  <c r="BN114" i="3"/>
  <c r="BN106" i="3"/>
  <c r="AG150" i="3" l="1"/>
  <c r="AG153" i="3" s="1"/>
  <c r="AF161" i="3"/>
  <c r="AF162" i="3" s="1"/>
  <c r="AK142" i="3"/>
  <c r="AK143" i="3" s="1"/>
  <c r="AK144" i="3" s="1"/>
  <c r="AK152" i="3"/>
  <c r="AL132" i="3"/>
  <c r="AL135" i="3" s="1"/>
  <c r="AO125" i="3"/>
  <c r="AO123" i="3"/>
  <c r="AO122" i="3"/>
  <c r="AP118" i="3" s="1"/>
  <c r="BO65" i="3"/>
  <c r="BP52" i="3"/>
  <c r="BQ51" i="3" s="1"/>
  <c r="BP55" i="3"/>
  <c r="BP65" i="3" s="1"/>
  <c r="BO63" i="3"/>
  <c r="BP58" i="3" s="1"/>
  <c r="BP63" i="3" s="1"/>
  <c r="BQ58" i="3" s="1"/>
  <c r="BQ63" i="3" s="1"/>
  <c r="BR58" i="3" s="1"/>
  <c r="BR63" i="3" s="1"/>
  <c r="BS58" i="3" s="1"/>
  <c r="BS63" i="3" s="1"/>
  <c r="BT58" i="3" s="1"/>
  <c r="BT63" i="3" s="1"/>
  <c r="BU58" i="3" s="1"/>
  <c r="BU63" i="3" s="1"/>
  <c r="BV58" i="3" s="1"/>
  <c r="BV63" i="3" s="1"/>
  <c r="BW58" i="3" s="1"/>
  <c r="BW63" i="3" s="1"/>
  <c r="BX58" i="3" s="1"/>
  <c r="BX63" i="3" s="1"/>
  <c r="BY58" i="3" s="1"/>
  <c r="BY63" i="3" s="1"/>
  <c r="BZ58" i="3" s="1"/>
  <c r="BZ63" i="3" s="1"/>
  <c r="CA58" i="3" s="1"/>
  <c r="CA63" i="3" s="1"/>
  <c r="CB58" i="3" s="1"/>
  <c r="CB63" i="3" s="1"/>
  <c r="CC58" i="3" s="1"/>
  <c r="CC63" i="3" s="1"/>
  <c r="CD58" i="3" s="1"/>
  <c r="CD63" i="3" s="1"/>
  <c r="CE58" i="3" s="1"/>
  <c r="CE63" i="3" s="1"/>
  <c r="CF58" i="3" s="1"/>
  <c r="CF63" i="3" s="1"/>
  <c r="CG58" i="3" s="1"/>
  <c r="CG63" i="3" s="1"/>
  <c r="CH58" i="3" s="1"/>
  <c r="CH63" i="3" s="1"/>
  <c r="CI58" i="3" s="1"/>
  <c r="CI63" i="3" s="1"/>
  <c r="CJ58" i="3" s="1"/>
  <c r="CJ63" i="3" s="1"/>
  <c r="CK58" i="3" s="1"/>
  <c r="CK63" i="3" s="1"/>
  <c r="CL58" i="3" s="1"/>
  <c r="CL63" i="3" s="1"/>
  <c r="CM58" i="3" s="1"/>
  <c r="CM63" i="3" s="1"/>
  <c r="CN58" i="3" s="1"/>
  <c r="CN63" i="3" s="1"/>
  <c r="CO58" i="3" s="1"/>
  <c r="CO63" i="3" s="1"/>
  <c r="CP58" i="3" s="1"/>
  <c r="CP63" i="3" s="1"/>
  <c r="CQ58" i="3" s="1"/>
  <c r="CQ63" i="3" s="1"/>
  <c r="CR58" i="3" s="1"/>
  <c r="CR63" i="3" s="1"/>
  <c r="CS58" i="3" s="1"/>
  <c r="CS63" i="3" s="1"/>
  <c r="CT58" i="3" s="1"/>
  <c r="CT63" i="3" s="1"/>
  <c r="CU58" i="3" s="1"/>
  <c r="CU63" i="3" s="1"/>
  <c r="CV58" i="3" s="1"/>
  <c r="CV63" i="3" s="1"/>
  <c r="CW58" i="3" s="1"/>
  <c r="CW63" i="3" s="1"/>
  <c r="CX58" i="3" s="1"/>
  <c r="CX63" i="3" s="1"/>
  <c r="CY58" i="3" s="1"/>
  <c r="CY63" i="3" s="1"/>
  <c r="CZ58" i="3" s="1"/>
  <c r="CZ63" i="3" s="1"/>
  <c r="DA58" i="3" s="1"/>
  <c r="DA63" i="3" s="1"/>
  <c r="DB58" i="3" s="1"/>
  <c r="DB63" i="3" s="1"/>
  <c r="DC58" i="3" s="1"/>
  <c r="DC63" i="3" s="1"/>
  <c r="DD58" i="3" s="1"/>
  <c r="DD63" i="3" s="1"/>
  <c r="DE58" i="3" s="1"/>
  <c r="DE63" i="3" s="1"/>
  <c r="DF58" i="3" s="1"/>
  <c r="DF63" i="3" s="1"/>
  <c r="DG58" i="3" s="1"/>
  <c r="DG63" i="3" s="1"/>
  <c r="DH58" i="3" s="1"/>
  <c r="DH63" i="3" s="1"/>
  <c r="DI58" i="3" s="1"/>
  <c r="DI63" i="3" s="1"/>
  <c r="DJ58" i="3" s="1"/>
  <c r="DJ63" i="3" s="1"/>
  <c r="DK58" i="3" s="1"/>
  <c r="DK63" i="3" s="1"/>
  <c r="DL58" i="3" s="1"/>
  <c r="DL63" i="3" s="1"/>
  <c r="DM58" i="3" s="1"/>
  <c r="DM63" i="3" s="1"/>
  <c r="DN58" i="3" s="1"/>
  <c r="DN63" i="3" s="1"/>
  <c r="DO58" i="3" s="1"/>
  <c r="DO63" i="3" s="1"/>
  <c r="DP58" i="3" s="1"/>
  <c r="DP63" i="3" s="1"/>
  <c r="DQ58" i="3" s="1"/>
  <c r="DQ63" i="3" s="1"/>
  <c r="DR58" i="3" s="1"/>
  <c r="DR63" i="3" s="1"/>
  <c r="DS58" i="3" s="1"/>
  <c r="DS63" i="3" s="1"/>
  <c r="DT58" i="3" s="1"/>
  <c r="DT63" i="3" s="1"/>
  <c r="DU58" i="3" s="1"/>
  <c r="DU63" i="3" s="1"/>
  <c r="DV58" i="3" s="1"/>
  <c r="DV63" i="3" s="1"/>
  <c r="DW58" i="3" s="1"/>
  <c r="DW63" i="3" s="1"/>
  <c r="DX58" i="3" s="1"/>
  <c r="DX63" i="3" s="1"/>
  <c r="DY58" i="3" s="1"/>
  <c r="DY63" i="3" s="1"/>
  <c r="DZ58" i="3" s="1"/>
  <c r="DZ63" i="3" s="1"/>
  <c r="EA58" i="3" s="1"/>
  <c r="EA63" i="3" s="1"/>
  <c r="EB58" i="3" s="1"/>
  <c r="EB63" i="3" s="1"/>
  <c r="EC58" i="3" s="1"/>
  <c r="EC63" i="3" s="1"/>
  <c r="ED58" i="3" s="1"/>
  <c r="ED63" i="3" s="1"/>
  <c r="EE58" i="3" s="1"/>
  <c r="EE63" i="3" s="1"/>
  <c r="EF58" i="3" s="1"/>
  <c r="EF63" i="3" s="1"/>
  <c r="EG58" i="3" s="1"/>
  <c r="EG63" i="3" s="1"/>
  <c r="EH58" i="3" s="1"/>
  <c r="EH63" i="3" s="1"/>
  <c r="EI58" i="3" s="1"/>
  <c r="EI63" i="3" s="1"/>
  <c r="K14" i="32"/>
  <c r="BN133" i="3"/>
  <c r="BN151" i="3"/>
  <c r="AF165" i="3" l="1"/>
  <c r="AF167" i="3"/>
  <c r="AF92" i="3" s="1"/>
  <c r="AF94" i="3" s="1"/>
  <c r="AG154" i="3"/>
  <c r="AG155" i="3" s="1"/>
  <c r="AH149" i="3" s="1"/>
  <c r="AL136" i="3"/>
  <c r="AL139" i="3" s="1"/>
  <c r="AO126" i="3"/>
  <c r="AO134" i="3"/>
  <c r="AP119" i="3"/>
  <c r="AP121" i="3" s="1"/>
  <c r="BQ55" i="3"/>
  <c r="BQ65" i="3" s="1"/>
  <c r="BQ52" i="3"/>
  <c r="BR51" i="3" s="1"/>
  <c r="BP114" i="3"/>
  <c r="BP106" i="3"/>
  <c r="BO114" i="3"/>
  <c r="BO106" i="3"/>
  <c r="AH150" i="3" l="1"/>
  <c r="AH153" i="3" s="1"/>
  <c r="AG157" i="3"/>
  <c r="AG159" i="3"/>
  <c r="AG160" i="3" s="1"/>
  <c r="AF168" i="3"/>
  <c r="AF99" i="3"/>
  <c r="AF101" i="3" s="1"/>
  <c r="AF107" i="3" s="1"/>
  <c r="AF105" i="3" s="1"/>
  <c r="AL141" i="3"/>
  <c r="AL142" i="3" s="1"/>
  <c r="AL143" i="3" s="1"/>
  <c r="AL144" i="3" s="1"/>
  <c r="AL137" i="3"/>
  <c r="AM131" i="3" s="1"/>
  <c r="AM132" i="3" s="1"/>
  <c r="AM135" i="3" s="1"/>
  <c r="AP125" i="3"/>
  <c r="AP123" i="3"/>
  <c r="AP122" i="3"/>
  <c r="AQ118" i="3" s="1"/>
  <c r="BQ106" i="3"/>
  <c r="BQ114" i="3"/>
  <c r="BO133" i="3"/>
  <c r="BO151" i="3"/>
  <c r="BP133" i="3"/>
  <c r="BP151" i="3"/>
  <c r="BR55" i="3"/>
  <c r="BR65" i="3" s="1"/>
  <c r="BR52" i="3"/>
  <c r="BS51" i="3" s="1"/>
  <c r="AH154" i="3" l="1"/>
  <c r="AH155" i="3" s="1"/>
  <c r="AI149" i="3" s="1"/>
  <c r="AI150" i="3" s="1"/>
  <c r="AI153" i="3" s="1"/>
  <c r="AG161" i="3"/>
  <c r="AG162" i="3" s="1"/>
  <c r="AL152" i="3"/>
  <c r="AM136" i="3"/>
  <c r="AM141" i="3" s="1"/>
  <c r="AQ119" i="3"/>
  <c r="AQ121" i="3" s="1"/>
  <c r="AP126" i="3"/>
  <c r="AP134" i="3"/>
  <c r="BQ133" i="3"/>
  <c r="BQ151" i="3"/>
  <c r="BR106" i="3"/>
  <c r="BR114" i="3"/>
  <c r="BS55" i="3"/>
  <c r="BS65" i="3" s="1"/>
  <c r="BS52" i="3"/>
  <c r="BT51" i="3" s="1"/>
  <c r="AH157" i="3" l="1"/>
  <c r="AH159" i="3"/>
  <c r="AI154" i="3"/>
  <c r="AI155" i="3" s="1"/>
  <c r="AJ149" i="3" s="1"/>
  <c r="AG165" i="3"/>
  <c r="AG167" i="3"/>
  <c r="AG92" i="3" s="1"/>
  <c r="AG94" i="3" s="1"/>
  <c r="AI157" i="3"/>
  <c r="AH160" i="3"/>
  <c r="AH161" i="3" s="1"/>
  <c r="AH162" i="3" s="1"/>
  <c r="AM137" i="3"/>
  <c r="AN131" i="3" s="1"/>
  <c r="AN132" i="3" s="1"/>
  <c r="AN135" i="3" s="1"/>
  <c r="AM139" i="3"/>
  <c r="AM142" i="3"/>
  <c r="AM143" i="3" s="1"/>
  <c r="AM144" i="3" s="1"/>
  <c r="AM152" i="3"/>
  <c r="AQ122" i="3"/>
  <c r="AR118" i="3" s="1"/>
  <c r="AQ123" i="3"/>
  <c r="AQ125" i="3"/>
  <c r="BR133" i="3"/>
  <c r="BR151" i="3"/>
  <c r="BS106" i="3"/>
  <c r="BS114" i="3"/>
  <c r="BT55" i="3"/>
  <c r="BT65" i="3" s="1"/>
  <c r="BT52" i="3"/>
  <c r="BU51" i="3" s="1"/>
  <c r="AI159" i="3" l="1"/>
  <c r="AJ150" i="3"/>
  <c r="AJ153" i="3" s="1"/>
  <c r="AH167" i="3"/>
  <c r="AH92" i="3" s="1"/>
  <c r="AH94" i="3" s="1"/>
  <c r="AH165" i="3"/>
  <c r="AH168" i="3" s="1"/>
  <c r="AI160" i="3"/>
  <c r="AI161" i="3" s="1"/>
  <c r="AI162" i="3" s="1"/>
  <c r="AG168" i="3"/>
  <c r="AG99" i="3"/>
  <c r="AG101" i="3" s="1"/>
  <c r="AG107" i="3" s="1"/>
  <c r="AG105" i="3" s="1"/>
  <c r="AN136" i="3"/>
  <c r="AN141" i="3" s="1"/>
  <c r="AQ134" i="3"/>
  <c r="AQ126" i="3"/>
  <c r="AR119" i="3"/>
  <c r="AR121" i="3" s="1"/>
  <c r="AR122" i="3" s="1"/>
  <c r="AS118" i="3" s="1"/>
  <c r="BT106" i="3"/>
  <c r="BT114" i="3"/>
  <c r="BS133" i="3"/>
  <c r="BS151" i="3"/>
  <c r="BU55" i="3"/>
  <c r="BU65" i="3" s="1"/>
  <c r="BU52" i="3"/>
  <c r="BV51" i="3" s="1"/>
  <c r="AJ154" i="3" l="1"/>
  <c r="AJ159" i="3" s="1"/>
  <c r="AN137" i="3"/>
  <c r="AO131" i="3" s="1"/>
  <c r="AO132" i="3" s="1"/>
  <c r="AO135" i="3" s="1"/>
  <c r="AN139" i="3"/>
  <c r="AI167" i="3"/>
  <c r="AI92" i="3" s="1"/>
  <c r="AI94" i="3" s="1"/>
  <c r="AI165" i="3"/>
  <c r="AH99" i="3"/>
  <c r="AH101" i="3" s="1"/>
  <c r="AH107" i="3" s="1"/>
  <c r="AH105" i="3" s="1"/>
  <c r="AN142" i="3"/>
  <c r="AN143" i="3" s="1"/>
  <c r="AN144" i="3" s="1"/>
  <c r="AN152" i="3"/>
  <c r="AR125" i="3"/>
  <c r="AR123" i="3"/>
  <c r="AS119" i="3"/>
  <c r="AS121" i="3" s="1"/>
  <c r="AS122" i="3" s="1"/>
  <c r="AT118" i="3" s="1"/>
  <c r="BV52" i="3"/>
  <c r="BW51" i="3" s="1"/>
  <c r="BV55" i="3"/>
  <c r="BV65" i="3" s="1"/>
  <c r="BT133" i="3"/>
  <c r="BT151" i="3"/>
  <c r="BU106" i="3"/>
  <c r="BU114" i="3"/>
  <c r="AJ155" i="3" l="1"/>
  <c r="AK149" i="3" s="1"/>
  <c r="AK150" i="3" s="1"/>
  <c r="AK154" i="3" s="1"/>
  <c r="AJ157" i="3"/>
  <c r="AI99" i="3"/>
  <c r="AI101" i="3" s="1"/>
  <c r="AI107" i="3" s="1"/>
  <c r="AI105" i="3" s="1"/>
  <c r="AO136" i="3"/>
  <c r="AO139" i="3" s="1"/>
  <c r="AJ160" i="3"/>
  <c r="AJ161" i="3" s="1"/>
  <c r="AJ162" i="3" s="1"/>
  <c r="AI168" i="3"/>
  <c r="AS123" i="3"/>
  <c r="AS125" i="3"/>
  <c r="AT119" i="3"/>
  <c r="AR134" i="3"/>
  <c r="AR126" i="3"/>
  <c r="BV114" i="3"/>
  <c r="BV106" i="3"/>
  <c r="BW52" i="3"/>
  <c r="BX51" i="3" s="1"/>
  <c r="BW55" i="3"/>
  <c r="BW65" i="3" s="1"/>
  <c r="BU133" i="3"/>
  <c r="BU151" i="3"/>
  <c r="AO137" i="3" l="1"/>
  <c r="AP131" i="3" s="1"/>
  <c r="AP132" i="3" s="1"/>
  <c r="AP135" i="3" s="1"/>
  <c r="AO141" i="3"/>
  <c r="AO152" i="3" s="1"/>
  <c r="AK153" i="3"/>
  <c r="AK155" i="3" s="1"/>
  <c r="AL149" i="3" s="1"/>
  <c r="AL150" i="3" s="1"/>
  <c r="AL153" i="3" s="1"/>
  <c r="AJ167" i="3"/>
  <c r="AJ92" i="3" s="1"/>
  <c r="AJ94" i="3" s="1"/>
  <c r="AJ165" i="3"/>
  <c r="AK159" i="3"/>
  <c r="AK160" i="3" s="1"/>
  <c r="AK157" i="3"/>
  <c r="AO142" i="3"/>
  <c r="AO143" i="3" s="1"/>
  <c r="AO144" i="3" s="1"/>
  <c r="AT121" i="3"/>
  <c r="AS134" i="3"/>
  <c r="AS126" i="3"/>
  <c r="BX52" i="3"/>
  <c r="BY51" i="3" s="1"/>
  <c r="BX55" i="3"/>
  <c r="BX65" i="3" s="1"/>
  <c r="BW114" i="3"/>
  <c r="BW106" i="3"/>
  <c r="BV133" i="3"/>
  <c r="BV151" i="3"/>
  <c r="AJ99" i="3" l="1"/>
  <c r="AJ101" i="3" s="1"/>
  <c r="AJ107" i="3" s="1"/>
  <c r="AJ105" i="3" s="1"/>
  <c r="AJ168" i="3"/>
  <c r="AL154" i="3"/>
  <c r="AL159" i="3" s="1"/>
  <c r="AL160" i="3" s="1"/>
  <c r="AK161" i="3"/>
  <c r="AK162" i="3" s="1"/>
  <c r="AP136" i="3"/>
  <c r="AP139" i="3" s="1"/>
  <c r="AT125" i="3"/>
  <c r="AT123" i="3"/>
  <c r="AT122" i="3"/>
  <c r="AU118" i="3" s="1"/>
  <c r="BX114" i="3"/>
  <c r="BX106" i="3"/>
  <c r="BY55" i="3"/>
  <c r="BY65" i="3" s="1"/>
  <c r="BY52" i="3"/>
  <c r="BZ51" i="3" s="1"/>
  <c r="BW133" i="3"/>
  <c r="BW151" i="3"/>
  <c r="AL155" i="3" l="1"/>
  <c r="AM149" i="3" s="1"/>
  <c r="AM150" i="3" s="1"/>
  <c r="AM153" i="3" s="1"/>
  <c r="AL157" i="3"/>
  <c r="AL161" i="3"/>
  <c r="AL162" i="3" s="1"/>
  <c r="AK165" i="3"/>
  <c r="AK167" i="3"/>
  <c r="AK92" i="3" s="1"/>
  <c r="AK94" i="3" s="1"/>
  <c r="AP137" i="3"/>
  <c r="AQ131" i="3" s="1"/>
  <c r="AQ132" i="3" s="1"/>
  <c r="AQ135" i="3" s="1"/>
  <c r="AP141" i="3"/>
  <c r="AP142" i="3" s="1"/>
  <c r="AP143" i="3" s="1"/>
  <c r="AP144" i="3" s="1"/>
  <c r="AU119" i="3"/>
  <c r="AU121" i="3" s="1"/>
  <c r="AU122" i="3" s="1"/>
  <c r="AV118" i="3" s="1"/>
  <c r="AT134" i="3"/>
  <c r="AT126" i="3"/>
  <c r="BY106" i="3"/>
  <c r="BY114" i="3"/>
  <c r="BZ55" i="3"/>
  <c r="BZ65" i="3" s="1"/>
  <c r="BZ52" i="3"/>
  <c r="CA51" i="3" s="1"/>
  <c r="BX133" i="3"/>
  <c r="BX151" i="3"/>
  <c r="AP152" i="3" l="1"/>
  <c r="AL165" i="3"/>
  <c r="AL167" i="3"/>
  <c r="AL92" i="3" s="1"/>
  <c r="AL94" i="3" s="1"/>
  <c r="AK168" i="3"/>
  <c r="AK99" i="3"/>
  <c r="AK101" i="3" s="1"/>
  <c r="AK107" i="3" s="1"/>
  <c r="AK105" i="3" s="1"/>
  <c r="AM154" i="3"/>
  <c r="AQ136" i="3"/>
  <c r="AQ137" i="3" s="1"/>
  <c r="AR131" i="3" s="1"/>
  <c r="AU123" i="3"/>
  <c r="AU125" i="3"/>
  <c r="AV119" i="3"/>
  <c r="AV121" i="3" s="1"/>
  <c r="BZ106" i="3"/>
  <c r="BZ114" i="3"/>
  <c r="CA55" i="3"/>
  <c r="CA65" i="3" s="1"/>
  <c r="CA52" i="3"/>
  <c r="CB51" i="3" s="1"/>
  <c r="BY133" i="3"/>
  <c r="BY151" i="3"/>
  <c r="AQ139" i="3" l="1"/>
  <c r="AM159" i="3"/>
  <c r="AM160" i="3" s="1"/>
  <c r="AM157" i="3"/>
  <c r="AL168" i="3"/>
  <c r="AL99" i="3"/>
  <c r="AL101" i="3" s="1"/>
  <c r="AL107" i="3" s="1"/>
  <c r="AL105" i="3" s="1"/>
  <c r="AM155" i="3"/>
  <c r="AN149" i="3" s="1"/>
  <c r="AQ141" i="3"/>
  <c r="AQ152" i="3" s="1"/>
  <c r="AR132" i="3"/>
  <c r="AR136" i="3" s="1"/>
  <c r="AV125" i="3"/>
  <c r="AV123" i="3"/>
  <c r="AU134" i="3"/>
  <c r="AU126" i="3"/>
  <c r="AV122" i="3"/>
  <c r="AW118" i="3" s="1"/>
  <c r="CA106" i="3"/>
  <c r="CA114" i="3"/>
  <c r="BZ133" i="3"/>
  <c r="BZ151" i="3"/>
  <c r="CB55" i="3"/>
  <c r="CB65" i="3" s="1"/>
  <c r="CB52" i="3"/>
  <c r="CC51" i="3" s="1"/>
  <c r="AN150" i="3" l="1"/>
  <c r="AN153" i="3" s="1"/>
  <c r="AQ142" i="3"/>
  <c r="AQ143" i="3" s="1"/>
  <c r="AQ144" i="3" s="1"/>
  <c r="AM161" i="3"/>
  <c r="AM162" i="3" s="1"/>
  <c r="AR135" i="3"/>
  <c r="AR137" i="3" s="1"/>
  <c r="AS131" i="3" s="1"/>
  <c r="AS132" i="3" s="1"/>
  <c r="AS135" i="3" s="1"/>
  <c r="AR141" i="3"/>
  <c r="AR139" i="3"/>
  <c r="AV134" i="3"/>
  <c r="AV126" i="3"/>
  <c r="AW119" i="3"/>
  <c r="AW121" i="3" s="1"/>
  <c r="CA133" i="3"/>
  <c r="CA151" i="3"/>
  <c r="CB106" i="3"/>
  <c r="CB114" i="3"/>
  <c r="CC55" i="3"/>
  <c r="CC65" i="3" s="1"/>
  <c r="CC52" i="3"/>
  <c r="CD51" i="3" s="1"/>
  <c r="AN154" i="3" l="1"/>
  <c r="AN159" i="3" s="1"/>
  <c r="AN160" i="3" s="1"/>
  <c r="AM167" i="3"/>
  <c r="AM92" i="3" s="1"/>
  <c r="AM94" i="3" s="1"/>
  <c r="AM165" i="3"/>
  <c r="AR152" i="3"/>
  <c r="AR142" i="3"/>
  <c r="AR143" i="3" s="1"/>
  <c r="AR144" i="3" s="1"/>
  <c r="AS136" i="3"/>
  <c r="AS137" i="3" s="1"/>
  <c r="AT131" i="3" s="1"/>
  <c r="AW125" i="3"/>
  <c r="AW123" i="3"/>
  <c r="AW122" i="3"/>
  <c r="AX118" i="3" s="1"/>
  <c r="CB133" i="3"/>
  <c r="CB151" i="3"/>
  <c r="CD52" i="3"/>
  <c r="CE51" i="3" s="1"/>
  <c r="CD55" i="3"/>
  <c r="CD65" i="3" s="1"/>
  <c r="CC106" i="3"/>
  <c r="CC114" i="3"/>
  <c r="AN155" i="3" l="1"/>
  <c r="AO149" i="3" s="1"/>
  <c r="AO150" i="3" s="1"/>
  <c r="AO153" i="3" s="1"/>
  <c r="AN157" i="3"/>
  <c r="AM168" i="3"/>
  <c r="AM99" i="3"/>
  <c r="AM101" i="3" s="1"/>
  <c r="AM107" i="3" s="1"/>
  <c r="AM105" i="3" s="1"/>
  <c r="AN161" i="3"/>
  <c r="AN162" i="3" s="1"/>
  <c r="AT132" i="3"/>
  <c r="AT135" i="3" s="1"/>
  <c r="AS141" i="3"/>
  <c r="AS139" i="3"/>
  <c r="AX119" i="3"/>
  <c r="AX121" i="3" s="1"/>
  <c r="AW126" i="3"/>
  <c r="AW134" i="3"/>
  <c r="CE52" i="3"/>
  <c r="CF51" i="3" s="1"/>
  <c r="CE55" i="3"/>
  <c r="CE65" i="3" s="1"/>
  <c r="CD114" i="3"/>
  <c r="CD106" i="3"/>
  <c r="CC133" i="3"/>
  <c r="CC151" i="3"/>
  <c r="AO154" i="3" l="1"/>
  <c r="AO155" i="3" s="1"/>
  <c r="AP149" i="3" s="1"/>
  <c r="AN165" i="3"/>
  <c r="AN167" i="3"/>
  <c r="AN92" i="3" s="1"/>
  <c r="AN94" i="3" s="1"/>
  <c r="AT136" i="3"/>
  <c r="AT141" i="3" s="1"/>
  <c r="AS152" i="3"/>
  <c r="AS142" i="3"/>
  <c r="AS143" i="3" s="1"/>
  <c r="AS144" i="3" s="1"/>
  <c r="AX122" i="3"/>
  <c r="AY118" i="3" s="1"/>
  <c r="AX125" i="3"/>
  <c r="AX123" i="3"/>
  <c r="CE114" i="3"/>
  <c r="CE106" i="3"/>
  <c r="CD133" i="3"/>
  <c r="CD151" i="3"/>
  <c r="CF52" i="3"/>
  <c r="CG51" i="3" s="1"/>
  <c r="CF55" i="3"/>
  <c r="CF65" i="3" s="1"/>
  <c r="AO159" i="3" l="1"/>
  <c r="AO160" i="3" s="1"/>
  <c r="AO157" i="3"/>
  <c r="AT137" i="3"/>
  <c r="AU131" i="3" s="1"/>
  <c r="AU132" i="3" s="1"/>
  <c r="AU136" i="3" s="1"/>
  <c r="AT139" i="3"/>
  <c r="AN168" i="3"/>
  <c r="AN99" i="3"/>
  <c r="AN101" i="3" s="1"/>
  <c r="AN107" i="3" s="1"/>
  <c r="AN105" i="3" s="1"/>
  <c r="AO161" i="3"/>
  <c r="AO162" i="3" s="1"/>
  <c r="AP150" i="3"/>
  <c r="AP153" i="3" s="1"/>
  <c r="AT152" i="3"/>
  <c r="AT142" i="3"/>
  <c r="AT143" i="3" s="1"/>
  <c r="AT144" i="3" s="1"/>
  <c r="AX126" i="3"/>
  <c r="AX134" i="3"/>
  <c r="AY119" i="3"/>
  <c r="AY121" i="3" s="1"/>
  <c r="AY122" i="3" s="1"/>
  <c r="AZ118" i="3" s="1"/>
  <c r="CG55" i="3"/>
  <c r="CG65" i="3" s="1"/>
  <c r="CG52" i="3"/>
  <c r="CH51" i="3" s="1"/>
  <c r="CF114" i="3"/>
  <c r="CF106" i="3"/>
  <c r="CE133" i="3"/>
  <c r="CE151" i="3"/>
  <c r="AP154" i="3" l="1"/>
  <c r="AP155" i="3" s="1"/>
  <c r="AQ149" i="3" s="1"/>
  <c r="AO167" i="3"/>
  <c r="AO92" i="3" s="1"/>
  <c r="AO94" i="3" s="1"/>
  <c r="AO165" i="3"/>
  <c r="AU135" i="3"/>
  <c r="AU137" i="3" s="1"/>
  <c r="AV131" i="3" s="1"/>
  <c r="AV132" i="3" s="1"/>
  <c r="AU141" i="3"/>
  <c r="AU139" i="3"/>
  <c r="AZ119" i="3"/>
  <c r="AZ121" i="3" s="1"/>
  <c r="AY125" i="3"/>
  <c r="AY123" i="3"/>
  <c r="CG106" i="3"/>
  <c r="CG114" i="3"/>
  <c r="CH55" i="3"/>
  <c r="CH65" i="3" s="1"/>
  <c r="CH52" i="3"/>
  <c r="CI51" i="3" s="1"/>
  <c r="CF133" i="3"/>
  <c r="CF151" i="3"/>
  <c r="AP159" i="3" l="1"/>
  <c r="AP160" i="3" s="1"/>
  <c r="AP157" i="3"/>
  <c r="AQ150" i="3"/>
  <c r="AQ154" i="3" s="1"/>
  <c r="AO168" i="3"/>
  <c r="AO99" i="3"/>
  <c r="AO101" i="3" s="1"/>
  <c r="AO107" i="3" s="1"/>
  <c r="AO105" i="3" s="1"/>
  <c r="AV136" i="3"/>
  <c r="AV139" i="3" s="1"/>
  <c r="AV135" i="3"/>
  <c r="AU152" i="3"/>
  <c r="AU142" i="3"/>
  <c r="AU143" i="3" s="1"/>
  <c r="AU144" i="3" s="1"/>
  <c r="AZ123" i="3"/>
  <c r="AZ125" i="3"/>
  <c r="AZ122" i="3"/>
  <c r="BA118" i="3" s="1"/>
  <c r="AY126" i="3"/>
  <c r="AY134" i="3"/>
  <c r="CG133" i="3"/>
  <c r="CG151" i="3"/>
  <c r="CH106" i="3"/>
  <c r="CH114" i="3"/>
  <c r="CI55" i="3"/>
  <c r="CI65" i="3" s="1"/>
  <c r="CI52" i="3"/>
  <c r="CJ51" i="3" s="1"/>
  <c r="AP161" i="3" l="1"/>
  <c r="AP162" i="3" s="1"/>
  <c r="AP167" i="3" s="1"/>
  <c r="AP92" i="3" s="1"/>
  <c r="AP94" i="3" s="1"/>
  <c r="AQ153" i="3"/>
  <c r="AQ155" i="3" s="1"/>
  <c r="AR149" i="3" s="1"/>
  <c r="AR150" i="3" s="1"/>
  <c r="AR154" i="3" s="1"/>
  <c r="AQ157" i="3"/>
  <c r="AQ159" i="3"/>
  <c r="AQ160" i="3" s="1"/>
  <c r="AV141" i="3"/>
  <c r="AV142" i="3" s="1"/>
  <c r="AV143" i="3" s="1"/>
  <c r="AV144" i="3" s="1"/>
  <c r="AV137" i="3"/>
  <c r="AW131" i="3" s="1"/>
  <c r="BA119" i="3"/>
  <c r="BA121" i="3" s="1"/>
  <c r="AZ126" i="3"/>
  <c r="AZ134" i="3"/>
  <c r="CJ55" i="3"/>
  <c r="CJ65" i="3" s="1"/>
  <c r="CJ52" i="3"/>
  <c r="CK51" i="3" s="1"/>
  <c r="CH133" i="3"/>
  <c r="CH151" i="3"/>
  <c r="CI106" i="3"/>
  <c r="CI114" i="3"/>
  <c r="AP165" i="3" l="1"/>
  <c r="AP168" i="3" s="1"/>
  <c r="AR153" i="3"/>
  <c r="AR155" i="3" s="1"/>
  <c r="AS149" i="3" s="1"/>
  <c r="AP99" i="3"/>
  <c r="AP101" i="3" s="1"/>
  <c r="AP107" i="3" s="1"/>
  <c r="AP105" i="3" s="1"/>
  <c r="AR159" i="3"/>
  <c r="AR160" i="3" s="1"/>
  <c r="AR157" i="3"/>
  <c r="AV152" i="3"/>
  <c r="AQ161" i="3"/>
  <c r="AQ162" i="3" s="1"/>
  <c r="AW132" i="3"/>
  <c r="AW135" i="3" s="1"/>
  <c r="BA123" i="3"/>
  <c r="BA125" i="3"/>
  <c r="BA122" i="3"/>
  <c r="BB118" i="3" s="1"/>
  <c r="CJ106" i="3"/>
  <c r="CJ114" i="3"/>
  <c r="CK55" i="3"/>
  <c r="CK65" i="3" s="1"/>
  <c r="CK52" i="3"/>
  <c r="CL51" i="3" s="1"/>
  <c r="CI133" i="3"/>
  <c r="CI151" i="3"/>
  <c r="AS150" i="3" l="1"/>
  <c r="AS153" i="3" s="1"/>
  <c r="AQ167" i="3"/>
  <c r="AQ92" i="3" s="1"/>
  <c r="AQ94" i="3" s="1"/>
  <c r="AQ165" i="3"/>
  <c r="AR161" i="3"/>
  <c r="AR162" i="3" s="1"/>
  <c r="AW136" i="3"/>
  <c r="AW139" i="3" s="1"/>
  <c r="BA126" i="3"/>
  <c r="BA134" i="3"/>
  <c r="BB119" i="3"/>
  <c r="BB121" i="3" s="1"/>
  <c r="CK106" i="3"/>
  <c r="CK114" i="3"/>
  <c r="CJ133" i="3"/>
  <c r="CJ151" i="3"/>
  <c r="CL52" i="3"/>
  <c r="CM51" i="3" s="1"/>
  <c r="CL55" i="3"/>
  <c r="CL65" i="3" s="1"/>
  <c r="AS154" i="3" l="1"/>
  <c r="AR165" i="3"/>
  <c r="AR167" i="3"/>
  <c r="AR92" i="3" s="1"/>
  <c r="AR94" i="3" s="1"/>
  <c r="AQ168" i="3"/>
  <c r="AQ99" i="3"/>
  <c r="AQ101" i="3" s="1"/>
  <c r="AQ107" i="3" s="1"/>
  <c r="AQ105" i="3" s="1"/>
  <c r="AW137" i="3"/>
  <c r="AX131" i="3" s="1"/>
  <c r="AX132" i="3" s="1"/>
  <c r="AX135" i="3" s="1"/>
  <c r="AW141" i="3"/>
  <c r="AW142" i="3" s="1"/>
  <c r="AW143" i="3" s="1"/>
  <c r="AW144" i="3" s="1"/>
  <c r="BB122" i="3"/>
  <c r="BC118" i="3" s="1"/>
  <c r="BB123" i="3"/>
  <c r="BB125" i="3"/>
  <c r="CL114" i="3"/>
  <c r="CL106" i="3"/>
  <c r="CK133" i="3"/>
  <c r="CK151" i="3"/>
  <c r="CM52" i="3"/>
  <c r="CN51" i="3" s="1"/>
  <c r="CM55" i="3"/>
  <c r="CM65" i="3" s="1"/>
  <c r="AW152" i="3" l="1"/>
  <c r="AS159" i="3"/>
  <c r="AS160" i="3" s="1"/>
  <c r="AS161" i="3" s="1"/>
  <c r="AS162" i="3" s="1"/>
  <c r="AS155" i="3"/>
  <c r="AT149" i="3" s="1"/>
  <c r="AS157" i="3"/>
  <c r="AR168" i="3"/>
  <c r="AR99" i="3"/>
  <c r="AR101" i="3" s="1"/>
  <c r="AR107" i="3" s="1"/>
  <c r="AR105" i="3" s="1"/>
  <c r="AX136" i="3"/>
  <c r="AX141" i="3" s="1"/>
  <c r="BB134" i="3"/>
  <c r="BB126" i="3"/>
  <c r="BC119" i="3"/>
  <c r="BC121" i="3" s="1"/>
  <c r="CM114" i="3"/>
  <c r="CM106" i="3"/>
  <c r="CN52" i="3"/>
  <c r="CO51" i="3" s="1"/>
  <c r="CN55" i="3"/>
  <c r="CN65" i="3" s="1"/>
  <c r="CL133" i="3"/>
  <c r="CL151" i="3"/>
  <c r="AT150" i="3" l="1"/>
  <c r="AT154" i="3" s="1"/>
  <c r="AS165" i="3"/>
  <c r="AS167" i="3"/>
  <c r="AS92" i="3" s="1"/>
  <c r="AS94" i="3" s="1"/>
  <c r="AX137" i="3"/>
  <c r="AY131" i="3" s="1"/>
  <c r="AY132" i="3" s="1"/>
  <c r="AY136" i="3" s="1"/>
  <c r="AX139" i="3"/>
  <c r="AX152" i="3"/>
  <c r="AX142" i="3"/>
  <c r="AX143" i="3" s="1"/>
  <c r="AX144" i="3" s="1"/>
  <c r="BC125" i="3"/>
  <c r="BC123" i="3"/>
  <c r="BC122" i="3"/>
  <c r="BD118" i="3" s="1"/>
  <c r="CO55" i="3"/>
  <c r="CO65" i="3" s="1"/>
  <c r="CO52" i="3"/>
  <c r="CP51" i="3" s="1"/>
  <c r="CN114" i="3"/>
  <c r="CN106" i="3"/>
  <c r="CM133" i="3"/>
  <c r="CM151" i="3"/>
  <c r="AT153" i="3" l="1"/>
  <c r="AT155" i="3" s="1"/>
  <c r="AU149" i="3" s="1"/>
  <c r="AS168" i="3"/>
  <c r="AS99" i="3"/>
  <c r="AS101" i="3" s="1"/>
  <c r="AS107" i="3" s="1"/>
  <c r="AS105" i="3" s="1"/>
  <c r="AT157" i="3"/>
  <c r="AT159" i="3"/>
  <c r="AT160" i="3" s="1"/>
  <c r="AT161" i="3" s="1"/>
  <c r="AT162" i="3" s="1"/>
  <c r="AY135" i="3"/>
  <c r="AY137" i="3" s="1"/>
  <c r="AZ131" i="3" s="1"/>
  <c r="AZ132" i="3" s="1"/>
  <c r="AZ136" i="3" s="1"/>
  <c r="AY141" i="3"/>
  <c r="AY139" i="3"/>
  <c r="BD119" i="3"/>
  <c r="BD121" i="3" s="1"/>
  <c r="BC134" i="3"/>
  <c r="BC126" i="3"/>
  <c r="CO106" i="3"/>
  <c r="CO114" i="3"/>
  <c r="CP55" i="3"/>
  <c r="CP65" i="3" s="1"/>
  <c r="CP52" i="3"/>
  <c r="CQ51" i="3" s="1"/>
  <c r="CN133" i="3"/>
  <c r="CN151" i="3"/>
  <c r="AT165" i="3" l="1"/>
  <c r="AT167" i="3"/>
  <c r="AT92" i="3" s="1"/>
  <c r="AT94" i="3" s="1"/>
  <c r="AU150" i="3"/>
  <c r="AU153" i="3" s="1"/>
  <c r="AZ135" i="3"/>
  <c r="AZ137" i="3" s="1"/>
  <c r="BA131" i="3" s="1"/>
  <c r="BA132" i="3" s="1"/>
  <c r="BA135" i="3" s="1"/>
  <c r="AY142" i="3"/>
  <c r="AY143" i="3" s="1"/>
  <c r="AY144" i="3" s="1"/>
  <c r="AY152" i="3"/>
  <c r="AZ141" i="3"/>
  <c r="AZ139" i="3"/>
  <c r="BD125" i="3"/>
  <c r="BD123" i="3"/>
  <c r="BD122" i="3"/>
  <c r="BE118" i="3" s="1"/>
  <c r="CO133" i="3"/>
  <c r="CO151" i="3"/>
  <c r="CQ55" i="3"/>
  <c r="CQ65" i="3" s="1"/>
  <c r="CQ52" i="3"/>
  <c r="CR51" i="3" s="1"/>
  <c r="CP106" i="3"/>
  <c r="CP114" i="3"/>
  <c r="AU154" i="3" l="1"/>
  <c r="AU155" i="3" s="1"/>
  <c r="AV149" i="3" s="1"/>
  <c r="AT168" i="3"/>
  <c r="AT99" i="3"/>
  <c r="AT101" i="3" s="1"/>
  <c r="AT107" i="3" s="1"/>
  <c r="AT105" i="3" s="1"/>
  <c r="BA136" i="3"/>
  <c r="BA139" i="3" s="1"/>
  <c r="AZ142" i="3"/>
  <c r="AZ143" i="3" s="1"/>
  <c r="AZ144" i="3" s="1"/>
  <c r="AZ152" i="3"/>
  <c r="BE119" i="3"/>
  <c r="BE121" i="3" s="1"/>
  <c r="BD126" i="3"/>
  <c r="BD134" i="3"/>
  <c r="CQ106" i="3"/>
  <c r="CQ114" i="3"/>
  <c r="CP133" i="3"/>
  <c r="CP151" i="3"/>
  <c r="CR55" i="3"/>
  <c r="CR65" i="3" s="1"/>
  <c r="CR52" i="3"/>
  <c r="CS51" i="3" s="1"/>
  <c r="AU157" i="3" l="1"/>
  <c r="AU159" i="3"/>
  <c r="AU160" i="3" s="1"/>
  <c r="AV150" i="3"/>
  <c r="AV153" i="3" s="1"/>
  <c r="BA137" i="3"/>
  <c r="BB131" i="3" s="1"/>
  <c r="BB132" i="3" s="1"/>
  <c r="BB136" i="3" s="1"/>
  <c r="BB141" i="3" s="1"/>
  <c r="BB152" i="3" s="1"/>
  <c r="BA141" i="3"/>
  <c r="BA142" i="3" s="1"/>
  <c r="BA143" i="3" s="1"/>
  <c r="BA144" i="3" s="1"/>
  <c r="BE125" i="3"/>
  <c r="BE123" i="3"/>
  <c r="BE122" i="3"/>
  <c r="BF118" i="3" s="1"/>
  <c r="CR106" i="3"/>
  <c r="CR114" i="3"/>
  <c r="CQ133" i="3"/>
  <c r="CQ151" i="3"/>
  <c r="CS55" i="3"/>
  <c r="CS65" i="3" s="1"/>
  <c r="CS52" i="3"/>
  <c r="CT51" i="3" s="1"/>
  <c r="AU161" i="3" l="1"/>
  <c r="AU162" i="3" s="1"/>
  <c r="AU165" i="3" s="1"/>
  <c r="AV154" i="3"/>
  <c r="AV155" i="3" s="1"/>
  <c r="AW149" i="3" s="1"/>
  <c r="AU167" i="3"/>
  <c r="AU92" i="3" s="1"/>
  <c r="AU94" i="3" s="1"/>
  <c r="BA152" i="3"/>
  <c r="BB135" i="3"/>
  <c r="BB137" i="3" s="1"/>
  <c r="BC131" i="3" s="1"/>
  <c r="BC132" i="3" s="1"/>
  <c r="BC136" i="3" s="1"/>
  <c r="BC139" i="3" s="1"/>
  <c r="BB139" i="3"/>
  <c r="BB142" i="3"/>
  <c r="BB143" i="3" s="1"/>
  <c r="BB144" i="3" s="1"/>
  <c r="BF119" i="3"/>
  <c r="BF121" i="3" s="1"/>
  <c r="BE126" i="3"/>
  <c r="BE134" i="3"/>
  <c r="CS106" i="3"/>
  <c r="CS114" i="3"/>
  <c r="CR133" i="3"/>
  <c r="CR151" i="3"/>
  <c r="CT52" i="3"/>
  <c r="CU51" i="3" s="1"/>
  <c r="CT55" i="3"/>
  <c r="CT65" i="3" s="1"/>
  <c r="AV157" i="3" l="1"/>
  <c r="AV159" i="3"/>
  <c r="AV160" i="3" s="1"/>
  <c r="AU168" i="3"/>
  <c r="AU99" i="3"/>
  <c r="AU101" i="3" s="1"/>
  <c r="AU107" i="3" s="1"/>
  <c r="AU105" i="3" s="1"/>
  <c r="AV161" i="3"/>
  <c r="AV162" i="3" s="1"/>
  <c r="AW150" i="3"/>
  <c r="AW153" i="3" s="1"/>
  <c r="AW154" i="3"/>
  <c r="BC141" i="3"/>
  <c r="BC135" i="3"/>
  <c r="BC137" i="3" s="1"/>
  <c r="BD131" i="3" s="1"/>
  <c r="BD132" i="3" s="1"/>
  <c r="BD136" i="3" s="1"/>
  <c r="BD141" i="3" s="1"/>
  <c r="BF123" i="3"/>
  <c r="BF125" i="3"/>
  <c r="BF122" i="3"/>
  <c r="BG118" i="3" s="1"/>
  <c r="CU52" i="3"/>
  <c r="CV51" i="3" s="1"/>
  <c r="CU55" i="3"/>
  <c r="CU65" i="3" s="1"/>
  <c r="CT114" i="3"/>
  <c r="CT106" i="3"/>
  <c r="CS133" i="3"/>
  <c r="CS151" i="3"/>
  <c r="AV165" i="3" l="1"/>
  <c r="AV167" i="3"/>
  <c r="AV92" i="3" s="1"/>
  <c r="AV94" i="3" s="1"/>
  <c r="AW155" i="3"/>
  <c r="AX149" i="3" s="1"/>
  <c r="AW159" i="3"/>
  <c r="AW157" i="3"/>
  <c r="BD135" i="3"/>
  <c r="BD137" i="3" s="1"/>
  <c r="BE131" i="3" s="1"/>
  <c r="BE132" i="3" s="1"/>
  <c r="BE136" i="3" s="1"/>
  <c r="BE141" i="3" s="1"/>
  <c r="BE152" i="3" s="1"/>
  <c r="BD139" i="3"/>
  <c r="BC152" i="3"/>
  <c r="BC142" i="3"/>
  <c r="BC143" i="3" s="1"/>
  <c r="BC144" i="3" s="1"/>
  <c r="BD142" i="3"/>
  <c r="BD143" i="3" s="1"/>
  <c r="BD144" i="3" s="1"/>
  <c r="BD152" i="3"/>
  <c r="BG119" i="3"/>
  <c r="BG121" i="3" s="1"/>
  <c r="BG122" i="3" s="1"/>
  <c r="BH118" i="3" s="1"/>
  <c r="BF134" i="3"/>
  <c r="BF126" i="3"/>
  <c r="CU114" i="3"/>
  <c r="CU106" i="3"/>
  <c r="CV52" i="3"/>
  <c r="CW51" i="3" s="1"/>
  <c r="CV55" i="3"/>
  <c r="CV65" i="3" s="1"/>
  <c r="CT133" i="3"/>
  <c r="CT151" i="3"/>
  <c r="BE139" i="3" l="1"/>
  <c r="AX150" i="3"/>
  <c r="AX153" i="3" s="1"/>
  <c r="AW160" i="3"/>
  <c r="AW161" i="3" s="1"/>
  <c r="AW162" i="3" s="1"/>
  <c r="BE142" i="3"/>
  <c r="BE143" i="3" s="1"/>
  <c r="BE144" i="3" s="1"/>
  <c r="BE135" i="3"/>
  <c r="BE137" i="3" s="1"/>
  <c r="BF131" i="3" s="1"/>
  <c r="BF132" i="3" s="1"/>
  <c r="AV168" i="3"/>
  <c r="AV99" i="3"/>
  <c r="AV101" i="3" s="1"/>
  <c r="AV107" i="3" s="1"/>
  <c r="AV105" i="3" s="1"/>
  <c r="BH119" i="3"/>
  <c r="BH121" i="3" s="1"/>
  <c r="BG123" i="3"/>
  <c r="BG125" i="3"/>
  <c r="CU133" i="3"/>
  <c r="CU151" i="3"/>
  <c r="CV114" i="3"/>
  <c r="CV106" i="3"/>
  <c r="CW55" i="3"/>
  <c r="CW65" i="3" s="1"/>
  <c r="CW52" i="3"/>
  <c r="CX51" i="3" s="1"/>
  <c r="AX154" i="3" l="1"/>
  <c r="AX155" i="3" s="1"/>
  <c r="AY149" i="3" s="1"/>
  <c r="AW167" i="3"/>
  <c r="AW92" i="3" s="1"/>
  <c r="AW94" i="3" s="1"/>
  <c r="AW165" i="3"/>
  <c r="AW168" i="3" s="1"/>
  <c r="BF135" i="3"/>
  <c r="BF136" i="3"/>
  <c r="BF141" i="3" s="1"/>
  <c r="BF152" i="3" s="1"/>
  <c r="BH122" i="3"/>
  <c r="BI118" i="3" s="1"/>
  <c r="BI119" i="3" s="1"/>
  <c r="BG126" i="3"/>
  <c r="BG134" i="3"/>
  <c r="BH123" i="3"/>
  <c r="BH125" i="3"/>
  <c r="CW106" i="3"/>
  <c r="CW114" i="3"/>
  <c r="CX55" i="3"/>
  <c r="CX65" i="3" s="1"/>
  <c r="CX52" i="3"/>
  <c r="CY51" i="3" s="1"/>
  <c r="CV133" i="3"/>
  <c r="CV151" i="3"/>
  <c r="AX157" i="3" l="1"/>
  <c r="AX159" i="3"/>
  <c r="AX160" i="3" s="1"/>
  <c r="BI121" i="3"/>
  <c r="BI122" i="3" s="1"/>
  <c r="BJ118" i="3" s="1"/>
  <c r="BJ119" i="3" s="1"/>
  <c r="AW99" i="3"/>
  <c r="AW101" i="3" s="1"/>
  <c r="AW107" i="3" s="1"/>
  <c r="AW105" i="3" s="1"/>
  <c r="BF137" i="3"/>
  <c r="BG131" i="3" s="1"/>
  <c r="BG132" i="3" s="1"/>
  <c r="AX161" i="3"/>
  <c r="AX162" i="3" s="1"/>
  <c r="BF142" i="3"/>
  <c r="BF143" i="3" s="1"/>
  <c r="BF144" i="3" s="1"/>
  <c r="BF139" i="3"/>
  <c r="AY150" i="3"/>
  <c r="AY154" i="3" s="1"/>
  <c r="BH126" i="3"/>
  <c r="BH134" i="3"/>
  <c r="CW133" i="3"/>
  <c r="CW151" i="3"/>
  <c r="CY55" i="3"/>
  <c r="CY65" i="3" s="1"/>
  <c r="CY52" i="3"/>
  <c r="CZ51" i="3" s="1"/>
  <c r="CX106" i="3"/>
  <c r="CX114" i="3"/>
  <c r="BI123" i="3" l="1"/>
  <c r="BI125" i="3"/>
  <c r="BI134" i="3" s="1"/>
  <c r="BG136" i="3"/>
  <c r="BG141" i="3" s="1"/>
  <c r="BG152" i="3" s="1"/>
  <c r="BG135" i="3"/>
  <c r="AY153" i="3"/>
  <c r="AY155" i="3" s="1"/>
  <c r="AZ149" i="3" s="1"/>
  <c r="AY159" i="3"/>
  <c r="AY160" i="3" s="1"/>
  <c r="AY157" i="3"/>
  <c r="AX165" i="3"/>
  <c r="AX167" i="3"/>
  <c r="AX92" i="3" s="1"/>
  <c r="AX94" i="3" s="1"/>
  <c r="BJ121" i="3"/>
  <c r="BJ122" i="3" s="1"/>
  <c r="BK118" i="3" s="1"/>
  <c r="CY106" i="3"/>
  <c r="CY114" i="3"/>
  <c r="CZ55" i="3"/>
  <c r="CZ65" i="3" s="1"/>
  <c r="CZ52" i="3"/>
  <c r="DA51" i="3" s="1"/>
  <c r="CX133" i="3"/>
  <c r="CX151" i="3"/>
  <c r="BI126" i="3" l="1"/>
  <c r="BG139" i="3"/>
  <c r="BG142" i="3"/>
  <c r="BG137" i="3"/>
  <c r="BH131" i="3" s="1"/>
  <c r="BH132" i="3" s="1"/>
  <c r="BH135" i="3" s="1"/>
  <c r="AZ150" i="3"/>
  <c r="AZ153" i="3" s="1"/>
  <c r="AX168" i="3"/>
  <c r="AX99" i="3"/>
  <c r="AX101" i="3" s="1"/>
  <c r="AX107" i="3" s="1"/>
  <c r="AX105" i="3" s="1"/>
  <c r="AY161" i="3"/>
  <c r="AY162" i="3" s="1"/>
  <c r="BJ125" i="3"/>
  <c r="BJ126" i="3" s="1"/>
  <c r="BJ123" i="3"/>
  <c r="BK119" i="3"/>
  <c r="BK121" i="3" s="1"/>
  <c r="BG143" i="3"/>
  <c r="BG144" i="3" s="1"/>
  <c r="CZ106" i="3"/>
  <c r="CZ114" i="3"/>
  <c r="CY133" i="3"/>
  <c r="CY151" i="3"/>
  <c r="DA55" i="3"/>
  <c r="DA65" i="3" s="1"/>
  <c r="DA52" i="3"/>
  <c r="DB51" i="3" s="1"/>
  <c r="BH136" i="3" l="1"/>
  <c r="BH141" i="3" s="1"/>
  <c r="BH152" i="3" s="1"/>
  <c r="AZ154" i="3"/>
  <c r="AZ157" i="3" s="1"/>
  <c r="AY167" i="3"/>
  <c r="AY92" i="3" s="1"/>
  <c r="AY94" i="3" s="1"/>
  <c r="AY165" i="3"/>
  <c r="BJ134" i="3"/>
  <c r="BK122" i="3"/>
  <c r="BL118" i="3" s="1"/>
  <c r="BL119" i="3" s="1"/>
  <c r="BK125" i="3"/>
  <c r="BK134" i="3" s="1"/>
  <c r="BK123" i="3"/>
  <c r="DA106" i="3"/>
  <c r="DA114" i="3"/>
  <c r="CZ151" i="3"/>
  <c r="CZ133" i="3"/>
  <c r="DB52" i="3"/>
  <c r="DC51" i="3" s="1"/>
  <c r="DB55" i="3"/>
  <c r="DB65" i="3" s="1"/>
  <c r="AZ155" i="3" l="1"/>
  <c r="BA149" i="3" s="1"/>
  <c r="BH137" i="3"/>
  <c r="BI131" i="3" s="1"/>
  <c r="BI132" i="3" s="1"/>
  <c r="BH142" i="3"/>
  <c r="BH143" i="3" s="1"/>
  <c r="BH144" i="3" s="1"/>
  <c r="BH139" i="3"/>
  <c r="AZ159" i="3"/>
  <c r="AZ160" i="3" s="1"/>
  <c r="BA150" i="3"/>
  <c r="BA154" i="3" s="1"/>
  <c r="AY168" i="3"/>
  <c r="AY99" i="3"/>
  <c r="AY101" i="3" s="1"/>
  <c r="AY107" i="3" s="1"/>
  <c r="AY105" i="3" s="1"/>
  <c r="BK126" i="3"/>
  <c r="BI136" i="3"/>
  <c r="BI141" i="3" s="1"/>
  <c r="BL121" i="3"/>
  <c r="BL122" i="3" s="1"/>
  <c r="BM118" i="3" s="1"/>
  <c r="DB114" i="3"/>
  <c r="DB106" i="3"/>
  <c r="DC52" i="3"/>
  <c r="DD51" i="3" s="1"/>
  <c r="DC55" i="3"/>
  <c r="DC65" i="3" s="1"/>
  <c r="DA133" i="3"/>
  <c r="DA151" i="3"/>
  <c r="BI135" i="3" l="1"/>
  <c r="BI137" i="3" s="1"/>
  <c r="BJ131" i="3" s="1"/>
  <c r="BJ132" i="3" s="1"/>
  <c r="BJ135" i="3" s="1"/>
  <c r="AZ161" i="3"/>
  <c r="AZ162" i="3" s="1"/>
  <c r="BA153" i="3"/>
  <c r="BA155" i="3" s="1"/>
  <c r="BB149" i="3" s="1"/>
  <c r="BB150" i="3" s="1"/>
  <c r="BA157" i="3"/>
  <c r="BA159" i="3"/>
  <c r="AZ167" i="3"/>
  <c r="AZ92" i="3" s="1"/>
  <c r="AZ94" i="3" s="1"/>
  <c r="AZ165" i="3"/>
  <c r="BI139" i="3"/>
  <c r="BM119" i="3"/>
  <c r="BM121" i="3" s="1"/>
  <c r="BI142" i="3"/>
  <c r="BI143" i="3" s="1"/>
  <c r="BI144" i="3" s="1"/>
  <c r="BI152" i="3"/>
  <c r="BL123" i="3"/>
  <c r="BL125" i="3"/>
  <c r="DC114" i="3"/>
  <c r="DC106" i="3"/>
  <c r="DD52" i="3"/>
  <c r="DE51" i="3" s="1"/>
  <c r="DD55" i="3"/>
  <c r="DD65" i="3" s="1"/>
  <c r="DB133" i="3"/>
  <c r="DB151" i="3"/>
  <c r="BB153" i="3" l="1"/>
  <c r="BB154" i="3"/>
  <c r="BJ136" i="3"/>
  <c r="BJ137" i="3" s="1"/>
  <c r="BK131" i="3" s="1"/>
  <c r="BK132" i="3" s="1"/>
  <c r="BK136" i="3" s="1"/>
  <c r="AZ168" i="3"/>
  <c r="AZ99" i="3"/>
  <c r="AZ101" i="3" s="1"/>
  <c r="AZ107" i="3" s="1"/>
  <c r="AZ105" i="3" s="1"/>
  <c r="BA160" i="3"/>
  <c r="BA161" i="3" s="1"/>
  <c r="BA162" i="3" s="1"/>
  <c r="BL134" i="3"/>
  <c r="BL126" i="3"/>
  <c r="BM123" i="3"/>
  <c r="BM125" i="3"/>
  <c r="BM122" i="3"/>
  <c r="BN118" i="3" s="1"/>
  <c r="DE55" i="3"/>
  <c r="DE65" i="3" s="1"/>
  <c r="DE52" i="3"/>
  <c r="DF51" i="3" s="1"/>
  <c r="DD114" i="3"/>
  <c r="DD106" i="3"/>
  <c r="DC133" i="3"/>
  <c r="DC151" i="3"/>
  <c r="BB155" i="3" l="1"/>
  <c r="BC149" i="3" s="1"/>
  <c r="BC150" i="3" s="1"/>
  <c r="BC153" i="3" s="1"/>
  <c r="BB159" i="3"/>
  <c r="BB160" i="3" s="1"/>
  <c r="BJ141" i="3"/>
  <c r="BJ142" i="3" s="1"/>
  <c r="BJ143" i="3" s="1"/>
  <c r="BJ144" i="3" s="1"/>
  <c r="BB157" i="3"/>
  <c r="BJ139" i="3"/>
  <c r="BA167" i="3"/>
  <c r="BA92" i="3" s="1"/>
  <c r="BA94" i="3" s="1"/>
  <c r="BA165" i="3"/>
  <c r="BK141" i="3"/>
  <c r="BK139" i="3"/>
  <c r="BN119" i="3"/>
  <c r="BN121" i="3" s="1"/>
  <c r="BK135" i="3"/>
  <c r="BK137" i="3" s="1"/>
  <c r="BL131" i="3" s="1"/>
  <c r="BM134" i="3"/>
  <c r="BM126" i="3"/>
  <c r="DE106" i="3"/>
  <c r="DE114" i="3"/>
  <c r="DF55" i="3"/>
  <c r="DF65" i="3" s="1"/>
  <c r="DF52" i="3"/>
  <c r="DG51" i="3" s="1"/>
  <c r="DD133" i="3"/>
  <c r="DD151" i="3"/>
  <c r="BJ152" i="3" l="1"/>
  <c r="BB161" i="3"/>
  <c r="BB162" i="3" s="1"/>
  <c r="BA168" i="3"/>
  <c r="BC154" i="3"/>
  <c r="BC159" i="3" s="1"/>
  <c r="BC160" i="3" s="1"/>
  <c r="BA99" i="3"/>
  <c r="BA101" i="3" s="1"/>
  <c r="BA107" i="3" s="1"/>
  <c r="BA105" i="3" s="1"/>
  <c r="BB167" i="3"/>
  <c r="BB92" i="3" s="1"/>
  <c r="BB94" i="3" s="1"/>
  <c r="BB165" i="3"/>
  <c r="BL132" i="3"/>
  <c r="BL135" i="3" s="1"/>
  <c r="BN122" i="3"/>
  <c r="BO118" i="3" s="1"/>
  <c r="BK142" i="3"/>
  <c r="BK143" i="3" s="1"/>
  <c r="BK144" i="3" s="1"/>
  <c r="BK152" i="3"/>
  <c r="BN123" i="3"/>
  <c r="BN125" i="3"/>
  <c r="DE133" i="3"/>
  <c r="DE151" i="3"/>
  <c r="DF106" i="3"/>
  <c r="DF114" i="3"/>
  <c r="DG55" i="3"/>
  <c r="DG65" i="3" s="1"/>
  <c r="DG52" i="3"/>
  <c r="DH51" i="3" s="1"/>
  <c r="BC155" i="3" l="1"/>
  <c r="BD149" i="3" s="1"/>
  <c r="BD150" i="3" s="1"/>
  <c r="BC157" i="3"/>
  <c r="BC161" i="3"/>
  <c r="BC162" i="3" s="1"/>
  <c r="BB168" i="3"/>
  <c r="BB99" i="3"/>
  <c r="BB101" i="3" s="1"/>
  <c r="BB107" i="3" s="1"/>
  <c r="BB105" i="3" s="1"/>
  <c r="BL136" i="3"/>
  <c r="BL137" i="3" s="1"/>
  <c r="BM131" i="3" s="1"/>
  <c r="BM132" i="3" s="1"/>
  <c r="BM136" i="3" s="1"/>
  <c r="BO119" i="3"/>
  <c r="BO121" i="3" s="1"/>
  <c r="BN134" i="3"/>
  <c r="BN126" i="3"/>
  <c r="DG106" i="3"/>
  <c r="DG114" i="3"/>
  <c r="DH55" i="3"/>
  <c r="DH65" i="3" s="1"/>
  <c r="DH52" i="3"/>
  <c r="DI51" i="3" s="1"/>
  <c r="DF133" i="3"/>
  <c r="DF151" i="3"/>
  <c r="BD153" i="3" l="1"/>
  <c r="BD154" i="3"/>
  <c r="BD159" i="3" s="1"/>
  <c r="BD160" i="3" s="1"/>
  <c r="BC165" i="3"/>
  <c r="BC167" i="3"/>
  <c r="BC92" i="3" s="1"/>
  <c r="BC94" i="3" s="1"/>
  <c r="BL139" i="3"/>
  <c r="BL141" i="3"/>
  <c r="BL152" i="3" s="1"/>
  <c r="BM135" i="3"/>
  <c r="BM137" i="3" s="1"/>
  <c r="BN131" i="3" s="1"/>
  <c r="BO123" i="3"/>
  <c r="BO125" i="3"/>
  <c r="BO122" i="3"/>
  <c r="BP118" i="3" s="1"/>
  <c r="BM141" i="3"/>
  <c r="BM139" i="3"/>
  <c r="DI55" i="3"/>
  <c r="DI65" i="3" s="1"/>
  <c r="DI52" i="3"/>
  <c r="DJ51" i="3" s="1"/>
  <c r="DH106" i="3"/>
  <c r="DH114" i="3"/>
  <c r="DG133" i="3"/>
  <c r="DG151" i="3"/>
  <c r="BD157" i="3" l="1"/>
  <c r="BD155" i="3"/>
  <c r="BE149" i="3" s="1"/>
  <c r="BC168" i="3"/>
  <c r="BC99" i="3"/>
  <c r="BC101" i="3" s="1"/>
  <c r="BC107" i="3" s="1"/>
  <c r="BC105" i="3" s="1"/>
  <c r="BL142" i="3"/>
  <c r="BL143" i="3" s="1"/>
  <c r="BL144" i="3" s="1"/>
  <c r="BD161" i="3"/>
  <c r="BD162" i="3" s="1"/>
  <c r="BE150" i="3"/>
  <c r="BE153" i="3" s="1"/>
  <c r="BP119" i="3"/>
  <c r="BP121" i="3" s="1"/>
  <c r="BP122" i="3" s="1"/>
  <c r="BQ118" i="3" s="1"/>
  <c r="BN132" i="3"/>
  <c r="BN135" i="3" s="1"/>
  <c r="BM142" i="3"/>
  <c r="BM143" i="3" s="1"/>
  <c r="BM144" i="3" s="1"/>
  <c r="BM152" i="3"/>
  <c r="BO134" i="3"/>
  <c r="BO126" i="3"/>
  <c r="DI106" i="3"/>
  <c r="DI114" i="3"/>
  <c r="DH151" i="3"/>
  <c r="DH133" i="3"/>
  <c r="DJ52" i="3"/>
  <c r="DK51" i="3" s="1"/>
  <c r="DJ55" i="3"/>
  <c r="DJ65" i="3" s="1"/>
  <c r="BE154" i="3" l="1"/>
  <c r="BE155" i="3" s="1"/>
  <c r="BF149" i="3" s="1"/>
  <c r="BD165" i="3"/>
  <c r="BD167" i="3"/>
  <c r="BD92" i="3" s="1"/>
  <c r="BD94" i="3" s="1"/>
  <c r="BN136" i="3"/>
  <c r="BN137" i="3" s="1"/>
  <c r="BO131" i="3" s="1"/>
  <c r="BQ119" i="3"/>
  <c r="BQ121" i="3" s="1"/>
  <c r="BQ122" i="3" s="1"/>
  <c r="BR118" i="3" s="1"/>
  <c r="BP125" i="3"/>
  <c r="BP123" i="3"/>
  <c r="DJ114" i="3"/>
  <c r="DJ106" i="3"/>
  <c r="DI133" i="3"/>
  <c r="DI151" i="3"/>
  <c r="DK52" i="3"/>
  <c r="DL51" i="3" s="1"/>
  <c r="DK55" i="3"/>
  <c r="DK65" i="3" s="1"/>
  <c r="BE157" i="3" l="1"/>
  <c r="BE159" i="3"/>
  <c r="BE160" i="3" s="1"/>
  <c r="BN139" i="3"/>
  <c r="BE161" i="3"/>
  <c r="BE162" i="3" s="1"/>
  <c r="BD168" i="3"/>
  <c r="BD99" i="3"/>
  <c r="BD101" i="3" s="1"/>
  <c r="BD107" i="3" s="1"/>
  <c r="BD105" i="3" s="1"/>
  <c r="BF150" i="3"/>
  <c r="BF153" i="3" s="1"/>
  <c r="BN141" i="3"/>
  <c r="BN152" i="3" s="1"/>
  <c r="BP126" i="3"/>
  <c r="BP134" i="3"/>
  <c r="BR119" i="3"/>
  <c r="BR121" i="3" s="1"/>
  <c r="BR122" i="3" s="1"/>
  <c r="BS118" i="3" s="1"/>
  <c r="BQ125" i="3"/>
  <c r="BQ123" i="3"/>
  <c r="BO132" i="3"/>
  <c r="BO135" i="3" s="1"/>
  <c r="DL52" i="3"/>
  <c r="DM51" i="3" s="1"/>
  <c r="DL55" i="3"/>
  <c r="DL65" i="3" s="1"/>
  <c r="DJ133" i="3"/>
  <c r="DJ151" i="3"/>
  <c r="DK114" i="3"/>
  <c r="DK106" i="3"/>
  <c r="BF154" i="3" l="1"/>
  <c r="BF155" i="3" s="1"/>
  <c r="BG149" i="3" s="1"/>
  <c r="BN142" i="3"/>
  <c r="BN143" i="3" s="1"/>
  <c r="BN144" i="3" s="1"/>
  <c r="BE167" i="3"/>
  <c r="BE92" i="3" s="1"/>
  <c r="BE94" i="3" s="1"/>
  <c r="BE165" i="3"/>
  <c r="BF159" i="3"/>
  <c r="BF160" i="3" s="1"/>
  <c r="BO136" i="3"/>
  <c r="BO141" i="3" s="1"/>
  <c r="BR123" i="3"/>
  <c r="BR125" i="3"/>
  <c r="BQ134" i="3"/>
  <c r="BQ126" i="3"/>
  <c r="BS119" i="3"/>
  <c r="BS121" i="3" s="1"/>
  <c r="DK133" i="3"/>
  <c r="DK151" i="3"/>
  <c r="DL114" i="3"/>
  <c r="DL106" i="3"/>
  <c r="DM55" i="3"/>
  <c r="DM65" i="3" s="1"/>
  <c r="DM52" i="3"/>
  <c r="DN51" i="3" s="1"/>
  <c r="BF157" i="3" l="1"/>
  <c r="BF161" i="3"/>
  <c r="BF162" i="3" s="1"/>
  <c r="BG150" i="3"/>
  <c r="BG154" i="3" s="1"/>
  <c r="BG153" i="3"/>
  <c r="BE168" i="3"/>
  <c r="BE99" i="3"/>
  <c r="BE101" i="3" s="1"/>
  <c r="BE107" i="3" s="1"/>
  <c r="BE105" i="3" s="1"/>
  <c r="BO139" i="3"/>
  <c r="BO137" i="3"/>
  <c r="BP131" i="3" s="1"/>
  <c r="BS122" i="3"/>
  <c r="BT118" i="3" s="1"/>
  <c r="BS123" i="3"/>
  <c r="BS125" i="3"/>
  <c r="BR134" i="3"/>
  <c r="BR126" i="3"/>
  <c r="BO142" i="3"/>
  <c r="BO143" i="3" s="1"/>
  <c r="BO144" i="3" s="1"/>
  <c r="BO152" i="3"/>
  <c r="DL133" i="3"/>
  <c r="DL151" i="3"/>
  <c r="DM106" i="3"/>
  <c r="DM114" i="3"/>
  <c r="DN55" i="3"/>
  <c r="DN65" i="3" s="1"/>
  <c r="DN52" i="3"/>
  <c r="DO51" i="3" s="1"/>
  <c r="BG155" i="3" l="1"/>
  <c r="BH149" i="3" s="1"/>
  <c r="BH150" i="3" s="1"/>
  <c r="BH154" i="3" s="1"/>
  <c r="BG157" i="3"/>
  <c r="BG159" i="3"/>
  <c r="BG160" i="3" s="1"/>
  <c r="BF165" i="3"/>
  <c r="BF167" i="3"/>
  <c r="BF92" i="3" s="1"/>
  <c r="BF94" i="3" s="1"/>
  <c r="BP132" i="3"/>
  <c r="BP135" i="3" s="1"/>
  <c r="BS134" i="3"/>
  <c r="BS126" i="3"/>
  <c r="BT119" i="3"/>
  <c r="BT121" i="3" s="1"/>
  <c r="DN106" i="3"/>
  <c r="DN114" i="3"/>
  <c r="DM133" i="3"/>
  <c r="DM151" i="3"/>
  <c r="DO55" i="3"/>
  <c r="DO65" i="3" s="1"/>
  <c r="DO52" i="3"/>
  <c r="DP51" i="3" s="1"/>
  <c r="BH153" i="3" l="1"/>
  <c r="BH155" i="3" s="1"/>
  <c r="BI149" i="3" s="1"/>
  <c r="BF168" i="3"/>
  <c r="BF99" i="3"/>
  <c r="BF101" i="3" s="1"/>
  <c r="BF107" i="3" s="1"/>
  <c r="BF105" i="3" s="1"/>
  <c r="BG161" i="3"/>
  <c r="BG162" i="3" s="1"/>
  <c r="BH159" i="3"/>
  <c r="BH157" i="3"/>
  <c r="BP136" i="3"/>
  <c r="BT123" i="3"/>
  <c r="BT125" i="3"/>
  <c r="BT122" i="3"/>
  <c r="BU118" i="3" s="1"/>
  <c r="DN133" i="3"/>
  <c r="DN151" i="3"/>
  <c r="DO106" i="3"/>
  <c r="DO114" i="3"/>
  <c r="DP55" i="3"/>
  <c r="DP65" i="3" s="1"/>
  <c r="DP52" i="3"/>
  <c r="DQ51" i="3" s="1"/>
  <c r="BH160" i="3" l="1"/>
  <c r="BH161" i="3" s="1"/>
  <c r="BH162" i="3" s="1"/>
  <c r="BG167" i="3"/>
  <c r="BG92" i="3" s="1"/>
  <c r="BG94" i="3" s="1"/>
  <c r="BG165" i="3"/>
  <c r="BI150" i="3"/>
  <c r="BI153" i="3" s="1"/>
  <c r="BI154" i="3"/>
  <c r="BP141" i="3"/>
  <c r="BP139" i="3"/>
  <c r="BP137" i="3"/>
  <c r="BQ131" i="3" s="1"/>
  <c r="BQ132" i="3" s="1"/>
  <c r="BQ135" i="3" s="1"/>
  <c r="BU119" i="3"/>
  <c r="BU121" i="3" s="1"/>
  <c r="BT134" i="3"/>
  <c r="BT126" i="3"/>
  <c r="DO133" i="3"/>
  <c r="DO151" i="3"/>
  <c r="DQ55" i="3"/>
  <c r="DQ65" i="3" s="1"/>
  <c r="DQ52" i="3"/>
  <c r="DR51" i="3" s="1"/>
  <c r="DP106" i="3"/>
  <c r="DP114" i="3"/>
  <c r="BH165" i="3" l="1"/>
  <c r="BH167" i="3"/>
  <c r="BH92" i="3" s="1"/>
  <c r="BH94" i="3" s="1"/>
  <c r="BI157" i="3"/>
  <c r="BI159" i="3"/>
  <c r="BI155" i="3"/>
  <c r="BJ149" i="3" s="1"/>
  <c r="BG168" i="3"/>
  <c r="BG99" i="3"/>
  <c r="BG101" i="3" s="1"/>
  <c r="BG107" i="3" s="1"/>
  <c r="BG105" i="3" s="1"/>
  <c r="BQ136" i="3"/>
  <c r="BQ139" i="3" s="1"/>
  <c r="BP142" i="3"/>
  <c r="BP143" i="3" s="1"/>
  <c r="BP144" i="3" s="1"/>
  <c r="BP152" i="3"/>
  <c r="BU125" i="3"/>
  <c r="BU123" i="3"/>
  <c r="BU122" i="3"/>
  <c r="BV118" i="3" s="1"/>
  <c r="DQ106" i="3"/>
  <c r="DQ114" i="3"/>
  <c r="DP151" i="3"/>
  <c r="DP133" i="3"/>
  <c r="DR52" i="3"/>
  <c r="DS51" i="3" s="1"/>
  <c r="DR55" i="3"/>
  <c r="DR65" i="3" s="1"/>
  <c r="BH99" i="3" l="1"/>
  <c r="BH101" i="3" s="1"/>
  <c r="BH107" i="3" s="1"/>
  <c r="BH105" i="3" s="1"/>
  <c r="BH168" i="3"/>
  <c r="BI160" i="3"/>
  <c r="BI161" i="3" s="1"/>
  <c r="BI162" i="3" s="1"/>
  <c r="BJ150" i="3"/>
  <c r="BJ154" i="3" s="1"/>
  <c r="BQ137" i="3"/>
  <c r="BR131" i="3" s="1"/>
  <c r="BQ141" i="3"/>
  <c r="BU134" i="3"/>
  <c r="BU126" i="3"/>
  <c r="BV119" i="3"/>
  <c r="BV121" i="3" s="1"/>
  <c r="DR114" i="3"/>
  <c r="DR106" i="3"/>
  <c r="DQ133" i="3"/>
  <c r="DQ151" i="3"/>
  <c r="DS52" i="3"/>
  <c r="DT51" i="3" s="1"/>
  <c r="DS55" i="3"/>
  <c r="DS65" i="3" s="1"/>
  <c r="BJ153" i="3" l="1"/>
  <c r="BJ155" i="3" s="1"/>
  <c r="BK149" i="3" s="1"/>
  <c r="BK150" i="3" s="1"/>
  <c r="BK153" i="3" s="1"/>
  <c r="BJ157" i="3"/>
  <c r="BJ159" i="3"/>
  <c r="BJ160" i="3" s="1"/>
  <c r="BI165" i="3"/>
  <c r="BI167" i="3"/>
  <c r="BI92" i="3" s="1"/>
  <c r="BI94" i="3" s="1"/>
  <c r="BQ142" i="3"/>
  <c r="BQ143" i="3" s="1"/>
  <c r="BQ144" i="3" s="1"/>
  <c r="BQ152" i="3"/>
  <c r="BR132" i="3"/>
  <c r="BR135" i="3" s="1"/>
  <c r="BV123" i="3"/>
  <c r="BV125" i="3"/>
  <c r="BV122" i="3"/>
  <c r="BW118" i="3" s="1"/>
  <c r="DS114" i="3"/>
  <c r="DS106" i="3"/>
  <c r="DT52" i="3"/>
  <c r="DU51" i="3" s="1"/>
  <c r="DT55" i="3"/>
  <c r="DT65" i="3" s="1"/>
  <c r="DR133" i="3"/>
  <c r="DR151" i="3"/>
  <c r="BK154" i="3" l="1"/>
  <c r="BK157" i="3" s="1"/>
  <c r="BI168" i="3"/>
  <c r="BJ161" i="3"/>
  <c r="BJ162" i="3" s="1"/>
  <c r="BI99" i="3"/>
  <c r="BI101" i="3" s="1"/>
  <c r="BI107" i="3" s="1"/>
  <c r="BI105" i="3" s="1"/>
  <c r="BR136" i="3"/>
  <c r="BR141" i="3" s="1"/>
  <c r="BW119" i="3"/>
  <c r="BW121" i="3" s="1"/>
  <c r="BV134" i="3"/>
  <c r="BV126" i="3"/>
  <c r="DU55" i="3"/>
  <c r="DU65" i="3" s="1"/>
  <c r="DU52" i="3"/>
  <c r="DV51" i="3" s="1"/>
  <c r="DS133" i="3"/>
  <c r="DS151" i="3"/>
  <c r="DT114" i="3"/>
  <c r="DT106" i="3"/>
  <c r="BK159" i="3" l="1"/>
  <c r="BK160" i="3" s="1"/>
  <c r="BK155" i="3"/>
  <c r="BL149" i="3" s="1"/>
  <c r="BL150" i="3" s="1"/>
  <c r="BL153" i="3" s="1"/>
  <c r="BJ165" i="3"/>
  <c r="BJ167" i="3"/>
  <c r="BJ92" i="3" s="1"/>
  <c r="BJ94" i="3" s="1"/>
  <c r="BR137" i="3"/>
  <c r="BS131" i="3" s="1"/>
  <c r="BS132" i="3" s="1"/>
  <c r="BS135" i="3" s="1"/>
  <c r="BR139" i="3"/>
  <c r="BR152" i="3"/>
  <c r="BR142" i="3"/>
  <c r="BR143" i="3" s="1"/>
  <c r="BR144" i="3" s="1"/>
  <c r="BW122" i="3"/>
  <c r="BX118" i="3" s="1"/>
  <c r="BW123" i="3"/>
  <c r="BW125" i="3"/>
  <c r="DU106" i="3"/>
  <c r="DU114" i="3"/>
  <c r="DT133" i="3"/>
  <c r="DT151" i="3"/>
  <c r="DV55" i="3"/>
  <c r="DV65" i="3" s="1"/>
  <c r="DV52" i="3"/>
  <c r="DW51" i="3" s="1"/>
  <c r="BK161" i="3" l="1"/>
  <c r="BK162" i="3" s="1"/>
  <c r="BK167" i="3" s="1"/>
  <c r="BK92" i="3" s="1"/>
  <c r="BK94" i="3" s="1"/>
  <c r="BL154" i="3"/>
  <c r="BJ168" i="3"/>
  <c r="BJ99" i="3"/>
  <c r="BJ101" i="3" s="1"/>
  <c r="BJ107" i="3" s="1"/>
  <c r="BJ105" i="3" s="1"/>
  <c r="BS136" i="3"/>
  <c r="BS137" i="3" s="1"/>
  <c r="BT131" i="3" s="1"/>
  <c r="BL155" i="3"/>
  <c r="BM149" i="3" s="1"/>
  <c r="BL157" i="3"/>
  <c r="BL159" i="3"/>
  <c r="BW134" i="3"/>
  <c r="BW126" i="3"/>
  <c r="BX119" i="3"/>
  <c r="BX121" i="3" s="1"/>
  <c r="DU133" i="3"/>
  <c r="DU151" i="3"/>
  <c r="DV106" i="3"/>
  <c r="DV114" i="3"/>
  <c r="DW55" i="3"/>
  <c r="DW65" i="3" s="1"/>
  <c r="DW52" i="3"/>
  <c r="DX51" i="3" s="1"/>
  <c r="BK165" i="3" l="1"/>
  <c r="BS141" i="3"/>
  <c r="BS152" i="3" s="1"/>
  <c r="BS139" i="3"/>
  <c r="BK168" i="3"/>
  <c r="BK99" i="3"/>
  <c r="BK101" i="3" s="1"/>
  <c r="BK107" i="3" s="1"/>
  <c r="BK105" i="3" s="1"/>
  <c r="BM150" i="3"/>
  <c r="BM153" i="3" s="1"/>
  <c r="BL160" i="3"/>
  <c r="BL161" i="3" s="1"/>
  <c r="BL162" i="3" s="1"/>
  <c r="BS142" i="3"/>
  <c r="BS143" i="3" s="1"/>
  <c r="BS144" i="3" s="1"/>
  <c r="BT132" i="3"/>
  <c r="BT135" i="3" s="1"/>
  <c r="BX123" i="3"/>
  <c r="BX125" i="3"/>
  <c r="BX122" i="3"/>
  <c r="BY118" i="3" s="1"/>
  <c r="DW106" i="3"/>
  <c r="DW114" i="3"/>
  <c r="G18" i="32"/>
  <c r="G19" i="32" s="1"/>
  <c r="H18" i="32"/>
  <c r="H19" i="32" s="1"/>
  <c r="I18" i="32"/>
  <c r="I19" i="32" s="1"/>
  <c r="J18" i="32"/>
  <c r="J19" i="32" s="1"/>
  <c r="K18" i="32"/>
  <c r="K19" i="32" s="1"/>
  <c r="DX55" i="3"/>
  <c r="DX65" i="3" s="1"/>
  <c r="DX52" i="3"/>
  <c r="DY51" i="3" s="1"/>
  <c r="DV133" i="3"/>
  <c r="DV151" i="3"/>
  <c r="BM154" i="3" l="1"/>
  <c r="BM155" i="3" s="1"/>
  <c r="BN149" i="3" s="1"/>
  <c r="BL167" i="3"/>
  <c r="BL92" i="3" s="1"/>
  <c r="BL94" i="3" s="1"/>
  <c r="BL165" i="3"/>
  <c r="BT136" i="3"/>
  <c r="BT141" i="3" s="1"/>
  <c r="BY119" i="3"/>
  <c r="BY121" i="3" s="1"/>
  <c r="BX126" i="3"/>
  <c r="BX134" i="3"/>
  <c r="DX106" i="3"/>
  <c r="DX114" i="3"/>
  <c r="DW133" i="3"/>
  <c r="DW151" i="3"/>
  <c r="DY55" i="3"/>
  <c r="DY65" i="3" s="1"/>
  <c r="DY52" i="3"/>
  <c r="DZ51" i="3" s="1"/>
  <c r="BM157" i="3" l="1"/>
  <c r="BM159" i="3"/>
  <c r="BM160" i="3" s="1"/>
  <c r="BL168" i="3"/>
  <c r="BL99" i="3"/>
  <c r="BL101" i="3" s="1"/>
  <c r="BL107" i="3" s="1"/>
  <c r="BL105" i="3" s="1"/>
  <c r="BN150" i="3"/>
  <c r="BN154" i="3" s="1"/>
  <c r="BT137" i="3"/>
  <c r="BU131" i="3" s="1"/>
  <c r="BU132" i="3" s="1"/>
  <c r="BU135" i="3" s="1"/>
  <c r="BM161" i="3"/>
  <c r="BM162" i="3" s="1"/>
  <c r="BT139" i="3"/>
  <c r="BT142" i="3"/>
  <c r="BT143" i="3" s="1"/>
  <c r="BT144" i="3" s="1"/>
  <c r="BT152" i="3"/>
  <c r="BY125" i="3"/>
  <c r="BY123" i="3"/>
  <c r="BY122" i="3"/>
  <c r="BZ118" i="3" s="1"/>
  <c r="DY106" i="3"/>
  <c r="DY114" i="3"/>
  <c r="DZ52" i="3"/>
  <c r="EA51" i="3" s="1"/>
  <c r="DZ55" i="3"/>
  <c r="DZ65" i="3" s="1"/>
  <c r="DX151" i="3"/>
  <c r="DX133" i="3"/>
  <c r="BN153" i="3" l="1"/>
  <c r="BN155" i="3" s="1"/>
  <c r="BO149" i="3" s="1"/>
  <c r="BO150" i="3" s="1"/>
  <c r="BO154" i="3" s="1"/>
  <c r="BM165" i="3"/>
  <c r="BM167" i="3"/>
  <c r="BM92" i="3" s="1"/>
  <c r="BM94" i="3" s="1"/>
  <c r="BN157" i="3"/>
  <c r="BN159" i="3"/>
  <c r="BN160" i="3" s="1"/>
  <c r="BU136" i="3"/>
  <c r="BU141" i="3" s="1"/>
  <c r="BZ119" i="3"/>
  <c r="BZ121" i="3" s="1"/>
  <c r="BY134" i="3"/>
  <c r="BY126" i="3"/>
  <c r="DY133" i="3"/>
  <c r="DY151" i="3"/>
  <c r="EA52" i="3"/>
  <c r="EB51" i="3" s="1"/>
  <c r="EA55" i="3"/>
  <c r="EA65" i="3" s="1"/>
  <c r="DZ114" i="3"/>
  <c r="DZ106" i="3"/>
  <c r="BO153" i="3" l="1"/>
  <c r="BO155" i="3" s="1"/>
  <c r="BP149" i="3" s="1"/>
  <c r="BP150" i="3" s="1"/>
  <c r="BP154" i="3" s="1"/>
  <c r="BO157" i="3"/>
  <c r="BO159" i="3"/>
  <c r="BN161" i="3"/>
  <c r="BN162" i="3" s="1"/>
  <c r="BM168" i="3"/>
  <c r="BM99" i="3"/>
  <c r="BM101" i="3" s="1"/>
  <c r="BM107" i="3" s="1"/>
  <c r="BM105" i="3" s="1"/>
  <c r="BU137" i="3"/>
  <c r="BV131" i="3" s="1"/>
  <c r="BV132" i="3" s="1"/>
  <c r="BV135" i="3" s="1"/>
  <c r="BU139" i="3"/>
  <c r="BU152" i="3"/>
  <c r="BU142" i="3"/>
  <c r="BU143" i="3" s="1"/>
  <c r="BU144" i="3" s="1"/>
  <c r="BZ125" i="3"/>
  <c r="BZ123" i="3"/>
  <c r="BZ122" i="3"/>
  <c r="CA118" i="3" s="1"/>
  <c r="EA114" i="3"/>
  <c r="EA106" i="3"/>
  <c r="EB52" i="3"/>
  <c r="EC51" i="3" s="1"/>
  <c r="EB55" i="3"/>
  <c r="EB65" i="3" s="1"/>
  <c r="DZ133" i="3"/>
  <c r="DZ151" i="3"/>
  <c r="BP153" i="3" l="1"/>
  <c r="BP155" i="3" s="1"/>
  <c r="BQ149" i="3" s="1"/>
  <c r="BQ150" i="3" s="1"/>
  <c r="BQ154" i="3" s="1"/>
  <c r="BP157" i="3"/>
  <c r="BP159" i="3"/>
  <c r="BP160" i="3" s="1"/>
  <c r="BO160" i="3"/>
  <c r="BO161" i="3" s="1"/>
  <c r="BO162" i="3" s="1"/>
  <c r="BN167" i="3"/>
  <c r="BN92" i="3" s="1"/>
  <c r="BN94" i="3" s="1"/>
  <c r="BN165" i="3"/>
  <c r="BV136" i="3"/>
  <c r="BV137" i="3" s="1"/>
  <c r="BW131" i="3" s="1"/>
  <c r="CA119" i="3"/>
  <c r="CA121" i="3" s="1"/>
  <c r="BZ134" i="3"/>
  <c r="BZ126" i="3"/>
  <c r="EB114" i="3"/>
  <c r="EB106" i="3"/>
  <c r="EC55" i="3"/>
  <c r="EC65" i="3" s="1"/>
  <c r="EC52" i="3"/>
  <c r="ED51" i="3" s="1"/>
  <c r="EA133" i="3"/>
  <c r="EA151" i="3"/>
  <c r="BQ153" i="3" l="1"/>
  <c r="BQ155" i="3" s="1"/>
  <c r="BR149" i="3" s="1"/>
  <c r="BR150" i="3" s="1"/>
  <c r="BR153" i="3" s="1"/>
  <c r="BQ157" i="3"/>
  <c r="BQ159" i="3"/>
  <c r="BQ160" i="3" s="1"/>
  <c r="BP161" i="3"/>
  <c r="BP162" i="3" s="1"/>
  <c r="BN168" i="3"/>
  <c r="BN99" i="3"/>
  <c r="BN101" i="3" s="1"/>
  <c r="BN107" i="3" s="1"/>
  <c r="BN105" i="3" s="1"/>
  <c r="BO167" i="3"/>
  <c r="BO92" i="3" s="1"/>
  <c r="BO94" i="3" s="1"/>
  <c r="BO165" i="3"/>
  <c r="BW132" i="3"/>
  <c r="BW135" i="3" s="1"/>
  <c r="BV141" i="3"/>
  <c r="BV139" i="3"/>
  <c r="CA123" i="3"/>
  <c r="CA125" i="3"/>
  <c r="CA122" i="3"/>
  <c r="CB118" i="3" s="1"/>
  <c r="EC106" i="3"/>
  <c r="EC114" i="3"/>
  <c r="ED55" i="3"/>
  <c r="ED65" i="3" s="1"/>
  <c r="ED52" i="3"/>
  <c r="EE51" i="3" s="1"/>
  <c r="EB133" i="3"/>
  <c r="EB151" i="3"/>
  <c r="BR154" i="3" l="1"/>
  <c r="BR155" i="3" s="1"/>
  <c r="BS149" i="3" s="1"/>
  <c r="BO168" i="3"/>
  <c r="BO99" i="3"/>
  <c r="BO101" i="3" s="1"/>
  <c r="BO107" i="3" s="1"/>
  <c r="BO105" i="3" s="1"/>
  <c r="BP165" i="3"/>
  <c r="BP167" i="3"/>
  <c r="BP92" i="3" s="1"/>
  <c r="BP94" i="3" s="1"/>
  <c r="BQ161" i="3"/>
  <c r="BQ162" i="3" s="1"/>
  <c r="BW136" i="3"/>
  <c r="BW139" i="3" s="1"/>
  <c r="BV152" i="3"/>
  <c r="BV142" i="3"/>
  <c r="BV143" i="3" s="1"/>
  <c r="BV144" i="3" s="1"/>
  <c r="CB119" i="3"/>
  <c r="CA126" i="3"/>
  <c r="CA134" i="3"/>
  <c r="ED106" i="3"/>
  <c r="ED114" i="3"/>
  <c r="EC133" i="3"/>
  <c r="EC151" i="3"/>
  <c r="EE55" i="3"/>
  <c r="EE65" i="3" s="1"/>
  <c r="EE52" i="3"/>
  <c r="EF51" i="3" s="1"/>
  <c r="BR157" i="3" l="1"/>
  <c r="BR159" i="3"/>
  <c r="BR160" i="3" s="1"/>
  <c r="BW137" i="3"/>
  <c r="BX131" i="3" s="1"/>
  <c r="BX132" i="3" s="1"/>
  <c r="BX135" i="3" s="1"/>
  <c r="BW141" i="3"/>
  <c r="BW152" i="3" s="1"/>
  <c r="BQ167" i="3"/>
  <c r="BQ92" i="3" s="1"/>
  <c r="BQ94" i="3" s="1"/>
  <c r="BQ165" i="3"/>
  <c r="BR161" i="3"/>
  <c r="BR162" i="3" s="1"/>
  <c r="BS150" i="3"/>
  <c r="BS154" i="3" s="1"/>
  <c r="BP168" i="3"/>
  <c r="BP99" i="3"/>
  <c r="BP101" i="3" s="1"/>
  <c r="BP107" i="3" s="1"/>
  <c r="BP105" i="3" s="1"/>
  <c r="CB121" i="3"/>
  <c r="CB122" i="3" s="1"/>
  <c r="CC118" i="3" s="1"/>
  <c r="EF55" i="3"/>
  <c r="EF65" i="3" s="1"/>
  <c r="EF52" i="3"/>
  <c r="EG51" i="3" s="1"/>
  <c r="EE106" i="3"/>
  <c r="EE114" i="3"/>
  <c r="ED133" i="3"/>
  <c r="ED151" i="3"/>
  <c r="BW142" i="3" l="1"/>
  <c r="BW143" i="3" s="1"/>
  <c r="BW144" i="3" s="1"/>
  <c r="BX136" i="3"/>
  <c r="BX137" i="3" s="1"/>
  <c r="BY131" i="3" s="1"/>
  <c r="BS153" i="3"/>
  <c r="BS155" i="3" s="1"/>
  <c r="BT149" i="3" s="1"/>
  <c r="BT150" i="3" s="1"/>
  <c r="BR165" i="3"/>
  <c r="BR167" i="3"/>
  <c r="BR92" i="3" s="1"/>
  <c r="BR94" i="3" s="1"/>
  <c r="BQ168" i="3"/>
  <c r="BQ99" i="3"/>
  <c r="BQ101" i="3" s="1"/>
  <c r="BQ107" i="3" s="1"/>
  <c r="BQ105" i="3" s="1"/>
  <c r="BS159" i="3"/>
  <c r="BS160" i="3" s="1"/>
  <c r="BS157" i="3"/>
  <c r="CC119" i="3"/>
  <c r="CB123" i="3"/>
  <c r="CB125" i="3"/>
  <c r="EF106" i="3"/>
  <c r="EF114" i="3"/>
  <c r="EE133" i="3"/>
  <c r="EE151" i="3"/>
  <c r="EG55" i="3"/>
  <c r="EG65" i="3" s="1"/>
  <c r="EG52" i="3"/>
  <c r="EH51" i="3" s="1"/>
  <c r="BX139" i="3" l="1"/>
  <c r="BX141" i="3"/>
  <c r="BX152" i="3" s="1"/>
  <c r="BT153" i="3"/>
  <c r="BT154" i="3"/>
  <c r="BT157" i="3" s="1"/>
  <c r="BS161" i="3"/>
  <c r="BS162" i="3" s="1"/>
  <c r="BR168" i="3"/>
  <c r="BR99" i="3"/>
  <c r="BR101" i="3" s="1"/>
  <c r="BR107" i="3" s="1"/>
  <c r="BR105" i="3" s="1"/>
  <c r="BT159" i="3"/>
  <c r="BT160" i="3" s="1"/>
  <c r="BY132" i="3"/>
  <c r="BY136" i="3" s="1"/>
  <c r="CB134" i="3"/>
  <c r="CB126" i="3"/>
  <c r="CC121" i="3"/>
  <c r="CC122" i="3" s="1"/>
  <c r="CD118" i="3" s="1"/>
  <c r="EG106" i="3"/>
  <c r="EG114" i="3"/>
  <c r="EF133" i="3"/>
  <c r="EF151" i="3"/>
  <c r="EH52" i="3"/>
  <c r="EI51" i="3" s="1"/>
  <c r="EH55" i="3"/>
  <c r="EH65" i="3" s="1"/>
  <c r="BX142" i="3" l="1"/>
  <c r="BX143" i="3" s="1"/>
  <c r="BX144" i="3" s="1"/>
  <c r="BT155" i="3"/>
  <c r="BU149" i="3" s="1"/>
  <c r="BU150" i="3" s="1"/>
  <c r="BU153" i="3" s="1"/>
  <c r="BT161" i="3"/>
  <c r="BT162" i="3" s="1"/>
  <c r="BS167" i="3"/>
  <c r="BS92" i="3" s="1"/>
  <c r="BS94" i="3" s="1"/>
  <c r="BS165" i="3"/>
  <c r="BY135" i="3"/>
  <c r="BY137" i="3" s="1"/>
  <c r="BZ131" i="3" s="1"/>
  <c r="BZ132" i="3" s="1"/>
  <c r="BZ135" i="3" s="1"/>
  <c r="BY139" i="3"/>
  <c r="BY141" i="3"/>
  <c r="CD119" i="3"/>
  <c r="CD121" i="3" s="1"/>
  <c r="CC125" i="3"/>
  <c r="CC123" i="3"/>
  <c r="EI52" i="3"/>
  <c r="EI55" i="3"/>
  <c r="EI65" i="3" s="1"/>
  <c r="B45" i="3" s="1"/>
  <c r="EG133" i="3"/>
  <c r="EG151" i="3"/>
  <c r="EH114" i="3"/>
  <c r="EH106" i="3"/>
  <c r="BS168" i="3" l="1"/>
  <c r="BS99" i="3"/>
  <c r="BS101" i="3" s="1"/>
  <c r="BS107" i="3" s="1"/>
  <c r="BS105" i="3" s="1"/>
  <c r="BT165" i="3"/>
  <c r="BT167" i="3"/>
  <c r="BT92" i="3" s="1"/>
  <c r="BT94" i="3" s="1"/>
  <c r="BU154" i="3"/>
  <c r="BU155" i="3" s="1"/>
  <c r="BV149" i="3" s="1"/>
  <c r="BY152" i="3"/>
  <c r="BY142" i="3"/>
  <c r="BY143" i="3" s="1"/>
  <c r="BY144" i="3" s="1"/>
  <c r="BZ136" i="3"/>
  <c r="CC134" i="3"/>
  <c r="CC126" i="3"/>
  <c r="CD123" i="3"/>
  <c r="CD125" i="3"/>
  <c r="CD122" i="3"/>
  <c r="CE118" i="3" s="1"/>
  <c r="EH133" i="3"/>
  <c r="EH151" i="3"/>
  <c r="EI114" i="3"/>
  <c r="EI106" i="3"/>
  <c r="E106" i="3" s="1"/>
  <c r="G67" i="3"/>
  <c r="G68" i="3"/>
  <c r="B65" i="3"/>
  <c r="BV150" i="3" l="1"/>
  <c r="BV153" i="3" s="1"/>
  <c r="BU157" i="3"/>
  <c r="BU159" i="3"/>
  <c r="BU160" i="3" s="1"/>
  <c r="BT168" i="3"/>
  <c r="BT99" i="3"/>
  <c r="BT101" i="3" s="1"/>
  <c r="BT107" i="3" s="1"/>
  <c r="BT105" i="3" s="1"/>
  <c r="BZ141" i="3"/>
  <c r="BZ139" i="3"/>
  <c r="BZ137" i="3"/>
  <c r="CA131" i="3" s="1"/>
  <c r="CE119" i="3"/>
  <c r="CE121" i="3" s="1"/>
  <c r="CE122" i="3" s="1"/>
  <c r="CF118" i="3" s="1"/>
  <c r="CD134" i="3"/>
  <c r="CD126" i="3"/>
  <c r="EI133" i="3"/>
  <c r="EI151" i="3"/>
  <c r="E23" i="32"/>
  <c r="E22" i="32" s="1"/>
  <c r="B67" i="3"/>
  <c r="G69" i="3"/>
  <c r="E185" i="1" s="1"/>
  <c r="E184" i="1"/>
  <c r="K22" i="32" l="1"/>
  <c r="BV154" i="3"/>
  <c r="BV157" i="3" s="1"/>
  <c r="BU161" i="3"/>
  <c r="BU162" i="3" s="1"/>
  <c r="CA132" i="3"/>
  <c r="CA135" i="3" s="1"/>
  <c r="BZ152" i="3"/>
  <c r="BZ142" i="3"/>
  <c r="BZ143" i="3" s="1"/>
  <c r="BZ144" i="3" s="1"/>
  <c r="CF119" i="3"/>
  <c r="CF121" i="3" s="1"/>
  <c r="CF122" i="3" s="1"/>
  <c r="CG118" i="3" s="1"/>
  <c r="CE123" i="3"/>
  <c r="CE125" i="3"/>
  <c r="D190" i="1"/>
  <c r="K8" i="1"/>
  <c r="D200" i="1"/>
  <c r="K9" i="1"/>
  <c r="BV159" i="3" l="1"/>
  <c r="BV160" i="3" s="1"/>
  <c r="BV155" i="3"/>
  <c r="BW149" i="3" s="1"/>
  <c r="BW150" i="3" s="1"/>
  <c r="BW154" i="3" s="1"/>
  <c r="BU165" i="3"/>
  <c r="BU167" i="3"/>
  <c r="BU92" i="3" s="1"/>
  <c r="BU94" i="3" s="1"/>
  <c r="CA136" i="3"/>
  <c r="CG119" i="3"/>
  <c r="CG121" i="3" s="1"/>
  <c r="CG122" i="3" s="1"/>
  <c r="CH118" i="3" s="1"/>
  <c r="CE126" i="3"/>
  <c r="CE134" i="3"/>
  <c r="CF125" i="3"/>
  <c r="CF123" i="3"/>
  <c r="BV161" i="3" l="1"/>
  <c r="BV162" i="3" s="1"/>
  <c r="BW153" i="3"/>
  <c r="BW159" i="3"/>
  <c r="BW160" i="3" s="1"/>
  <c r="BW157" i="3"/>
  <c r="BW155" i="3"/>
  <c r="BX149" i="3" s="1"/>
  <c r="BU168" i="3"/>
  <c r="BU99" i="3"/>
  <c r="BU101" i="3" s="1"/>
  <c r="BU107" i="3" s="1"/>
  <c r="BU105" i="3" s="1"/>
  <c r="BV167" i="3"/>
  <c r="BV92" i="3" s="1"/>
  <c r="BV94" i="3" s="1"/>
  <c r="BV165" i="3"/>
  <c r="CA141" i="3"/>
  <c r="CA139" i="3"/>
  <c r="CA137" i="3"/>
  <c r="CB131" i="3" s="1"/>
  <c r="CH119" i="3"/>
  <c r="CH121" i="3"/>
  <c r="CH122" i="3" s="1"/>
  <c r="CI118" i="3" s="1"/>
  <c r="CG123" i="3"/>
  <c r="CG125" i="3"/>
  <c r="CF134" i="3"/>
  <c r="CF126" i="3"/>
  <c r="BV168" i="3" l="1"/>
  <c r="BV99" i="3"/>
  <c r="BV101" i="3" s="1"/>
  <c r="BV107" i="3" s="1"/>
  <c r="BV105" i="3" s="1"/>
  <c r="BX150" i="3"/>
  <c r="BX153" i="3" s="1"/>
  <c r="BW161" i="3"/>
  <c r="BW162" i="3" s="1"/>
  <c r="CB132" i="3"/>
  <c r="CB136" i="3" s="1"/>
  <c r="CA142" i="3"/>
  <c r="CA143" i="3" s="1"/>
  <c r="CA144" i="3" s="1"/>
  <c r="CA152" i="3"/>
  <c r="CI119" i="3"/>
  <c r="CI121" i="3" s="1"/>
  <c r="CI122" i="3" s="1"/>
  <c r="CJ118" i="3" s="1"/>
  <c r="CG134" i="3"/>
  <c r="CG126" i="3"/>
  <c r="CH125" i="3"/>
  <c r="CH123" i="3"/>
  <c r="BX154" i="3" l="1"/>
  <c r="BX159" i="3" s="1"/>
  <c r="BX160" i="3" s="1"/>
  <c r="BW165" i="3"/>
  <c r="BW167" i="3"/>
  <c r="BW92" i="3" s="1"/>
  <c r="BW94" i="3" s="1"/>
  <c r="CB135" i="3"/>
  <c r="CB137" i="3" s="1"/>
  <c r="CC131" i="3" s="1"/>
  <c r="CC132" i="3" s="1"/>
  <c r="CB141" i="3"/>
  <c r="CB139" i="3"/>
  <c r="CJ119" i="3"/>
  <c r="CJ121" i="3" s="1"/>
  <c r="CI123" i="3"/>
  <c r="CI125" i="3"/>
  <c r="CH134" i="3"/>
  <c r="CH126" i="3"/>
  <c r="BX155" i="3" l="1"/>
  <c r="BY149" i="3" s="1"/>
  <c r="BX157" i="3"/>
  <c r="BW168" i="3"/>
  <c r="BW99" i="3"/>
  <c r="BW101" i="3" s="1"/>
  <c r="BW107" i="3" s="1"/>
  <c r="BW105" i="3" s="1"/>
  <c r="BY150" i="3"/>
  <c r="BY153" i="3" s="1"/>
  <c r="BY154" i="3"/>
  <c r="BX161" i="3"/>
  <c r="BX162" i="3" s="1"/>
  <c r="CC135" i="3"/>
  <c r="CC136" i="3"/>
  <c r="CB152" i="3"/>
  <c r="CB142" i="3"/>
  <c r="CB143" i="3" s="1"/>
  <c r="CB144" i="3" s="1"/>
  <c r="CJ123" i="3"/>
  <c r="CJ125" i="3"/>
  <c r="CJ122" i="3"/>
  <c r="CK118" i="3" s="1"/>
  <c r="CI134" i="3"/>
  <c r="CI126" i="3"/>
  <c r="BX167" i="3" l="1"/>
  <c r="BX92" i="3" s="1"/>
  <c r="BX94" i="3" s="1"/>
  <c r="BX165" i="3"/>
  <c r="BY159" i="3"/>
  <c r="BY160" i="3" s="1"/>
  <c r="BY157" i="3"/>
  <c r="BY155" i="3"/>
  <c r="BZ149" i="3" s="1"/>
  <c r="CC137" i="3"/>
  <c r="CD131" i="3" s="1"/>
  <c r="CD132" i="3" s="1"/>
  <c r="CD136" i="3" s="1"/>
  <c r="CC139" i="3"/>
  <c r="CC141" i="3"/>
  <c r="CC152" i="3" s="1"/>
  <c r="CK119" i="3"/>
  <c r="CK121" i="3" s="1"/>
  <c r="CJ134" i="3"/>
  <c r="CJ126" i="3"/>
  <c r="CC142" i="3" l="1"/>
  <c r="CC143" i="3" s="1"/>
  <c r="CC144" i="3" s="1"/>
  <c r="BY161" i="3"/>
  <c r="BY162" i="3" s="1"/>
  <c r="BZ150" i="3"/>
  <c r="BZ153" i="3" s="1"/>
  <c r="BZ154" i="3"/>
  <c r="BX168" i="3"/>
  <c r="BX99" i="3"/>
  <c r="BX101" i="3" s="1"/>
  <c r="BX107" i="3" s="1"/>
  <c r="BX105" i="3" s="1"/>
  <c r="CD139" i="3"/>
  <c r="CD141" i="3"/>
  <c r="CD135" i="3"/>
  <c r="CD137" i="3" s="1"/>
  <c r="CE131" i="3" s="1"/>
  <c r="CK125" i="3"/>
  <c r="CK123" i="3"/>
  <c r="CK122" i="3"/>
  <c r="CL118" i="3" s="1"/>
  <c r="BZ157" i="3" l="1"/>
  <c r="BZ159" i="3"/>
  <c r="BZ160" i="3" s="1"/>
  <c r="BY167" i="3"/>
  <c r="BY92" i="3" s="1"/>
  <c r="BY94" i="3" s="1"/>
  <c r="BY165" i="3"/>
  <c r="BZ155" i="3"/>
  <c r="CA149" i="3" s="1"/>
  <c r="CD152" i="3"/>
  <c r="CD142" i="3"/>
  <c r="CD143" i="3" s="1"/>
  <c r="CD144" i="3" s="1"/>
  <c r="CE132" i="3"/>
  <c r="CE135" i="3" s="1"/>
  <c r="CK134" i="3"/>
  <c r="CK126" i="3"/>
  <c r="CL119" i="3"/>
  <c r="CL121" i="3" s="1"/>
  <c r="BZ161" i="3" l="1"/>
  <c r="BZ162" i="3" s="1"/>
  <c r="CA150" i="3"/>
  <c r="CA153" i="3" s="1"/>
  <c r="BY168" i="3"/>
  <c r="BY99" i="3"/>
  <c r="BY101" i="3" s="1"/>
  <c r="BY107" i="3" s="1"/>
  <c r="BY105" i="3" s="1"/>
  <c r="CE136" i="3"/>
  <c r="CE139" i="3" s="1"/>
  <c r="CL122" i="3"/>
  <c r="CM118" i="3" s="1"/>
  <c r="CM119" i="3" s="1"/>
  <c r="CM121" i="3" s="1"/>
  <c r="CM122" i="3" s="1"/>
  <c r="CN118" i="3" s="1"/>
  <c r="CL125" i="3"/>
  <c r="CL123" i="3"/>
  <c r="CA154" i="3" l="1"/>
  <c r="CA155" i="3" s="1"/>
  <c r="CB149" i="3" s="1"/>
  <c r="CE137" i="3"/>
  <c r="CF131" i="3" s="1"/>
  <c r="CF132" i="3" s="1"/>
  <c r="CF135" i="3" s="1"/>
  <c r="CE141" i="3"/>
  <c r="CE142" i="3" s="1"/>
  <c r="CE143" i="3" s="1"/>
  <c r="CE144" i="3" s="1"/>
  <c r="BZ167" i="3"/>
  <c r="BZ92" i="3" s="1"/>
  <c r="BZ94" i="3" s="1"/>
  <c r="BZ165" i="3"/>
  <c r="CN119" i="3"/>
  <c r="CN121" i="3" s="1"/>
  <c r="CL134" i="3"/>
  <c r="CL126" i="3"/>
  <c r="CM123" i="3"/>
  <c r="CM125" i="3"/>
  <c r="CA159" i="3" l="1"/>
  <c r="CA160" i="3" s="1"/>
  <c r="CA157" i="3"/>
  <c r="CE152" i="3"/>
  <c r="BZ168" i="3"/>
  <c r="BZ99" i="3"/>
  <c r="BZ101" i="3" s="1"/>
  <c r="BZ107" i="3" s="1"/>
  <c r="BZ105" i="3" s="1"/>
  <c r="CB150" i="3"/>
  <c r="CB153" i="3" s="1"/>
  <c r="CF136" i="3"/>
  <c r="CF137" i="3" s="1"/>
  <c r="CG131" i="3" s="1"/>
  <c r="CN122" i="3"/>
  <c r="CO118" i="3" s="1"/>
  <c r="CO119" i="3" s="1"/>
  <c r="CO121" i="3" s="1"/>
  <c r="CO122" i="3" s="1"/>
  <c r="CP118" i="3" s="1"/>
  <c r="CM134" i="3"/>
  <c r="CM126" i="3"/>
  <c r="CN125" i="3"/>
  <c r="CN123" i="3"/>
  <c r="CA161" i="3" l="1"/>
  <c r="CA162" i="3" s="1"/>
  <c r="CA167" i="3" s="1"/>
  <c r="CA92" i="3" s="1"/>
  <c r="CA94" i="3" s="1"/>
  <c r="CB154" i="3"/>
  <c r="CB159" i="3" s="1"/>
  <c r="CF141" i="3"/>
  <c r="CF152" i="3" s="1"/>
  <c r="CF139" i="3"/>
  <c r="CG132" i="3"/>
  <c r="CG135" i="3" s="1"/>
  <c r="CO123" i="3"/>
  <c r="CO125" i="3"/>
  <c r="CP119" i="3"/>
  <c r="CP121" i="3" s="1"/>
  <c r="CN126" i="3"/>
  <c r="CN134" i="3"/>
  <c r="CA165" i="3" l="1"/>
  <c r="CB155" i="3"/>
  <c r="CC149" i="3" s="1"/>
  <c r="CB157" i="3"/>
  <c r="CA168" i="3"/>
  <c r="CA99" i="3"/>
  <c r="CA101" i="3" s="1"/>
  <c r="CA107" i="3" s="1"/>
  <c r="CA105" i="3" s="1"/>
  <c r="CC150" i="3"/>
  <c r="CC153" i="3" s="1"/>
  <c r="CB160" i="3"/>
  <c r="CB161" i="3" s="1"/>
  <c r="CB162" i="3" s="1"/>
  <c r="CF142" i="3"/>
  <c r="CF143" i="3" s="1"/>
  <c r="CF144" i="3" s="1"/>
  <c r="CG136" i="3"/>
  <c r="CG141" i="3" s="1"/>
  <c r="CP122" i="3"/>
  <c r="CQ118" i="3" s="1"/>
  <c r="CP123" i="3"/>
  <c r="CP125" i="3"/>
  <c r="CO134" i="3"/>
  <c r="CO126" i="3"/>
  <c r="CC154" i="3" l="1"/>
  <c r="CC157" i="3" s="1"/>
  <c r="CB165" i="3"/>
  <c r="CB167" i="3"/>
  <c r="CB92" i="3" s="1"/>
  <c r="CB94" i="3" s="1"/>
  <c r="CG137" i="3"/>
  <c r="CH131" i="3" s="1"/>
  <c r="CH132" i="3" s="1"/>
  <c r="CH136" i="3" s="1"/>
  <c r="CG139" i="3"/>
  <c r="CG142" i="3"/>
  <c r="CG143" i="3" s="1"/>
  <c r="CG144" i="3" s="1"/>
  <c r="CG152" i="3"/>
  <c r="CP126" i="3"/>
  <c r="CP134" i="3"/>
  <c r="CQ119" i="3"/>
  <c r="CQ121" i="3" s="1"/>
  <c r="CC155" i="3" l="1"/>
  <c r="CD149" i="3" s="1"/>
  <c r="CD150" i="3" s="1"/>
  <c r="CD153" i="3" s="1"/>
  <c r="CC159" i="3"/>
  <c r="CB99" i="3"/>
  <c r="CB101" i="3" s="1"/>
  <c r="CB107" i="3" s="1"/>
  <c r="CB105" i="3" s="1"/>
  <c r="CB168" i="3"/>
  <c r="CC160" i="3"/>
  <c r="CC161" i="3" s="1"/>
  <c r="CC162" i="3" s="1"/>
  <c r="CH135" i="3"/>
  <c r="CH137" i="3" s="1"/>
  <c r="CI131" i="3" s="1"/>
  <c r="CI132" i="3" s="1"/>
  <c r="CH141" i="3"/>
  <c r="CH139" i="3"/>
  <c r="CQ122" i="3"/>
  <c r="CR118" i="3" s="1"/>
  <c r="CQ125" i="3"/>
  <c r="CQ123" i="3"/>
  <c r="CC167" i="3" l="1"/>
  <c r="CC92" i="3" s="1"/>
  <c r="CC94" i="3" s="1"/>
  <c r="CC165" i="3"/>
  <c r="CD154" i="3"/>
  <c r="CI135" i="3"/>
  <c r="CI136" i="3"/>
  <c r="CI139" i="3" s="1"/>
  <c r="CH142" i="3"/>
  <c r="CH143" i="3" s="1"/>
  <c r="CH144" i="3" s="1"/>
  <c r="CH152" i="3"/>
  <c r="CQ134" i="3"/>
  <c r="CQ126" i="3"/>
  <c r="CR119" i="3"/>
  <c r="CR121" i="3" s="1"/>
  <c r="CC168" i="3" l="1"/>
  <c r="CI137" i="3"/>
  <c r="CJ131" i="3" s="1"/>
  <c r="CD159" i="3"/>
  <c r="CD160" i="3" s="1"/>
  <c r="CD157" i="3"/>
  <c r="CC99" i="3"/>
  <c r="CC101" i="3" s="1"/>
  <c r="CC107" i="3" s="1"/>
  <c r="CC105" i="3" s="1"/>
  <c r="CD155" i="3"/>
  <c r="CE149" i="3" s="1"/>
  <c r="CI141" i="3"/>
  <c r="CI142" i="3" s="1"/>
  <c r="CI143" i="3" s="1"/>
  <c r="CI144" i="3" s="1"/>
  <c r="CJ132" i="3"/>
  <c r="CJ136" i="3" s="1"/>
  <c r="CR123" i="3"/>
  <c r="CR125" i="3"/>
  <c r="CR122" i="3"/>
  <c r="CS118" i="3" s="1"/>
  <c r="CI152" i="3" l="1"/>
  <c r="CE150" i="3"/>
  <c r="CE154" i="3" s="1"/>
  <c r="CJ135" i="3"/>
  <c r="CD161" i="3"/>
  <c r="CD162" i="3" s="1"/>
  <c r="CJ137" i="3"/>
  <c r="CK131" i="3" s="1"/>
  <c r="CK132" i="3" s="1"/>
  <c r="CK136" i="3" s="1"/>
  <c r="CJ141" i="3"/>
  <c r="CJ139" i="3"/>
  <c r="CS119" i="3"/>
  <c r="CS121" i="3" s="1"/>
  <c r="CR126" i="3"/>
  <c r="CR134" i="3"/>
  <c r="CE153" i="3" l="1"/>
  <c r="CD165" i="3"/>
  <c r="CD167" i="3"/>
  <c r="CD92" i="3" s="1"/>
  <c r="CD94" i="3" s="1"/>
  <c r="CE155" i="3"/>
  <c r="CF149" i="3" s="1"/>
  <c r="CE159" i="3"/>
  <c r="CE157" i="3"/>
  <c r="CK135" i="3"/>
  <c r="CK137" i="3" s="1"/>
  <c r="CL131" i="3" s="1"/>
  <c r="CJ142" i="3"/>
  <c r="CJ143" i="3" s="1"/>
  <c r="CJ144" i="3" s="1"/>
  <c r="CJ152" i="3"/>
  <c r="CK141" i="3"/>
  <c r="CK139" i="3"/>
  <c r="CS125" i="3"/>
  <c r="CS123" i="3"/>
  <c r="CS122" i="3"/>
  <c r="CT118" i="3" s="1"/>
  <c r="CE160" i="3" l="1"/>
  <c r="CE161" i="3" s="1"/>
  <c r="CE162" i="3" s="1"/>
  <c r="CF150" i="3"/>
  <c r="CF153" i="3" s="1"/>
  <c r="CF154" i="3"/>
  <c r="CD168" i="3"/>
  <c r="CD99" i="3"/>
  <c r="CD101" i="3" s="1"/>
  <c r="CD107" i="3" s="1"/>
  <c r="CD105" i="3" s="1"/>
  <c r="CL132" i="3"/>
  <c r="CL135" i="3" s="1"/>
  <c r="CK142" i="3"/>
  <c r="CK143" i="3" s="1"/>
  <c r="CK144" i="3" s="1"/>
  <c r="CK152" i="3"/>
  <c r="CS134" i="3"/>
  <c r="CS126" i="3"/>
  <c r="CT119" i="3"/>
  <c r="CF159" i="3" l="1"/>
  <c r="CF160" i="3" s="1"/>
  <c r="CF157" i="3"/>
  <c r="CE165" i="3"/>
  <c r="CE167" i="3"/>
  <c r="CE92" i="3" s="1"/>
  <c r="CE94" i="3" s="1"/>
  <c r="CF155" i="3"/>
  <c r="CG149" i="3" s="1"/>
  <c r="CL136" i="3"/>
  <c r="CT121" i="3"/>
  <c r="CT122" i="3" s="1"/>
  <c r="CU118" i="3" s="1"/>
  <c r="CE99" i="3" l="1"/>
  <c r="CE101" i="3" s="1"/>
  <c r="CE107" i="3" s="1"/>
  <c r="CE105" i="3" s="1"/>
  <c r="CG150" i="3"/>
  <c r="CG153" i="3" s="1"/>
  <c r="CE168" i="3"/>
  <c r="CF161" i="3"/>
  <c r="CF162" i="3" s="1"/>
  <c r="CL137" i="3"/>
  <c r="CM131" i="3" s="1"/>
  <c r="CL139" i="3"/>
  <c r="CL141" i="3"/>
  <c r="CU119" i="3"/>
  <c r="CU121" i="3" s="1"/>
  <c r="CU122" i="3" s="1"/>
  <c r="CV118" i="3" s="1"/>
  <c r="CT123" i="3"/>
  <c r="CT125" i="3"/>
  <c r="CG154" i="3" l="1"/>
  <c r="CG159" i="3" s="1"/>
  <c r="CG160" i="3" s="1"/>
  <c r="CF165" i="3"/>
  <c r="CF167" i="3"/>
  <c r="CF92" i="3" s="1"/>
  <c r="CF94" i="3" s="1"/>
  <c r="CL152" i="3"/>
  <c r="CL142" i="3"/>
  <c r="CL143" i="3" s="1"/>
  <c r="CL144" i="3" s="1"/>
  <c r="CM132" i="3"/>
  <c r="CM135" i="3" s="1"/>
  <c r="CU125" i="3"/>
  <c r="CU123" i="3"/>
  <c r="CV119" i="3"/>
  <c r="CV121" i="3" s="1"/>
  <c r="CV122" i="3" s="1"/>
  <c r="CW118" i="3" s="1"/>
  <c r="CT134" i="3"/>
  <c r="CT126" i="3"/>
  <c r="CG155" i="3" l="1"/>
  <c r="CH149" i="3" s="1"/>
  <c r="CG157" i="3"/>
  <c r="CM136" i="3"/>
  <c r="CM137" i="3" s="1"/>
  <c r="CN131" i="3" s="1"/>
  <c r="CG161" i="3"/>
  <c r="CG162" i="3" s="1"/>
  <c r="CH150" i="3"/>
  <c r="CH153" i="3" s="1"/>
  <c r="CF168" i="3"/>
  <c r="CF99" i="3"/>
  <c r="CF101" i="3" s="1"/>
  <c r="CF107" i="3" s="1"/>
  <c r="CF105" i="3" s="1"/>
  <c r="CW119" i="3"/>
  <c r="CW121" i="3" s="1"/>
  <c r="CW122" i="3" s="1"/>
  <c r="CX118" i="3" s="1"/>
  <c r="CU134" i="3"/>
  <c r="CU126" i="3"/>
  <c r="CV125" i="3"/>
  <c r="CV123" i="3"/>
  <c r="CM141" i="3" l="1"/>
  <c r="CM139" i="3"/>
  <c r="CH154" i="3"/>
  <c r="CH155" i="3" s="1"/>
  <c r="CI149" i="3" s="1"/>
  <c r="CG167" i="3"/>
  <c r="CG92" i="3" s="1"/>
  <c r="CG94" i="3" s="1"/>
  <c r="CG165" i="3"/>
  <c r="CM142" i="3"/>
  <c r="CM143" i="3" s="1"/>
  <c r="CM144" i="3" s="1"/>
  <c r="CM152" i="3"/>
  <c r="CN132" i="3"/>
  <c r="CN136" i="3" s="1"/>
  <c r="CW125" i="3"/>
  <c r="CW123" i="3"/>
  <c r="CX119" i="3"/>
  <c r="CX121" i="3" s="1"/>
  <c r="CV126" i="3"/>
  <c r="CV134" i="3"/>
  <c r="CH157" i="3" l="1"/>
  <c r="CH159" i="3"/>
  <c r="CG168" i="3"/>
  <c r="CG99" i="3"/>
  <c r="CG101" i="3" s="1"/>
  <c r="CG107" i="3" s="1"/>
  <c r="CG105" i="3" s="1"/>
  <c r="CH160" i="3"/>
  <c r="CH161" i="3" s="1"/>
  <c r="CH162" i="3" s="1"/>
  <c r="CI150" i="3"/>
  <c r="CI153" i="3" s="1"/>
  <c r="CN135" i="3"/>
  <c r="CN137" i="3" s="1"/>
  <c r="CO131" i="3" s="1"/>
  <c r="CN141" i="3"/>
  <c r="CN139" i="3"/>
  <c r="CX122" i="3"/>
  <c r="CY118" i="3" s="1"/>
  <c r="CX123" i="3"/>
  <c r="CX125" i="3"/>
  <c r="CW134" i="3"/>
  <c r="CW126" i="3"/>
  <c r="CI154" i="3" l="1"/>
  <c r="CI155" i="3" s="1"/>
  <c r="CJ149" i="3" s="1"/>
  <c r="CH165" i="3"/>
  <c r="CH167" i="3"/>
  <c r="CH92" i="3" s="1"/>
  <c r="CH94" i="3" s="1"/>
  <c r="CO132" i="3"/>
  <c r="CO135" i="3" s="1"/>
  <c r="CN152" i="3"/>
  <c r="CN142" i="3"/>
  <c r="CN143" i="3" s="1"/>
  <c r="CN144" i="3" s="1"/>
  <c r="CX134" i="3"/>
  <c r="CX126" i="3"/>
  <c r="CY119" i="3"/>
  <c r="CY121" i="3" s="1"/>
  <c r="CO136" i="3" l="1"/>
  <c r="CO141" i="3" s="1"/>
  <c r="CO142" i="3" s="1"/>
  <c r="CO143" i="3" s="1"/>
  <c r="CO144" i="3" s="1"/>
  <c r="CI157" i="3"/>
  <c r="CI159" i="3"/>
  <c r="CH168" i="3"/>
  <c r="CJ150" i="3"/>
  <c r="CJ153" i="3" s="1"/>
  <c r="CI160" i="3"/>
  <c r="CI161" i="3" s="1"/>
  <c r="CI162" i="3" s="1"/>
  <c r="CH99" i="3"/>
  <c r="CH101" i="3" s="1"/>
  <c r="CH107" i="3" s="1"/>
  <c r="CH105" i="3" s="1"/>
  <c r="CY122" i="3"/>
  <c r="CZ118" i="3" s="1"/>
  <c r="CY123" i="3"/>
  <c r="CY125" i="3"/>
  <c r="CO139" i="3" l="1"/>
  <c r="CO137" i="3"/>
  <c r="CP131" i="3" s="1"/>
  <c r="CP132" i="3" s="1"/>
  <c r="CP136" i="3" s="1"/>
  <c r="CP139" i="3" s="1"/>
  <c r="CO152" i="3"/>
  <c r="CJ154" i="3"/>
  <c r="CJ157" i="3" s="1"/>
  <c r="CI165" i="3"/>
  <c r="CI167" i="3"/>
  <c r="CI92" i="3" s="1"/>
  <c r="CI94" i="3" s="1"/>
  <c r="CY134" i="3"/>
  <c r="CY126" i="3"/>
  <c r="CZ119" i="3"/>
  <c r="CZ121" i="3" s="1"/>
  <c r="CP135" i="3" l="1"/>
  <c r="CP137" i="3" s="1"/>
  <c r="CQ131" i="3" s="1"/>
  <c r="CQ132" i="3" s="1"/>
  <c r="CQ136" i="3" s="1"/>
  <c r="CP141" i="3"/>
  <c r="CP152" i="3" s="1"/>
  <c r="CJ155" i="3"/>
  <c r="CK149" i="3" s="1"/>
  <c r="CK150" i="3" s="1"/>
  <c r="CK153" i="3" s="1"/>
  <c r="CJ159" i="3"/>
  <c r="CI168" i="3"/>
  <c r="CI99" i="3"/>
  <c r="CI101" i="3" s="1"/>
  <c r="CI107" i="3" s="1"/>
  <c r="CI105" i="3" s="1"/>
  <c r="CJ160" i="3"/>
  <c r="CJ161" i="3" s="1"/>
  <c r="CJ162" i="3" s="1"/>
  <c r="CZ123" i="3"/>
  <c r="CZ125" i="3"/>
  <c r="CZ122" i="3"/>
  <c r="DA118" i="3" s="1"/>
  <c r="CP142" i="3" l="1"/>
  <c r="CP143" i="3" s="1"/>
  <c r="CP144" i="3" s="1"/>
  <c r="CJ165" i="3"/>
  <c r="CJ167" i="3"/>
  <c r="CJ92" i="3" s="1"/>
  <c r="CJ94" i="3" s="1"/>
  <c r="CK154" i="3"/>
  <c r="CQ135" i="3"/>
  <c r="CQ137" i="3" s="1"/>
  <c r="CR131" i="3" s="1"/>
  <c r="CQ139" i="3"/>
  <c r="CQ141" i="3"/>
  <c r="CZ134" i="3"/>
  <c r="CZ126" i="3"/>
  <c r="DA119" i="3"/>
  <c r="DA121" i="3" s="1"/>
  <c r="CJ99" i="3" l="1"/>
  <c r="CJ101" i="3" s="1"/>
  <c r="CJ107" i="3" s="1"/>
  <c r="CJ105" i="3" s="1"/>
  <c r="CJ168" i="3"/>
  <c r="CK159" i="3"/>
  <c r="CK157" i="3"/>
  <c r="CK155" i="3"/>
  <c r="CL149" i="3" s="1"/>
  <c r="CR132" i="3"/>
  <c r="CR136" i="3" s="1"/>
  <c r="CQ152" i="3"/>
  <c r="CQ142" i="3"/>
  <c r="CQ143" i="3" s="1"/>
  <c r="CQ144" i="3" s="1"/>
  <c r="DA125" i="3"/>
  <c r="DA123" i="3"/>
  <c r="DA122" i="3"/>
  <c r="DB118" i="3" s="1"/>
  <c r="CL150" i="3" l="1"/>
  <c r="CL153" i="3" s="1"/>
  <c r="CK160" i="3"/>
  <c r="CK161" i="3" s="1"/>
  <c r="CK162" i="3" s="1"/>
  <c r="CR135" i="3"/>
  <c r="CR137" i="3" s="1"/>
  <c r="CS131" i="3" s="1"/>
  <c r="CR141" i="3"/>
  <c r="CR139" i="3"/>
  <c r="DA126" i="3"/>
  <c r="DA134" i="3"/>
  <c r="DB119" i="3"/>
  <c r="DB121" i="3" s="1"/>
  <c r="CL154" i="3" l="1"/>
  <c r="CL159" i="3" s="1"/>
  <c r="CL160" i="3" s="1"/>
  <c r="CK167" i="3"/>
  <c r="CK92" i="3" s="1"/>
  <c r="CK94" i="3" s="1"/>
  <c r="CK165" i="3"/>
  <c r="CS132" i="3"/>
  <c r="CS136" i="3" s="1"/>
  <c r="CR142" i="3"/>
  <c r="CR143" i="3" s="1"/>
  <c r="CR144" i="3" s="1"/>
  <c r="CR152" i="3"/>
  <c r="DB122" i="3"/>
  <c r="DC118" i="3" s="1"/>
  <c r="DB123" i="3"/>
  <c r="DB125" i="3"/>
  <c r="CK168" i="3" l="1"/>
  <c r="CL155" i="3"/>
  <c r="CM149" i="3" s="1"/>
  <c r="CL157" i="3"/>
  <c r="CM150" i="3"/>
  <c r="CM154" i="3" s="1"/>
  <c r="CL161" i="3"/>
  <c r="CL162" i="3" s="1"/>
  <c r="CK99" i="3"/>
  <c r="CK101" i="3" s="1"/>
  <c r="CK107" i="3" s="1"/>
  <c r="CK105" i="3" s="1"/>
  <c r="CS135" i="3"/>
  <c r="CS137" i="3" s="1"/>
  <c r="CT131" i="3" s="1"/>
  <c r="CS141" i="3"/>
  <c r="CS139" i="3"/>
  <c r="DB126" i="3"/>
  <c r="DB134" i="3"/>
  <c r="DC119" i="3"/>
  <c r="DC121" i="3" s="1"/>
  <c r="DC122" i="3" s="1"/>
  <c r="DD118" i="3" s="1"/>
  <c r="CM153" i="3" l="1"/>
  <c r="CM155" i="3" s="1"/>
  <c r="CN149" i="3" s="1"/>
  <c r="CL167" i="3"/>
  <c r="CL92" i="3" s="1"/>
  <c r="CL94" i="3" s="1"/>
  <c r="CL165" i="3"/>
  <c r="CM159" i="3"/>
  <c r="CM160" i="3" s="1"/>
  <c r="CM157" i="3"/>
  <c r="CT132" i="3"/>
  <c r="CT136" i="3" s="1"/>
  <c r="CS142" i="3"/>
  <c r="CS143" i="3" s="1"/>
  <c r="CS144" i="3" s="1"/>
  <c r="CS152" i="3"/>
  <c r="DD119" i="3"/>
  <c r="DD121" i="3" s="1"/>
  <c r="DC125" i="3"/>
  <c r="DC123" i="3"/>
  <c r="CN150" i="3" l="1"/>
  <c r="CN154" i="3" s="1"/>
  <c r="CN157" i="3" s="1"/>
  <c r="CM161" i="3"/>
  <c r="CM162" i="3" s="1"/>
  <c r="CL168" i="3"/>
  <c r="CL99" i="3"/>
  <c r="CL101" i="3" s="1"/>
  <c r="CL107" i="3" s="1"/>
  <c r="CL105" i="3" s="1"/>
  <c r="CT135" i="3"/>
  <c r="CT137" i="3" s="1"/>
  <c r="CU131" i="3" s="1"/>
  <c r="CT141" i="3"/>
  <c r="CT139" i="3"/>
  <c r="DD125" i="3"/>
  <c r="DD123" i="3"/>
  <c r="DD122" i="3"/>
  <c r="DE118" i="3" s="1"/>
  <c r="DC134" i="3"/>
  <c r="DC126" i="3"/>
  <c r="CN159" i="3" l="1"/>
  <c r="CN160" i="3" s="1"/>
  <c r="CN153" i="3"/>
  <c r="CN155" i="3" s="1"/>
  <c r="CO149" i="3" s="1"/>
  <c r="CO150" i="3" s="1"/>
  <c r="CO153" i="3" s="1"/>
  <c r="CM167" i="3"/>
  <c r="CM92" i="3" s="1"/>
  <c r="CM94" i="3" s="1"/>
  <c r="CM165" i="3"/>
  <c r="CU132" i="3"/>
  <c r="CU135" i="3" s="1"/>
  <c r="CT142" i="3"/>
  <c r="CT143" i="3" s="1"/>
  <c r="CT144" i="3" s="1"/>
  <c r="CT152" i="3"/>
  <c r="DD126" i="3"/>
  <c r="DD134" i="3"/>
  <c r="DE119" i="3"/>
  <c r="DE121" i="3" s="1"/>
  <c r="CO154" i="3" l="1"/>
  <c r="CO159" i="3" s="1"/>
  <c r="CO160" i="3" s="1"/>
  <c r="CM168" i="3"/>
  <c r="CM99" i="3"/>
  <c r="CM101" i="3" s="1"/>
  <c r="CM107" i="3" s="1"/>
  <c r="CM105" i="3" s="1"/>
  <c r="CN161" i="3"/>
  <c r="CN162" i="3" s="1"/>
  <c r="CU136" i="3"/>
  <c r="CU139" i="3" s="1"/>
  <c r="DE122" i="3"/>
  <c r="DF118" i="3" s="1"/>
  <c r="DE125" i="3"/>
  <c r="DE123" i="3"/>
  <c r="CO155" i="3" l="1"/>
  <c r="CP149" i="3" s="1"/>
  <c r="CO157" i="3"/>
  <c r="CN165" i="3"/>
  <c r="CN167" i="3"/>
  <c r="CN92" i="3" s="1"/>
  <c r="CN94" i="3" s="1"/>
  <c r="CP150" i="3"/>
  <c r="CP154" i="3" s="1"/>
  <c r="CO161" i="3"/>
  <c r="CO162" i="3" s="1"/>
  <c r="CU137" i="3"/>
  <c r="CV131" i="3" s="1"/>
  <c r="CV132" i="3" s="1"/>
  <c r="CV136" i="3" s="1"/>
  <c r="CU141" i="3"/>
  <c r="CU142" i="3" s="1"/>
  <c r="CU143" i="3" s="1"/>
  <c r="CU144" i="3" s="1"/>
  <c r="DE134" i="3"/>
  <c r="DE126" i="3"/>
  <c r="DF119" i="3"/>
  <c r="DF121" i="3" s="1"/>
  <c r="DF122" i="3" s="1"/>
  <c r="DG118" i="3" s="1"/>
  <c r="CP153" i="3" l="1"/>
  <c r="CP155" i="3" s="1"/>
  <c r="CQ149" i="3" s="1"/>
  <c r="CQ150" i="3" s="1"/>
  <c r="CQ154" i="3" s="1"/>
  <c r="CO165" i="3"/>
  <c r="CO167" i="3"/>
  <c r="CO92" i="3" s="1"/>
  <c r="CO94" i="3" s="1"/>
  <c r="CU152" i="3"/>
  <c r="CP159" i="3"/>
  <c r="CP160" i="3" s="1"/>
  <c r="CP157" i="3"/>
  <c r="CN168" i="3"/>
  <c r="CN99" i="3"/>
  <c r="CN101" i="3" s="1"/>
  <c r="CN107" i="3" s="1"/>
  <c r="CN105" i="3" s="1"/>
  <c r="CV135" i="3"/>
  <c r="CV137" i="3" s="1"/>
  <c r="CW131" i="3" s="1"/>
  <c r="CW132" i="3" s="1"/>
  <c r="CV141" i="3"/>
  <c r="CV139" i="3"/>
  <c r="DG119" i="3"/>
  <c r="DG121" i="3" s="1"/>
  <c r="DG122" i="3" s="1"/>
  <c r="DH118" i="3" s="1"/>
  <c r="DF123" i="3"/>
  <c r="DF125" i="3"/>
  <c r="CQ153" i="3" l="1"/>
  <c r="CQ155" i="3" s="1"/>
  <c r="CR149" i="3" s="1"/>
  <c r="CR150" i="3" s="1"/>
  <c r="CR154" i="3" s="1"/>
  <c r="CQ159" i="3"/>
  <c r="CQ160" i="3" s="1"/>
  <c r="CQ161" i="3" s="1"/>
  <c r="CQ162" i="3" s="1"/>
  <c r="CQ157" i="3"/>
  <c r="CP161" i="3"/>
  <c r="CP162" i="3" s="1"/>
  <c r="CO168" i="3"/>
  <c r="CO99" i="3"/>
  <c r="CO101" i="3" s="1"/>
  <c r="CO107" i="3" s="1"/>
  <c r="CO105" i="3" s="1"/>
  <c r="CW136" i="3"/>
  <c r="CW139" i="3" s="1"/>
  <c r="CW135" i="3"/>
  <c r="CV142" i="3"/>
  <c r="CV143" i="3" s="1"/>
  <c r="CV144" i="3" s="1"/>
  <c r="CV152" i="3"/>
  <c r="DH119" i="3"/>
  <c r="DH121" i="3" s="1"/>
  <c r="DH122" i="3" s="1"/>
  <c r="DI118" i="3" s="1"/>
  <c r="DF134" i="3"/>
  <c r="DF126" i="3"/>
  <c r="DG123" i="3"/>
  <c r="DG125" i="3"/>
  <c r="CR153" i="3" l="1"/>
  <c r="CP165" i="3"/>
  <c r="CP167" i="3"/>
  <c r="CP92" i="3" s="1"/>
  <c r="CP94" i="3" s="1"/>
  <c r="CQ165" i="3"/>
  <c r="CQ167" i="3"/>
  <c r="CQ92" i="3" s="1"/>
  <c r="CQ94" i="3" s="1"/>
  <c r="CR155" i="3"/>
  <c r="CS149" i="3" s="1"/>
  <c r="CR159" i="3"/>
  <c r="CR157" i="3"/>
  <c r="CW141" i="3"/>
  <c r="CW142" i="3" s="1"/>
  <c r="CW143" i="3" s="1"/>
  <c r="CW144" i="3" s="1"/>
  <c r="CW137" i="3"/>
  <c r="CX131" i="3" s="1"/>
  <c r="CX132" i="3" s="1"/>
  <c r="CX136" i="3" s="1"/>
  <c r="DI119" i="3"/>
  <c r="DI121" i="3" s="1"/>
  <c r="DH123" i="3"/>
  <c r="DH125" i="3"/>
  <c r="DG134" i="3"/>
  <c r="DG126" i="3"/>
  <c r="CX135" i="3" l="1"/>
  <c r="CX137" i="3" s="1"/>
  <c r="CY131" i="3" s="1"/>
  <c r="CW152" i="3"/>
  <c r="CQ168" i="3"/>
  <c r="CQ99" i="3"/>
  <c r="CQ101" i="3" s="1"/>
  <c r="CQ107" i="3" s="1"/>
  <c r="CQ105" i="3" s="1"/>
  <c r="CS150" i="3"/>
  <c r="CS154" i="3" s="1"/>
  <c r="CR160" i="3"/>
  <c r="CR161" i="3" s="1"/>
  <c r="CR162" i="3" s="1"/>
  <c r="CP168" i="3"/>
  <c r="CP99" i="3"/>
  <c r="CP101" i="3" s="1"/>
  <c r="CP107" i="3" s="1"/>
  <c r="CP105" i="3" s="1"/>
  <c r="CX139" i="3"/>
  <c r="CX141" i="3"/>
  <c r="DI125" i="3"/>
  <c r="DI123" i="3"/>
  <c r="DH134" i="3"/>
  <c r="DH126" i="3"/>
  <c r="DI122" i="3"/>
  <c r="DJ118" i="3" s="1"/>
  <c r="CS153" i="3" l="1"/>
  <c r="CS155" i="3" s="1"/>
  <c r="CT149" i="3" s="1"/>
  <c r="CR165" i="3"/>
  <c r="CR167" i="3"/>
  <c r="CR92" i="3" s="1"/>
  <c r="CR94" i="3" s="1"/>
  <c r="CS159" i="3"/>
  <c r="CS160" i="3" s="1"/>
  <c r="CS161" i="3" s="1"/>
  <c r="CS162" i="3" s="1"/>
  <c r="CS157" i="3"/>
  <c r="CY132" i="3"/>
  <c r="CY136" i="3" s="1"/>
  <c r="CX142" i="3"/>
  <c r="CX143" i="3" s="1"/>
  <c r="CX144" i="3" s="1"/>
  <c r="CX152" i="3"/>
  <c r="DI126" i="3"/>
  <c r="DI134" i="3"/>
  <c r="DJ119" i="3"/>
  <c r="DJ121" i="3" s="1"/>
  <c r="CT150" i="3" l="1"/>
  <c r="CT154" i="3" s="1"/>
  <c r="CR99" i="3"/>
  <c r="CR101" i="3" s="1"/>
  <c r="CR107" i="3" s="1"/>
  <c r="CR105" i="3" s="1"/>
  <c r="CS165" i="3"/>
  <c r="CS167" i="3"/>
  <c r="CS92" i="3" s="1"/>
  <c r="CS94" i="3" s="1"/>
  <c r="CR168" i="3"/>
  <c r="CY135" i="3"/>
  <c r="CY137" i="3" s="1"/>
  <c r="CZ131" i="3" s="1"/>
  <c r="CY141" i="3"/>
  <c r="CY139" i="3"/>
  <c r="DJ125" i="3"/>
  <c r="DJ123" i="3"/>
  <c r="DJ122" i="3"/>
  <c r="DK118" i="3" s="1"/>
  <c r="CT153" i="3" l="1"/>
  <c r="CT155" i="3" s="1"/>
  <c r="CU149" i="3" s="1"/>
  <c r="CU150" i="3" s="1"/>
  <c r="CU154" i="3" s="1"/>
  <c r="CU159" i="3" s="1"/>
  <c r="CU160" i="3" s="1"/>
  <c r="CU161" i="3" s="1"/>
  <c r="CU162" i="3" s="1"/>
  <c r="CT159" i="3"/>
  <c r="CT160" i="3" s="1"/>
  <c r="CT161" i="3" s="1"/>
  <c r="CT162" i="3" s="1"/>
  <c r="CT157" i="3"/>
  <c r="CS168" i="3"/>
  <c r="CS99" i="3"/>
  <c r="CS101" i="3" s="1"/>
  <c r="CS107" i="3" s="1"/>
  <c r="CS105" i="3" s="1"/>
  <c r="CZ132" i="3"/>
  <c r="CZ135" i="3" s="1"/>
  <c r="CY142" i="3"/>
  <c r="CY143" i="3" s="1"/>
  <c r="CY144" i="3" s="1"/>
  <c r="CY152" i="3"/>
  <c r="DK119" i="3"/>
  <c r="DJ134" i="3"/>
  <c r="DJ126" i="3"/>
  <c r="CU153" i="3" l="1"/>
  <c r="CU155" i="3" s="1"/>
  <c r="CV149" i="3" s="1"/>
  <c r="CV150" i="3" s="1"/>
  <c r="CV153" i="3" s="1"/>
  <c r="CU157" i="3"/>
  <c r="CT167" i="3"/>
  <c r="CT92" i="3" s="1"/>
  <c r="CT94" i="3" s="1"/>
  <c r="CT165" i="3"/>
  <c r="CZ136" i="3"/>
  <c r="CZ141" i="3" s="1"/>
  <c r="CU167" i="3"/>
  <c r="CU92" i="3" s="1"/>
  <c r="CU94" i="3" s="1"/>
  <c r="CU165" i="3"/>
  <c r="DK121" i="3"/>
  <c r="CT168" i="3" l="1"/>
  <c r="CT99" i="3"/>
  <c r="CT101" i="3" s="1"/>
  <c r="CT107" i="3" s="1"/>
  <c r="CT105" i="3" s="1"/>
  <c r="CV154" i="3"/>
  <c r="CV155" i="3" s="1"/>
  <c r="CW149" i="3" s="1"/>
  <c r="CW150" i="3" s="1"/>
  <c r="CW154" i="3" s="1"/>
  <c r="CZ152" i="3"/>
  <c r="CZ142" i="3"/>
  <c r="CZ143" i="3" s="1"/>
  <c r="CZ144" i="3" s="1"/>
  <c r="CZ139" i="3"/>
  <c r="CZ137" i="3"/>
  <c r="DA131" i="3" s="1"/>
  <c r="CU99" i="3"/>
  <c r="CU101" i="3" s="1"/>
  <c r="CU107" i="3" s="1"/>
  <c r="CU105" i="3" s="1"/>
  <c r="CU168" i="3"/>
  <c r="DK123" i="3"/>
  <c r="DK125" i="3"/>
  <c r="DK122" i="3"/>
  <c r="DL118" i="3" s="1"/>
  <c r="CV157" i="3" l="1"/>
  <c r="CV159" i="3"/>
  <c r="DA132" i="3"/>
  <c r="DA135" i="3" s="1"/>
  <c r="CW153" i="3"/>
  <c r="CW155" i="3" s="1"/>
  <c r="CX149" i="3" s="1"/>
  <c r="CW159" i="3"/>
  <c r="CW157" i="3"/>
  <c r="CV160" i="3"/>
  <c r="CV161" i="3" s="1"/>
  <c r="CV162" i="3" s="1"/>
  <c r="DL119" i="3"/>
  <c r="DL121" i="3" s="1"/>
  <c r="DK126" i="3"/>
  <c r="DK134" i="3"/>
  <c r="DA136" i="3" l="1"/>
  <c r="DA137" i="3" s="1"/>
  <c r="DB131" i="3" s="1"/>
  <c r="DL122" i="3"/>
  <c r="DM118" i="3" s="1"/>
  <c r="DL125" i="3"/>
  <c r="DL123" i="3"/>
  <c r="CX150" i="3"/>
  <c r="CX154" i="3" s="1"/>
  <c r="CW160" i="3"/>
  <c r="CV167" i="3"/>
  <c r="CV92" i="3" s="1"/>
  <c r="CV94" i="3" s="1"/>
  <c r="CV165" i="3"/>
  <c r="DA139" i="3" l="1"/>
  <c r="DA141" i="3"/>
  <c r="DA142" i="3" s="1"/>
  <c r="DA143" i="3" s="1"/>
  <c r="DA144" i="3" s="1"/>
  <c r="DA152" i="3"/>
  <c r="DB132" i="3"/>
  <c r="DB135" i="3" s="1"/>
  <c r="DB136" i="3"/>
  <c r="CV168" i="3"/>
  <c r="CX153" i="3"/>
  <c r="CX155" i="3" s="1"/>
  <c r="CY149" i="3" s="1"/>
  <c r="CX159" i="3"/>
  <c r="CX157" i="3"/>
  <c r="DL134" i="3"/>
  <c r="DL126" i="3"/>
  <c r="CV99" i="3"/>
  <c r="CV101" i="3" s="1"/>
  <c r="CV107" i="3" s="1"/>
  <c r="CV105" i="3" s="1"/>
  <c r="CW161" i="3"/>
  <c r="CW162" i="3" s="1"/>
  <c r="DM119" i="3"/>
  <c r="DM121" i="3" s="1"/>
  <c r="DB137" i="3" l="1"/>
  <c r="DC131" i="3" s="1"/>
  <c r="DB139" i="3"/>
  <c r="DB141" i="3"/>
  <c r="CX160" i="3"/>
  <c r="CX161" i="3" s="1"/>
  <c r="CX162" i="3" s="1"/>
  <c r="CW165" i="3"/>
  <c r="CW167" i="3"/>
  <c r="CW92" i="3" s="1"/>
  <c r="CW94" i="3" s="1"/>
  <c r="DM122" i="3"/>
  <c r="DN118" i="3" s="1"/>
  <c r="DM123" i="3"/>
  <c r="DM125" i="3"/>
  <c r="CY150" i="3"/>
  <c r="CY153" i="3" s="1"/>
  <c r="DB152" i="3" l="1"/>
  <c r="DB142" i="3"/>
  <c r="DB143" i="3" s="1"/>
  <c r="DB144" i="3" s="1"/>
  <c r="DC132" i="3"/>
  <c r="DC135" i="3" s="1"/>
  <c r="CY154" i="3"/>
  <c r="CY155" i="3" s="1"/>
  <c r="CZ149" i="3" s="1"/>
  <c r="CW168" i="3"/>
  <c r="CW99" i="3"/>
  <c r="CW101" i="3" s="1"/>
  <c r="CW107" i="3" s="1"/>
  <c r="CW105" i="3" s="1"/>
  <c r="DM134" i="3"/>
  <c r="DM126" i="3"/>
  <c r="CX165" i="3"/>
  <c r="CX167" i="3"/>
  <c r="CX92" i="3" s="1"/>
  <c r="CX94" i="3" s="1"/>
  <c r="DN119" i="3"/>
  <c r="DN121" i="3" s="1"/>
  <c r="DC136" i="3" l="1"/>
  <c r="DC139" i="3" s="1"/>
  <c r="CY157" i="3"/>
  <c r="CY159" i="3"/>
  <c r="CY160" i="3" s="1"/>
  <c r="CY161" i="3" s="1"/>
  <c r="CY162" i="3" s="1"/>
  <c r="CX99" i="3"/>
  <c r="CX101" i="3" s="1"/>
  <c r="CX107" i="3" s="1"/>
  <c r="CX105" i="3" s="1"/>
  <c r="DN122" i="3"/>
  <c r="DO118" i="3" s="1"/>
  <c r="DN123" i="3"/>
  <c r="DN125" i="3"/>
  <c r="CZ150" i="3"/>
  <c r="CZ154" i="3" s="1"/>
  <c r="CX168" i="3"/>
  <c r="DC137" i="3" l="1"/>
  <c r="DD131" i="3" s="1"/>
  <c r="DD132" i="3" s="1"/>
  <c r="DD135" i="3" s="1"/>
  <c r="DC141" i="3"/>
  <c r="DC142" i="3" s="1"/>
  <c r="DC143" i="3" s="1"/>
  <c r="DC144" i="3" s="1"/>
  <c r="CZ153" i="3"/>
  <c r="CZ155" i="3" s="1"/>
  <c r="DA149" i="3" s="1"/>
  <c r="DN134" i="3"/>
  <c r="DN126" i="3"/>
  <c r="CZ159" i="3"/>
  <c r="CZ157" i="3"/>
  <c r="CY167" i="3"/>
  <c r="CY92" i="3" s="1"/>
  <c r="CY94" i="3" s="1"/>
  <c r="CY165" i="3"/>
  <c r="DO119" i="3"/>
  <c r="DO121" i="3" s="1"/>
  <c r="DO122" i="3" s="1"/>
  <c r="DP118" i="3" s="1"/>
  <c r="DC152" i="3" l="1"/>
  <c r="DD136" i="3"/>
  <c r="DD137" i="3" s="1"/>
  <c r="DE131" i="3" s="1"/>
  <c r="CY168" i="3"/>
  <c r="CY99" i="3"/>
  <c r="CY101" i="3" s="1"/>
  <c r="CY107" i="3" s="1"/>
  <c r="CY105" i="3" s="1"/>
  <c r="DA150" i="3"/>
  <c r="DA153" i="3" s="1"/>
  <c r="DP119" i="3"/>
  <c r="DP121" i="3" s="1"/>
  <c r="DO123" i="3"/>
  <c r="DO125" i="3"/>
  <c r="CZ160" i="3"/>
  <c r="DD141" i="3" l="1"/>
  <c r="DD152" i="3" s="1"/>
  <c r="DD139" i="3"/>
  <c r="DE132" i="3"/>
  <c r="DE136" i="3" s="1"/>
  <c r="DA154" i="3"/>
  <c r="DA159" i="3" s="1"/>
  <c r="DP122" i="3"/>
  <c r="DQ118" i="3" s="1"/>
  <c r="CZ161" i="3"/>
  <c r="CZ162" i="3" s="1"/>
  <c r="DP123" i="3"/>
  <c r="DP125" i="3"/>
  <c r="DO126" i="3"/>
  <c r="DO134" i="3"/>
  <c r="DD142" i="3" l="1"/>
  <c r="DD143" i="3" s="1"/>
  <c r="DD144" i="3" s="1"/>
  <c r="DE135" i="3"/>
  <c r="DE137" i="3" s="1"/>
  <c r="DF131" i="3" s="1"/>
  <c r="DE139" i="3"/>
  <c r="DE141" i="3"/>
  <c r="DA155" i="3"/>
  <c r="DB149" i="3" s="1"/>
  <c r="DB150" i="3" s="1"/>
  <c r="DB153" i="3" s="1"/>
  <c r="DA157" i="3"/>
  <c r="DP126" i="3"/>
  <c r="DP134" i="3"/>
  <c r="DA160" i="3"/>
  <c r="DQ119" i="3"/>
  <c r="DQ121" i="3" s="1"/>
  <c r="CZ165" i="3"/>
  <c r="CZ167" i="3"/>
  <c r="CZ92" i="3" s="1"/>
  <c r="CZ94" i="3" s="1"/>
  <c r="DF132" i="3" l="1"/>
  <c r="DF136" i="3" s="1"/>
  <c r="DF139" i="3" s="1"/>
  <c r="DE142" i="3"/>
  <c r="DE143" i="3" s="1"/>
  <c r="DE144" i="3" s="1"/>
  <c r="DE152" i="3"/>
  <c r="DB154" i="3"/>
  <c r="DB157" i="3" s="1"/>
  <c r="CZ168" i="3"/>
  <c r="CZ99" i="3"/>
  <c r="CZ101" i="3" s="1"/>
  <c r="CZ107" i="3" s="1"/>
  <c r="CZ105" i="3" s="1"/>
  <c r="DA161" i="3"/>
  <c r="DA162" i="3" s="1"/>
  <c r="DQ123" i="3"/>
  <c r="DQ125" i="3"/>
  <c r="DQ122" i="3"/>
  <c r="DR118" i="3" s="1"/>
  <c r="DF141" i="3" l="1"/>
  <c r="DF142" i="3" s="1"/>
  <c r="DF143" i="3" s="1"/>
  <c r="DF144" i="3" s="1"/>
  <c r="DF135" i="3"/>
  <c r="DF137" i="3" s="1"/>
  <c r="DG131" i="3" s="1"/>
  <c r="DB159" i="3"/>
  <c r="DB160" i="3" s="1"/>
  <c r="DB161" i="3" s="1"/>
  <c r="DB162" i="3" s="1"/>
  <c r="DB155" i="3"/>
  <c r="DC149" i="3" s="1"/>
  <c r="DC150" i="3" s="1"/>
  <c r="DC154" i="3" s="1"/>
  <c r="DR119" i="3"/>
  <c r="DR121" i="3" s="1"/>
  <c r="DA167" i="3"/>
  <c r="DA92" i="3" s="1"/>
  <c r="DA94" i="3" s="1"/>
  <c r="DA165" i="3"/>
  <c r="DQ126" i="3"/>
  <c r="DQ134" i="3"/>
  <c r="DF152" i="3" l="1"/>
  <c r="DG132" i="3"/>
  <c r="DG135" i="3" s="1"/>
  <c r="DC153" i="3"/>
  <c r="DC155" i="3" s="1"/>
  <c r="DD149" i="3" s="1"/>
  <c r="DA168" i="3"/>
  <c r="DA99" i="3"/>
  <c r="DA101" i="3" s="1"/>
  <c r="DA107" i="3" s="1"/>
  <c r="DA105" i="3" s="1"/>
  <c r="DC159" i="3"/>
  <c r="DC157" i="3"/>
  <c r="DB165" i="3"/>
  <c r="DB167" i="3"/>
  <c r="DB92" i="3" s="1"/>
  <c r="DB94" i="3" s="1"/>
  <c r="DR123" i="3"/>
  <c r="DR125" i="3"/>
  <c r="DR122" i="3"/>
  <c r="DS118" i="3" s="1"/>
  <c r="DG136" i="3" l="1"/>
  <c r="DG141" i="3" s="1"/>
  <c r="DS119" i="3"/>
  <c r="DS121" i="3" s="1"/>
  <c r="DS122" i="3" s="1"/>
  <c r="DT118" i="3" s="1"/>
  <c r="DB168" i="3"/>
  <c r="DR134" i="3"/>
  <c r="DR126" i="3"/>
  <c r="DB99" i="3"/>
  <c r="DB101" i="3" s="1"/>
  <c r="DB107" i="3" s="1"/>
  <c r="DB105" i="3" s="1"/>
  <c r="DD150" i="3"/>
  <c r="DD154" i="3" s="1"/>
  <c r="DC160" i="3"/>
  <c r="DC161" i="3" s="1"/>
  <c r="DC162" i="3" s="1"/>
  <c r="DG137" i="3" l="1"/>
  <c r="DH131" i="3" s="1"/>
  <c r="DH132" i="3" s="1"/>
  <c r="DH136" i="3" s="1"/>
  <c r="DG139" i="3"/>
  <c r="DG142" i="3"/>
  <c r="DG143" i="3" s="1"/>
  <c r="DG144" i="3" s="1"/>
  <c r="DG152" i="3"/>
  <c r="DD153" i="3"/>
  <c r="DD155" i="3" s="1"/>
  <c r="DE149" i="3" s="1"/>
  <c r="DD159" i="3"/>
  <c r="DD157" i="3"/>
  <c r="DC165" i="3"/>
  <c r="DC167" i="3"/>
  <c r="DC92" i="3" s="1"/>
  <c r="DC94" i="3" s="1"/>
  <c r="DT119" i="3"/>
  <c r="DT121" i="3" s="1"/>
  <c r="DS125" i="3"/>
  <c r="DS123" i="3"/>
  <c r="DH135" i="3" l="1"/>
  <c r="DH137" i="3" s="1"/>
  <c r="DI131" i="3" s="1"/>
  <c r="DI132" i="3" s="1"/>
  <c r="DH141" i="3"/>
  <c r="DH139" i="3"/>
  <c r="DC99" i="3"/>
  <c r="DC101" i="3" s="1"/>
  <c r="DC107" i="3" s="1"/>
  <c r="DC105" i="3" s="1"/>
  <c r="DE150" i="3"/>
  <c r="DE154" i="3" s="1"/>
  <c r="DC168" i="3"/>
  <c r="DS126" i="3"/>
  <c r="DS134" i="3"/>
  <c r="DT122" i="3"/>
  <c r="DU118" i="3" s="1"/>
  <c r="DT125" i="3"/>
  <c r="DT123" i="3"/>
  <c r="DD160" i="3"/>
  <c r="DD161" i="3" s="1"/>
  <c r="DD162" i="3" s="1"/>
  <c r="DI136" i="3" l="1"/>
  <c r="DI139" i="3" s="1"/>
  <c r="DI135" i="3"/>
  <c r="DH142" i="3"/>
  <c r="DH143" i="3" s="1"/>
  <c r="DH144" i="3" s="1"/>
  <c r="DH152" i="3"/>
  <c r="DE153" i="3"/>
  <c r="DE155" i="3" s="1"/>
  <c r="DF149" i="3" s="1"/>
  <c r="DE159" i="3"/>
  <c r="DE157" i="3"/>
  <c r="DD167" i="3"/>
  <c r="DD92" i="3" s="1"/>
  <c r="DD94" i="3" s="1"/>
  <c r="DD165" i="3"/>
  <c r="DT134" i="3"/>
  <c r="DT126" i="3"/>
  <c r="DU119" i="3"/>
  <c r="DU121" i="3" s="1"/>
  <c r="DI141" i="3" l="1"/>
  <c r="DI142" i="3" s="1"/>
  <c r="DI143" i="3" s="1"/>
  <c r="DI144" i="3" s="1"/>
  <c r="DI137" i="3"/>
  <c r="DJ131" i="3" s="1"/>
  <c r="DJ132" i="3" s="1"/>
  <c r="DD168" i="3"/>
  <c r="DD99" i="3"/>
  <c r="DD101" i="3" s="1"/>
  <c r="DD107" i="3" s="1"/>
  <c r="DD105" i="3" s="1"/>
  <c r="DU123" i="3"/>
  <c r="DU125" i="3"/>
  <c r="DU122" i="3"/>
  <c r="DV118" i="3" s="1"/>
  <c r="DF150" i="3"/>
  <c r="DF153" i="3" s="1"/>
  <c r="DE160" i="3"/>
  <c r="DE161" i="3" s="1"/>
  <c r="DE162" i="3" s="1"/>
  <c r="DI152" i="3" l="1"/>
  <c r="DJ135" i="3"/>
  <c r="DJ136" i="3"/>
  <c r="DJ141" i="3" s="1"/>
  <c r="DF154" i="3"/>
  <c r="DF155" i="3" s="1"/>
  <c r="DG149" i="3" s="1"/>
  <c r="DE167" i="3"/>
  <c r="DE92" i="3" s="1"/>
  <c r="DE94" i="3" s="1"/>
  <c r="DE165" i="3"/>
  <c r="DU126" i="3"/>
  <c r="DU134" i="3"/>
  <c r="DV119" i="3"/>
  <c r="DJ137" i="3" l="1"/>
  <c r="DK131" i="3" s="1"/>
  <c r="DK132" i="3" s="1"/>
  <c r="DK135" i="3" s="1"/>
  <c r="DJ139" i="3"/>
  <c r="DJ152" i="3"/>
  <c r="DJ142" i="3"/>
  <c r="DJ143" i="3" s="1"/>
  <c r="DJ144" i="3" s="1"/>
  <c r="DF157" i="3"/>
  <c r="DF159" i="3"/>
  <c r="DF160" i="3" s="1"/>
  <c r="DF161" i="3" s="1"/>
  <c r="DF162" i="3" s="1"/>
  <c r="DE168" i="3"/>
  <c r="DE99" i="3"/>
  <c r="DE101" i="3" s="1"/>
  <c r="DE107" i="3" s="1"/>
  <c r="DE105" i="3" s="1"/>
  <c r="DG150" i="3"/>
  <c r="DG153" i="3" s="1"/>
  <c r="DV121" i="3"/>
  <c r="DK136" i="3" l="1"/>
  <c r="DK141" i="3" s="1"/>
  <c r="DV125" i="3"/>
  <c r="DV123" i="3"/>
  <c r="DV122" i="3"/>
  <c r="DW118" i="3" s="1"/>
  <c r="DG154" i="3"/>
  <c r="DF167" i="3"/>
  <c r="DF92" i="3" s="1"/>
  <c r="DF94" i="3" s="1"/>
  <c r="DF165" i="3"/>
  <c r="DK137" i="3" l="1"/>
  <c r="DL131" i="3" s="1"/>
  <c r="DL132" i="3" s="1"/>
  <c r="DK139" i="3"/>
  <c r="DK152" i="3"/>
  <c r="DK142" i="3"/>
  <c r="DK143" i="3" s="1"/>
  <c r="DK144" i="3" s="1"/>
  <c r="DF168" i="3"/>
  <c r="DF99" i="3"/>
  <c r="DF101" i="3" s="1"/>
  <c r="DF107" i="3" s="1"/>
  <c r="DF105" i="3" s="1"/>
  <c r="DW119" i="3"/>
  <c r="DW121" i="3" s="1"/>
  <c r="DG159" i="3"/>
  <c r="DG157" i="3"/>
  <c r="DV126" i="3"/>
  <c r="DV134" i="3"/>
  <c r="DG155" i="3"/>
  <c r="DH149" i="3" s="1"/>
  <c r="DL135" i="3" l="1"/>
  <c r="DL136" i="3"/>
  <c r="DL141" i="3" s="1"/>
  <c r="DG160" i="3"/>
  <c r="DG161" i="3" s="1"/>
  <c r="DG162" i="3" s="1"/>
  <c r="DH150" i="3"/>
  <c r="DH153" i="3" s="1"/>
  <c r="DW122" i="3"/>
  <c r="DX118" i="3" s="1"/>
  <c r="DW123" i="3"/>
  <c r="DW125" i="3"/>
  <c r="DL137" i="3" l="1"/>
  <c r="DM131" i="3" s="1"/>
  <c r="DM132" i="3" s="1"/>
  <c r="DM135" i="3" s="1"/>
  <c r="DL139" i="3"/>
  <c r="DL142" i="3"/>
  <c r="DL143" i="3" s="1"/>
  <c r="DL144" i="3" s="1"/>
  <c r="DL152" i="3"/>
  <c r="DH154" i="3"/>
  <c r="DH155" i="3" s="1"/>
  <c r="DI149" i="3" s="1"/>
  <c r="DX119" i="3"/>
  <c r="DX121" i="3" s="1"/>
  <c r="DG165" i="3"/>
  <c r="DG167" i="3"/>
  <c r="DG92" i="3" s="1"/>
  <c r="DG94" i="3" s="1"/>
  <c r="DW126" i="3"/>
  <c r="DW134" i="3"/>
  <c r="DM136" i="3" l="1"/>
  <c r="DM141" i="3" s="1"/>
  <c r="DH157" i="3"/>
  <c r="DH159" i="3"/>
  <c r="DH160" i="3" s="1"/>
  <c r="DH161" i="3" s="1"/>
  <c r="DH162" i="3" s="1"/>
  <c r="DX123" i="3"/>
  <c r="DX125" i="3"/>
  <c r="DI150" i="3"/>
  <c r="DI153" i="3" s="1"/>
  <c r="DG99" i="3"/>
  <c r="DG101" i="3" s="1"/>
  <c r="DG107" i="3" s="1"/>
  <c r="DG105" i="3" s="1"/>
  <c r="DG168" i="3"/>
  <c r="DX122" i="3"/>
  <c r="DY118" i="3" s="1"/>
  <c r="DM137" i="3" l="1"/>
  <c r="DN131" i="3" s="1"/>
  <c r="DN132" i="3" s="1"/>
  <c r="DN136" i="3" s="1"/>
  <c r="DM139" i="3"/>
  <c r="DI154" i="3"/>
  <c r="DI159" i="3" s="1"/>
  <c r="DI160" i="3" s="1"/>
  <c r="DM142" i="3"/>
  <c r="DM143" i="3" s="1"/>
  <c r="DM144" i="3" s="1"/>
  <c r="DM152" i="3"/>
  <c r="DH165" i="3"/>
  <c r="DH167" i="3"/>
  <c r="DH92" i="3" s="1"/>
  <c r="DH94" i="3" s="1"/>
  <c r="DX134" i="3"/>
  <c r="DX126" i="3"/>
  <c r="DY119" i="3"/>
  <c r="DI155" i="3" l="1"/>
  <c r="DJ149" i="3" s="1"/>
  <c r="DI157" i="3"/>
  <c r="DN139" i="3"/>
  <c r="DN141" i="3"/>
  <c r="DN135" i="3"/>
  <c r="DN137" i="3" s="1"/>
  <c r="DO131" i="3" s="1"/>
  <c r="DH99" i="3"/>
  <c r="DH101" i="3" s="1"/>
  <c r="DH107" i="3" s="1"/>
  <c r="DH105" i="3" s="1"/>
  <c r="DI161" i="3"/>
  <c r="DI162" i="3" s="1"/>
  <c r="DY121" i="3"/>
  <c r="DJ150" i="3"/>
  <c r="DJ153" i="3" s="1"/>
  <c r="DH168" i="3"/>
  <c r="DO132" i="3" l="1"/>
  <c r="DO136" i="3" s="1"/>
  <c r="DN142" i="3"/>
  <c r="DN143" i="3" s="1"/>
  <c r="DN144" i="3" s="1"/>
  <c r="DN152" i="3"/>
  <c r="DJ154" i="3"/>
  <c r="DJ159" i="3" s="1"/>
  <c r="DY123" i="3"/>
  <c r="DY125" i="3"/>
  <c r="DY122" i="3"/>
  <c r="DZ118" i="3" s="1"/>
  <c r="DI167" i="3"/>
  <c r="DI92" i="3" s="1"/>
  <c r="DI94" i="3" s="1"/>
  <c r="DI165" i="3"/>
  <c r="DO135" i="3" l="1"/>
  <c r="DO137" i="3" s="1"/>
  <c r="DP131" i="3" s="1"/>
  <c r="DO141" i="3"/>
  <c r="DO139" i="3"/>
  <c r="DJ155" i="3"/>
  <c r="DK149" i="3" s="1"/>
  <c r="DK150" i="3" s="1"/>
  <c r="DJ157" i="3"/>
  <c r="DZ119" i="3"/>
  <c r="DZ121" i="3" s="1"/>
  <c r="DY134" i="3"/>
  <c r="DY126" i="3"/>
  <c r="DI168" i="3"/>
  <c r="DI99" i="3"/>
  <c r="DI101" i="3" s="1"/>
  <c r="DI107" i="3" s="1"/>
  <c r="DI105" i="3" s="1"/>
  <c r="DJ160" i="3"/>
  <c r="DJ161" i="3" s="1"/>
  <c r="DJ162" i="3" s="1"/>
  <c r="DO152" i="3" l="1"/>
  <c r="DO142" i="3"/>
  <c r="DO143" i="3" s="1"/>
  <c r="DO144" i="3" s="1"/>
  <c r="DP132" i="3"/>
  <c r="DP135" i="3" s="1"/>
  <c r="DK153" i="3"/>
  <c r="DK154" i="3"/>
  <c r="DK159" i="3" s="1"/>
  <c r="DK160" i="3" s="1"/>
  <c r="DZ123" i="3"/>
  <c r="DZ125" i="3"/>
  <c r="DZ122" i="3"/>
  <c r="EA118" i="3" s="1"/>
  <c r="DJ165" i="3"/>
  <c r="DJ167" i="3"/>
  <c r="DJ92" i="3" s="1"/>
  <c r="DJ94" i="3" s="1"/>
  <c r="DP136" i="3" l="1"/>
  <c r="DP139" i="3" s="1"/>
  <c r="DK157" i="3"/>
  <c r="DK155" i="3"/>
  <c r="DL149" i="3" s="1"/>
  <c r="DL150" i="3" s="1"/>
  <c r="DL153" i="3" s="1"/>
  <c r="DJ99" i="3"/>
  <c r="DJ101" i="3" s="1"/>
  <c r="DJ107" i="3" s="1"/>
  <c r="DJ105" i="3" s="1"/>
  <c r="DK161" i="3"/>
  <c r="DK162" i="3" s="1"/>
  <c r="DJ168" i="3"/>
  <c r="DZ134" i="3"/>
  <c r="DZ126" i="3"/>
  <c r="EA119" i="3"/>
  <c r="EA121" i="3" s="1"/>
  <c r="DP137" i="3" l="1"/>
  <c r="DQ131" i="3" s="1"/>
  <c r="DQ132" i="3" s="1"/>
  <c r="DQ136" i="3" s="1"/>
  <c r="DP141" i="3"/>
  <c r="DP152" i="3" s="1"/>
  <c r="DL154" i="3"/>
  <c r="DL155" i="3" s="1"/>
  <c r="DM149" i="3" s="1"/>
  <c r="EA122" i="3"/>
  <c r="EB118" i="3" s="1"/>
  <c r="EA123" i="3"/>
  <c r="EA125" i="3"/>
  <c r="DK167" i="3"/>
  <c r="DK92" i="3" s="1"/>
  <c r="DK94" i="3" s="1"/>
  <c r="DK165" i="3"/>
  <c r="DP142" i="3" l="1"/>
  <c r="DP143" i="3" s="1"/>
  <c r="DP144" i="3" s="1"/>
  <c r="DQ135" i="3"/>
  <c r="DQ137" i="3" s="1"/>
  <c r="DR131" i="3" s="1"/>
  <c r="DR132" i="3" s="1"/>
  <c r="DQ139" i="3"/>
  <c r="DQ141" i="3"/>
  <c r="DL159" i="3"/>
  <c r="DL160" i="3" s="1"/>
  <c r="DL157" i="3"/>
  <c r="EB119" i="3"/>
  <c r="EB121" i="3" s="1"/>
  <c r="EA126" i="3"/>
  <c r="EA134" i="3"/>
  <c r="DM150" i="3"/>
  <c r="DM153" i="3" s="1"/>
  <c r="DK168" i="3"/>
  <c r="DK99" i="3"/>
  <c r="DK101" i="3" s="1"/>
  <c r="DK107" i="3" s="1"/>
  <c r="DK105" i="3" s="1"/>
  <c r="DR136" i="3" l="1"/>
  <c r="DR139" i="3" s="1"/>
  <c r="DR135" i="3"/>
  <c r="DQ152" i="3"/>
  <c r="DQ142" i="3"/>
  <c r="DQ143" i="3" s="1"/>
  <c r="DQ144" i="3" s="1"/>
  <c r="DL161" i="3"/>
  <c r="DL162" i="3" s="1"/>
  <c r="DM154" i="3"/>
  <c r="EB122" i="3"/>
  <c r="EC118" i="3" s="1"/>
  <c r="EB125" i="3"/>
  <c r="EB123" i="3"/>
  <c r="DR141" i="3" l="1"/>
  <c r="DR152" i="3" s="1"/>
  <c r="DR137" i="3"/>
  <c r="DS131" i="3" s="1"/>
  <c r="DS132" i="3" s="1"/>
  <c r="DS136" i="3" s="1"/>
  <c r="DS139" i="3" s="1"/>
  <c r="EB134" i="3"/>
  <c r="EB126" i="3"/>
  <c r="DL167" i="3"/>
  <c r="DL92" i="3" s="1"/>
  <c r="DL94" i="3" s="1"/>
  <c r="DL165" i="3"/>
  <c r="EC119" i="3"/>
  <c r="EC121" i="3" s="1"/>
  <c r="DM159" i="3"/>
  <c r="DM157" i="3"/>
  <c r="DM155" i="3"/>
  <c r="DN149" i="3" s="1"/>
  <c r="DR142" i="3" l="1"/>
  <c r="DR143" i="3" s="1"/>
  <c r="DR144" i="3" s="1"/>
  <c r="DS141" i="3"/>
  <c r="DS142" i="3" s="1"/>
  <c r="DS143" i="3" s="1"/>
  <c r="DS144" i="3" s="1"/>
  <c r="DS135" i="3"/>
  <c r="DS137" i="3" s="1"/>
  <c r="DT131" i="3" s="1"/>
  <c r="DT132" i="3" s="1"/>
  <c r="DT135" i="3" s="1"/>
  <c r="DS152" i="3"/>
  <c r="EC122" i="3"/>
  <c r="ED118" i="3" s="1"/>
  <c r="EC125" i="3"/>
  <c r="EC123" i="3"/>
  <c r="DN150" i="3"/>
  <c r="DN154" i="3" s="1"/>
  <c r="DL168" i="3"/>
  <c r="DL99" i="3"/>
  <c r="DL101" i="3" s="1"/>
  <c r="DL107" i="3" s="1"/>
  <c r="DL105" i="3" s="1"/>
  <c r="DM160" i="3"/>
  <c r="DM161" i="3" s="1"/>
  <c r="DM162" i="3" s="1"/>
  <c r="DT136" i="3" l="1"/>
  <c r="DT137" i="3" s="1"/>
  <c r="DU131" i="3" s="1"/>
  <c r="DN153" i="3"/>
  <c r="DN155" i="3" s="1"/>
  <c r="DO149" i="3" s="1"/>
  <c r="DO150" i="3" s="1"/>
  <c r="DM167" i="3"/>
  <c r="DM92" i="3" s="1"/>
  <c r="DM94" i="3" s="1"/>
  <c r="DM165" i="3"/>
  <c r="EC126" i="3"/>
  <c r="EC134" i="3"/>
  <c r="DN159" i="3"/>
  <c r="DN157" i="3"/>
  <c r="ED119" i="3"/>
  <c r="ED121" i="3" s="1"/>
  <c r="DT139" i="3" l="1"/>
  <c r="DT141" i="3"/>
  <c r="DT152" i="3" s="1"/>
  <c r="DU132" i="3"/>
  <c r="DU135" i="3" s="1"/>
  <c r="DU136" i="3"/>
  <c r="DO153" i="3"/>
  <c r="DO154" i="3"/>
  <c r="DO155" i="3" s="1"/>
  <c r="DP149" i="3" s="1"/>
  <c r="DM168" i="3"/>
  <c r="DM99" i="3"/>
  <c r="DM101" i="3" s="1"/>
  <c r="DM107" i="3" s="1"/>
  <c r="DM105" i="3" s="1"/>
  <c r="ED125" i="3"/>
  <c r="ED123" i="3"/>
  <c r="ED122" i="3"/>
  <c r="EE118" i="3" s="1"/>
  <c r="DN160" i="3"/>
  <c r="DN161" i="3" s="1"/>
  <c r="DN162" i="3" s="1"/>
  <c r="DT142" i="3" l="1"/>
  <c r="DT143" i="3" s="1"/>
  <c r="DT144" i="3" s="1"/>
  <c r="DU137" i="3"/>
  <c r="DV131" i="3" s="1"/>
  <c r="DU141" i="3"/>
  <c r="DU139" i="3"/>
  <c r="DO159" i="3"/>
  <c r="DO160" i="3" s="1"/>
  <c r="DO161" i="3" s="1"/>
  <c r="DO162" i="3" s="1"/>
  <c r="DO157" i="3"/>
  <c r="DN167" i="3"/>
  <c r="DN92" i="3" s="1"/>
  <c r="DN94" i="3" s="1"/>
  <c r="DN165" i="3"/>
  <c r="EE119" i="3"/>
  <c r="EE121" i="3" s="1"/>
  <c r="DP150" i="3"/>
  <c r="DP153" i="3" s="1"/>
  <c r="ED134" i="3"/>
  <c r="ED126" i="3"/>
  <c r="DN168" i="3" l="1"/>
  <c r="DU142" i="3"/>
  <c r="DU143" i="3" s="1"/>
  <c r="DU144" i="3" s="1"/>
  <c r="DU152" i="3"/>
  <c r="DV132" i="3"/>
  <c r="DV135" i="3" s="1"/>
  <c r="DN99" i="3"/>
  <c r="DN101" i="3" s="1"/>
  <c r="DN107" i="3" s="1"/>
  <c r="DN105" i="3" s="1"/>
  <c r="EE123" i="3"/>
  <c r="EE125" i="3"/>
  <c r="EE122" i="3"/>
  <c r="EF118" i="3" s="1"/>
  <c r="DO167" i="3"/>
  <c r="DO92" i="3" s="1"/>
  <c r="DO94" i="3" s="1"/>
  <c r="DO165" i="3"/>
  <c r="DP154" i="3"/>
  <c r="DP155" i="3" s="1"/>
  <c r="DQ149" i="3" s="1"/>
  <c r="DV136" i="3" l="1"/>
  <c r="DV137" i="3" s="1"/>
  <c r="DW131" i="3" s="1"/>
  <c r="DV139" i="3"/>
  <c r="DO168" i="3"/>
  <c r="DQ150" i="3"/>
  <c r="DQ153" i="3" s="1"/>
  <c r="DO99" i="3"/>
  <c r="DO101" i="3" s="1"/>
  <c r="DO107" i="3" s="1"/>
  <c r="DO105" i="3" s="1"/>
  <c r="DP159" i="3"/>
  <c r="DP157" i="3"/>
  <c r="EF119" i="3"/>
  <c r="EF121" i="3" s="1"/>
  <c r="EE134" i="3"/>
  <c r="EE126" i="3"/>
  <c r="DV141" i="3" l="1"/>
  <c r="DV152" i="3" s="1"/>
  <c r="DW132" i="3"/>
  <c r="DW135" i="3" s="1"/>
  <c r="DQ154" i="3"/>
  <c r="DQ159" i="3" s="1"/>
  <c r="EF125" i="3"/>
  <c r="EF123" i="3"/>
  <c r="EF122" i="3"/>
  <c r="EG118" i="3" s="1"/>
  <c r="DP160" i="3"/>
  <c r="DV142" i="3" l="1"/>
  <c r="DV143" i="3" s="1"/>
  <c r="DV144" i="3" s="1"/>
  <c r="DW136" i="3"/>
  <c r="DW139" i="3" s="1"/>
  <c r="DQ157" i="3"/>
  <c r="DQ155" i="3"/>
  <c r="DR149" i="3" s="1"/>
  <c r="DR150" i="3" s="1"/>
  <c r="DR153" i="3" s="1"/>
  <c r="DP161" i="3"/>
  <c r="DP162" i="3" s="1"/>
  <c r="DQ160" i="3"/>
  <c r="DQ161" i="3" s="1"/>
  <c r="DQ162" i="3" s="1"/>
  <c r="EG119" i="3"/>
  <c r="EG121" i="3" s="1"/>
  <c r="EF134" i="3"/>
  <c r="EF126" i="3"/>
  <c r="DW137" i="3" l="1"/>
  <c r="DX131" i="3" s="1"/>
  <c r="DW141" i="3"/>
  <c r="DX132" i="3"/>
  <c r="DX136" i="3" s="1"/>
  <c r="DW142" i="3"/>
  <c r="DW143" i="3" s="1"/>
  <c r="DW144" i="3" s="1"/>
  <c r="DW152" i="3"/>
  <c r="EG122" i="3"/>
  <c r="EH118" i="3" s="1"/>
  <c r="DP167" i="3"/>
  <c r="DP92" i="3" s="1"/>
  <c r="DP94" i="3" s="1"/>
  <c r="DP165" i="3"/>
  <c r="DQ165" i="3"/>
  <c r="DQ167" i="3"/>
  <c r="DQ92" i="3" s="1"/>
  <c r="DQ94" i="3" s="1"/>
  <c r="DR154" i="3"/>
  <c r="DR155" i="3" s="1"/>
  <c r="DS149" i="3" s="1"/>
  <c r="EG125" i="3"/>
  <c r="EG123" i="3"/>
  <c r="DX135" i="3" l="1"/>
  <c r="DX137" i="3" s="1"/>
  <c r="DY131" i="3" s="1"/>
  <c r="DX141" i="3"/>
  <c r="DX139" i="3"/>
  <c r="DQ99" i="3"/>
  <c r="DQ101" i="3" s="1"/>
  <c r="DQ107" i="3" s="1"/>
  <c r="DQ105" i="3" s="1"/>
  <c r="DS150" i="3"/>
  <c r="DS153" i="3" s="1"/>
  <c r="DP168" i="3"/>
  <c r="DP99" i="3"/>
  <c r="DP101" i="3" s="1"/>
  <c r="DP107" i="3" s="1"/>
  <c r="DP105" i="3" s="1"/>
  <c r="DR159" i="3"/>
  <c r="DR157" i="3"/>
  <c r="EH119" i="3"/>
  <c r="DQ168" i="3"/>
  <c r="EG134" i="3"/>
  <c r="EG126" i="3"/>
  <c r="DY132" i="3" l="1"/>
  <c r="DY135" i="3" s="1"/>
  <c r="DS154" i="3"/>
  <c r="DS155" i="3" s="1"/>
  <c r="DT149" i="3" s="1"/>
  <c r="DX152" i="3"/>
  <c r="DX142" i="3"/>
  <c r="DX143" i="3" s="1"/>
  <c r="DX144" i="3" s="1"/>
  <c r="DR160" i="3"/>
  <c r="DR161" i="3" s="1"/>
  <c r="DR162" i="3" s="1"/>
  <c r="EH121" i="3"/>
  <c r="EH122" i="3" s="1"/>
  <c r="EI118" i="3" s="1"/>
  <c r="DY136" i="3" l="1"/>
  <c r="DY141" i="3" s="1"/>
  <c r="DY142" i="3" s="1"/>
  <c r="DY143" i="3" s="1"/>
  <c r="DY144" i="3" s="1"/>
  <c r="DS157" i="3"/>
  <c r="DS159" i="3"/>
  <c r="DS160" i="3" s="1"/>
  <c r="DS161" i="3" s="1"/>
  <c r="DS162" i="3" s="1"/>
  <c r="EI119" i="3"/>
  <c r="EI121" i="3" s="1"/>
  <c r="EH125" i="3"/>
  <c r="EH123" i="3"/>
  <c r="DR165" i="3"/>
  <c r="DR167" i="3"/>
  <c r="DR92" i="3" s="1"/>
  <c r="DT150" i="3"/>
  <c r="DT153" i="3" s="1"/>
  <c r="DY152" i="3" l="1"/>
  <c r="DY139" i="3"/>
  <c r="DY137" i="3"/>
  <c r="DZ131" i="3" s="1"/>
  <c r="DZ132" i="3" s="1"/>
  <c r="DZ135" i="3" s="1"/>
  <c r="DT154" i="3"/>
  <c r="DT155" i="3" s="1"/>
  <c r="DU149" i="3" s="1"/>
  <c r="DU150" i="3" s="1"/>
  <c r="DU154" i="3" s="1"/>
  <c r="DR94" i="3"/>
  <c r="DR168" i="3"/>
  <c r="EH134" i="3"/>
  <c r="EH126" i="3"/>
  <c r="EI123" i="3"/>
  <c r="F123" i="3" s="1"/>
  <c r="EI125" i="3"/>
  <c r="DR99" i="3"/>
  <c r="DS165" i="3"/>
  <c r="DS167" i="3"/>
  <c r="DS92" i="3" s="1"/>
  <c r="DS94" i="3" s="1"/>
  <c r="EI122" i="3"/>
  <c r="DZ136" i="3" l="1"/>
  <c r="DZ141" i="3" s="1"/>
  <c r="DZ142" i="3" s="1"/>
  <c r="DZ143" i="3" s="1"/>
  <c r="DZ144" i="3" s="1"/>
  <c r="DT157" i="3"/>
  <c r="DT159" i="3"/>
  <c r="DT160" i="3" s="1"/>
  <c r="DT161" i="3" s="1"/>
  <c r="DT162" i="3" s="1"/>
  <c r="DU153" i="3"/>
  <c r="DU155" i="3" s="1"/>
  <c r="DV149" i="3" s="1"/>
  <c r="DU159" i="3"/>
  <c r="DU157" i="3"/>
  <c r="DS168" i="3"/>
  <c r="DS99" i="3"/>
  <c r="DS101" i="3" s="1"/>
  <c r="DS107" i="3" s="1"/>
  <c r="DS105" i="3" s="1"/>
  <c r="DR101" i="3"/>
  <c r="EI126" i="3"/>
  <c r="EI134" i="3"/>
  <c r="E125" i="3"/>
  <c r="DZ152" i="3" l="1"/>
  <c r="DZ139" i="3"/>
  <c r="DZ137" i="3"/>
  <c r="EA131" i="3" s="1"/>
  <c r="EA132" i="3" s="1"/>
  <c r="EA136" i="3" s="1"/>
  <c r="EA141" i="3" s="1"/>
  <c r="DT165" i="3"/>
  <c r="DT167" i="3"/>
  <c r="DT92" i="3" s="1"/>
  <c r="DU160" i="3"/>
  <c r="DU161" i="3" s="1"/>
  <c r="DU162" i="3" s="1"/>
  <c r="DR107" i="3"/>
  <c r="DR105" i="3" s="1"/>
  <c r="DV150" i="3"/>
  <c r="DV153" i="3" s="1"/>
  <c r="EA135" i="3" l="1"/>
  <c r="EA137" i="3" s="1"/>
  <c r="EB131" i="3" s="1"/>
  <c r="EB132" i="3" s="1"/>
  <c r="EB135" i="3" s="1"/>
  <c r="EA139" i="3"/>
  <c r="EA142" i="3"/>
  <c r="EA143" i="3" s="1"/>
  <c r="EA144" i="3" s="1"/>
  <c r="EA152" i="3"/>
  <c r="DV154" i="3"/>
  <c r="DV159" i="3" s="1"/>
  <c r="DV160" i="3" s="1"/>
  <c r="DU167" i="3"/>
  <c r="DU92" i="3" s="1"/>
  <c r="DU94" i="3" s="1"/>
  <c r="DU165" i="3"/>
  <c r="DT94" i="3"/>
  <c r="DT168" i="3"/>
  <c r="DT99" i="3"/>
  <c r="EB136" i="3" l="1"/>
  <c r="EB139" i="3" s="1"/>
  <c r="DV155" i="3"/>
  <c r="DW149" i="3" s="1"/>
  <c r="DW150" i="3" s="1"/>
  <c r="DW153" i="3" s="1"/>
  <c r="DV157" i="3"/>
  <c r="DU168" i="3"/>
  <c r="DU99" i="3"/>
  <c r="DU101" i="3" s="1"/>
  <c r="DU107" i="3" s="1"/>
  <c r="DU105" i="3" s="1"/>
  <c r="DT101" i="3"/>
  <c r="DV161" i="3"/>
  <c r="DV162" i="3" s="1"/>
  <c r="EB141" i="3" l="1"/>
  <c r="EB152" i="3" s="1"/>
  <c r="EB137" i="3"/>
  <c r="EC131" i="3" s="1"/>
  <c r="EC132" i="3" s="1"/>
  <c r="EC136" i="3" s="1"/>
  <c r="EC141" i="3" s="1"/>
  <c r="DV165" i="3"/>
  <c r="DV167" i="3"/>
  <c r="DV92" i="3" s="1"/>
  <c r="DT107" i="3"/>
  <c r="DT105" i="3" s="1"/>
  <c r="DW154" i="3"/>
  <c r="EB142" i="3" l="1"/>
  <c r="EB143" i="3" s="1"/>
  <c r="EB144" i="3" s="1"/>
  <c r="EC135" i="3"/>
  <c r="EC137" i="3" s="1"/>
  <c r="ED131" i="3" s="1"/>
  <c r="ED132" i="3" s="1"/>
  <c r="ED136" i="3" s="1"/>
  <c r="EC139" i="3"/>
  <c r="EC142" i="3"/>
  <c r="EC143" i="3" s="1"/>
  <c r="EC144" i="3" s="1"/>
  <c r="EC152" i="3"/>
  <c r="DV94" i="3"/>
  <c r="DW159" i="3"/>
  <c r="DW157" i="3"/>
  <c r="DV168" i="3"/>
  <c r="DV99" i="3"/>
  <c r="DW155" i="3"/>
  <c r="DX149" i="3" s="1"/>
  <c r="ED135" i="3" l="1"/>
  <c r="ED137" i="3" s="1"/>
  <c r="EE131" i="3" s="1"/>
  <c r="EE132" i="3" s="1"/>
  <c r="EE135" i="3" s="1"/>
  <c r="ED139" i="3"/>
  <c r="ED141" i="3"/>
  <c r="DV101" i="3"/>
  <c r="DV107" i="3" s="1"/>
  <c r="DV105" i="3" s="1"/>
  <c r="DX150" i="3"/>
  <c r="DX153" i="3" s="1"/>
  <c r="DW160" i="3"/>
  <c r="DW161" i="3" s="1"/>
  <c r="DW162" i="3" s="1"/>
  <c r="ED152" i="3" l="1"/>
  <c r="ED142" i="3"/>
  <c r="ED143" i="3" s="1"/>
  <c r="ED144" i="3" s="1"/>
  <c r="EE136" i="3"/>
  <c r="DX154" i="3"/>
  <c r="DX159" i="3" s="1"/>
  <c r="DW165" i="3"/>
  <c r="DW167" i="3"/>
  <c r="DW92" i="3" s="1"/>
  <c r="EE141" i="3" l="1"/>
  <c r="EE139" i="3"/>
  <c r="EE137" i="3"/>
  <c r="EF131" i="3" s="1"/>
  <c r="DW99" i="3"/>
  <c r="DW101" i="3" s="1"/>
  <c r="DX155" i="3"/>
  <c r="DY149" i="3" s="1"/>
  <c r="DY150" i="3" s="1"/>
  <c r="DY153" i="3" s="1"/>
  <c r="DX157" i="3"/>
  <c r="DW94" i="3"/>
  <c r="DX160" i="3"/>
  <c r="DX161" i="3" s="1"/>
  <c r="DX162" i="3" s="1"/>
  <c r="DW168" i="3"/>
  <c r="EF132" i="3" l="1"/>
  <c r="EF136" i="3" s="1"/>
  <c r="EE142" i="3"/>
  <c r="EE143" i="3" s="1"/>
  <c r="EE144" i="3" s="1"/>
  <c r="EE152" i="3"/>
  <c r="DX165" i="3"/>
  <c r="DX167" i="3"/>
  <c r="DX92" i="3" s="1"/>
  <c r="DX94" i="3" s="1"/>
  <c r="DY154" i="3"/>
  <c r="DW107" i="3"/>
  <c r="DW105" i="3" s="1"/>
  <c r="EF135" i="3" l="1"/>
  <c r="EF137" i="3" s="1"/>
  <c r="EG131" i="3" s="1"/>
  <c r="EF141" i="3"/>
  <c r="EF139" i="3"/>
  <c r="DX99" i="3"/>
  <c r="DX101" i="3" s="1"/>
  <c r="DX107" i="3" s="1"/>
  <c r="DX105" i="3" s="1"/>
  <c r="DY159" i="3"/>
  <c r="DY160" i="3" s="1"/>
  <c r="DY157" i="3"/>
  <c r="DX168" i="3"/>
  <c r="DY155" i="3"/>
  <c r="DZ149" i="3" s="1"/>
  <c r="EF152" i="3" l="1"/>
  <c r="EF142" i="3"/>
  <c r="EF143" i="3" s="1"/>
  <c r="EF144" i="3" s="1"/>
  <c r="EG132" i="3"/>
  <c r="EG136" i="3" s="1"/>
  <c r="DY161" i="3"/>
  <c r="DY162" i="3" s="1"/>
  <c r="DZ150" i="3"/>
  <c r="DZ153" i="3" s="1"/>
  <c r="EG135" i="3" l="1"/>
  <c r="EG137" i="3" s="1"/>
  <c r="EH131" i="3" s="1"/>
  <c r="EH132" i="3" s="1"/>
  <c r="EH135" i="3" s="1"/>
  <c r="EG141" i="3"/>
  <c r="EG139" i="3"/>
  <c r="DZ154" i="3"/>
  <c r="DZ155" i="3" s="1"/>
  <c r="EA149" i="3" s="1"/>
  <c r="DY167" i="3"/>
  <c r="DY92" i="3" s="1"/>
  <c r="DY94" i="3" s="1"/>
  <c r="DY165" i="3"/>
  <c r="EH136" i="3" l="1"/>
  <c r="EH137" i="3" s="1"/>
  <c r="EI131" i="3" s="1"/>
  <c r="EG142" i="3"/>
  <c r="EG143" i="3" s="1"/>
  <c r="EG144" i="3" s="1"/>
  <c r="EG152" i="3"/>
  <c r="DZ159" i="3"/>
  <c r="DZ160" i="3" s="1"/>
  <c r="DZ157" i="3"/>
  <c r="DY168" i="3"/>
  <c r="DY99" i="3"/>
  <c r="DY101" i="3" s="1"/>
  <c r="DY107" i="3" s="1"/>
  <c r="DY105" i="3" s="1"/>
  <c r="EA150" i="3"/>
  <c r="EA154" i="3" s="1"/>
  <c r="EH141" i="3" l="1"/>
  <c r="EH142" i="3" s="1"/>
  <c r="EH143" i="3" s="1"/>
  <c r="EH144" i="3" s="1"/>
  <c r="EH139" i="3"/>
  <c r="EI132" i="3"/>
  <c r="EI136" i="3" s="1"/>
  <c r="DZ161" i="3"/>
  <c r="DZ162" i="3" s="1"/>
  <c r="DZ167" i="3" s="1"/>
  <c r="DZ92" i="3" s="1"/>
  <c r="DZ94" i="3" s="1"/>
  <c r="EA153" i="3"/>
  <c r="EA155" i="3" s="1"/>
  <c r="EB149" i="3" s="1"/>
  <c r="EA159" i="3"/>
  <c r="EA157" i="3"/>
  <c r="EH152" i="3" l="1"/>
  <c r="EI135" i="3"/>
  <c r="EI137" i="3" s="1"/>
  <c r="EI141" i="3"/>
  <c r="EI139" i="3"/>
  <c r="E139" i="3" s="1"/>
  <c r="DZ165" i="3"/>
  <c r="DZ168" i="3" s="1"/>
  <c r="EA160" i="3"/>
  <c r="EA161" i="3" s="1"/>
  <c r="EA162" i="3" s="1"/>
  <c r="EB150" i="3"/>
  <c r="EB153" i="3" s="1"/>
  <c r="EI142" i="3" l="1"/>
  <c r="EI143" i="3" s="1"/>
  <c r="EI144" i="3" s="1"/>
  <c r="EI152" i="3"/>
  <c r="DZ99" i="3"/>
  <c r="DZ101" i="3" s="1"/>
  <c r="DZ107" i="3" s="1"/>
  <c r="DZ105" i="3" s="1"/>
  <c r="EB154" i="3"/>
  <c r="EB155" i="3" s="1"/>
  <c r="EC149" i="3" s="1"/>
  <c r="EA167" i="3"/>
  <c r="EA92" i="3" s="1"/>
  <c r="EA94" i="3" s="1"/>
  <c r="EA165" i="3"/>
  <c r="EB157" i="3" l="1"/>
  <c r="EB159" i="3"/>
  <c r="EA168" i="3"/>
  <c r="EA99" i="3"/>
  <c r="EA101" i="3" s="1"/>
  <c r="EA107" i="3" s="1"/>
  <c r="EA105" i="3" s="1"/>
  <c r="EB160" i="3"/>
  <c r="EC150" i="3"/>
  <c r="EC154" i="3" s="1"/>
  <c r="EC153" i="3" l="1"/>
  <c r="EC155" i="3" s="1"/>
  <c r="ED149" i="3" s="1"/>
  <c r="EC159" i="3"/>
  <c r="EC157" i="3"/>
  <c r="EB161" i="3"/>
  <c r="EB162" i="3" s="1"/>
  <c r="EB167" i="3" l="1"/>
  <c r="EB92" i="3" s="1"/>
  <c r="EB94" i="3" s="1"/>
  <c r="EB165" i="3"/>
  <c r="ED150" i="3"/>
  <c r="ED153" i="3" s="1"/>
  <c r="EC160" i="3"/>
  <c r="EC161" i="3" s="1"/>
  <c r="EC162" i="3" s="1"/>
  <c r="ED154" i="3" l="1"/>
  <c r="ED159" i="3" s="1"/>
  <c r="EC167" i="3"/>
  <c r="EC92" i="3" s="1"/>
  <c r="EC94" i="3" s="1"/>
  <c r="EC165" i="3"/>
  <c r="EB168" i="3"/>
  <c r="EB99" i="3"/>
  <c r="EB101" i="3" s="1"/>
  <c r="EB107" i="3" s="1"/>
  <c r="EB105" i="3" s="1"/>
  <c r="ED155" i="3" l="1"/>
  <c r="EE149" i="3" s="1"/>
  <c r="EE150" i="3" s="1"/>
  <c r="EE153" i="3" s="1"/>
  <c r="EC168" i="3"/>
  <c r="EC99" i="3"/>
  <c r="EC101" i="3" s="1"/>
  <c r="EC107" i="3" s="1"/>
  <c r="EC105" i="3" s="1"/>
  <c r="ED157" i="3"/>
  <c r="ED160" i="3"/>
  <c r="ED161" i="3" s="1"/>
  <c r="ED162" i="3" s="1"/>
  <c r="EE154" i="3" l="1"/>
  <c r="EE157" i="3" s="1"/>
  <c r="ED167" i="3"/>
  <c r="ED92" i="3" s="1"/>
  <c r="ED94" i="3" s="1"/>
  <c r="ED165" i="3"/>
  <c r="EE155" i="3" l="1"/>
  <c r="EF149" i="3" s="1"/>
  <c r="EF150" i="3" s="1"/>
  <c r="EF153" i="3" s="1"/>
  <c r="EE159" i="3"/>
  <c r="EE160" i="3" s="1"/>
  <c r="ED168" i="3"/>
  <c r="ED99" i="3"/>
  <c r="ED101" i="3" s="1"/>
  <c r="ED107" i="3" s="1"/>
  <c r="ED105" i="3" s="1"/>
  <c r="EF154" i="3" l="1"/>
  <c r="EF159" i="3" s="1"/>
  <c r="EF160" i="3" s="1"/>
  <c r="EE161" i="3"/>
  <c r="EE162" i="3" s="1"/>
  <c r="EF155" i="3" l="1"/>
  <c r="EG149" i="3" s="1"/>
  <c r="EG150" i="3" s="1"/>
  <c r="EF157" i="3"/>
  <c r="EF161" i="3"/>
  <c r="EF162" i="3" s="1"/>
  <c r="EE165" i="3"/>
  <c r="EE167" i="3"/>
  <c r="EE92" i="3" s="1"/>
  <c r="EE94" i="3" s="1"/>
  <c r="EG153" i="3" l="1"/>
  <c r="EG154" i="3"/>
  <c r="EF165" i="3"/>
  <c r="EF167" i="3"/>
  <c r="EF92" i="3" s="1"/>
  <c r="EF94" i="3" s="1"/>
  <c r="EE168" i="3"/>
  <c r="EE99" i="3"/>
  <c r="EE101" i="3" s="1"/>
  <c r="EE107" i="3" s="1"/>
  <c r="EE105" i="3" s="1"/>
  <c r="EG159" i="3"/>
  <c r="EG157" i="3"/>
  <c r="EG155" i="3" l="1"/>
  <c r="EH149" i="3" s="1"/>
  <c r="EH150" i="3" s="1"/>
  <c r="EH153" i="3" s="1"/>
  <c r="EF168" i="3"/>
  <c r="EF99" i="3"/>
  <c r="EF101" i="3" s="1"/>
  <c r="EF107" i="3" s="1"/>
  <c r="EF105" i="3" s="1"/>
  <c r="EG160" i="3"/>
  <c r="EG161" i="3" s="1"/>
  <c r="EG162" i="3" s="1"/>
  <c r="EH154" i="3" l="1"/>
  <c r="EH159" i="3" s="1"/>
  <c r="EG165" i="3"/>
  <c r="EG167" i="3"/>
  <c r="EG92" i="3" s="1"/>
  <c r="EG94" i="3" s="1"/>
  <c r="EH155" i="3" l="1"/>
  <c r="EI149" i="3" s="1"/>
  <c r="EI150" i="3" s="1"/>
  <c r="EI154" i="3" s="1"/>
  <c r="EH157" i="3"/>
  <c r="EG168" i="3"/>
  <c r="EH160" i="3"/>
  <c r="EH161" i="3" s="1"/>
  <c r="EH162" i="3" s="1"/>
  <c r="EG99" i="3"/>
  <c r="EG101" i="3" s="1"/>
  <c r="EG107" i="3" s="1"/>
  <c r="EG105" i="3" s="1"/>
  <c r="EH165" i="3" l="1"/>
  <c r="EH167" i="3"/>
  <c r="EH92" i="3" s="1"/>
  <c r="EH94" i="3" s="1"/>
  <c r="EI159" i="3"/>
  <c r="EI157" i="3"/>
  <c r="E157" i="3" s="1"/>
  <c r="EI153" i="3"/>
  <c r="EI155" i="3" s="1"/>
  <c r="EI160" i="3" l="1"/>
  <c r="EI161" i="3" s="1"/>
  <c r="EI162" i="3" s="1"/>
  <c r="EH168" i="3"/>
  <c r="EH99" i="3"/>
  <c r="EH101" i="3" s="1"/>
  <c r="EH107" i="3" s="1"/>
  <c r="EH105" i="3" s="1"/>
  <c r="EI167" i="3" l="1"/>
  <c r="EI92" i="3" s="1"/>
  <c r="EI165" i="3"/>
  <c r="EI168" i="3" l="1"/>
  <c r="EI94" i="3"/>
  <c r="E96" i="3"/>
  <c r="EI99" i="3"/>
  <c r="EI101" i="3" l="1"/>
  <c r="EI107" i="3" s="1"/>
  <c r="EI105" i="3" s="1"/>
  <c r="E103" i="3"/>
  <c r="E95" i="3"/>
  <c r="K23" i="32" s="1"/>
  <c r="E102" i="3" l="1"/>
  <c r="E107" i="3"/>
  <c r="E10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Cianci</author>
  </authors>
  <commentList>
    <comment ref="J179" authorId="0" shapeId="0" xr:uid="{1D918B3B-8D5B-41BA-85D9-22CB73BF4989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3% selling costs plus 1% Transfer tax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<sst xmlns="http://schemas.openxmlformats.org/spreadsheetml/2006/main" count="884" uniqueCount="418">
  <si>
    <t>Sources</t>
  </si>
  <si>
    <t>Total Sources</t>
  </si>
  <si>
    <t>Uses</t>
  </si>
  <si>
    <t>Total Uses</t>
  </si>
  <si>
    <t>Acquisition of Property</t>
  </si>
  <si>
    <t>Hard Costs</t>
  </si>
  <si>
    <t>Contingency</t>
  </si>
  <si>
    <t>Beg. Mo.</t>
  </si>
  <si>
    <t>End. Mo.</t>
  </si>
  <si>
    <t>Model Start</t>
  </si>
  <si>
    <t>Less: Selling Costs</t>
  </si>
  <si>
    <t>Retail Sale</t>
  </si>
  <si>
    <t>Retail Proceeds, net</t>
  </si>
  <si>
    <t>Multifamily Sale</t>
  </si>
  <si>
    <t>Multifamily Proceeds, net</t>
  </si>
  <si>
    <t>Multifamily NOI</t>
  </si>
  <si>
    <t>Retail Income</t>
  </si>
  <si>
    <t>Retail NOI</t>
  </si>
  <si>
    <t>Closing Costs</t>
  </si>
  <si>
    <t>Total Legal and Pre-Development Costs</t>
  </si>
  <si>
    <t>Total Closing Costs</t>
  </si>
  <si>
    <t>Property Taxes</t>
  </si>
  <si>
    <t>Demo</t>
  </si>
  <si>
    <t>Buildable SF</t>
  </si>
  <si>
    <t>Total Project Costs</t>
  </si>
  <si>
    <t>Rate</t>
  </si>
  <si>
    <t>Closing on Property</t>
  </si>
  <si>
    <t>Total Unlevered Cash Flow</t>
  </si>
  <si>
    <t>Sponsor Equity</t>
  </si>
  <si>
    <t>LP Equity</t>
  </si>
  <si>
    <t>Ownership Splits</t>
  </si>
  <si>
    <t>Total Equity</t>
  </si>
  <si>
    <t>Beginning Balance</t>
  </si>
  <si>
    <t>Draw</t>
  </si>
  <si>
    <t>Paydown</t>
  </si>
  <si>
    <t>Ending Balance</t>
  </si>
  <si>
    <t>1-month Term SOFR</t>
  </si>
  <si>
    <t>Date</t>
  </si>
  <si>
    <t>For the latest rates, please visit:</t>
  </si>
  <si>
    <t>https://chathamdirect.com/rates</t>
  </si>
  <si>
    <t>1-Month SOFR</t>
  </si>
  <si>
    <t>Interest Due</t>
  </si>
  <si>
    <t>All-in Rate</t>
  </si>
  <si>
    <t>Permanent Loan</t>
  </si>
  <si>
    <t>Leasing Assumptions</t>
  </si>
  <si>
    <t>Units</t>
  </si>
  <si>
    <t>Monthly Fee</t>
  </si>
  <si>
    <t>Monthly</t>
  </si>
  <si>
    <t>Annual</t>
  </si>
  <si>
    <t>Total Amenity Income</t>
  </si>
  <si>
    <t>Total Rental Income</t>
  </si>
  <si>
    <t>Free Month's Rent</t>
  </si>
  <si>
    <t>Broker Fee</t>
  </si>
  <si>
    <t>Assumed Lease Term</t>
  </si>
  <si>
    <t>Bad Debt</t>
  </si>
  <si>
    <t>Vacancy</t>
  </si>
  <si>
    <t>Ongoing Lease-up</t>
  </si>
  <si>
    <t>Seasoning Period Post Stabilization</t>
  </si>
  <si>
    <t>Refinancing Month</t>
  </si>
  <si>
    <t>Max Loan as Lesser of…</t>
  </si>
  <si>
    <t>DSCR Min.</t>
  </si>
  <si>
    <t>Max Perm. Loan</t>
  </si>
  <si>
    <t>Rental Assumptions</t>
  </si>
  <si>
    <t>Expense Inflation</t>
  </si>
  <si>
    <t>Amenity Inflation</t>
  </si>
  <si>
    <t>Units Leased per Month</t>
  </si>
  <si>
    <t>Timeline</t>
  </si>
  <si>
    <t>Amenity Income</t>
  </si>
  <si>
    <t>Rent Inflation Factor</t>
  </si>
  <si>
    <t>Amenity Inflation Factor</t>
  </si>
  <si>
    <t>Gross Potential Rent</t>
  </si>
  <si>
    <t>Effective Gross Income</t>
  </si>
  <si>
    <t>Ongoing Lease-up Cost</t>
  </si>
  <si>
    <t>Annual Turnover</t>
  </si>
  <si>
    <t>Operating Expenses</t>
  </si>
  <si>
    <t>Insurance</t>
  </si>
  <si>
    <t>CAM</t>
  </si>
  <si>
    <t>Property Management</t>
  </si>
  <si>
    <t>Reserves</t>
  </si>
  <si>
    <t>Repairs &amp; Maintenance</t>
  </si>
  <si>
    <t>Usage</t>
  </si>
  <si>
    <t>Utilization   x</t>
  </si>
  <si>
    <t>Units    =</t>
  </si>
  <si>
    <t>Net Rentable SF</t>
  </si>
  <si>
    <t>Efficiency</t>
  </si>
  <si>
    <t>Retail</t>
  </si>
  <si>
    <t>Total Operating Expenses</t>
  </si>
  <si>
    <t>CapEx</t>
  </si>
  <si>
    <t>Total CapEx</t>
  </si>
  <si>
    <t>Expenses Inflation Factor</t>
  </si>
  <si>
    <t>General Property Assumptions</t>
  </si>
  <si>
    <t>Origination</t>
  </si>
  <si>
    <t>Base Retail Income</t>
  </si>
  <si>
    <t>Suite</t>
  </si>
  <si>
    <t>Lease Start</t>
  </si>
  <si>
    <t>SF</t>
  </si>
  <si>
    <t>Tenant</t>
  </si>
  <si>
    <t>[Retail Tenant]</t>
  </si>
  <si>
    <t>Total Base Retail Income</t>
  </si>
  <si>
    <t>Rent Start</t>
  </si>
  <si>
    <t>Annual Bumps</t>
  </si>
  <si>
    <t>Rent / SF / Yr.</t>
  </si>
  <si>
    <t>Annual Rent (Yr. 1)</t>
  </si>
  <si>
    <t>Recovery Income</t>
  </si>
  <si>
    <t>Total Recovery Income</t>
  </si>
  <si>
    <t>Retail Operating Expenses</t>
  </si>
  <si>
    <t>Management Fee</t>
  </si>
  <si>
    <t>Total Retail Operating Expenses</t>
  </si>
  <si>
    <t>Per SF / Yr.</t>
  </si>
  <si>
    <t>Pro Rata Share</t>
  </si>
  <si>
    <t>Annual Recovery</t>
  </si>
  <si>
    <t>Rec. / SF / Yr.</t>
  </si>
  <si>
    <t>Less: Vacancy and Bad Debt</t>
  </si>
  <si>
    <t>Effective Gross Retail Income</t>
  </si>
  <si>
    <t>Tenant Improvements</t>
  </si>
  <si>
    <t>Origination Fee</t>
  </si>
  <si>
    <t>Max Loan Size</t>
  </si>
  <si>
    <t>Renewal Probability</t>
  </si>
  <si>
    <t>Retail Rent</t>
  </si>
  <si>
    <t>New Lease</t>
  </si>
  <si>
    <t>Renewal Lease</t>
  </si>
  <si>
    <t>TI's</t>
  </si>
  <si>
    <t>Leasing Commissions</t>
  </si>
  <si>
    <t>Lease Term</t>
  </si>
  <si>
    <t>Total Leasing Costs</t>
  </si>
  <si>
    <t>Annualized Leasing Costs</t>
  </si>
  <si>
    <t>Total Leasing Cost Reserves</t>
  </si>
  <si>
    <t>Statistic</t>
  </si>
  <si>
    <t>Factor</t>
  </si>
  <si>
    <t>Occ.</t>
  </si>
  <si>
    <t>Gross Potential Retail Income</t>
  </si>
  <si>
    <t>Recovery Start</t>
  </si>
  <si>
    <t>Less: CapEx</t>
  </si>
  <si>
    <t>Multifamily Cash Flow</t>
  </si>
  <si>
    <t>Total Multifamily CapEx</t>
  </si>
  <si>
    <t>Retail Leasing Cost Reserves</t>
  </si>
  <si>
    <t>Less: Leasing Cost Reserves</t>
  </si>
  <si>
    <t>Retail Cash Flow</t>
  </si>
  <si>
    <t>Total Retail Leasing Cost Reserves</t>
  </si>
  <si>
    <t>Capital Expenditures: Multifamily</t>
  </si>
  <si>
    <t>Capital Expenditures: Retail</t>
  </si>
  <si>
    <t>Equity In</t>
  </si>
  <si>
    <t>Profit</t>
  </si>
  <si>
    <t>Unlevered IRR</t>
  </si>
  <si>
    <t>Unlevered MOIC</t>
  </si>
  <si>
    <t>Acquisition Fee</t>
  </si>
  <si>
    <t>Appraisal</t>
  </si>
  <si>
    <t>Expense Growth</t>
  </si>
  <si>
    <t>SOFR Spread at Origination</t>
  </si>
  <si>
    <t>Fixed Interest Rate</t>
  </si>
  <si>
    <t>Total Property NOI</t>
  </si>
  <si>
    <t>Permanent Loan Issued?</t>
  </si>
  <si>
    <t>Legal Closing Costs</t>
  </si>
  <si>
    <t>Interest Expense</t>
  </si>
  <si>
    <t>Permanent Loan Interest Rate</t>
  </si>
  <si>
    <t>Exit Assumptions</t>
  </si>
  <si>
    <t>Multifamily</t>
  </si>
  <si>
    <t>Implied Asset Value</t>
  </si>
  <si>
    <t>Applied Exit Cap Rate</t>
  </si>
  <si>
    <t>Net Reversion Proceeds</t>
  </si>
  <si>
    <t>NTM NOI</t>
  </si>
  <si>
    <t>$ / Unit</t>
  </si>
  <si>
    <t>$ / SF</t>
  </si>
  <si>
    <t>Total Levered Project Cash Flows</t>
  </si>
  <si>
    <t>Levered IRR</t>
  </si>
  <si>
    <t>Levered MOIC</t>
  </si>
  <si>
    <t>$</t>
  </si>
  <si>
    <t>%</t>
  </si>
  <si>
    <t>Acquisition Price</t>
  </si>
  <si>
    <t>Waterfall</t>
  </si>
  <si>
    <t>LP</t>
  </si>
  <si>
    <t>GP</t>
  </si>
  <si>
    <t>Allocation</t>
  </si>
  <si>
    <t>Preferred</t>
  </si>
  <si>
    <t>Hurdle 1</t>
  </si>
  <si>
    <t>Hurdle 2</t>
  </si>
  <si>
    <t>Hurdle 3</t>
  </si>
  <si>
    <t>Hurdle</t>
  </si>
  <si>
    <t>x</t>
  </si>
  <si>
    <t>Distributions</t>
  </si>
  <si>
    <t>Contributions</t>
  </si>
  <si>
    <t>Net Cash Flows</t>
  </si>
  <si>
    <t>IRR</t>
  </si>
  <si>
    <t>Equity Multiple</t>
  </si>
  <si>
    <t>LP Preferred</t>
  </si>
  <si>
    <t>Preferred Accrual</t>
  </si>
  <si>
    <t>LP Equity Draw</t>
  </si>
  <si>
    <t>Preferred Paydown</t>
  </si>
  <si>
    <t>Preferred Ending Balance</t>
  </si>
  <si>
    <t>Preferred IRR Check</t>
  </si>
  <si>
    <t>Total Paid on Preferred Units</t>
  </si>
  <si>
    <t>Cash Flow Remaining</t>
  </si>
  <si>
    <t>Promote 1 Distribution to GP</t>
  </si>
  <si>
    <t>Beginning Balance LP</t>
  </si>
  <si>
    <t>Required Return</t>
  </si>
  <si>
    <t>Prior Distributions</t>
  </si>
  <si>
    <t>Ending Balance After Promote</t>
  </si>
  <si>
    <t>LP Distributions</t>
  </si>
  <si>
    <t>GP Distributions</t>
  </si>
  <si>
    <t>Total Hurdle 1 Distributions</t>
  </si>
  <si>
    <t>Total Hurdle 2 Distributions</t>
  </si>
  <si>
    <t>Promote Distrbiutions to GP</t>
  </si>
  <si>
    <t>Total Distributions</t>
  </si>
  <si>
    <t>Check</t>
  </si>
  <si>
    <t>Net Project CF</t>
  </si>
  <si>
    <t>Net Partnership CF</t>
  </si>
  <si>
    <t>Equity Draws</t>
  </si>
  <si>
    <t>Cumulative Equity Drawn</t>
  </si>
  <si>
    <t>LP Net Returns</t>
  </si>
  <si>
    <t>GP Net Returns</t>
  </si>
  <si>
    <t>AUM Fee to GP</t>
  </si>
  <si>
    <t>Effective Gross Income - MF</t>
  </si>
  <si>
    <t>Effective Gross Income - Retail</t>
  </si>
  <si>
    <t>Total Effective Gross Income</t>
  </si>
  <si>
    <t>Required DSCR Minimum</t>
  </si>
  <si>
    <t>Max Loan Size Based on DSCR</t>
  </si>
  <si>
    <t>Max Loan Size Based on LTC</t>
  </si>
  <si>
    <t>Interest Reserve</t>
  </si>
  <si>
    <t>Total Property NTM NOI</t>
  </si>
  <si>
    <t>Title Insurance</t>
  </si>
  <si>
    <t>Total Hard Costs</t>
  </si>
  <si>
    <t>Inspection</t>
  </si>
  <si>
    <t>Transfer Fees</t>
  </si>
  <si>
    <t>Loan Processing Fees</t>
  </si>
  <si>
    <t>Filing and Recording Fees</t>
  </si>
  <si>
    <t>Escrow / Prepaid: Insurance</t>
  </si>
  <si>
    <t>Escrow / Prepaid: Property Taxes</t>
  </si>
  <si>
    <t>Business Formation, Partnership Legal</t>
  </si>
  <si>
    <t>Fees, Permits</t>
  </si>
  <si>
    <t>Pest Control</t>
  </si>
  <si>
    <t>LTC on Property</t>
  </si>
  <si>
    <t>LTC on Hard Costs</t>
  </si>
  <si>
    <t>Acquisition Financing</t>
  </si>
  <si>
    <t>Current Rent</t>
  </si>
  <si>
    <t>Sq. Ft.</t>
  </si>
  <si>
    <t>Market Rent Assumptions</t>
  </si>
  <si>
    <t>Water / Sewer</t>
  </si>
  <si>
    <t>Period</t>
  </si>
  <si>
    <t>Vacated</t>
  </si>
  <si>
    <t>Start</t>
  </si>
  <si>
    <t>Rehab Time</t>
  </si>
  <si>
    <t>Lease-up Time</t>
  </si>
  <si>
    <t>Current Rent / Unit</t>
  </si>
  <si>
    <t>Pro Forma Rent / Unit</t>
  </si>
  <si>
    <t>Accounting / Legal</t>
  </si>
  <si>
    <t>Less: Income Offset</t>
  </si>
  <si>
    <t>Perm Loan Draw</t>
  </si>
  <si>
    <t>Financable Costs</t>
  </si>
  <si>
    <t>Remaining Costs</t>
  </si>
  <si>
    <t>Interest Expense, net</t>
  </si>
  <si>
    <t>Costs to Equity, Before Interest</t>
  </si>
  <si>
    <t>Cash Flow Before Perm Loan Interest</t>
  </si>
  <si>
    <t>Cash Reserve: Debt Service</t>
  </si>
  <si>
    <t>Cash Reserve: Mechanicals</t>
  </si>
  <si>
    <t>Cash Reserve: Roof</t>
  </si>
  <si>
    <t>Storage</t>
  </si>
  <si>
    <t>Debt Yield Min.</t>
  </si>
  <si>
    <t>LTV Max</t>
  </si>
  <si>
    <t>Principal Paydown</t>
  </si>
  <si>
    <t>Amortization</t>
  </si>
  <si>
    <t>Loan Constant</t>
  </si>
  <si>
    <t>Month</t>
  </si>
  <si>
    <t>Beg. Bal.</t>
  </si>
  <si>
    <t>Principal</t>
  </si>
  <si>
    <t>Interest</t>
  </si>
  <si>
    <t>End. Bal.</t>
  </si>
  <si>
    <t>Loan Draws</t>
  </si>
  <si>
    <t>Offer</t>
  </si>
  <si>
    <t>Terms</t>
  </si>
  <si>
    <t>Price</t>
  </si>
  <si>
    <t>Loan Factor</t>
  </si>
  <si>
    <t>Perm Loan Proceeds net of fees</t>
  </si>
  <si>
    <t>Plus: DSCR Loan Interest Expense</t>
  </si>
  <si>
    <t>Cash Available for DSCR Loan Paydown</t>
  </si>
  <si>
    <t>Stabilized Yield on Cost</t>
  </si>
  <si>
    <t>Max DSCR Loan</t>
  </si>
  <si>
    <t>Parking</t>
  </si>
  <si>
    <t>Year 1 NOI</t>
  </si>
  <si>
    <t>Seller's NOI</t>
  </si>
  <si>
    <t>Change in NOI</t>
  </si>
  <si>
    <t>Exit Cap Rate on Multifamily</t>
  </si>
  <si>
    <t>Cash-on-Cash</t>
  </si>
  <si>
    <t>Landscaping / Snow Removal</t>
  </si>
  <si>
    <t>Re-Stabilization Occurs</t>
  </si>
  <si>
    <t>Turnover Costs</t>
  </si>
  <si>
    <t>Broker's PF Rent Roll</t>
  </si>
  <si>
    <t>Underwriting PF Rent Roll</t>
  </si>
  <si>
    <t>Change in Rent Roll</t>
  </si>
  <si>
    <t>Stabilized NOI</t>
  </si>
  <si>
    <t>Leasing Cost Reserves</t>
  </si>
  <si>
    <t>Financing Fees: Acquisition Loan</t>
  </si>
  <si>
    <t>Proceeds from Cashout</t>
  </si>
  <si>
    <t>Layout</t>
  </si>
  <si>
    <t>Studio</t>
  </si>
  <si>
    <t>Commercial Tenant</t>
  </si>
  <si>
    <t>Unit Rehabs</t>
  </si>
  <si>
    <t>Heat (Gas)</t>
  </si>
  <si>
    <t>Common Area Electric</t>
  </si>
  <si>
    <t>Going-in Cash-on-Cash</t>
  </si>
  <si>
    <t>Ask</t>
  </si>
  <si>
    <t>Cost Segregation Study</t>
  </si>
  <si>
    <t>Re-leased Cash-on-Cash</t>
  </si>
  <si>
    <t>Laundry</t>
  </si>
  <si>
    <t>Cash Reserve: Cash for Keys</t>
  </si>
  <si>
    <t>Diligence Questions</t>
  </si>
  <si>
    <t>Notes</t>
  </si>
  <si>
    <t>Offer 1</t>
  </si>
  <si>
    <t>Total Reserves</t>
  </si>
  <si>
    <t>Annual PF Rent</t>
  </si>
  <si>
    <t>Net Operating Income, After Reserves</t>
  </si>
  <si>
    <t>Unlevered ROI</t>
  </si>
  <si>
    <t>Environmental Testing (Tank Sweep)</t>
  </si>
  <si>
    <t>Purchcase Price</t>
  </si>
  <si>
    <t>Acquisition Loan</t>
  </si>
  <si>
    <t>Underwriting Assumptions</t>
  </si>
  <si>
    <t>Current Rent Roll</t>
  </si>
  <si>
    <t>Less: Vacancy, Turnover, Bad Debt</t>
  </si>
  <si>
    <t>5% Vacancy + 20% Turnover</t>
  </si>
  <si>
    <t>Estimate</t>
  </si>
  <si>
    <t>Operating Expense Margin</t>
  </si>
  <si>
    <t>Net Operating Income</t>
  </si>
  <si>
    <t>Net Operating Income Summary</t>
  </si>
  <si>
    <t>Yield on Cost</t>
  </si>
  <si>
    <t>Total Property NOI, net of reserves</t>
  </si>
  <si>
    <t>Rental Income</t>
  </si>
  <si>
    <t>Net Cash Flow to Partnerships</t>
  </si>
  <si>
    <t>CASH FLOW</t>
  </si>
  <si>
    <t>Closing</t>
  </si>
  <si>
    <t>Acquisition Loan Draw</t>
  </si>
  <si>
    <t>Acqusition Loan Debt Service</t>
  </si>
  <si>
    <t>Acqusition Loan Paydown</t>
  </si>
  <si>
    <t>Refi Loan Draw</t>
  </si>
  <si>
    <t>Refi Loan Debt Service</t>
  </si>
  <si>
    <t>Refi Loan Paydown</t>
  </si>
  <si>
    <t>Exit Proceeds</t>
  </si>
  <si>
    <t>Levered Cash Flow</t>
  </si>
  <si>
    <t>Total Equity Invested</t>
  </si>
  <si>
    <t>Unlevered Returns</t>
  </si>
  <si>
    <t>Totel Equity Returned</t>
  </si>
  <si>
    <t>Levered Gross Returns</t>
  </si>
  <si>
    <t>Gross Profit</t>
  </si>
  <si>
    <t>Levered Net Returns</t>
  </si>
  <si>
    <t>Exit Cap Rate</t>
  </si>
  <si>
    <t>Implied Valuation</t>
  </si>
  <si>
    <t>Gross Returns</t>
  </si>
  <si>
    <t>Loss-to-Lease</t>
  </si>
  <si>
    <t>on Ask Price</t>
  </si>
  <si>
    <t>1BR</t>
  </si>
  <si>
    <t>2BR</t>
  </si>
  <si>
    <t>3BR</t>
  </si>
  <si>
    <t>Plus: Hard Cost Advance</t>
  </si>
  <si>
    <t>Borrower's Legal for Financing</t>
  </si>
  <si>
    <t>Lender's Legal for Financing</t>
  </si>
  <si>
    <t>Broker</t>
  </si>
  <si>
    <t>PCG PM Fee</t>
  </si>
  <si>
    <t>Dumpsters and Permits</t>
  </si>
  <si>
    <t>Exterior Façade</t>
  </si>
  <si>
    <t>Common Area Refresh</t>
  </si>
  <si>
    <t>Security, Internet</t>
  </si>
  <si>
    <t>Bridge Loan</t>
  </si>
  <si>
    <t>Bridge Loan Interest Rate</t>
  </si>
  <si>
    <t>Draws</t>
  </si>
  <si>
    <t>Loan Size at Closing</t>
  </si>
  <si>
    <t>Pro Forma Rent Roll</t>
  </si>
  <si>
    <t>Laundry Currently</t>
  </si>
  <si>
    <t>Estimate (NEW)</t>
  </si>
  <si>
    <t>Cleaning</t>
  </si>
  <si>
    <t>B</t>
  </si>
  <si>
    <t>3BR / 2BA</t>
  </si>
  <si>
    <t>4BR</t>
  </si>
  <si>
    <t>Super (Payroll)</t>
  </si>
  <si>
    <t>Storage Buildout</t>
  </si>
  <si>
    <t>Application Fee</t>
  </si>
  <si>
    <t>Bank fees</t>
  </si>
  <si>
    <t>Green Card Repairs</t>
  </si>
  <si>
    <t>Roof repair</t>
  </si>
  <si>
    <t>Mechancial repairs</t>
  </si>
  <si>
    <t>Parking lot seal cracks</t>
  </si>
  <si>
    <t>Max Months of Lease-Up</t>
  </si>
  <si>
    <t>Yes</t>
  </si>
  <si>
    <t>Lender's Minimum Required Interest Reserve</t>
  </si>
  <si>
    <t>Vacate=1
Step-up=2</t>
  </si>
  <si>
    <t>1B</t>
  </si>
  <si>
    <t>Unit Name</t>
  </si>
  <si>
    <t>Gym / Amenity Space</t>
  </si>
  <si>
    <t>[This is a space to take notes on the deal]</t>
  </si>
  <si>
    <t>[This is a space to record diligence questions / items on the deal]</t>
  </si>
  <si>
    <t>Trash</t>
  </si>
  <si>
    <t>Origination Cost (Includes Title)</t>
  </si>
  <si>
    <t>Re-Leased</t>
  </si>
  <si>
    <t>123 Main St. New York, NY</t>
  </si>
  <si>
    <t>Picture</t>
  </si>
  <si>
    <t>Address</t>
  </si>
  <si>
    <t>Going-in Cap Rate</t>
  </si>
  <si>
    <t>Rent Type</t>
  </si>
  <si>
    <t>Fair Market</t>
  </si>
  <si>
    <t>Rent Control</t>
  </si>
  <si>
    <t>Rent Stabilized</t>
  </si>
  <si>
    <t>Growth Rates</t>
  </si>
  <si>
    <t>Pro Forma $ Rent</t>
  </si>
  <si>
    <t>Pro Forma $ / SF</t>
  </si>
  <si>
    <t>Avg. Current Rent</t>
  </si>
  <si>
    <t>Avg. Current $ / SF</t>
  </si>
  <si>
    <t>Avg. Pro Forma $ Rent</t>
  </si>
  <si>
    <t>Avg. Pro Forma $ / SF</t>
  </si>
  <si>
    <t>Growth Rate</t>
  </si>
  <si>
    <t>Rent Roll</t>
  </si>
  <si>
    <t>Units Vacant</t>
  </si>
  <si>
    <t>Units Leased</t>
  </si>
  <si>
    <t>New Leases Started</t>
  </si>
  <si>
    <t>Fee</t>
  </si>
  <si>
    <t>Utilization</t>
  </si>
  <si>
    <t>Stats</t>
  </si>
  <si>
    <t>Pro Forma Rent</t>
  </si>
  <si>
    <t>Growth Rates by Rent Type</t>
  </si>
  <si>
    <t>Legal and Setup Costs</t>
  </si>
  <si>
    <t>Unit Count</t>
  </si>
  <si>
    <t>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</si>
</sst>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Month&quot;\ 0"/>
    <numFmt numFmtId="165" formatCode="0.0%"/>
    <numFmt numFmtId="166" formatCode="&quot;Year&quot;\ 0"/>
    <numFmt numFmtId="167" formatCode="m/d/yy;@"/>
    <numFmt numFmtId="168" formatCode="#,##0;\(#,##0\);&quot;-&quot;_)"/>
    <numFmt numFmtId="169" formatCode="&quot;$&quot;#,##0\ &quot;/ sf&quot;"/>
    <numFmt numFmtId="170" formatCode="#,##0\ &quot;sf&quot;"/>
    <numFmt numFmtId="171" formatCode="0\ &quot;Months&quot;"/>
    <numFmt numFmtId="172" formatCode="0.00\x"/>
    <numFmt numFmtId="173" formatCode="0\ &quot;Units&quot;"/>
    <numFmt numFmtId="174" formatCode="0.000"/>
    <numFmt numFmtId="175" formatCode="0.0%\ &quot;of EGI&quot;"/>
    <numFmt numFmtId="176" formatCode="&quot;$&quot;#,##0.00\ &quot;/ SF&quot;"/>
    <numFmt numFmtId="177" formatCode="&quot;$&quot;#,##0\ &quot;per&quot;"/>
    <numFmt numFmtId="178" formatCode="0.000%"/>
    <numFmt numFmtId="179" formatCode="0\ &quot;Years&quot;"/>
    <numFmt numFmtId="180" formatCode="&quot;S+&quot;\ #,##0&quot;bps&quot;"/>
    <numFmt numFmtId="181" formatCode="0.0\ &quot;Months&quot;"/>
    <numFmt numFmtId="182" formatCode="#,##0\ &quot;/ unit&quot;"/>
    <numFmt numFmtId="183" formatCode="&quot;Unit&quot;\ 0"/>
    <numFmt numFmtId="184" formatCode="0\ &quot;years&quot;"/>
    <numFmt numFmtId="185" formatCode="0.0%;\(0.0%\)"/>
    <numFmt numFmtId="186" formatCode="&quot;&quot;"/>
    <numFmt numFmtId="187" formatCode="0.00%\ &quot;of EGI&quot;"/>
    <numFmt numFmtId="188" formatCode="#,##0.00;\(#,##0.00\);&quot;-&quot;_)"/>
    <numFmt numFmtId="189" formatCode="\+#,##0;\(#,##0\);&quot;-&quot;_)"/>
    <numFmt numFmtId="190" formatCode="_(* #,##0_);_(* \(#,##0\);_(* &quot;-&quot;??_);_(@_)"/>
    <numFmt numFmtId="193" formatCode="&quot;$&quot;#,##0.00_);\(&quot;$&quot;#,##0.00\);&quot;-&quot;_)"/>
    <numFmt numFmtId="195" formatCode="#,##0.000_);\(#,##0.000\)"/>
  </numFmts>
  <fonts count="52" x14ac:knownFonts="1">
    <font>
      <sz val="11"/>
      <color theme="1"/>
      <name val="Aptos Narrow"/>
      <family val="2"/>
      <scheme val="minor"/>
    </font>
    <font>
      <sz val="10"/>
      <color theme="1"/>
      <name val="Arial Nova Cond"/>
      <family val="2"/>
    </font>
    <font>
      <b/>
      <sz val="10"/>
      <color theme="1"/>
      <name val="Arial Nova Cond"/>
      <family val="2"/>
    </font>
    <font>
      <sz val="10"/>
      <color rgb="FF0000FF"/>
      <name val="Arial Nova Cond"/>
      <family val="2"/>
    </font>
    <font>
      <sz val="11"/>
      <color theme="1"/>
      <name val="Aptos Narrow"/>
      <family val="2"/>
      <scheme val="minor"/>
    </font>
    <font>
      <sz val="10"/>
      <name val="Arial Nova Cond"/>
      <family val="2"/>
    </font>
    <font>
      <b/>
      <sz val="10"/>
      <name val="Arial Nova Cond"/>
      <family val="2"/>
    </font>
    <font>
      <sz val="10"/>
      <color theme="1"/>
      <name val="Arial"/>
      <family val="2"/>
    </font>
    <font>
      <sz val="20"/>
      <color rgb="FF003C78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1"/>
      <color rgb="FF007CBA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theme="1"/>
      <name val="Arial Nova Cond"/>
      <family val="2"/>
    </font>
    <font>
      <sz val="10"/>
      <color rgb="FF0000FF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 Nova Cond"/>
      <family val="2"/>
    </font>
    <font>
      <b/>
      <sz val="11"/>
      <color theme="1"/>
      <name val="Aptos Narrow"/>
      <family val="2"/>
      <scheme val="minor"/>
    </font>
    <font>
      <sz val="10"/>
      <color rgb="FF00B050"/>
      <name val="Arial Nova Cond"/>
      <family val="2"/>
    </font>
    <font>
      <b/>
      <i/>
      <sz val="10"/>
      <color theme="1"/>
      <name val="Arial Nova Cond"/>
      <family val="2"/>
    </font>
    <font>
      <sz val="8"/>
      <name val="Aptos Narrow"/>
      <family val="2"/>
      <scheme val="minor"/>
    </font>
    <font>
      <sz val="11"/>
      <color rgb="FF0000FF"/>
      <name val="Arial Nova Cond"/>
      <family val="2"/>
    </font>
    <font>
      <sz val="11"/>
      <color theme="1"/>
      <name val="Arial Nova Cond"/>
      <family val="2"/>
    </font>
    <font>
      <b/>
      <sz val="10"/>
      <color theme="1"/>
      <name val="Arial Nova Cond"/>
      <family val="2"/>
    </font>
    <font>
      <i/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5"/>
      <name val="Aptos Narrow"/>
      <family val="2"/>
      <scheme val="minor"/>
    </font>
    <font>
      <i/>
      <sz val="5"/>
      <color theme="1"/>
      <name val="Aptos Narrow"/>
      <family val="2"/>
      <scheme val="minor"/>
    </font>
    <font>
      <b/>
      <sz val="10"/>
      <color theme="0"/>
      <name val="Arial Nova Cond"/>
      <family val="2"/>
    </font>
    <font>
      <i/>
      <sz val="10"/>
      <name val="Arial Nova Cond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FF0000"/>
      <name val="Arial Nova Cond"/>
      <family val="2"/>
    </font>
    <font>
      <b/>
      <i/>
      <sz val="10"/>
      <color rgb="FFFF0000"/>
      <name val="Arial Nova Cond"/>
      <family val="2"/>
    </font>
    <font>
      <b/>
      <u/>
      <sz val="10"/>
      <color rgb="FF0000FF"/>
      <name val="Arial Nova Cond"/>
      <family val="2"/>
    </font>
    <font>
      <i/>
      <sz val="8"/>
      <color theme="1"/>
      <name val="Arial Nova Cond"/>
      <family val="2"/>
    </font>
    <font>
      <b/>
      <sz val="8"/>
      <color theme="1"/>
      <name val="Arial Nova Cond"/>
      <family val="2"/>
    </font>
    <font>
      <sz val="8"/>
      <color theme="1"/>
      <name val="Arial Nova Cond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43" fillId="0" borderId="0"/>
    <xf numFmtId="0" fontId="44" fillId="0" borderId="0"/>
    <xf numFmtId="9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5" fillId="0" borderId="0"/>
    <xf numFmtId="44" fontId="4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8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7" fontId="1" fillId="0" borderId="1" xfId="0" applyNumberFormat="1" applyFont="1" applyBorder="1" applyAlignment="1">
      <alignment vertical="center"/>
    </xf>
    <xf numFmtId="37" fontId="1" fillId="0" borderId="0" xfId="0" applyNumberFormat="1" applyFont="1" applyAlignment="1">
      <alignment vertical="center"/>
    </xf>
    <xf numFmtId="37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37" fontId="3" fillId="0" borderId="0" xfId="0" applyNumberFormat="1" applyFont="1" applyAlignment="1">
      <alignment vertical="center"/>
    </xf>
    <xf numFmtId="37" fontId="1" fillId="0" borderId="2" xfId="0" applyNumberFormat="1" applyFont="1" applyBorder="1" applyAlignment="1">
      <alignment vertical="center"/>
    </xf>
    <xf numFmtId="37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37" fontId="5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8" fontId="5" fillId="0" borderId="2" xfId="0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1" fillId="0" borderId="2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8" fillId="0" borderId="0" xfId="2" applyFont="1"/>
    <xf numFmtId="0" fontId="7" fillId="0" borderId="0" xfId="2"/>
    <xf numFmtId="14" fontId="9" fillId="0" borderId="0" xfId="2" applyNumberFormat="1" applyFont="1" applyAlignment="1">
      <alignment horizontal="left"/>
    </xf>
    <xf numFmtId="0" fontId="10" fillId="3" borderId="3" xfId="2" applyFont="1" applyFill="1" applyBorder="1" applyAlignment="1">
      <alignment horizontal="right"/>
    </xf>
    <xf numFmtId="14" fontId="9" fillId="0" borderId="3" xfId="2" applyNumberFormat="1" applyFont="1" applyBorder="1" applyAlignment="1">
      <alignment horizontal="right"/>
    </xf>
    <xf numFmtId="10" fontId="9" fillId="0" borderId="3" xfId="2" applyNumberFormat="1" applyFont="1" applyBorder="1" applyAlignment="1">
      <alignment horizontal="right"/>
    </xf>
    <xf numFmtId="14" fontId="9" fillId="3" borderId="3" xfId="2" applyNumberFormat="1" applyFont="1" applyFill="1" applyBorder="1" applyAlignment="1">
      <alignment horizontal="right"/>
    </xf>
    <xf numFmtId="10" fontId="9" fillId="3" borderId="3" xfId="2" applyNumberFormat="1" applyFont="1" applyFill="1" applyBorder="1" applyAlignment="1">
      <alignment horizontal="right"/>
    </xf>
    <xf numFmtId="0" fontId="9" fillId="0" borderId="0" xfId="2" applyFont="1"/>
    <xf numFmtId="0" fontId="11" fillId="0" borderId="0" xfId="2" applyFont="1"/>
    <xf numFmtId="167" fontId="7" fillId="0" borderId="0" xfId="2" applyNumberFormat="1"/>
    <xf numFmtId="10" fontId="1" fillId="0" borderId="0" xfId="1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3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7" fontId="5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8" fontId="3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37" fontId="2" fillId="2" borderId="2" xfId="0" applyNumberFormat="1" applyFont="1" applyFill="1" applyBorder="1" applyAlignment="1">
      <alignment horizontal="center" vertical="center"/>
    </xf>
    <xf numFmtId="37" fontId="2" fillId="2" borderId="2" xfId="0" applyNumberFormat="1" applyFont="1" applyFill="1" applyBorder="1" applyAlignment="1">
      <alignment horizontal="right" vertical="center"/>
    </xf>
    <xf numFmtId="9" fontId="3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165" fontId="1" fillId="0" borderId="2" xfId="1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5" fontId="12" fillId="0" borderId="0" xfId="1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73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1" applyNumberFormat="1" applyFont="1" applyAlignment="1">
      <alignment vertical="center"/>
    </xf>
    <xf numFmtId="0" fontId="13" fillId="0" borderId="2" xfId="0" applyFont="1" applyBorder="1" applyAlignment="1">
      <alignment vertical="center"/>
    </xf>
    <xf numFmtId="168" fontId="13" fillId="0" borderId="2" xfId="0" applyNumberFormat="1" applyFont="1" applyBorder="1" applyAlignment="1">
      <alignment vertical="center"/>
    </xf>
    <xf numFmtId="165" fontId="1" fillId="0" borderId="0" xfId="1" applyNumberFormat="1" applyFont="1" applyBorder="1" applyAlignment="1">
      <alignment vertical="center"/>
    </xf>
    <xf numFmtId="5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37" fontId="1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8" fontId="1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7" fontId="16" fillId="0" borderId="0" xfId="0" applyNumberFormat="1" applyFont="1" applyAlignment="1">
      <alignment vertical="center"/>
    </xf>
    <xf numFmtId="0" fontId="12" fillId="0" borderId="2" xfId="0" applyFont="1" applyBorder="1" applyAlignment="1">
      <alignment vertical="center"/>
    </xf>
    <xf numFmtId="168" fontId="12" fillId="0" borderId="2" xfId="0" applyNumberFormat="1" applyFont="1" applyBorder="1" applyAlignment="1">
      <alignment vertical="center"/>
    </xf>
    <xf numFmtId="170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 vertical="center"/>
    </xf>
    <xf numFmtId="7" fontId="13" fillId="0" borderId="2" xfId="0" applyNumberFormat="1" applyFont="1" applyBorder="1" applyAlignment="1">
      <alignment vertical="center"/>
    </xf>
    <xf numFmtId="165" fontId="16" fillId="0" borderId="0" xfId="1" applyNumberFormat="1" applyFont="1" applyAlignment="1">
      <alignment horizontal="right" vertical="center"/>
    </xf>
    <xf numFmtId="165" fontId="13" fillId="0" borderId="2" xfId="1" applyNumberFormat="1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7" fontId="16" fillId="0" borderId="2" xfId="0" applyNumberFormat="1" applyFont="1" applyBorder="1" applyAlignment="1">
      <alignment vertical="center"/>
    </xf>
    <xf numFmtId="165" fontId="12" fillId="0" borderId="2" xfId="1" applyNumberFormat="1" applyFont="1" applyBorder="1" applyAlignment="1">
      <alignment horizontal="right" vertical="center"/>
    </xf>
    <xf numFmtId="165" fontId="12" fillId="0" borderId="0" xfId="1" applyNumberFormat="1" applyFont="1" applyBorder="1" applyAlignment="1">
      <alignment horizontal="right" vertical="center"/>
    </xf>
    <xf numFmtId="7" fontId="12" fillId="0" borderId="0" xfId="0" applyNumberFormat="1" applyFont="1" applyAlignment="1">
      <alignment horizontal="right" vertical="center"/>
    </xf>
    <xf numFmtId="7" fontId="13" fillId="0" borderId="2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8" fontId="13" fillId="0" borderId="2" xfId="0" applyNumberFormat="1" applyFont="1" applyBorder="1" applyAlignment="1">
      <alignment horizontal="right" vertical="center"/>
    </xf>
    <xf numFmtId="165" fontId="16" fillId="0" borderId="0" xfId="0" applyNumberFormat="1" applyFont="1" applyAlignment="1">
      <alignment vertical="center"/>
    </xf>
    <xf numFmtId="10" fontId="16" fillId="0" borderId="0" xfId="0" applyNumberFormat="1" applyFont="1" applyAlignment="1">
      <alignment vertical="center"/>
    </xf>
    <xf numFmtId="7" fontId="13" fillId="0" borderId="0" xfId="0" applyNumberFormat="1" applyFont="1" applyAlignment="1">
      <alignment horizontal="right" vertical="center"/>
    </xf>
    <xf numFmtId="37" fontId="2" fillId="2" borderId="2" xfId="0" applyNumberFormat="1" applyFont="1" applyFill="1" applyBorder="1" applyAlignment="1">
      <alignment vertical="center"/>
    </xf>
    <xf numFmtId="168" fontId="2" fillId="2" borderId="2" xfId="0" applyNumberFormat="1" applyFont="1" applyFill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176" fontId="16" fillId="0" borderId="0" xfId="0" applyNumberFormat="1" applyFont="1" applyAlignment="1">
      <alignment vertical="center"/>
    </xf>
    <xf numFmtId="168" fontId="12" fillId="0" borderId="2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79" fontId="16" fillId="0" borderId="1" xfId="0" applyNumberFormat="1" applyFont="1" applyBorder="1" applyAlignment="1">
      <alignment vertical="center"/>
    </xf>
    <xf numFmtId="176" fontId="18" fillId="0" borderId="0" xfId="0" applyNumberFormat="1" applyFont="1" applyAlignment="1">
      <alignment vertical="center"/>
    </xf>
    <xf numFmtId="0" fontId="13" fillId="2" borderId="2" xfId="0" applyFont="1" applyFill="1" applyBorder="1" applyAlignment="1">
      <alignment vertical="center"/>
    </xf>
    <xf numFmtId="7" fontId="13" fillId="2" borderId="2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vertical="center"/>
    </xf>
    <xf numFmtId="7" fontId="13" fillId="2" borderId="4" xfId="0" applyNumberFormat="1" applyFont="1" applyFill="1" applyBorder="1" applyAlignment="1">
      <alignment horizontal="right" vertical="center"/>
    </xf>
    <xf numFmtId="168" fontId="13" fillId="2" borderId="4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166" fontId="12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168" fontId="13" fillId="2" borderId="2" xfId="0" applyNumberFormat="1" applyFont="1" applyFill="1" applyBorder="1" applyAlignment="1">
      <alignment horizontal="right" vertical="center"/>
    </xf>
    <xf numFmtId="168" fontId="13" fillId="0" borderId="4" xfId="0" applyNumberFormat="1" applyFont="1" applyBorder="1" applyAlignment="1">
      <alignment vertical="center"/>
    </xf>
    <xf numFmtId="37" fontId="5" fillId="0" borderId="0" xfId="0" applyNumberFormat="1" applyFont="1" applyAlignment="1">
      <alignment horizontal="right" vertical="center"/>
    </xf>
    <xf numFmtId="0" fontId="1" fillId="0" borderId="5" xfId="0" applyFont="1" applyBorder="1" applyAlignment="1">
      <alignment vertical="center"/>
    </xf>
    <xf numFmtId="168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8" fontId="2" fillId="2" borderId="4" xfId="0" applyNumberFormat="1" applyFont="1" applyFill="1" applyBorder="1" applyAlignment="1">
      <alignment vertical="center"/>
    </xf>
    <xf numFmtId="37" fontId="2" fillId="2" borderId="4" xfId="0" applyNumberFormat="1" applyFont="1" applyFill="1" applyBorder="1" applyAlignment="1">
      <alignment vertical="center"/>
    </xf>
    <xf numFmtId="165" fontId="17" fillId="0" borderId="2" xfId="1" applyNumberFormat="1" applyFont="1" applyBorder="1" applyAlignment="1">
      <alignment horizontal="center" vertical="center"/>
    </xf>
    <xf numFmtId="165" fontId="17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37" fontId="1" fillId="0" borderId="6" xfId="0" applyNumberFormat="1" applyFont="1" applyBorder="1" applyAlignment="1">
      <alignment vertical="center"/>
    </xf>
    <xf numFmtId="37" fontId="2" fillId="0" borderId="12" xfId="0" applyNumberFormat="1" applyFont="1" applyBorder="1" applyAlignment="1">
      <alignment horizontal="left" vertical="center"/>
    </xf>
    <xf numFmtId="37" fontId="2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0" fontId="3" fillId="0" borderId="6" xfId="1" applyNumberFormat="1" applyFont="1" applyBorder="1" applyAlignment="1">
      <alignment horizontal="right" vertical="center"/>
    </xf>
    <xf numFmtId="178" fontId="3" fillId="0" borderId="6" xfId="1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172" fontId="3" fillId="0" borderId="0" xfId="0" applyNumberFormat="1" applyFont="1" applyAlignment="1">
      <alignment vertical="center"/>
    </xf>
    <xf numFmtId="10" fontId="3" fillId="0" borderId="0" xfId="1" applyNumberFormat="1" applyFont="1" applyBorder="1" applyAlignment="1">
      <alignment vertical="center"/>
    </xf>
    <xf numFmtId="10" fontId="3" fillId="0" borderId="0" xfId="1" applyNumberFormat="1" applyFont="1" applyBorder="1" applyAlignment="1">
      <alignment horizontal="center" vertical="center"/>
    </xf>
    <xf numFmtId="168" fontId="2" fillId="0" borderId="13" xfId="0" applyNumberFormat="1" applyFont="1" applyBorder="1" applyAlignment="1">
      <alignment vertical="center"/>
    </xf>
    <xf numFmtId="181" fontId="3" fillId="0" borderId="0" xfId="0" applyNumberFormat="1" applyFont="1" applyAlignment="1">
      <alignment vertical="center"/>
    </xf>
    <xf numFmtId="37" fontId="1" fillId="0" borderId="8" xfId="0" applyNumberFormat="1" applyFont="1" applyBorder="1" applyAlignment="1">
      <alignment vertical="center"/>
    </xf>
    <xf numFmtId="165" fontId="1" fillId="0" borderId="0" xfId="1" applyNumberFormat="1" applyFont="1" applyAlignment="1">
      <alignment vertical="center"/>
    </xf>
    <xf numFmtId="37" fontId="15" fillId="0" borderId="0" xfId="0" applyNumberFormat="1" applyFont="1" applyAlignment="1">
      <alignment vertical="center"/>
    </xf>
    <xf numFmtId="165" fontId="1" fillId="0" borderId="6" xfId="1" applyNumberFormat="1" applyFont="1" applyBorder="1" applyAlignment="1">
      <alignment vertical="center"/>
    </xf>
    <xf numFmtId="172" fontId="1" fillId="0" borderId="8" xfId="0" applyNumberFormat="1" applyFont="1" applyBorder="1" applyAlignment="1">
      <alignment vertical="center"/>
    </xf>
    <xf numFmtId="165" fontId="2" fillId="0" borderId="2" xfId="1" applyNumberFormat="1" applyFont="1" applyBorder="1" applyAlignment="1">
      <alignment vertical="center"/>
    </xf>
    <xf numFmtId="37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5" fontId="1" fillId="0" borderId="2" xfId="1" applyNumberFormat="1" applyFont="1" applyBorder="1" applyAlignment="1">
      <alignment horizontal="right" vertical="center"/>
    </xf>
    <xf numFmtId="165" fontId="1" fillId="0" borderId="0" xfId="1" applyNumberFormat="1" applyFont="1" applyBorder="1" applyAlignment="1">
      <alignment horizontal="right" vertical="center"/>
    </xf>
    <xf numFmtId="165" fontId="1" fillId="0" borderId="1" xfId="1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vertical="center"/>
    </xf>
    <xf numFmtId="168" fontId="1" fillId="0" borderId="1" xfId="0" applyNumberFormat="1" applyFont="1" applyBorder="1" applyAlignment="1">
      <alignment horizontal="right" vertical="center"/>
    </xf>
    <xf numFmtId="165" fontId="1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168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8" fontId="15" fillId="0" borderId="0" xfId="0" applyNumberFormat="1" applyFont="1" applyAlignment="1">
      <alignment vertical="center"/>
    </xf>
    <xf numFmtId="165" fontId="1" fillId="0" borderId="0" xfId="1" applyNumberFormat="1" applyFont="1" applyAlignment="1">
      <alignment horizontal="center" vertical="center"/>
    </xf>
    <xf numFmtId="165" fontId="15" fillId="0" borderId="0" xfId="1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5" fontId="1" fillId="2" borderId="0" xfId="1" applyNumberFormat="1" applyFont="1" applyFill="1" applyAlignment="1">
      <alignment vertical="center"/>
    </xf>
    <xf numFmtId="172" fontId="1" fillId="2" borderId="1" xfId="0" applyNumberFormat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168" fontId="15" fillId="2" borderId="0" xfId="0" applyNumberFormat="1" applyFont="1" applyFill="1" applyAlignment="1">
      <alignment vertical="center"/>
    </xf>
    <xf numFmtId="172" fontId="1" fillId="0" borderId="0" xfId="0" applyNumberFormat="1" applyFont="1" applyAlignment="1">
      <alignment vertical="center"/>
    </xf>
    <xf numFmtId="165" fontId="21" fillId="0" borderId="11" xfId="1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37" fontId="2" fillId="0" borderId="10" xfId="0" applyNumberFormat="1" applyFont="1" applyBorder="1" applyAlignment="1">
      <alignment vertical="center"/>
    </xf>
    <xf numFmtId="164" fontId="13" fillId="0" borderId="2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10" xfId="0" applyFont="1" applyFill="1" applyBorder="1" applyAlignment="1">
      <alignment vertical="center"/>
    </xf>
    <xf numFmtId="5" fontId="0" fillId="0" borderId="0" xfId="0" applyNumberFormat="1" applyAlignment="1">
      <alignment horizontal="right" vertical="center"/>
    </xf>
    <xf numFmtId="182" fontId="3" fillId="0" borderId="0" xfId="0" applyNumberFormat="1" applyFont="1" applyAlignment="1">
      <alignment horizontal="right"/>
    </xf>
    <xf numFmtId="168" fontId="3" fillId="0" borderId="1" xfId="0" applyNumberFormat="1" applyFont="1" applyBorder="1" applyAlignment="1">
      <alignment horizontal="right" vertical="center"/>
    </xf>
    <xf numFmtId="37" fontId="23" fillId="0" borderId="0" xfId="0" applyNumberFormat="1" applyFont="1" applyAlignment="1">
      <alignment vertical="center"/>
    </xf>
    <xf numFmtId="0" fontId="2" fillId="0" borderId="13" xfId="0" applyFont="1" applyBorder="1" applyAlignment="1">
      <alignment vertical="center"/>
    </xf>
    <xf numFmtId="171" fontId="5" fillId="0" borderId="6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vertical="center"/>
    </xf>
    <xf numFmtId="178" fontId="5" fillId="0" borderId="6" xfId="0" applyNumberFormat="1" applyFont="1" applyBorder="1" applyAlignment="1">
      <alignment vertical="center"/>
    </xf>
    <xf numFmtId="179" fontId="5" fillId="0" borderId="6" xfId="0" applyNumberFormat="1" applyFont="1" applyBorder="1" applyAlignment="1">
      <alignment vertical="center"/>
    </xf>
    <xf numFmtId="0" fontId="0" fillId="0" borderId="1" xfId="0" applyBorder="1"/>
    <xf numFmtId="168" fontId="1" fillId="0" borderId="8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9" fontId="1" fillId="0" borderId="0" xfId="1" applyFont="1" applyAlignment="1">
      <alignment vertical="center"/>
    </xf>
    <xf numFmtId="184" fontId="3" fillId="0" borderId="6" xfId="0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173" fontId="5" fillId="0" borderId="0" xfId="0" applyNumberFormat="1" applyFont="1" applyAlignment="1">
      <alignment horizontal="center"/>
    </xf>
    <xf numFmtId="165" fontId="2" fillId="0" borderId="13" xfId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72" fontId="2" fillId="0" borderId="8" xfId="0" applyNumberFormat="1" applyFont="1" applyBorder="1" applyAlignment="1">
      <alignment vertical="center"/>
    </xf>
    <xf numFmtId="185" fontId="1" fillId="0" borderId="0" xfId="1" applyNumberFormat="1" applyFont="1" applyAlignment="1">
      <alignment vertical="center"/>
    </xf>
    <xf numFmtId="10" fontId="1" fillId="0" borderId="13" xfId="1" applyNumberFormat="1" applyFont="1" applyBorder="1" applyAlignment="1">
      <alignment vertical="center"/>
    </xf>
    <xf numFmtId="180" fontId="5" fillId="0" borderId="0" xfId="0" applyNumberFormat="1" applyFont="1" applyAlignment="1">
      <alignment vertical="center"/>
    </xf>
    <xf numFmtId="183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right" vertical="center"/>
    </xf>
    <xf numFmtId="7" fontId="3" fillId="0" borderId="0" xfId="0" applyNumberFormat="1" applyFont="1" applyAlignment="1">
      <alignment horizontal="right" vertical="center"/>
    </xf>
    <xf numFmtId="7" fontId="3" fillId="0" borderId="1" xfId="0" applyNumberFormat="1" applyFont="1" applyBorder="1" applyAlignment="1">
      <alignment horizontal="right" vertical="center"/>
    </xf>
    <xf numFmtId="165" fontId="15" fillId="0" borderId="0" xfId="1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6" fontId="1" fillId="0" borderId="0" xfId="0" applyNumberFormat="1" applyFont="1" applyAlignment="1">
      <alignment vertical="center"/>
    </xf>
    <xf numFmtId="8" fontId="1" fillId="0" borderId="0" xfId="0" applyNumberFormat="1" applyFont="1" applyAlignment="1">
      <alignment vertical="center"/>
    </xf>
    <xf numFmtId="182" fontId="5" fillId="0" borderId="0" xfId="0" applyNumberFormat="1" applyFont="1" applyAlignment="1">
      <alignment horizontal="right"/>
    </xf>
    <xf numFmtId="39" fontId="1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80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3" fontId="26" fillId="0" borderId="2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0" fontId="27" fillId="0" borderId="0" xfId="0" applyFont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165" fontId="1" fillId="0" borderId="13" xfId="1" applyNumberFormat="1" applyFont="1" applyBorder="1" applyAlignment="1">
      <alignment vertical="center"/>
    </xf>
    <xf numFmtId="7" fontId="2" fillId="0" borderId="0" xfId="0" applyNumberFormat="1" applyFont="1" applyAlignment="1">
      <alignment horizontal="center" vertical="center"/>
    </xf>
    <xf numFmtId="0" fontId="28" fillId="0" borderId="1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165" fontId="28" fillId="0" borderId="2" xfId="0" applyNumberFormat="1" applyFont="1" applyBorder="1" applyAlignment="1">
      <alignment horizontal="right" vertical="center"/>
    </xf>
    <xf numFmtId="182" fontId="1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29" fillId="0" borderId="5" xfId="0" applyFont="1" applyBorder="1" applyAlignment="1">
      <alignment horizontal="center" vertical="center"/>
    </xf>
    <xf numFmtId="173" fontId="2" fillId="2" borderId="2" xfId="0" applyNumberFormat="1" applyFont="1" applyFill="1" applyBorder="1" applyAlignment="1">
      <alignment horizontal="center" vertical="center"/>
    </xf>
    <xf numFmtId="187" fontId="3" fillId="0" borderId="0" xfId="1" applyNumberFormat="1" applyFont="1" applyAlignment="1">
      <alignment horizontal="right" vertical="center"/>
    </xf>
    <xf numFmtId="173" fontId="3" fillId="0" borderId="0" xfId="0" applyNumberFormat="1" applyFont="1" applyAlignment="1">
      <alignment horizontal="center"/>
    </xf>
    <xf numFmtId="188" fontId="1" fillId="0" borderId="0" xfId="0" applyNumberFormat="1" applyFont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2" fontId="28" fillId="0" borderId="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165" fontId="5" fillId="0" borderId="0" xfId="1" applyNumberFormat="1" applyFont="1" applyAlignment="1">
      <alignment horizontal="right" vertical="center"/>
    </xf>
    <xf numFmtId="189" fontId="1" fillId="0" borderId="0" xfId="0" applyNumberFormat="1" applyFont="1" applyAlignment="1">
      <alignment vertical="center"/>
    </xf>
    <xf numFmtId="0" fontId="0" fillId="0" borderId="1" xfId="0" applyBorder="1" applyAlignment="1">
      <alignment horizontal="right" vertical="center"/>
    </xf>
    <xf numFmtId="0" fontId="22" fillId="0" borderId="0" xfId="0" applyFont="1"/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Continuous" vertical="center"/>
    </xf>
    <xf numFmtId="186" fontId="1" fillId="5" borderId="0" xfId="0" applyNumberFormat="1" applyFont="1" applyFill="1" applyAlignment="1">
      <alignment vertical="center"/>
    </xf>
    <xf numFmtId="37" fontId="1" fillId="5" borderId="1" xfId="0" applyNumberFormat="1" applyFont="1" applyFill="1" applyBorder="1" applyAlignment="1">
      <alignment vertical="center"/>
    </xf>
    <xf numFmtId="10" fontId="1" fillId="5" borderId="6" xfId="1" applyNumberFormat="1" applyFont="1" applyFill="1" applyBorder="1" applyAlignment="1">
      <alignment vertical="center"/>
    </xf>
    <xf numFmtId="165" fontId="1" fillId="5" borderId="0" xfId="1" applyNumberFormat="1" applyFont="1" applyFill="1" applyAlignment="1">
      <alignment vertical="center"/>
    </xf>
    <xf numFmtId="10" fontId="1" fillId="5" borderId="0" xfId="1" applyNumberFormat="1" applyFont="1" applyFill="1" applyAlignment="1">
      <alignment vertical="center"/>
    </xf>
    <xf numFmtId="37" fontId="1" fillId="5" borderId="0" xfId="0" applyNumberFormat="1" applyFont="1" applyFill="1" applyAlignment="1">
      <alignment vertical="center"/>
    </xf>
    <xf numFmtId="37" fontId="15" fillId="0" borderId="1" xfId="0" applyNumberFormat="1" applyFont="1" applyBorder="1" applyAlignment="1">
      <alignment horizontal="right" vertical="center"/>
    </xf>
    <xf numFmtId="168" fontId="24" fillId="0" borderId="2" xfId="0" applyNumberFormat="1" applyFont="1" applyBorder="1" applyAlignment="1">
      <alignment vertical="center"/>
    </xf>
    <xf numFmtId="37" fontId="22" fillId="0" borderId="0" xfId="0" applyNumberFormat="1" applyFont="1" applyAlignment="1">
      <alignment vertical="center"/>
    </xf>
    <xf numFmtId="0" fontId="22" fillId="0" borderId="0" xfId="0" applyFont="1" applyAlignment="1">
      <alignment horizontal="centerContinuous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37" fontId="31" fillId="0" borderId="1" xfId="0" applyNumberFormat="1" applyFont="1" applyBorder="1" applyAlignment="1">
      <alignment horizontal="right" vertical="center"/>
    </xf>
    <xf numFmtId="168" fontId="31" fillId="0" borderId="0" xfId="0" applyNumberFormat="1" applyFont="1" applyAlignment="1">
      <alignment horizontal="right" vertical="center"/>
    </xf>
    <xf numFmtId="0" fontId="22" fillId="2" borderId="2" xfId="0" applyFont="1" applyFill="1" applyBorder="1" applyAlignment="1">
      <alignment vertical="center"/>
    </xf>
    <xf numFmtId="37" fontId="0" fillId="0" borderId="0" xfId="0" applyNumberFormat="1" applyAlignment="1">
      <alignment vertical="center"/>
    </xf>
    <xf numFmtId="0" fontId="31" fillId="0" borderId="0" xfId="0" applyFont="1" applyAlignment="1">
      <alignment vertical="center"/>
    </xf>
    <xf numFmtId="37" fontId="22" fillId="2" borderId="2" xfId="0" applyNumberFormat="1" applyFont="1" applyFill="1" applyBorder="1" applyAlignment="1">
      <alignment vertical="center"/>
    </xf>
    <xf numFmtId="168" fontId="22" fillId="2" borderId="2" xfId="0" applyNumberFormat="1" applyFont="1" applyFill="1" applyBorder="1" applyAlignment="1">
      <alignment horizontal="right" vertical="center"/>
    </xf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left" vertical="center"/>
    </xf>
    <xf numFmtId="37" fontId="31" fillId="0" borderId="1" xfId="0" applyNumberFormat="1" applyFont="1" applyBorder="1" applyAlignment="1">
      <alignment horizontal="center" vertical="center"/>
    </xf>
    <xf numFmtId="37" fontId="32" fillId="0" borderId="1" xfId="0" applyNumberFormat="1" applyFont="1" applyBorder="1" applyAlignment="1">
      <alignment horizontal="right" vertical="center"/>
    </xf>
    <xf numFmtId="37" fontId="32" fillId="0" borderId="1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vertical="center"/>
    </xf>
    <xf numFmtId="168" fontId="33" fillId="0" borderId="2" xfId="0" applyNumberFormat="1" applyFont="1" applyBorder="1" applyAlignment="1">
      <alignment horizontal="right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185" fontId="0" fillId="0" borderId="0" xfId="0" applyNumberFormat="1" applyAlignment="1">
      <alignment vertical="center"/>
    </xf>
    <xf numFmtId="0" fontId="22" fillId="4" borderId="2" xfId="0" applyFont="1" applyFill="1" applyBorder="1" applyAlignment="1">
      <alignment vertical="center"/>
    </xf>
    <xf numFmtId="0" fontId="33" fillId="4" borderId="2" xfId="0" applyFont="1" applyFill="1" applyBorder="1" applyAlignment="1">
      <alignment vertical="center"/>
    </xf>
    <xf numFmtId="168" fontId="33" fillId="4" borderId="2" xfId="0" applyNumberFormat="1" applyFont="1" applyFill="1" applyBorder="1" applyAlignment="1">
      <alignment horizontal="right" vertical="center"/>
    </xf>
    <xf numFmtId="0" fontId="22" fillId="0" borderId="1" xfId="0" applyFont="1" applyBorder="1" applyAlignment="1">
      <alignment vertical="center"/>
    </xf>
    <xf numFmtId="37" fontId="0" fillId="0" borderId="1" xfId="0" applyNumberFormat="1" applyBorder="1" applyAlignment="1">
      <alignment vertical="center"/>
    </xf>
    <xf numFmtId="0" fontId="32" fillId="0" borderId="1" xfId="0" applyFont="1" applyBorder="1" applyAlignment="1">
      <alignment horizontal="right" vertical="center"/>
    </xf>
    <xf numFmtId="0" fontId="34" fillId="0" borderId="1" xfId="0" applyFont="1" applyBorder="1" applyAlignment="1">
      <alignment horizontal="right" vertical="center"/>
    </xf>
    <xf numFmtId="177" fontId="32" fillId="0" borderId="0" xfId="0" applyNumberFormat="1" applyFont="1" applyAlignment="1">
      <alignment horizontal="right" vertical="center"/>
    </xf>
    <xf numFmtId="173" fontId="34" fillId="0" borderId="0" xfId="0" applyNumberFormat="1" applyFont="1" applyAlignment="1">
      <alignment horizontal="right" vertical="center"/>
    </xf>
    <xf numFmtId="176" fontId="32" fillId="0" borderId="0" xfId="0" applyNumberFormat="1" applyFont="1" applyAlignment="1">
      <alignment horizontal="right" vertical="center"/>
    </xf>
    <xf numFmtId="37" fontId="32" fillId="0" borderId="0" xfId="0" applyNumberFormat="1" applyFont="1" applyAlignment="1">
      <alignment horizontal="right" vertical="center"/>
    </xf>
    <xf numFmtId="37" fontId="34" fillId="0" borderId="0" xfId="0" applyNumberFormat="1" applyFont="1" applyAlignment="1">
      <alignment horizontal="right" vertical="center"/>
    </xf>
    <xf numFmtId="0" fontId="34" fillId="0" borderId="1" xfId="0" applyFont="1" applyBorder="1" applyAlignment="1">
      <alignment horizontal="left" vertical="center"/>
    </xf>
    <xf numFmtId="0" fontId="36" fillId="2" borderId="2" xfId="0" applyFont="1" applyFill="1" applyBorder="1" applyAlignment="1">
      <alignment horizontal="right" vertical="center"/>
    </xf>
    <xf numFmtId="37" fontId="35" fillId="2" borderId="2" xfId="0" applyNumberFormat="1" applyFont="1" applyFill="1" applyBorder="1" applyAlignment="1">
      <alignment vertical="center"/>
    </xf>
    <xf numFmtId="0" fontId="34" fillId="2" borderId="1" xfId="0" applyFont="1" applyFill="1" applyBorder="1" applyAlignment="1">
      <alignment vertical="center"/>
    </xf>
    <xf numFmtId="37" fontId="34" fillId="2" borderId="1" xfId="0" applyNumberFormat="1" applyFont="1" applyFill="1" applyBorder="1" applyAlignment="1">
      <alignment vertical="center"/>
    </xf>
    <xf numFmtId="0" fontId="32" fillId="2" borderId="1" xfId="0" applyFont="1" applyFill="1" applyBorder="1" applyAlignment="1">
      <alignment horizontal="right" vertical="center"/>
    </xf>
    <xf numFmtId="168" fontId="34" fillId="2" borderId="1" xfId="0" applyNumberFormat="1" applyFont="1" applyFill="1" applyBorder="1" applyAlignment="1">
      <alignment horizontal="right" vertical="center"/>
    </xf>
    <xf numFmtId="165" fontId="34" fillId="2" borderId="1" xfId="1" applyNumberFormat="1" applyFont="1" applyFill="1" applyBorder="1" applyAlignment="1">
      <alignment horizontal="right" vertical="center"/>
    </xf>
    <xf numFmtId="0" fontId="30" fillId="6" borderId="2" xfId="0" applyFont="1" applyFill="1" applyBorder="1" applyAlignment="1">
      <alignment vertical="center"/>
    </xf>
    <xf numFmtId="168" fontId="30" fillId="6" borderId="2" xfId="0" applyNumberFormat="1" applyFont="1" applyFill="1" applyBorder="1" applyAlignment="1">
      <alignment horizontal="right" vertical="center"/>
    </xf>
    <xf numFmtId="0" fontId="37" fillId="6" borderId="1" xfId="0" applyFont="1" applyFill="1" applyBorder="1" applyAlignment="1">
      <alignment vertical="center"/>
    </xf>
    <xf numFmtId="168" fontId="37" fillId="6" borderId="1" xfId="0" applyNumberFormat="1" applyFont="1" applyFill="1" applyBorder="1" applyAlignment="1">
      <alignment horizontal="right" vertical="center"/>
    </xf>
    <xf numFmtId="165" fontId="37" fillId="6" borderId="1" xfId="1" applyNumberFormat="1" applyFont="1" applyFill="1" applyBorder="1" applyAlignment="1">
      <alignment vertical="center"/>
    </xf>
    <xf numFmtId="175" fontId="32" fillId="0" borderId="0" xfId="0" applyNumberFormat="1" applyFont="1" applyAlignment="1">
      <alignment horizontal="right" vertical="center"/>
    </xf>
    <xf numFmtId="0" fontId="34" fillId="0" borderId="2" xfId="0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8" fontId="39" fillId="0" borderId="0" xfId="0" applyNumberFormat="1" applyFont="1" applyAlignment="1">
      <alignment horizontal="right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166" fontId="15" fillId="0" borderId="0" xfId="0" applyNumberFormat="1" applyFont="1" applyAlignment="1">
      <alignment horizontal="right" vertical="center"/>
    </xf>
    <xf numFmtId="0" fontId="34" fillId="0" borderId="0" xfId="0" applyFont="1"/>
    <xf numFmtId="0" fontId="41" fillId="7" borderId="4" xfId="0" applyFont="1" applyFill="1" applyBorder="1" applyAlignment="1">
      <alignment vertical="center"/>
    </xf>
    <xf numFmtId="168" fontId="41" fillId="7" borderId="4" xfId="0" applyNumberFormat="1" applyFont="1" applyFill="1" applyBorder="1" applyAlignment="1">
      <alignment vertical="center"/>
    </xf>
    <xf numFmtId="168" fontId="15" fillId="0" borderId="0" xfId="0" applyNumberFormat="1" applyFont="1" applyAlignment="1">
      <alignment horizontal="right" vertical="center"/>
    </xf>
    <xf numFmtId="166" fontId="34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22" fillId="0" borderId="1" xfId="0" applyFont="1" applyBorder="1" applyAlignment="1">
      <alignment horizontal="right" vertical="center"/>
    </xf>
    <xf numFmtId="166" fontId="22" fillId="0" borderId="1" xfId="0" applyNumberFormat="1" applyFont="1" applyBorder="1" applyAlignment="1">
      <alignment horizontal="right" vertical="center"/>
    </xf>
    <xf numFmtId="0" fontId="22" fillId="4" borderId="0" xfId="0" applyFont="1" applyFill="1" applyAlignment="1">
      <alignment vertical="center"/>
    </xf>
    <xf numFmtId="168" fontId="22" fillId="4" borderId="0" xfId="0" applyNumberFormat="1" applyFont="1" applyFill="1" applyAlignment="1">
      <alignment vertical="center"/>
    </xf>
    <xf numFmtId="0" fontId="0" fillId="8" borderId="2" xfId="0" applyFill="1" applyBorder="1" applyAlignment="1">
      <alignment vertical="center"/>
    </xf>
    <xf numFmtId="168" fontId="0" fillId="8" borderId="2" xfId="0" applyNumberFormat="1" applyFill="1" applyBorder="1" applyAlignment="1">
      <alignment vertical="center"/>
    </xf>
    <xf numFmtId="0" fontId="0" fillId="8" borderId="0" xfId="0" applyFill="1" applyAlignment="1">
      <alignment vertical="center"/>
    </xf>
    <xf numFmtId="168" fontId="0" fillId="8" borderId="0" xfId="0" applyNumberFormat="1" applyFill="1" applyAlignment="1">
      <alignment vertical="center"/>
    </xf>
    <xf numFmtId="0" fontId="0" fillId="8" borderId="1" xfId="0" applyFill="1" applyBorder="1" applyAlignment="1">
      <alignment vertical="center"/>
    </xf>
    <xf numFmtId="168" fontId="0" fillId="8" borderId="1" xfId="0" applyNumberFormat="1" applyFill="1" applyBorder="1" applyAlignment="1">
      <alignment vertical="center"/>
    </xf>
    <xf numFmtId="168" fontId="22" fillId="4" borderId="2" xfId="0" applyNumberFormat="1" applyFont="1" applyFill="1" applyBorder="1" applyAlignment="1">
      <alignment vertical="center"/>
    </xf>
    <xf numFmtId="0" fontId="30" fillId="9" borderId="4" xfId="0" applyFont="1" applyFill="1" applyBorder="1" applyAlignment="1">
      <alignment vertical="center"/>
    </xf>
    <xf numFmtId="168" fontId="30" fillId="9" borderId="4" xfId="0" applyNumberFormat="1" applyFont="1" applyFill="1" applyBorder="1" applyAlignment="1">
      <alignment vertical="center"/>
    </xf>
    <xf numFmtId="9" fontId="22" fillId="0" borderId="0" xfId="1" applyFont="1" applyAlignment="1">
      <alignment vertical="center"/>
    </xf>
    <xf numFmtId="168" fontId="34" fillId="0" borderId="0" xfId="0" applyNumberFormat="1" applyFont="1" applyAlignment="1">
      <alignment vertical="center"/>
    </xf>
    <xf numFmtId="165" fontId="34" fillId="0" borderId="0" xfId="1" applyNumberFormat="1" applyFont="1" applyAlignment="1">
      <alignment vertical="center"/>
    </xf>
    <xf numFmtId="0" fontId="0" fillId="10" borderId="1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37" fontId="0" fillId="10" borderId="2" xfId="0" applyNumberFormat="1" applyFill="1" applyBorder="1" applyAlignment="1">
      <alignment vertical="center"/>
    </xf>
    <xf numFmtId="168" fontId="0" fillId="10" borderId="2" xfId="0" applyNumberFormat="1" applyFill="1" applyBorder="1" applyAlignment="1">
      <alignment vertical="center"/>
    </xf>
    <xf numFmtId="168" fontId="0" fillId="10" borderId="13" xfId="0" applyNumberFormat="1" applyFill="1" applyBorder="1" applyAlignment="1">
      <alignment horizontal="right" vertical="center"/>
    </xf>
    <xf numFmtId="0" fontId="0" fillId="10" borderId="5" xfId="0" applyFill="1" applyBorder="1" applyAlignment="1">
      <alignment vertical="center"/>
    </xf>
    <xf numFmtId="0" fontId="0" fillId="10" borderId="0" xfId="0" applyFill="1" applyAlignment="1">
      <alignment vertical="center"/>
    </xf>
    <xf numFmtId="37" fontId="0" fillId="10" borderId="0" xfId="0" applyNumberFormat="1" applyFill="1" applyAlignment="1">
      <alignment vertical="center"/>
    </xf>
    <xf numFmtId="168" fontId="0" fillId="10" borderId="0" xfId="0" applyNumberFormat="1" applyFill="1" applyAlignment="1">
      <alignment vertical="center"/>
    </xf>
    <xf numFmtId="168" fontId="0" fillId="10" borderId="6" xfId="0" applyNumberFormat="1" applyFill="1" applyBorder="1" applyAlignment="1">
      <alignment horizontal="right" vertical="center"/>
    </xf>
    <xf numFmtId="0" fontId="0" fillId="10" borderId="7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37" fontId="0" fillId="10" borderId="1" xfId="0" applyNumberFormat="1" applyFill="1" applyBorder="1" applyAlignment="1">
      <alignment vertical="center"/>
    </xf>
    <xf numFmtId="168" fontId="0" fillId="10" borderId="1" xfId="0" applyNumberFormat="1" applyFill="1" applyBorder="1" applyAlignment="1">
      <alignment vertical="center"/>
    </xf>
    <xf numFmtId="168" fontId="0" fillId="10" borderId="8" xfId="0" applyNumberFormat="1" applyFill="1" applyBorder="1" applyAlignment="1">
      <alignment horizontal="right" vertical="center"/>
    </xf>
    <xf numFmtId="164" fontId="5" fillId="0" borderId="2" xfId="0" applyNumberFormat="1" applyFont="1" applyBorder="1" applyAlignment="1">
      <alignment vertical="center"/>
    </xf>
    <xf numFmtId="10" fontId="5" fillId="0" borderId="0" xfId="1" applyNumberFormat="1" applyFont="1" applyAlignment="1">
      <alignment vertical="center"/>
    </xf>
    <xf numFmtId="37" fontId="6" fillId="0" borderId="2" xfId="0" applyNumberFormat="1" applyFont="1" applyBorder="1" applyAlignment="1">
      <alignment vertical="center"/>
    </xf>
    <xf numFmtId="37" fontId="42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168" fontId="0" fillId="0" borderId="1" xfId="0" applyNumberFormat="1" applyBorder="1" applyAlignment="1">
      <alignment horizontal="right" vertical="center"/>
    </xf>
    <xf numFmtId="5" fontId="0" fillId="0" borderId="1" xfId="0" applyNumberFormat="1" applyBorder="1" applyAlignment="1">
      <alignment horizontal="right" vertical="center"/>
    </xf>
    <xf numFmtId="9" fontId="5" fillId="0" borderId="0" xfId="1" applyFont="1" applyAlignment="1">
      <alignment horizontal="right" vertical="center"/>
    </xf>
    <xf numFmtId="172" fontId="1" fillId="5" borderId="0" xfId="1" applyNumberFormat="1" applyFont="1" applyFill="1" applyAlignment="1">
      <alignment vertical="center"/>
    </xf>
    <xf numFmtId="190" fontId="1" fillId="0" borderId="0" xfId="3" applyNumberFormat="1" applyFont="1" applyAlignment="1">
      <alignment vertical="center"/>
    </xf>
    <xf numFmtId="170" fontId="5" fillId="0" borderId="1" xfId="0" applyNumberFormat="1" applyFont="1" applyBorder="1" applyAlignment="1">
      <alignment vertical="center"/>
    </xf>
    <xf numFmtId="169" fontId="3" fillId="0" borderId="0" xfId="0" applyNumberFormat="1" applyFont="1" applyAlignment="1">
      <alignment vertical="center"/>
    </xf>
    <xf numFmtId="169" fontId="6" fillId="0" borderId="2" xfId="0" applyNumberFormat="1" applyFont="1" applyBorder="1" applyAlignment="1">
      <alignment vertical="center"/>
    </xf>
    <xf numFmtId="43" fontId="1" fillId="0" borderId="0" xfId="3" applyFont="1" applyFill="1" applyAlignment="1">
      <alignment vertical="center"/>
    </xf>
    <xf numFmtId="193" fontId="5" fillId="0" borderId="0" xfId="0" applyNumberFormat="1" applyFont="1" applyAlignment="1">
      <alignment horizontal="right" vertical="center"/>
    </xf>
    <xf numFmtId="193" fontId="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168" fontId="24" fillId="2" borderId="2" xfId="0" applyNumberFormat="1" applyFont="1" applyFill="1" applyBorder="1" applyAlignment="1">
      <alignment horizontal="right" vertical="center"/>
    </xf>
    <xf numFmtId="168" fontId="46" fillId="0" borderId="0" xfId="0" applyNumberFormat="1" applyFont="1" applyAlignment="1">
      <alignment horizontal="right" vertical="center"/>
    </xf>
    <xf numFmtId="165" fontId="47" fillId="0" borderId="0" xfId="1" applyNumberFormat="1" applyFont="1" applyAlignment="1">
      <alignment vertical="center"/>
    </xf>
    <xf numFmtId="9" fontId="15" fillId="0" borderId="0" xfId="0" applyNumberFormat="1" applyFont="1" applyAlignment="1">
      <alignment horizontal="right" vertical="center"/>
    </xf>
    <xf numFmtId="165" fontId="24" fillId="0" borderId="13" xfId="1" applyNumberFormat="1" applyFont="1" applyBorder="1" applyAlignment="1">
      <alignment vertical="center"/>
    </xf>
    <xf numFmtId="172" fontId="24" fillId="0" borderId="8" xfId="0" applyNumberFormat="1" applyFont="1" applyBorder="1" applyAlignment="1">
      <alignment vertical="center"/>
    </xf>
    <xf numFmtId="0" fontId="48" fillId="0" borderId="0" xfId="0" applyFont="1" applyAlignment="1">
      <alignment vertical="center"/>
    </xf>
    <xf numFmtId="44" fontId="1" fillId="0" borderId="0" xfId="11" applyFont="1" applyAlignment="1">
      <alignment vertical="center"/>
    </xf>
    <xf numFmtId="9" fontId="1" fillId="0" borderId="0" xfId="0" applyNumberFormat="1" applyFont="1" applyAlignment="1">
      <alignment vertical="center"/>
    </xf>
    <xf numFmtId="9" fontId="15" fillId="0" borderId="0" xfId="1" applyFont="1" applyAlignment="1">
      <alignment vertical="center"/>
    </xf>
    <xf numFmtId="165" fontId="15" fillId="0" borderId="0" xfId="0" applyNumberFormat="1" applyFont="1" applyAlignment="1">
      <alignment vertical="center"/>
    </xf>
    <xf numFmtId="37" fontId="15" fillId="0" borderId="0" xfId="0" applyNumberFormat="1" applyFont="1" applyAlignment="1">
      <alignment horizontal="left" vertical="center"/>
    </xf>
    <xf numFmtId="37" fontId="1" fillId="0" borderId="0" xfId="0" applyNumberFormat="1" applyFont="1" applyAlignment="1">
      <alignment horizontal="left" vertical="center"/>
    </xf>
    <xf numFmtId="0" fontId="1" fillId="0" borderId="9" xfId="0" applyFont="1" applyBorder="1" applyAlignment="1">
      <alignment vertical="center"/>
    </xf>
    <xf numFmtId="37" fontId="3" fillId="0" borderId="10" xfId="0" applyNumberFormat="1" applyFont="1" applyBorder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8" fontId="3" fillId="0" borderId="0" xfId="0" applyNumberFormat="1" applyFont="1" applyBorder="1" applyAlignment="1">
      <alignment horizontal="right" vertical="center"/>
    </xf>
    <xf numFmtId="168" fontId="1" fillId="0" borderId="0" xfId="0" applyNumberFormat="1" applyFont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2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4" fontId="0" fillId="0" borderId="0" xfId="1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44" fontId="0" fillId="0" borderId="0" xfId="0" applyNumberForma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171" fontId="1" fillId="0" borderId="0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3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37" fontId="6" fillId="2" borderId="2" xfId="0" applyNumberFormat="1" applyFont="1" applyFill="1" applyBorder="1" applyAlignment="1">
      <alignment horizontal="center" vertical="center"/>
    </xf>
    <xf numFmtId="37" fontId="6" fillId="2" borderId="2" xfId="0" applyNumberFormat="1" applyFont="1" applyFill="1" applyBorder="1" applyAlignment="1">
      <alignment horizontal="right" vertical="center"/>
    </xf>
    <xf numFmtId="3" fontId="3" fillId="0" borderId="2" xfId="0" applyNumberFormat="1" applyFont="1" applyBorder="1" applyAlignment="1">
      <alignment horizontal="left" vertical="center"/>
    </xf>
    <xf numFmtId="37" fontId="1" fillId="0" borderId="0" xfId="0" applyNumberFormat="1" applyFont="1" applyBorder="1" applyAlignment="1">
      <alignment vertical="center"/>
    </xf>
    <xf numFmtId="170" fontId="3" fillId="0" borderId="0" xfId="0" applyNumberFormat="1" applyFont="1" applyBorder="1" applyAlignment="1">
      <alignment vertical="center"/>
    </xf>
    <xf numFmtId="182" fontId="1" fillId="0" borderId="0" xfId="0" applyNumberFormat="1" applyFont="1" applyBorder="1" applyAlignment="1">
      <alignment vertical="center"/>
    </xf>
    <xf numFmtId="185" fontId="1" fillId="0" borderId="0" xfId="1" applyNumberFormat="1" applyFont="1" applyBorder="1" applyAlignment="1">
      <alignment vertical="center"/>
    </xf>
    <xf numFmtId="37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5" fontId="5" fillId="0" borderId="8" xfId="1" applyNumberFormat="1" applyFont="1" applyBorder="1" applyAlignment="1">
      <alignment vertical="center"/>
    </xf>
    <xf numFmtId="37" fontId="5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95" fontId="1" fillId="0" borderId="0" xfId="0" applyNumberFormat="1" applyFont="1" applyAlignment="1">
      <alignment vertical="center"/>
    </xf>
    <xf numFmtId="10" fontId="1" fillId="0" borderId="1" xfId="1" applyNumberFormat="1" applyFont="1" applyBorder="1" applyAlignment="1">
      <alignment vertical="center"/>
    </xf>
    <xf numFmtId="10" fontId="1" fillId="0" borderId="0" xfId="1" applyNumberFormat="1" applyFont="1" applyBorder="1" applyAlignment="1">
      <alignment vertical="center"/>
    </xf>
    <xf numFmtId="168" fontId="6" fillId="2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9" fontId="15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174" fontId="49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right" vertical="center"/>
    </xf>
    <xf numFmtId="0" fontId="51" fillId="0" borderId="0" xfId="0" applyFont="1" applyAlignment="1">
      <alignment vertical="center"/>
    </xf>
    <xf numFmtId="1" fontId="51" fillId="0" borderId="0" xfId="0" applyNumberFormat="1" applyFont="1" applyAlignment="1">
      <alignment horizontal="right" vertical="center"/>
    </xf>
    <xf numFmtId="166" fontId="51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5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5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95" fontId="1" fillId="0" borderId="2" xfId="0" applyNumberFormat="1" applyFont="1" applyBorder="1" applyAlignment="1">
      <alignment vertical="center"/>
    </xf>
    <xf numFmtId="165" fontId="5" fillId="0" borderId="0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8" fontId="1" fillId="0" borderId="0" xfId="0" applyNumberFormat="1" applyFont="1" applyBorder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3" fillId="0" borderId="0" xfId="1" applyNumberFormat="1" applyFont="1" applyBorder="1" applyAlignment="1">
      <alignment horizontal="right" vertical="center"/>
    </xf>
    <xf numFmtId="168" fontId="3" fillId="0" borderId="0" xfId="0" applyNumberFormat="1" applyFont="1" applyFill="1" applyAlignment="1">
      <alignment horizontal="right" vertical="center"/>
    </xf>
    <xf numFmtId="168" fontId="3" fillId="0" borderId="1" xfId="0" applyNumberFormat="1" applyFont="1" applyFill="1" applyBorder="1" applyAlignment="1">
      <alignment horizontal="right" vertical="center"/>
    </xf>
    <xf numFmtId="37" fontId="1" fillId="0" borderId="0" xfId="0" applyNumberFormat="1" applyFont="1" applyFill="1" applyAlignment="1">
      <alignment vertical="center"/>
    </xf>
    <xf numFmtId="37" fontId="3" fillId="0" borderId="0" xfId="0" applyNumberFormat="1" applyFont="1" applyFill="1" applyAlignment="1">
      <alignment vertical="center"/>
    </xf>
    <xf numFmtId="165" fontId="15" fillId="0" borderId="0" xfId="1" applyNumberFormat="1" applyFont="1" applyFill="1" applyAlignment="1">
      <alignment vertical="center"/>
    </xf>
    <xf numFmtId="177" fontId="3" fillId="0" borderId="0" xfId="0" applyNumberFormat="1" applyFont="1" applyFill="1" applyAlignment="1">
      <alignment horizontal="right" vertical="center"/>
    </xf>
    <xf numFmtId="37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75" fontId="3" fillId="0" borderId="0" xfId="1" applyNumberFormat="1" applyFont="1" applyFill="1" applyAlignment="1">
      <alignment horizontal="right" vertical="center"/>
    </xf>
  </cellXfs>
  <cellStyles count="12">
    <cellStyle name="Comma" xfId="3" builtinId="3"/>
    <cellStyle name="Comma 2" xfId="7" xr:uid="{36AAC70F-C7A1-424B-918D-035D1C85EAB0}"/>
    <cellStyle name="Comma 2 4 2" xfId="8" xr:uid="{DC04642E-1531-4580-B402-48E3540B4CEF}"/>
    <cellStyle name="Currency" xfId="11" builtinId="4"/>
    <cellStyle name="Currency 2" xfId="10" xr:uid="{FA78A7B3-D27D-4BA0-9A28-A43AC864C2AF}"/>
    <cellStyle name="Normal" xfId="0" builtinId="0"/>
    <cellStyle name="Normal 2" xfId="2" xr:uid="{67A52563-4D23-4507-B449-E698DFFF48BF}"/>
    <cellStyle name="Normal 2 2 2 3" xfId="4" xr:uid="{93D63332-EDC0-44B7-8F1E-EBA031B8F14C}"/>
    <cellStyle name="Normal 3" xfId="9" xr:uid="{4964DB5D-7180-4D4B-B4F5-37CA1880A384}"/>
    <cellStyle name="Normal 3 2" xfId="5" xr:uid="{776CF451-407D-4163-B0E0-8EA5B671ADB0}"/>
    <cellStyle name="Percent" xfId="1" builtinId="5"/>
    <cellStyle name="Percent 2" xfId="6" xr:uid="{C5951720-DE68-4D1A-9217-290610B79C53}"/>
  </cellStyles>
  <dxfs count="0"/>
  <tableStyles count="0" defaultTableStyle="TableStyleMedium2" defaultPivotStyle="PivotStyleLight16"/>
  <colors>
    <mruColors>
      <color rgb="FF0000FF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'1-month Term SOFR'!$P$12:$P$132</c:f>
              <c:numCache>
                <c:formatCode>m/d/yyyy</c:formatCode>
                <c:ptCount val="121"/>
                <c:pt idx="0">
                  <c:v>45727</c:v>
                </c:pt>
                <c:pt idx="1">
                  <c:v>45758</c:v>
                </c:pt>
                <c:pt idx="2">
                  <c:v>45789</c:v>
                </c:pt>
                <c:pt idx="3">
                  <c:v>45819</c:v>
                </c:pt>
                <c:pt idx="4">
                  <c:v>45849</c:v>
                </c:pt>
                <c:pt idx="5">
                  <c:v>45880</c:v>
                </c:pt>
                <c:pt idx="6">
                  <c:v>45911</c:v>
                </c:pt>
                <c:pt idx="7">
                  <c:v>45944</c:v>
                </c:pt>
                <c:pt idx="8">
                  <c:v>45973</c:v>
                </c:pt>
                <c:pt idx="9">
                  <c:v>46002</c:v>
                </c:pt>
                <c:pt idx="10">
                  <c:v>46034</c:v>
                </c:pt>
                <c:pt idx="11">
                  <c:v>46064</c:v>
                </c:pt>
                <c:pt idx="12">
                  <c:v>46092</c:v>
                </c:pt>
                <c:pt idx="13">
                  <c:v>46125</c:v>
                </c:pt>
                <c:pt idx="14">
                  <c:v>46153</c:v>
                </c:pt>
                <c:pt idx="15">
                  <c:v>46184</c:v>
                </c:pt>
                <c:pt idx="16">
                  <c:v>46216</c:v>
                </c:pt>
                <c:pt idx="17">
                  <c:v>46245</c:v>
                </c:pt>
                <c:pt idx="18">
                  <c:v>46276</c:v>
                </c:pt>
                <c:pt idx="19">
                  <c:v>46308</c:v>
                </c:pt>
                <c:pt idx="20">
                  <c:v>46338</c:v>
                </c:pt>
                <c:pt idx="21">
                  <c:v>46367</c:v>
                </c:pt>
                <c:pt idx="22">
                  <c:v>46398</c:v>
                </c:pt>
                <c:pt idx="23">
                  <c:v>46429</c:v>
                </c:pt>
                <c:pt idx="24">
                  <c:v>46457</c:v>
                </c:pt>
                <c:pt idx="25">
                  <c:v>46489</c:v>
                </c:pt>
                <c:pt idx="26">
                  <c:v>46518</c:v>
                </c:pt>
                <c:pt idx="27">
                  <c:v>46549</c:v>
                </c:pt>
                <c:pt idx="28">
                  <c:v>46580</c:v>
                </c:pt>
                <c:pt idx="29">
                  <c:v>46610</c:v>
                </c:pt>
                <c:pt idx="30">
                  <c:v>46643</c:v>
                </c:pt>
                <c:pt idx="31">
                  <c:v>46672</c:v>
                </c:pt>
                <c:pt idx="32">
                  <c:v>46703</c:v>
                </c:pt>
                <c:pt idx="33">
                  <c:v>46734</c:v>
                </c:pt>
                <c:pt idx="34">
                  <c:v>46763</c:v>
                </c:pt>
                <c:pt idx="35">
                  <c:v>46794</c:v>
                </c:pt>
                <c:pt idx="36">
                  <c:v>46825</c:v>
                </c:pt>
                <c:pt idx="37">
                  <c:v>46854</c:v>
                </c:pt>
                <c:pt idx="38">
                  <c:v>46884</c:v>
                </c:pt>
                <c:pt idx="39">
                  <c:v>46916</c:v>
                </c:pt>
                <c:pt idx="40">
                  <c:v>46945</c:v>
                </c:pt>
                <c:pt idx="41">
                  <c:v>46976</c:v>
                </c:pt>
                <c:pt idx="42">
                  <c:v>47007</c:v>
                </c:pt>
                <c:pt idx="43">
                  <c:v>47037</c:v>
                </c:pt>
                <c:pt idx="44">
                  <c:v>47070</c:v>
                </c:pt>
                <c:pt idx="45">
                  <c:v>47098</c:v>
                </c:pt>
                <c:pt idx="46">
                  <c:v>47129</c:v>
                </c:pt>
                <c:pt idx="47">
                  <c:v>47161</c:v>
                </c:pt>
                <c:pt idx="48">
                  <c:v>47189</c:v>
                </c:pt>
                <c:pt idx="49">
                  <c:v>47219</c:v>
                </c:pt>
                <c:pt idx="50">
                  <c:v>47249</c:v>
                </c:pt>
                <c:pt idx="51">
                  <c:v>47280</c:v>
                </c:pt>
                <c:pt idx="52">
                  <c:v>47310</c:v>
                </c:pt>
                <c:pt idx="53">
                  <c:v>47343</c:v>
                </c:pt>
                <c:pt idx="54">
                  <c:v>47372</c:v>
                </c:pt>
                <c:pt idx="55">
                  <c:v>47402</c:v>
                </c:pt>
                <c:pt idx="56">
                  <c:v>47435</c:v>
                </c:pt>
                <c:pt idx="57">
                  <c:v>47463</c:v>
                </c:pt>
                <c:pt idx="58">
                  <c:v>47494</c:v>
                </c:pt>
                <c:pt idx="59">
                  <c:v>47525</c:v>
                </c:pt>
                <c:pt idx="60">
                  <c:v>47553</c:v>
                </c:pt>
                <c:pt idx="61">
                  <c:v>47584</c:v>
                </c:pt>
                <c:pt idx="62">
                  <c:v>47616</c:v>
                </c:pt>
                <c:pt idx="63">
                  <c:v>47645</c:v>
                </c:pt>
                <c:pt idx="64">
                  <c:v>47675</c:v>
                </c:pt>
                <c:pt idx="65">
                  <c:v>47707</c:v>
                </c:pt>
                <c:pt idx="66">
                  <c:v>47737</c:v>
                </c:pt>
                <c:pt idx="67">
                  <c:v>47767</c:v>
                </c:pt>
                <c:pt idx="68">
                  <c:v>47799</c:v>
                </c:pt>
                <c:pt idx="69">
                  <c:v>47828</c:v>
                </c:pt>
                <c:pt idx="70">
                  <c:v>47861</c:v>
                </c:pt>
                <c:pt idx="71">
                  <c:v>47890</c:v>
                </c:pt>
                <c:pt idx="72">
                  <c:v>47918</c:v>
                </c:pt>
                <c:pt idx="73">
                  <c:v>47952</c:v>
                </c:pt>
                <c:pt idx="74">
                  <c:v>47980</c:v>
                </c:pt>
                <c:pt idx="75">
                  <c:v>48010</c:v>
                </c:pt>
                <c:pt idx="76">
                  <c:v>48040</c:v>
                </c:pt>
                <c:pt idx="77">
                  <c:v>48071</c:v>
                </c:pt>
                <c:pt idx="78">
                  <c:v>48102</c:v>
                </c:pt>
                <c:pt idx="79">
                  <c:v>48135</c:v>
                </c:pt>
                <c:pt idx="80">
                  <c:v>48164</c:v>
                </c:pt>
                <c:pt idx="81">
                  <c:v>48193</c:v>
                </c:pt>
                <c:pt idx="82">
                  <c:v>48225</c:v>
                </c:pt>
                <c:pt idx="83">
                  <c:v>48255</c:v>
                </c:pt>
                <c:pt idx="84">
                  <c:v>48284</c:v>
                </c:pt>
                <c:pt idx="85">
                  <c:v>48316</c:v>
                </c:pt>
                <c:pt idx="86">
                  <c:v>48345</c:v>
                </c:pt>
                <c:pt idx="87">
                  <c:v>48376</c:v>
                </c:pt>
                <c:pt idx="88">
                  <c:v>48407</c:v>
                </c:pt>
                <c:pt idx="89">
                  <c:v>48437</c:v>
                </c:pt>
                <c:pt idx="90">
                  <c:v>48470</c:v>
                </c:pt>
                <c:pt idx="91">
                  <c:v>48499</c:v>
                </c:pt>
                <c:pt idx="92">
                  <c:v>48530</c:v>
                </c:pt>
                <c:pt idx="93">
                  <c:v>48561</c:v>
                </c:pt>
                <c:pt idx="94">
                  <c:v>48590</c:v>
                </c:pt>
                <c:pt idx="95">
                  <c:v>48621</c:v>
                </c:pt>
                <c:pt idx="96">
                  <c:v>48649</c:v>
                </c:pt>
                <c:pt idx="97">
                  <c:v>48680</c:v>
                </c:pt>
                <c:pt idx="98">
                  <c:v>48710</c:v>
                </c:pt>
                <c:pt idx="99">
                  <c:v>48743</c:v>
                </c:pt>
                <c:pt idx="100">
                  <c:v>48771</c:v>
                </c:pt>
                <c:pt idx="101">
                  <c:v>48802</c:v>
                </c:pt>
                <c:pt idx="102">
                  <c:v>48834</c:v>
                </c:pt>
                <c:pt idx="103">
                  <c:v>48863</c:v>
                </c:pt>
                <c:pt idx="104">
                  <c:v>48897</c:v>
                </c:pt>
                <c:pt idx="105">
                  <c:v>48925</c:v>
                </c:pt>
                <c:pt idx="106">
                  <c:v>48955</c:v>
                </c:pt>
                <c:pt idx="107">
                  <c:v>48988</c:v>
                </c:pt>
                <c:pt idx="108">
                  <c:v>49016</c:v>
                </c:pt>
                <c:pt idx="109">
                  <c:v>49045</c:v>
                </c:pt>
                <c:pt idx="110">
                  <c:v>49075</c:v>
                </c:pt>
                <c:pt idx="111">
                  <c:v>49107</c:v>
                </c:pt>
                <c:pt idx="112">
                  <c:v>49136</c:v>
                </c:pt>
                <c:pt idx="113">
                  <c:v>49167</c:v>
                </c:pt>
                <c:pt idx="114">
                  <c:v>49198</c:v>
                </c:pt>
                <c:pt idx="115">
                  <c:v>49228</c:v>
                </c:pt>
                <c:pt idx="116">
                  <c:v>49261</c:v>
                </c:pt>
                <c:pt idx="117">
                  <c:v>49289</c:v>
                </c:pt>
                <c:pt idx="118">
                  <c:v>49320</c:v>
                </c:pt>
                <c:pt idx="119">
                  <c:v>49352</c:v>
                </c:pt>
                <c:pt idx="120">
                  <c:v>49380</c:v>
                </c:pt>
              </c:numCache>
            </c:numRef>
          </c:cat>
          <c:val>
            <c:numRef>
              <c:f>'1-month Term SOFR'!$Q$12:$Q$132</c:f>
              <c:numCache>
                <c:formatCode>0.00%</c:formatCode>
                <c:ptCount val="121"/>
                <c:pt idx="0">
                  <c:v>4.3301699999999999E-2</c:v>
                </c:pt>
                <c:pt idx="1">
                  <c:v>4.3052899999999998E-2</c:v>
                </c:pt>
                <c:pt idx="2">
                  <c:v>4.2218499999999999E-2</c:v>
                </c:pt>
                <c:pt idx="3">
                  <c:v>4.1257700000000001E-2</c:v>
                </c:pt>
                <c:pt idx="4">
                  <c:v>4.0362500000000003E-2</c:v>
                </c:pt>
                <c:pt idx="5">
                  <c:v>3.9592599999999999E-2</c:v>
                </c:pt>
                <c:pt idx="6">
                  <c:v>3.8102499999999997E-2</c:v>
                </c:pt>
                <c:pt idx="7">
                  <c:v>3.78538E-2</c:v>
                </c:pt>
                <c:pt idx="8">
                  <c:v>3.7851799999999998E-2</c:v>
                </c:pt>
                <c:pt idx="9">
                  <c:v>3.6711399999999998E-2</c:v>
                </c:pt>
                <c:pt idx="10">
                  <c:v>3.6445499999999999E-2</c:v>
                </c:pt>
                <c:pt idx="11">
                  <c:v>3.644E-2</c:v>
                </c:pt>
                <c:pt idx="12">
                  <c:v>3.5883900000000003E-2</c:v>
                </c:pt>
                <c:pt idx="13">
                  <c:v>3.5726399999999998E-2</c:v>
                </c:pt>
                <c:pt idx="14">
                  <c:v>3.5728200000000002E-2</c:v>
                </c:pt>
                <c:pt idx="15">
                  <c:v>3.5572600000000003E-2</c:v>
                </c:pt>
                <c:pt idx="16">
                  <c:v>3.5496800000000002E-2</c:v>
                </c:pt>
                <c:pt idx="17">
                  <c:v>3.5473600000000001E-2</c:v>
                </c:pt>
                <c:pt idx="18">
                  <c:v>3.5467800000000001E-2</c:v>
                </c:pt>
                <c:pt idx="19">
                  <c:v>3.54767E-2</c:v>
                </c:pt>
                <c:pt idx="20">
                  <c:v>3.5506299999999998E-2</c:v>
                </c:pt>
                <c:pt idx="21">
                  <c:v>3.5545899999999998E-2</c:v>
                </c:pt>
                <c:pt idx="22">
                  <c:v>3.5608000000000001E-2</c:v>
                </c:pt>
                <c:pt idx="23">
                  <c:v>3.5678099999999997E-2</c:v>
                </c:pt>
                <c:pt idx="24">
                  <c:v>3.5775300000000003E-2</c:v>
                </c:pt>
                <c:pt idx="25">
                  <c:v>3.5866599999999998E-2</c:v>
                </c:pt>
                <c:pt idx="26">
                  <c:v>3.5957900000000001E-2</c:v>
                </c:pt>
                <c:pt idx="27">
                  <c:v>3.6051E-2</c:v>
                </c:pt>
                <c:pt idx="28">
                  <c:v>3.61432E-2</c:v>
                </c:pt>
                <c:pt idx="29">
                  <c:v>3.6238100000000002E-2</c:v>
                </c:pt>
                <c:pt idx="30">
                  <c:v>3.6324500000000003E-2</c:v>
                </c:pt>
                <c:pt idx="31">
                  <c:v>3.6411399999999997E-2</c:v>
                </c:pt>
                <c:pt idx="32">
                  <c:v>3.6499999999999998E-2</c:v>
                </c:pt>
                <c:pt idx="33">
                  <c:v>3.6587700000000001E-2</c:v>
                </c:pt>
                <c:pt idx="34">
                  <c:v>3.6668899999999997E-2</c:v>
                </c:pt>
                <c:pt idx="35">
                  <c:v>3.6754799999999997E-2</c:v>
                </c:pt>
                <c:pt idx="36">
                  <c:v>3.6839299999999998E-2</c:v>
                </c:pt>
                <c:pt idx="37">
                  <c:v>3.6912300000000002E-2</c:v>
                </c:pt>
                <c:pt idx="38">
                  <c:v>3.6993999999999999E-2</c:v>
                </c:pt>
                <c:pt idx="39">
                  <c:v>3.7064399999999997E-2</c:v>
                </c:pt>
                <c:pt idx="40">
                  <c:v>3.71335E-2</c:v>
                </c:pt>
                <c:pt idx="41">
                  <c:v>3.7200499999999997E-2</c:v>
                </c:pt>
                <c:pt idx="42">
                  <c:v>3.7261000000000002E-2</c:v>
                </c:pt>
                <c:pt idx="43">
                  <c:v>3.7327300000000001E-2</c:v>
                </c:pt>
                <c:pt idx="44">
                  <c:v>3.7378399999999999E-2</c:v>
                </c:pt>
                <c:pt idx="45">
                  <c:v>3.7428400000000001E-2</c:v>
                </c:pt>
                <c:pt idx="46">
                  <c:v>3.7479899999999997E-2</c:v>
                </c:pt>
                <c:pt idx="47">
                  <c:v>3.7515800000000002E-2</c:v>
                </c:pt>
                <c:pt idx="48">
                  <c:v>3.7561900000000002E-2</c:v>
                </c:pt>
                <c:pt idx="49">
                  <c:v>3.7599800000000003E-2</c:v>
                </c:pt>
                <c:pt idx="50">
                  <c:v>3.7643299999999998E-2</c:v>
                </c:pt>
                <c:pt idx="51">
                  <c:v>3.76832E-2</c:v>
                </c:pt>
                <c:pt idx="52">
                  <c:v>3.7732599999999998E-2</c:v>
                </c:pt>
                <c:pt idx="53">
                  <c:v>3.7773099999999997E-2</c:v>
                </c:pt>
                <c:pt idx="54">
                  <c:v>3.7810999999999997E-2</c:v>
                </c:pt>
                <c:pt idx="55">
                  <c:v>3.7861300000000001E-2</c:v>
                </c:pt>
                <c:pt idx="56">
                  <c:v>3.7900000000000003E-2</c:v>
                </c:pt>
                <c:pt idx="57">
                  <c:v>3.7942700000000003E-2</c:v>
                </c:pt>
                <c:pt idx="58">
                  <c:v>3.7987199999999999E-2</c:v>
                </c:pt>
                <c:pt idx="59">
                  <c:v>3.8023800000000003E-2</c:v>
                </c:pt>
                <c:pt idx="60">
                  <c:v>3.8072599999999998E-2</c:v>
                </c:pt>
                <c:pt idx="61">
                  <c:v>3.8119599999999997E-2</c:v>
                </c:pt>
                <c:pt idx="62">
                  <c:v>3.8161800000000003E-2</c:v>
                </c:pt>
                <c:pt idx="63">
                  <c:v>3.81991E-2</c:v>
                </c:pt>
                <c:pt idx="64">
                  <c:v>3.82452E-2</c:v>
                </c:pt>
                <c:pt idx="65">
                  <c:v>3.8285199999999998E-2</c:v>
                </c:pt>
                <c:pt idx="66">
                  <c:v>3.83217E-2</c:v>
                </c:pt>
                <c:pt idx="67">
                  <c:v>3.83656E-2</c:v>
                </c:pt>
                <c:pt idx="68">
                  <c:v>3.84006E-2</c:v>
                </c:pt>
                <c:pt idx="69">
                  <c:v>3.8444399999999997E-2</c:v>
                </c:pt>
                <c:pt idx="70">
                  <c:v>3.8479100000000002E-2</c:v>
                </c:pt>
                <c:pt idx="71">
                  <c:v>3.8505600000000001E-2</c:v>
                </c:pt>
                <c:pt idx="72">
                  <c:v>3.8553999999999998E-2</c:v>
                </c:pt>
                <c:pt idx="73">
                  <c:v>3.8582199999999997E-2</c:v>
                </c:pt>
                <c:pt idx="74">
                  <c:v>3.86161E-2</c:v>
                </c:pt>
                <c:pt idx="75">
                  <c:v>3.8646199999999999E-2</c:v>
                </c:pt>
                <c:pt idx="76">
                  <c:v>3.8680899999999997E-2</c:v>
                </c:pt>
                <c:pt idx="77">
                  <c:v>3.8713200000000003E-2</c:v>
                </c:pt>
                <c:pt idx="78">
                  <c:v>3.875E-2</c:v>
                </c:pt>
                <c:pt idx="79">
                  <c:v>3.8777699999999998E-2</c:v>
                </c:pt>
                <c:pt idx="80">
                  <c:v>3.8803200000000003E-2</c:v>
                </c:pt>
                <c:pt idx="81">
                  <c:v>3.8835799999999997E-2</c:v>
                </c:pt>
                <c:pt idx="82">
                  <c:v>3.8862800000000003E-2</c:v>
                </c:pt>
                <c:pt idx="83">
                  <c:v>3.8884700000000001E-2</c:v>
                </c:pt>
                <c:pt idx="84">
                  <c:v>3.8917899999999998E-2</c:v>
                </c:pt>
                <c:pt idx="85">
                  <c:v>3.8941400000000001E-2</c:v>
                </c:pt>
                <c:pt idx="86">
                  <c:v>3.8970400000000002E-2</c:v>
                </c:pt>
                <c:pt idx="87">
                  <c:v>3.8999300000000001E-2</c:v>
                </c:pt>
                <c:pt idx="88">
                  <c:v>3.9028599999999997E-2</c:v>
                </c:pt>
                <c:pt idx="89">
                  <c:v>3.9062800000000002E-2</c:v>
                </c:pt>
                <c:pt idx="90">
                  <c:v>3.9087499999999997E-2</c:v>
                </c:pt>
                <c:pt idx="91">
                  <c:v>3.9119099999999997E-2</c:v>
                </c:pt>
                <c:pt idx="92">
                  <c:v>3.9150699999999997E-2</c:v>
                </c:pt>
                <c:pt idx="93">
                  <c:v>3.91829E-2</c:v>
                </c:pt>
                <c:pt idx="94">
                  <c:v>3.9213499999999998E-2</c:v>
                </c:pt>
                <c:pt idx="95">
                  <c:v>3.9238700000000001E-2</c:v>
                </c:pt>
                <c:pt idx="96">
                  <c:v>3.9277300000000001E-2</c:v>
                </c:pt>
                <c:pt idx="97">
                  <c:v>3.9308900000000001E-2</c:v>
                </c:pt>
                <c:pt idx="98">
                  <c:v>3.9350799999999998E-2</c:v>
                </c:pt>
                <c:pt idx="99">
                  <c:v>3.93803E-2</c:v>
                </c:pt>
                <c:pt idx="100">
                  <c:v>3.9415600000000002E-2</c:v>
                </c:pt>
                <c:pt idx="101">
                  <c:v>3.9454799999999998E-2</c:v>
                </c:pt>
                <c:pt idx="102">
                  <c:v>3.9487599999999998E-2</c:v>
                </c:pt>
                <c:pt idx="103">
                  <c:v>3.9533899999999997E-2</c:v>
                </c:pt>
                <c:pt idx="104">
                  <c:v>3.9564700000000001E-2</c:v>
                </c:pt>
                <c:pt idx="105">
                  <c:v>3.9602499999999999E-2</c:v>
                </c:pt>
                <c:pt idx="106">
                  <c:v>3.9646199999999999E-2</c:v>
                </c:pt>
                <c:pt idx="107">
                  <c:v>3.9674500000000001E-2</c:v>
                </c:pt>
                <c:pt idx="108">
                  <c:v>3.9719499999999998E-2</c:v>
                </c:pt>
                <c:pt idx="109">
                  <c:v>3.9754999999999999E-2</c:v>
                </c:pt>
                <c:pt idx="110">
                  <c:v>3.9800799999999997E-2</c:v>
                </c:pt>
                <c:pt idx="111">
                  <c:v>3.9838499999999999E-2</c:v>
                </c:pt>
                <c:pt idx="112">
                  <c:v>3.9881199999999999E-2</c:v>
                </c:pt>
                <c:pt idx="113">
                  <c:v>3.9924300000000003E-2</c:v>
                </c:pt>
                <c:pt idx="114">
                  <c:v>3.9965100000000003E-2</c:v>
                </c:pt>
                <c:pt idx="115">
                  <c:v>4.0016700000000002E-2</c:v>
                </c:pt>
                <c:pt idx="116">
                  <c:v>4.0055599999999997E-2</c:v>
                </c:pt>
                <c:pt idx="117">
                  <c:v>4.0099500000000003E-2</c:v>
                </c:pt>
                <c:pt idx="118">
                  <c:v>4.0148400000000001E-2</c:v>
                </c:pt>
                <c:pt idx="119">
                  <c:v>4.0184400000000002E-2</c:v>
                </c:pt>
                <c:pt idx="120">
                  <c:v>4.02355E-2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9-4C20-882C-3BE123578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87401"/>
        <c:axId val="53623782"/>
      </c:lineChart>
      <c:catAx>
        <c:axId val="30787401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</c:spPr>
        </c:title>
        <c:numFmt formatCode="m/d/yyyy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53623782"/>
        <c:crosses val="autoZero"/>
        <c:auto val="0"/>
        <c:lblAlgn val="ctr"/>
        <c:lblOffset val="100"/>
        <c:noMultiLvlLbl val="0"/>
      </c:catAx>
      <c:valAx>
        <c:axId val="53623782"/>
        <c:scaling>
          <c:orientation val="minMax"/>
          <c:max val="5.5707300000000001E-2"/>
          <c:min val="3.4086599999999995E-2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title>
          <c:tx>
            <c:rich>
              <a:bodyPr rot="-5400000" vert="horz" wrap="square"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</c:spPr>
        </c:title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30787401"/>
        <c:crosses val="autoZero"/>
        <c:crossBetween val="between"/>
        <c:minorUnit val="2.5000000000000001E-3"/>
      </c:valAx>
      <c:spPr>
        <a:solidFill>
          <a:srgbClr val="FFFFFF"/>
        </a:solidFill>
        <a:ln w="12700">
          <a:solidFill>
            <a:srgbClr val="E3E3E3"/>
          </a:solidFill>
        </a:ln>
      </c:spPr>
    </c:plotArea>
    <c:legend>
      <c:legendPos val="t"/>
      <c:legendEntry>
        <c:idx val="0"/>
        <c:delete val="1"/>
      </c:legendEntry>
      <c:overlay val="0"/>
    </c:legend>
    <c:plotVisOnly val="1"/>
    <c:dispBlanksAs val="gap"/>
    <c:showDLblsOverMax val="0"/>
  </c:chart>
  <c:spPr>
    <a:ln>
      <a:solidFill>
        <a:srgbClr val="B1B1B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1771650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13B36-7DD2-43E0-8BE0-C861D221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1925"/>
          <a:ext cx="1771650" cy="5619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833747F-76BF-4CAA-8F17-40AEA29EC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chathamdirect.com/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6791-A846-4021-944B-35F9F2C032E7}">
  <sheetPr>
    <tabColor theme="4"/>
  </sheetPr>
  <dimension ref="A1:D5"/>
  <sheetViews>
    <sheetView workbookViewId="0">
      <selection activeCell="D5" sqref="A1:D5"/>
    </sheetView>
  </sheetViews>
  <sheetFormatPr defaultRowHeight="14.25" x14ac:dyDescent="0.45"/>
  <sheetData>
    <row r="1" spans="1:4" x14ac:dyDescent="0.45">
      <c r="A1" t="s">
        <v>391</v>
      </c>
    </row>
    <row r="2" spans="1:4" x14ac:dyDescent="0.45">
      <c r="D2" t="s">
        <v>412</v>
      </c>
    </row>
    <row r="3" spans="1:4" x14ac:dyDescent="0.45">
      <c r="D3" t="s">
        <v>406</v>
      </c>
    </row>
    <row r="4" spans="1:4" x14ac:dyDescent="0.45">
      <c r="A4" t="s">
        <v>392</v>
      </c>
      <c r="D4" t="s">
        <v>416</v>
      </c>
    </row>
    <row r="5" spans="1:4" x14ac:dyDescent="0.45">
      <c r="D5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2DD9-38D4-4177-A2BD-21A0F8865199}">
  <sheetPr>
    <tabColor theme="1"/>
  </sheetPr>
  <dimension ref="B3:C11"/>
  <sheetViews>
    <sheetView showGridLines="0" view="pageBreakPreview" zoomScale="115" zoomScaleNormal="130" zoomScaleSheetLayoutView="115" workbookViewId="0">
      <selection activeCell="B4" sqref="B4"/>
    </sheetView>
  </sheetViews>
  <sheetFormatPr defaultRowHeight="14.25" x14ac:dyDescent="0.45"/>
  <cols>
    <col min="2" max="2" width="5.53125" style="277" customWidth="1"/>
    <col min="3" max="4" width="10.796875" customWidth="1"/>
    <col min="5" max="5" width="34" bestFit="1" customWidth="1"/>
    <col min="6" max="6" width="10.796875" customWidth="1"/>
    <col min="7" max="7" width="30.796875" customWidth="1"/>
    <col min="8" max="8" width="9.19921875" bestFit="1" customWidth="1"/>
    <col min="13" max="13" width="12.53125" customWidth="1"/>
  </cols>
  <sheetData>
    <row r="3" spans="2:3" ht="17.55" customHeight="1" x14ac:dyDescent="0.45">
      <c r="B3" s="277" t="s">
        <v>305</v>
      </c>
    </row>
    <row r="4" spans="2:3" ht="17.55" customHeight="1" x14ac:dyDescent="0.45">
      <c r="B4" s="277">
        <v>1</v>
      </c>
      <c r="C4" s="24" t="s">
        <v>385</v>
      </c>
    </row>
    <row r="5" spans="2:3" ht="17.55" customHeight="1" x14ac:dyDescent="0.45">
      <c r="B5" s="277">
        <v>2</v>
      </c>
      <c r="C5" s="24"/>
    </row>
    <row r="6" spans="2:3" ht="17.55" customHeight="1" x14ac:dyDescent="0.45">
      <c r="B6" s="277">
        <v>3</v>
      </c>
      <c r="C6" s="24"/>
    </row>
    <row r="7" spans="2:3" ht="17.55" customHeight="1" x14ac:dyDescent="0.45"/>
    <row r="8" spans="2:3" ht="17.55" customHeight="1" x14ac:dyDescent="0.45">
      <c r="B8" s="277" t="s">
        <v>304</v>
      </c>
    </row>
    <row r="9" spans="2:3" ht="17.55" customHeight="1" x14ac:dyDescent="0.45">
      <c r="B9" s="277">
        <v>1</v>
      </c>
      <c r="C9" s="24" t="s">
        <v>386</v>
      </c>
    </row>
    <row r="10" spans="2:3" ht="17.55" customHeight="1" x14ac:dyDescent="0.45">
      <c r="B10" s="277">
        <v>2</v>
      </c>
      <c r="C10" s="24"/>
    </row>
    <row r="11" spans="2:3" ht="17.55" customHeight="1" x14ac:dyDescent="0.45">
      <c r="B11" s="277">
        <v>3</v>
      </c>
      <c r="C11" s="24"/>
    </row>
  </sheetData>
  <pageMargins left="0.7" right="0.7" top="0.75" bottom="0.75" header="0.3" footer="0.3"/>
  <pageSetup scale="94" orientation="landscape" r:id="rId1"/>
  <headerFooter>
    <oddFooter>&amp;C&amp;P of &amp;N</oddFooter>
  </headerFooter>
  <colBreaks count="1" manualBreakCount="1">
    <brk id="10" min="2" max="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9300-9444-4F38-9BB0-58F166223116}">
  <sheetPr>
    <tabColor theme="7" tint="0.59999389629810485"/>
  </sheetPr>
  <dimension ref="C3:M46"/>
  <sheetViews>
    <sheetView showGridLines="0" workbookViewId="0">
      <selection activeCell="C3" sqref="C3"/>
    </sheetView>
  </sheetViews>
  <sheetFormatPr defaultColWidth="9.1328125" defaultRowHeight="14.25" x14ac:dyDescent="0.45"/>
  <cols>
    <col min="1" max="6" width="9.1328125" style="160"/>
    <col min="7" max="7" width="10.796875" style="160" bestFit="1" customWidth="1"/>
    <col min="8" max="8" width="11.86328125" style="301" bestFit="1" customWidth="1"/>
    <col min="9" max="10" width="11.53125" style="194" customWidth="1"/>
    <col min="11" max="11" width="9.1328125" style="160"/>
    <col min="12" max="12" width="1.53125" style="314" customWidth="1"/>
    <col min="13" max="13" width="30.53125" style="315" customWidth="1"/>
    <col min="14" max="16384" width="9.1328125" style="160"/>
  </cols>
  <sheetData>
    <row r="3" spans="3:13" s="191" customFormat="1" x14ac:dyDescent="0.45">
      <c r="C3" s="191" t="s">
        <v>314</v>
      </c>
      <c r="G3" s="292"/>
      <c r="H3" s="304"/>
      <c r="J3" s="293"/>
      <c r="K3" s="293"/>
      <c r="L3" s="305"/>
      <c r="M3" s="306"/>
    </row>
    <row r="4" spans="3:13" ht="20" customHeight="1" x14ac:dyDescent="0.45">
      <c r="C4" s="294"/>
      <c r="D4" s="295"/>
      <c r="E4" s="296"/>
      <c r="F4" s="296"/>
      <c r="G4" s="296"/>
      <c r="H4" s="307"/>
      <c r="I4" s="280"/>
      <c r="J4" s="280" t="s">
        <v>47</v>
      </c>
      <c r="K4" s="297" t="s">
        <v>48</v>
      </c>
      <c r="L4" s="308"/>
      <c r="M4" s="309" t="s">
        <v>305</v>
      </c>
    </row>
    <row r="5" spans="3:13" s="304" customFormat="1" ht="20" customHeight="1" x14ac:dyDescent="0.45">
      <c r="C5" s="310" t="s">
        <v>363</v>
      </c>
      <c r="D5" s="310"/>
      <c r="E5" s="310"/>
      <c r="F5" s="310"/>
      <c r="G5" s="310"/>
      <c r="H5" s="310"/>
      <c r="I5" s="311"/>
      <c r="J5" s="311">
        <f>+K5/12</f>
        <v>165312.06999999998</v>
      </c>
      <c r="K5" s="311">
        <f>+Assumptions!K124</f>
        <v>1983744.8399999999</v>
      </c>
      <c r="L5" s="312"/>
      <c r="M5" s="313" t="s">
        <v>315</v>
      </c>
    </row>
    <row r="6" spans="3:13" ht="20" customHeight="1" x14ac:dyDescent="0.45">
      <c r="C6" s="160" t="str">
        <f>"Plus: "&amp;Assumptions!B131</f>
        <v>Plus: Total Amenity Income</v>
      </c>
      <c r="I6" s="298"/>
      <c r="J6" s="298">
        <f>+K6/12</f>
        <v>7721</v>
      </c>
      <c r="K6" s="298">
        <f>+Assumptions!J131</f>
        <v>92652</v>
      </c>
      <c r="M6" s="315" t="s">
        <v>364</v>
      </c>
    </row>
    <row r="7" spans="3:13" ht="20" customHeight="1" x14ac:dyDescent="0.45">
      <c r="C7" s="160" t="s">
        <v>316</v>
      </c>
      <c r="G7" s="316">
        <f>-Assumptions!G148-Assumptions!G147-Assumptions!K146</f>
        <v>-7.6666666666666675E-2</v>
      </c>
      <c r="I7" s="298"/>
      <c r="J7" s="298">
        <f>+$G$7*J5</f>
        <v>-12673.925366666666</v>
      </c>
      <c r="K7" s="298">
        <f>+$G$7*K5</f>
        <v>-152087.10440000001</v>
      </c>
      <c r="M7" s="329" t="s">
        <v>317</v>
      </c>
    </row>
    <row r="8" spans="3:13" s="191" customFormat="1" ht="20" customHeight="1" x14ac:dyDescent="0.45">
      <c r="C8" s="317" t="s">
        <v>71</v>
      </c>
      <c r="D8" s="317"/>
      <c r="E8" s="317"/>
      <c r="F8" s="317"/>
      <c r="G8" s="317"/>
      <c r="H8" s="318"/>
      <c r="I8" s="319"/>
      <c r="J8" s="319">
        <f>SUM(J5:J7)</f>
        <v>160359.14463333332</v>
      </c>
      <c r="K8" s="319">
        <f>SUM(K5:K7)</f>
        <v>1924309.7355999998</v>
      </c>
      <c r="L8" s="305"/>
      <c r="M8" s="306"/>
    </row>
    <row r="9" spans="3:13" s="344" customFormat="1" ht="20" customHeight="1" x14ac:dyDescent="0.45">
      <c r="H9" s="345"/>
      <c r="I9" s="346"/>
      <c r="J9" s="346"/>
      <c r="L9" s="347"/>
      <c r="M9" s="348"/>
    </row>
    <row r="10" spans="3:13" ht="20" customHeight="1" x14ac:dyDescent="0.45">
      <c r="C10" s="320" t="str">
        <f>Assumptions!B150</f>
        <v>Operating Expenses</v>
      </c>
      <c r="D10" s="294"/>
      <c r="E10" s="294"/>
      <c r="F10" s="294"/>
      <c r="G10" s="321"/>
      <c r="H10" s="322" t="str">
        <f>Assumptions!G150</f>
        <v>Factor</v>
      </c>
      <c r="I10" s="323" t="str">
        <f>Assumptions!H150</f>
        <v>Statistic</v>
      </c>
      <c r="J10" s="280" t="str">
        <f>Assumptions!I150</f>
        <v>Monthly</v>
      </c>
      <c r="K10" s="280" t="str">
        <f>Assumptions!J150</f>
        <v>Annual</v>
      </c>
    </row>
    <row r="11" spans="3:13" ht="20" customHeight="1" x14ac:dyDescent="0.45">
      <c r="C11" s="160" t="str">
        <f>Assumptions!B151</f>
        <v>Property Taxes</v>
      </c>
      <c r="G11" s="300"/>
      <c r="H11" s="324">
        <f>Assumptions!G151</f>
        <v>3815.7179487179496</v>
      </c>
      <c r="I11" s="325">
        <f>Assumptions!H151</f>
        <v>78</v>
      </c>
      <c r="J11" s="193">
        <f>Assumptions!I151</f>
        <v>24802.166666666672</v>
      </c>
      <c r="K11" s="298">
        <f>Assumptions!J151</f>
        <v>297626.00000000006</v>
      </c>
      <c r="M11" s="343" t="s">
        <v>353</v>
      </c>
    </row>
    <row r="12" spans="3:13" ht="20" customHeight="1" x14ac:dyDescent="0.45">
      <c r="C12" s="160" t="str">
        <f>Assumptions!B152</f>
        <v>Insurance</v>
      </c>
      <c r="G12" s="300"/>
      <c r="H12" s="324">
        <f>Assumptions!G152</f>
        <v>910</v>
      </c>
      <c r="I12" s="325">
        <f>Assumptions!H152</f>
        <v>78</v>
      </c>
      <c r="J12" s="193">
        <f>Assumptions!I152</f>
        <v>5915</v>
      </c>
      <c r="K12" s="193">
        <f>Assumptions!J152</f>
        <v>70980</v>
      </c>
      <c r="M12" s="315" t="s">
        <v>318</v>
      </c>
    </row>
    <row r="13" spans="3:13" ht="20" customHeight="1" x14ac:dyDescent="0.45">
      <c r="C13" s="160" t="str">
        <f>Assumptions!B153</f>
        <v>Water / Sewer</v>
      </c>
      <c r="G13" s="300"/>
      <c r="H13" s="324">
        <f>Assumptions!G153</f>
        <v>600.89743589743568</v>
      </c>
      <c r="I13" s="325">
        <f>Assumptions!H153</f>
        <v>78</v>
      </c>
      <c r="J13" s="193">
        <f>Assumptions!I153</f>
        <v>3905.8333333333321</v>
      </c>
      <c r="K13" s="193">
        <f>Assumptions!J153</f>
        <v>46869.999999999985</v>
      </c>
      <c r="M13" s="315" t="s">
        <v>318</v>
      </c>
    </row>
    <row r="14" spans="3:13" ht="20" customHeight="1" x14ac:dyDescent="0.45">
      <c r="C14" s="160" t="str">
        <f>Assumptions!B154</f>
        <v>Repairs &amp; Maintenance</v>
      </c>
      <c r="G14" s="300"/>
      <c r="H14" s="324">
        <f>Assumptions!G154</f>
        <v>500</v>
      </c>
      <c r="I14" s="325">
        <f>Assumptions!H154</f>
        <v>78</v>
      </c>
      <c r="J14" s="193">
        <f>Assumptions!I154</f>
        <v>3250</v>
      </c>
      <c r="K14" s="193">
        <f>Assumptions!J154</f>
        <v>39000</v>
      </c>
      <c r="M14" s="315" t="s">
        <v>318</v>
      </c>
    </row>
    <row r="15" spans="3:13" ht="20" customHeight="1" x14ac:dyDescent="0.45">
      <c r="C15" s="160" t="str">
        <f>Assumptions!B155</f>
        <v>Bank fees</v>
      </c>
      <c r="G15" s="300"/>
      <c r="H15" s="324"/>
      <c r="I15" s="325"/>
      <c r="J15" s="193">
        <f>Assumptions!I155</f>
        <v>162.5</v>
      </c>
      <c r="K15" s="193">
        <f>Assumptions!J155</f>
        <v>1950</v>
      </c>
      <c r="M15" s="315" t="s">
        <v>318</v>
      </c>
    </row>
    <row r="16" spans="3:13" ht="20" customHeight="1" x14ac:dyDescent="0.45">
      <c r="C16" s="160" t="str">
        <f>Assumptions!B156</f>
        <v>Trash</v>
      </c>
      <c r="G16" s="300"/>
      <c r="H16" s="324"/>
      <c r="I16" s="325"/>
      <c r="J16" s="193">
        <f>Assumptions!I156</f>
        <v>200</v>
      </c>
      <c r="K16" s="193">
        <f>Assumptions!J156</f>
        <v>2400</v>
      </c>
      <c r="M16" s="315" t="s">
        <v>365</v>
      </c>
    </row>
    <row r="17" spans="3:13" ht="20" customHeight="1" x14ac:dyDescent="0.45">
      <c r="C17" s="160" t="str">
        <f>Assumptions!B158</f>
        <v>Security, Internet</v>
      </c>
      <c r="G17" s="300"/>
      <c r="H17" s="324"/>
      <c r="I17" s="325"/>
      <c r="J17" s="193">
        <f>Assumptions!I158</f>
        <v>200</v>
      </c>
      <c r="K17" s="193">
        <f>Assumptions!J158</f>
        <v>2400</v>
      </c>
      <c r="M17" s="315" t="s">
        <v>365</v>
      </c>
    </row>
    <row r="18" spans="3:13" ht="20" customHeight="1" x14ac:dyDescent="0.45">
      <c r="C18" s="160" t="str">
        <f>Assumptions!B159</f>
        <v>Pest Control</v>
      </c>
      <c r="G18" s="300"/>
      <c r="H18" s="324">
        <f>Assumptions!G159</f>
        <v>75</v>
      </c>
      <c r="I18" s="325">
        <f>Assumptions!H159</f>
        <v>78</v>
      </c>
      <c r="J18" s="193">
        <f>Assumptions!I159</f>
        <v>487.5</v>
      </c>
      <c r="K18" s="193">
        <f>Assumptions!J159</f>
        <v>5850</v>
      </c>
      <c r="M18" s="315" t="s">
        <v>365</v>
      </c>
    </row>
    <row r="19" spans="3:13" ht="20" customHeight="1" x14ac:dyDescent="0.45">
      <c r="C19" s="160" t="str">
        <f>Assumptions!B162</f>
        <v>Common Area Electric</v>
      </c>
      <c r="G19" s="300"/>
      <c r="H19" s="326">
        <f>Assumptions!G162</f>
        <v>0.67009900990099036</v>
      </c>
      <c r="I19" s="328">
        <f>Assumptions!H162</f>
        <v>5050</v>
      </c>
      <c r="J19" s="193">
        <f>Assumptions!I162</f>
        <v>282.00000000000011</v>
      </c>
      <c r="K19" s="193">
        <f>Assumptions!J162</f>
        <v>3384.0000000000014</v>
      </c>
      <c r="M19" s="160" t="s">
        <v>353</v>
      </c>
    </row>
    <row r="20" spans="3:13" ht="20" customHeight="1" x14ac:dyDescent="0.45">
      <c r="C20" s="160" t="str">
        <f>Assumptions!B163</f>
        <v>Landscaping / Snow Removal</v>
      </c>
      <c r="G20" s="300"/>
      <c r="H20" s="327"/>
      <c r="I20" s="328"/>
      <c r="J20" s="193">
        <f>Assumptions!I163</f>
        <v>1250</v>
      </c>
      <c r="K20" s="193">
        <f>Assumptions!J163</f>
        <v>15000</v>
      </c>
      <c r="M20" s="315" t="s">
        <v>318</v>
      </c>
    </row>
    <row r="21" spans="3:13" ht="20" customHeight="1" x14ac:dyDescent="0.45">
      <c r="C21" s="160" t="str">
        <f>Assumptions!B164</f>
        <v>Property Management</v>
      </c>
      <c r="G21" s="300"/>
      <c r="H21" s="342">
        <f>Assumptions!G164</f>
        <v>0.03</v>
      </c>
      <c r="I21" s="328">
        <f>Assumptions!H164</f>
        <v>1937970.3839999996</v>
      </c>
      <c r="J21" s="193">
        <f>Assumptions!I164</f>
        <v>4844.9259599999987</v>
      </c>
      <c r="K21" s="193">
        <f>Assumptions!J164</f>
        <v>58139.111519999984</v>
      </c>
      <c r="M21" s="315" t="s">
        <v>354</v>
      </c>
    </row>
    <row r="22" spans="3:13" ht="20" customHeight="1" x14ac:dyDescent="0.45">
      <c r="C22" s="160" t="str">
        <f>Assumptions!B165</f>
        <v>Accounting / Legal</v>
      </c>
      <c r="G22" s="300"/>
      <c r="H22" s="342"/>
      <c r="I22" s="328"/>
      <c r="J22" s="193">
        <f>Assumptions!I165</f>
        <v>291.66666666666669</v>
      </c>
      <c r="K22" s="193">
        <f>Assumptions!J165</f>
        <v>3500</v>
      </c>
      <c r="M22" s="329" t="s">
        <v>365</v>
      </c>
    </row>
    <row r="23" spans="3:13" ht="20" customHeight="1" x14ac:dyDescent="0.45">
      <c r="C23" s="299" t="str">
        <f>+Assumptions!B166</f>
        <v>Total Operating Expenses</v>
      </c>
      <c r="D23" s="299"/>
      <c r="E23" s="299"/>
      <c r="F23" s="299"/>
      <c r="G23" s="302"/>
      <c r="H23" s="330"/>
      <c r="I23" s="331"/>
      <c r="J23" s="303">
        <f>Assumptions!I166</f>
        <v>55431.925959999993</v>
      </c>
      <c r="K23" s="303">
        <f>Assumptions!J166</f>
        <v>665183.11152000003</v>
      </c>
    </row>
    <row r="24" spans="3:13" s="314" customFormat="1" ht="20" customHeight="1" x14ac:dyDescent="0.45">
      <c r="C24" s="332" t="s">
        <v>319</v>
      </c>
      <c r="D24" s="332"/>
      <c r="E24" s="332"/>
      <c r="F24" s="332"/>
      <c r="G24" s="333"/>
      <c r="H24" s="334"/>
      <c r="I24" s="333"/>
      <c r="J24" s="335"/>
      <c r="K24" s="336">
        <f>+K23/K8</f>
        <v>0.34567361959149262</v>
      </c>
      <c r="M24" s="315"/>
    </row>
    <row r="25" spans="3:13" s="344" customFormat="1" ht="20" customHeight="1" x14ac:dyDescent="0.45">
      <c r="H25" s="345"/>
      <c r="I25" s="346"/>
      <c r="J25" s="346"/>
      <c r="L25" s="347"/>
      <c r="M25" s="348"/>
    </row>
    <row r="26" spans="3:13" s="191" customFormat="1" ht="20" customHeight="1" x14ac:dyDescent="0.45">
      <c r="C26" s="337" t="s">
        <v>320</v>
      </c>
      <c r="D26" s="337"/>
      <c r="E26" s="337"/>
      <c r="F26" s="337"/>
      <c r="G26" s="337"/>
      <c r="H26" s="337"/>
      <c r="I26" s="338"/>
      <c r="J26" s="338">
        <f>+J8-J23</f>
        <v>104927.21867333332</v>
      </c>
      <c r="K26" s="338">
        <f>+K8-K23</f>
        <v>1259126.6240799997</v>
      </c>
      <c r="L26" s="305"/>
      <c r="M26" s="306"/>
    </row>
    <row r="27" spans="3:13" s="314" customFormat="1" ht="20" customHeight="1" x14ac:dyDescent="0.45">
      <c r="C27" s="339" t="str">
        <f>"Implied Stabilized Cap Rate at "&amp;TEXT(Assumptions!G22,"$#,##0")&amp;" Purchase"</f>
        <v>Implied Stabilized Cap Rate at $14,900,000 Purchase</v>
      </c>
      <c r="D27" s="339"/>
      <c r="E27" s="339"/>
      <c r="F27" s="339"/>
      <c r="G27" s="339"/>
      <c r="H27" s="339"/>
      <c r="I27" s="340"/>
      <c r="J27" s="340"/>
      <c r="K27" s="341">
        <f>+K26/Assumptions!G22</f>
        <v>8.4505142555704682E-2</v>
      </c>
      <c r="M27" s="315"/>
    </row>
    <row r="28" spans="3:13" ht="20" customHeight="1" x14ac:dyDescent="0.45"/>
    <row r="29" spans="3:13" ht="20" customHeight="1" x14ac:dyDescent="0.45"/>
    <row r="30" spans="3:13" ht="20" customHeight="1" x14ac:dyDescent="0.45"/>
    <row r="31" spans="3:13" ht="20" customHeight="1" x14ac:dyDescent="0.45"/>
    <row r="32" spans="3:13" ht="20" customHeight="1" x14ac:dyDescent="0.45"/>
    <row r="33" spans="9:10" ht="20" customHeight="1" x14ac:dyDescent="0.45">
      <c r="I33" s="298"/>
      <c r="J33" s="298"/>
    </row>
    <row r="34" spans="9:10" ht="20" customHeight="1" x14ac:dyDescent="0.45">
      <c r="I34" s="298"/>
      <c r="J34" s="298"/>
    </row>
    <row r="35" spans="9:10" ht="20" customHeight="1" x14ac:dyDescent="0.45">
      <c r="I35" s="298"/>
      <c r="J35" s="298"/>
    </row>
    <row r="36" spans="9:10" ht="20" customHeight="1" x14ac:dyDescent="0.45">
      <c r="I36" s="298"/>
      <c r="J36" s="298"/>
    </row>
    <row r="37" spans="9:10" ht="20" customHeight="1" x14ac:dyDescent="0.45">
      <c r="I37" s="298"/>
      <c r="J37" s="298"/>
    </row>
    <row r="38" spans="9:10" ht="20" customHeight="1" x14ac:dyDescent="0.45">
      <c r="I38" s="298"/>
      <c r="J38" s="298"/>
    </row>
    <row r="39" spans="9:10" ht="20" customHeight="1" x14ac:dyDescent="0.45">
      <c r="I39" s="298"/>
      <c r="J39" s="298"/>
    </row>
    <row r="40" spans="9:10" ht="20" customHeight="1" x14ac:dyDescent="0.45">
      <c r="I40" s="298"/>
      <c r="J40" s="298"/>
    </row>
    <row r="41" spans="9:10" ht="20" customHeight="1" x14ac:dyDescent="0.45">
      <c r="I41" s="298"/>
      <c r="J41" s="298"/>
    </row>
    <row r="42" spans="9:10" ht="20" customHeight="1" x14ac:dyDescent="0.45">
      <c r="I42" s="298"/>
      <c r="J42" s="298"/>
    </row>
    <row r="43" spans="9:10" ht="20" customHeight="1" x14ac:dyDescent="0.45">
      <c r="I43" s="298"/>
      <c r="J43" s="298"/>
    </row>
    <row r="44" spans="9:10" ht="20" customHeight="1" x14ac:dyDescent="0.45">
      <c r="I44" s="298"/>
      <c r="J44" s="298"/>
    </row>
    <row r="45" spans="9:10" x14ac:dyDescent="0.45">
      <c r="I45" s="298"/>
      <c r="J45" s="298"/>
    </row>
    <row r="46" spans="9:10" x14ac:dyDescent="0.45">
      <c r="I46" s="298"/>
      <c r="J46" s="29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DA14-61C7-4D25-BA9C-6868734D68BE}">
  <sheetPr>
    <tabColor theme="7" tint="0.59999389629810485"/>
  </sheetPr>
  <dimension ref="C3:K38"/>
  <sheetViews>
    <sheetView showGridLines="0" workbookViewId="0">
      <selection activeCell="G9" sqref="G9"/>
    </sheetView>
  </sheetViews>
  <sheetFormatPr defaultRowHeight="14.25" x14ac:dyDescent="0.45"/>
  <cols>
    <col min="7" max="11" width="10.53125" customWidth="1"/>
  </cols>
  <sheetData>
    <row r="3" spans="3:11" s="281" customFormat="1" x14ac:dyDescent="0.45">
      <c r="C3" s="281" t="s">
        <v>321</v>
      </c>
    </row>
    <row r="4" spans="3:11" x14ac:dyDescent="0.45">
      <c r="C4" s="8"/>
      <c r="D4" s="8"/>
      <c r="E4" s="8"/>
      <c r="F4" s="8"/>
      <c r="G4" s="349">
        <v>1</v>
      </c>
      <c r="H4" s="349">
        <f>+G4+1</f>
        <v>2</v>
      </c>
      <c r="I4" s="349">
        <f>+H4+1</f>
        <v>3</v>
      </c>
      <c r="J4" s="349">
        <f>+I4+1</f>
        <v>4</v>
      </c>
      <c r="K4" s="349">
        <f>+J4+1</f>
        <v>5</v>
      </c>
    </row>
    <row r="5" spans="3:11" x14ac:dyDescent="0.45">
      <c r="C5" s="3" t="str">
        <f>'NOI Walk'!B20</f>
        <v>Gross Potential Rent</v>
      </c>
      <c r="D5" s="3"/>
      <c r="E5" s="3"/>
      <c r="F5" s="3"/>
      <c r="G5" s="25">
        <f>+SUMIFS('NOI Walk'!$E20:$CW20,'NOI Walk'!$E$14:$CW$14,NOI!G$4)</f>
        <v>2010814.3292574564</v>
      </c>
      <c r="H5" s="25">
        <f>+SUMIFS('NOI Walk'!$E20:$CW20,'NOI Walk'!$E$14:$CW$14,NOI!H$4)</f>
        <v>2061664.7209242673</v>
      </c>
      <c r="I5" s="25">
        <f>+SUMIFS('NOI Walk'!$E20:$CW20,'NOI Walk'!$E$14:$CW$14,NOI!I$4)</f>
        <v>2113801.0405333284</v>
      </c>
      <c r="J5" s="25">
        <f>+SUMIFS('NOI Walk'!$E20:$CW20,'NOI Walk'!$E$14:$CW$14,NOI!J$4)</f>
        <v>2167255.8072180892</v>
      </c>
      <c r="K5" s="25">
        <f>+SUMIFS('NOI Walk'!$E20:$CW20,'NOI Walk'!$E$14:$CW$14,NOI!K$4)</f>
        <v>2222062.3624707102</v>
      </c>
    </row>
    <row r="6" spans="3:11" x14ac:dyDescent="0.45">
      <c r="C6" s="1" t="s">
        <v>345</v>
      </c>
      <c r="D6" s="1"/>
      <c r="E6" s="1"/>
      <c r="F6" s="1"/>
      <c r="G6" s="24">
        <f>+SUMIFS('NOI Walk'!$E21:$CW21,'NOI Walk'!$E$14:$CW$14,NOI!G$4)</f>
        <v>-459561.05296039663</v>
      </c>
      <c r="H6" s="24">
        <f>+SUMIFS('NOI Walk'!$E21:$CW21,'NOI Walk'!$E$14:$CW$14,NOI!H$4)</f>
        <v>-212925.14575487262</v>
      </c>
      <c r="I6" s="24">
        <f>+SUMIFS('NOI Walk'!$E21:$CW21,'NOI Walk'!$E$14:$CW$14,NOI!I$4)</f>
        <v>34561.397450661694</v>
      </c>
      <c r="J6" s="24">
        <f>+SUMIFS('NOI Walk'!$E21:$CW21,'NOI Walk'!$E$14:$CW$14,NOI!J$4)</f>
        <v>99676.363124066294</v>
      </c>
      <c r="K6" s="24">
        <f>+SUMIFS('NOI Walk'!$E21:$CW21,'NOI Walk'!$E$14:$CW$14,NOI!K$4)</f>
        <v>101023.89151922453</v>
      </c>
    </row>
    <row r="7" spans="3:11" x14ac:dyDescent="0.45">
      <c r="C7" s="1" t="s">
        <v>55</v>
      </c>
      <c r="D7" s="1"/>
      <c r="E7" s="1"/>
      <c r="F7" s="1"/>
      <c r="G7" s="24">
        <f>+SUMIFS('NOI Walk'!$E22:$CW22,'NOI Walk'!$E$14:$CW$14,NOI!G$4)</f>
        <v>-150388.04598141968</v>
      </c>
      <c r="H7" s="24">
        <f>+SUMIFS('NOI Walk'!$E22:$CW22,'NOI Walk'!$E$14:$CW$14,NOI!H$4)</f>
        <v>-223199.3039548251</v>
      </c>
      <c r="I7" s="24">
        <f>+SUMIFS('NOI Walk'!$E22:$CW22,'NOI Walk'!$E$14:$CW$14,NOI!I$4)</f>
        <v>-154449.30319883736</v>
      </c>
      <c r="J7" s="24">
        <f>+SUMIFS('NOI Walk'!$E22:$CW22,'NOI Walk'!$E$14:$CW$14,NOI!J$4)</f>
        <v>-107949.15096867408</v>
      </c>
      <c r="K7" s="24">
        <f>+SUMIFS('NOI Walk'!$E22:$CW22,'NOI Walk'!$E$14:$CW$14,NOI!K$4)</f>
        <v>-110623.15495190167</v>
      </c>
    </row>
    <row r="8" spans="3:11" s="350" customFormat="1" x14ac:dyDescent="0.45">
      <c r="C8" s="78" t="str">
        <f>'NOI Walk'!B23</f>
        <v>Vacancy</v>
      </c>
      <c r="D8" s="78"/>
      <c r="E8" s="78"/>
      <c r="F8" s="78"/>
      <c r="G8" s="236">
        <f>-G7/G5</f>
        <v>7.4789623185624626E-2</v>
      </c>
      <c r="H8" s="236">
        <f>-H7/H5</f>
        <v>0.10826168857114767</v>
      </c>
      <c r="I8" s="236">
        <f>-I7/I5</f>
        <v>7.3067095832192702E-2</v>
      </c>
      <c r="J8" s="236">
        <f>-J7/J5</f>
        <v>4.980914140783347E-2</v>
      </c>
      <c r="K8" s="236">
        <f>-K7/K5</f>
        <v>4.9784001034471344E-2</v>
      </c>
    </row>
    <row r="9" spans="3:11" x14ac:dyDescent="0.45">
      <c r="C9" s="1" t="s">
        <v>324</v>
      </c>
      <c r="D9" s="1"/>
      <c r="E9" s="1"/>
      <c r="F9" s="1"/>
      <c r="G9" s="176">
        <f>+SUMIFS('NOI Walk'!$E24:$CW24,'NOI Walk'!$E$14:$CW$14,NOI!G$4)</f>
        <v>1400865.2303156401</v>
      </c>
      <c r="H9" s="24">
        <f>+SUMIFS('NOI Walk'!$E24:$CW24,'NOI Walk'!$E$14:$CW$14,NOI!H$4)</f>
        <v>1625540.2712145699</v>
      </c>
      <c r="I9" s="24">
        <f>+SUMIFS('NOI Walk'!$E24:$CW24,'NOI Walk'!$E$14:$CW$14,NOI!I$4)</f>
        <v>1993913.1347851525</v>
      </c>
      <c r="J9" s="24">
        <f>+SUMIFS('NOI Walk'!$E24:$CW24,'NOI Walk'!$E$14:$CW$14,NOI!J$4)</f>
        <v>2158983.0193734816</v>
      </c>
      <c r="K9" s="24">
        <f>+SUMIFS('NOI Walk'!$E24:$CW24,'NOI Walk'!$E$14:$CW$14,NOI!K$4)</f>
        <v>2212463.0990380328</v>
      </c>
    </row>
    <row r="10" spans="3:11" x14ac:dyDescent="0.45">
      <c r="C10" s="1" t="str">
        <f>'NOI Walk'!B25</f>
        <v>Parking Income</v>
      </c>
      <c r="D10" s="1"/>
      <c r="E10" s="1"/>
      <c r="F10" s="1"/>
      <c r="G10" s="176">
        <f>+SUMIFS('NOI Walk'!$E25:$CW25,'NOI Walk'!$E$14:$CW$14,NOI!G$4)</f>
        <v>4870.1050679345699</v>
      </c>
      <c r="H10" s="24">
        <f>+SUMIFS('NOI Walk'!$E25:$CW25,'NOI Walk'!$E$14:$CW$14,NOI!H$4)</f>
        <v>60474.334516059564</v>
      </c>
      <c r="I10" s="24">
        <f>+SUMIFS('NOI Walk'!$E25:$CW25,'NOI Walk'!$E$14:$CW$14,NOI!I$4)</f>
        <v>66738.291537115554</v>
      </c>
      <c r="J10" s="24">
        <f>+SUMIFS('NOI Walk'!$E25:$CW25,'NOI Walk'!$E$14:$CW$14,NOI!J$4)</f>
        <v>71582.162156245438</v>
      </c>
      <c r="K10" s="24">
        <f>+SUMIFS('NOI Walk'!$E25:$CW25,'NOI Walk'!$E$14:$CW$14,NOI!K$4)</f>
        <v>73027.001977658059</v>
      </c>
    </row>
    <row r="11" spans="3:11" x14ac:dyDescent="0.45">
      <c r="C11" s="1" t="str">
        <f>'NOI Walk'!B26</f>
        <v>Storage Income</v>
      </c>
      <c r="D11" s="1"/>
      <c r="E11" s="1"/>
      <c r="F11" s="1"/>
      <c r="G11" s="176">
        <f>+SUMIFS('NOI Walk'!$E26:$CW26,'NOI Walk'!$E$14:$CW$14,NOI!G$4)</f>
        <v>2597.3893695651041</v>
      </c>
      <c r="H11" s="24">
        <f>+SUMIFS('NOI Walk'!$E26:$CW26,'NOI Walk'!$E$14:$CW$14,NOI!H$4)</f>
        <v>32252.978408565097</v>
      </c>
      <c r="I11" s="24">
        <f>+SUMIFS('NOI Walk'!$E26:$CW26,'NOI Walk'!$E$14:$CW$14,NOI!I$4)</f>
        <v>35593.755486461625</v>
      </c>
      <c r="J11" s="24">
        <f>+SUMIFS('NOI Walk'!$E26:$CW26,'NOI Walk'!$E$14:$CW$14,NOI!J$4)</f>
        <v>38177.153149997568</v>
      </c>
      <c r="K11" s="24">
        <f>+SUMIFS('NOI Walk'!$E26:$CW26,'NOI Walk'!$E$14:$CW$14,NOI!K$4)</f>
        <v>38947.734388084304</v>
      </c>
    </row>
    <row r="12" spans="3:11" x14ac:dyDescent="0.45">
      <c r="C12" s="1" t="str">
        <f>'NOI Walk'!B27</f>
        <v>Laundry Income</v>
      </c>
      <c r="D12" s="1"/>
      <c r="E12" s="1"/>
      <c r="F12" s="1"/>
      <c r="G12" s="176">
        <f>+SUMIFS('NOI Walk'!$E27:$CW27,'NOI Walk'!$E$14:$CW$14,NOI!G$4)</f>
        <v>1883.1870787334369</v>
      </c>
      <c r="H12" s="24">
        <f>+SUMIFS('NOI Walk'!$E27:$CW27,'NOI Walk'!$E$14:$CW$14,NOI!H$4)</f>
        <v>1867.2776973379796</v>
      </c>
      <c r="I12" s="24">
        <f>+SUMIFS('NOI Walk'!$E27:$CW27,'NOI Walk'!$E$14:$CW$14,NOI!I$4)</f>
        <v>2060.6911071109362</v>
      </c>
      <c r="J12" s="24">
        <f>+SUMIFS('NOI Walk'!$E27:$CW27,'NOI Walk'!$E$14:$CW$14,NOI!J$4)</f>
        <v>2210.2562349998593</v>
      </c>
      <c r="K12" s="24">
        <f>+SUMIFS('NOI Walk'!$E27:$CW27,'NOI Walk'!$E$14:$CW$14,NOI!K$4)</f>
        <v>2254.8688329943543</v>
      </c>
    </row>
    <row r="13" spans="3:11" x14ac:dyDescent="0.45">
      <c r="C13" s="1" t="str">
        <f>'NOI Walk'!B28</f>
        <v>Gym / Amenity Space Income</v>
      </c>
      <c r="D13" s="1"/>
      <c r="E13" s="1"/>
      <c r="F13" s="1"/>
      <c r="G13" s="24">
        <f>+SUMIFS('NOI Walk'!$E28:$CW28,'NOI Walk'!$E$14:$CW$14,NOI!G$4)</f>
        <v>42799.706334850831</v>
      </c>
      <c r="H13" s="24">
        <f>+SUMIFS('NOI Walk'!$E28:$CW28,'NOI Walk'!$E$14:$CW$14,NOI!H$4)</f>
        <v>42438.129484954086</v>
      </c>
      <c r="I13" s="24">
        <f>+SUMIFS('NOI Walk'!$E28:$CW28,'NOI Walk'!$E$14:$CW$14,NOI!I$4)</f>
        <v>46833.888797975829</v>
      </c>
      <c r="J13" s="24">
        <f>+SUMIFS('NOI Walk'!$E28:$CW28,'NOI Walk'!$E$14:$CW$14,NOI!J$4)</f>
        <v>50233.096249996808</v>
      </c>
      <c r="K13" s="24">
        <f>+SUMIFS('NOI Walk'!$E28:$CW28,'NOI Walk'!$E$14:$CW$14,NOI!K$4)</f>
        <v>51247.018931689861</v>
      </c>
    </row>
    <row r="14" spans="3:11" x14ac:dyDescent="0.45">
      <c r="C14" s="1" t="str">
        <f>'NOI Walk'!B29</f>
        <v>Turnover Costs</v>
      </c>
      <c r="D14" s="1"/>
      <c r="E14" s="1"/>
      <c r="F14" s="1"/>
      <c r="G14" s="24">
        <f>+SUMIFS('NOI Walk'!$E29:$CW29,'NOI Walk'!$E$14:$CW$14,NOI!G$4)</f>
        <v>0</v>
      </c>
      <c r="H14" s="24">
        <f>+SUMIFS('NOI Walk'!$E29:$CW29,'NOI Walk'!$E$14:$CW$14,NOI!H$4)</f>
        <v>0</v>
      </c>
      <c r="I14" s="24">
        <f>+SUMIFS('NOI Walk'!$E29:$CW29,'NOI Walk'!$E$14:$CW$14,NOI!I$4)</f>
        <v>-17664.032252543635</v>
      </c>
      <c r="J14" s="24">
        <f>+SUMIFS('NOI Walk'!$E29:$CW29,'NOI Walk'!$E$14:$CW$14,NOI!J$4)</f>
        <v>-35983.050322891359</v>
      </c>
      <c r="K14" s="24">
        <f>+SUMIFS('NOI Walk'!$E29:$CW29,'NOI Walk'!$E$14:$CW$14,NOI!K$4)</f>
        <v>-36874.384983967218</v>
      </c>
    </row>
    <row r="15" spans="3:11" x14ac:dyDescent="0.45">
      <c r="C15" s="4" t="str">
        <f>'NOI Walk'!B31</f>
        <v>Effective Gross Income</v>
      </c>
      <c r="D15" s="4"/>
      <c r="E15" s="4"/>
      <c r="F15" s="4"/>
      <c r="G15" s="26">
        <f>+SUMIFS('NOI Walk'!$E31:$CW31,'NOI Walk'!$E$14:$CW$14,NOI!G$4)</f>
        <v>1438485.4619850565</v>
      </c>
      <c r="H15" s="26">
        <f>+SUMIFS('NOI Walk'!$E31:$CW31,'NOI Walk'!$E$14:$CW$14,NOI!H$4)</f>
        <v>1744947.2614082715</v>
      </c>
      <c r="I15" s="26">
        <f>+SUMIFS('NOI Walk'!$E31:$CW31,'NOI Walk'!$E$14:$CW$14,NOI!I$4)</f>
        <v>2106024.3318441347</v>
      </c>
      <c r="J15" s="26">
        <f>+SUMIFS('NOI Walk'!$E31:$CW31,'NOI Walk'!$E$14:$CW$14,NOI!J$4)</f>
        <v>2261990.7799701826</v>
      </c>
      <c r="K15" s="26">
        <f>+SUMIFS('NOI Walk'!$E31:$CW31,'NOI Walk'!$E$14:$CW$14,NOI!K$4)</f>
        <v>2317285.9409528081</v>
      </c>
    </row>
    <row r="16" spans="3:11" x14ac:dyDescent="0.45">
      <c r="C16" s="1"/>
      <c r="D16" s="1"/>
      <c r="E16" s="1"/>
      <c r="F16" s="1"/>
      <c r="G16" s="24"/>
      <c r="H16" s="24"/>
      <c r="I16" s="24"/>
      <c r="J16" s="24"/>
      <c r="K16" s="24"/>
    </row>
    <row r="17" spans="3:11" x14ac:dyDescent="0.45">
      <c r="C17" s="78" t="str">
        <f>'NOI Walk'!B33</f>
        <v>Operating Expenses</v>
      </c>
      <c r="D17" s="1"/>
      <c r="E17" s="1"/>
      <c r="F17" s="1"/>
      <c r="G17" s="24"/>
      <c r="H17" s="24"/>
      <c r="I17" s="24"/>
      <c r="J17" s="24"/>
      <c r="K17" s="24"/>
    </row>
    <row r="18" spans="3:11" x14ac:dyDescent="0.45">
      <c r="C18" s="1" t="str">
        <f>'NOI Walk'!B34</f>
        <v>Property Taxes</v>
      </c>
      <c r="D18" s="1"/>
      <c r="E18" s="1"/>
      <c r="F18" s="1"/>
      <c r="G18" s="24">
        <f>+SUMIFS('NOI Walk'!$E34:$CW34,'NOI Walk'!$E$14:$CW$14,NOI!G$4)</f>
        <v>300870.06795679755</v>
      </c>
      <c r="H18" s="24">
        <f>+SUMIFS('NOI Walk'!$E34:$CW34,'NOI Walk'!$E$14:$CW$14,NOI!H$4)</f>
        <v>306942.9364223553</v>
      </c>
      <c r="I18" s="24">
        <f>+SUMIFS('NOI Walk'!$E34:$CW34,'NOI Walk'!$E$14:$CW$14,NOI!I$4)</f>
        <v>313138.3818250288</v>
      </c>
      <c r="J18" s="24">
        <f>+SUMIFS('NOI Walk'!$E34:$CW34,'NOI Walk'!$E$14:$CW$14,NOI!J$4)</f>
        <v>319458.87830131518</v>
      </c>
      <c r="K18" s="24">
        <f>+SUMIFS('NOI Walk'!$E34:$CW34,'NOI Walk'!$E$14:$CW$14,NOI!K$4)</f>
        <v>325906.94992656272</v>
      </c>
    </row>
    <row r="19" spans="3:11" x14ac:dyDescent="0.45">
      <c r="C19" s="1" t="str">
        <f>'NOI Walk'!B35</f>
        <v>Insurance</v>
      </c>
      <c r="D19" s="1"/>
      <c r="E19" s="1"/>
      <c r="F19" s="1"/>
      <c r="G19" s="24">
        <f>+SUMIFS('NOI Walk'!$E35:$CW35,'NOI Walk'!$E$14:$CW$14,NOI!G$4)</f>
        <v>71753.668777504266</v>
      </c>
      <c r="H19" s="24">
        <f>+SUMIFS('NOI Walk'!$E35:$CW35,'NOI Walk'!$E$14:$CW$14,NOI!H$4)</f>
        <v>73201.970349562107</v>
      </c>
      <c r="I19" s="24">
        <f>+SUMIFS('NOI Walk'!$E35:$CW35,'NOI Walk'!$E$14:$CW$14,NOI!I$4)</f>
        <v>74679.504955684446</v>
      </c>
      <c r="J19" s="24">
        <f>+SUMIFS('NOI Walk'!$E35:$CW35,'NOI Walk'!$E$14:$CW$14,NOI!J$4)</f>
        <v>76186.8626458285</v>
      </c>
      <c r="K19" s="24">
        <f>+SUMIFS('NOI Walk'!$E35:$CW35,'NOI Walk'!$E$14:$CW$14,NOI!K$4)</f>
        <v>77724.645379729642</v>
      </c>
    </row>
    <row r="20" spans="3:11" x14ac:dyDescent="0.45">
      <c r="C20" s="1" t="str">
        <f>'NOI Walk'!B36</f>
        <v>Water / Sewer</v>
      </c>
      <c r="D20" s="1"/>
      <c r="E20" s="1"/>
      <c r="F20" s="1"/>
      <c r="G20" s="24">
        <f>+SUMIFS('NOI Walk'!$E36:$CW36,'NOI Walk'!$E$14:$CW$14,NOI!G$4)</f>
        <v>42863.722989625167</v>
      </c>
      <c r="H20" s="24">
        <f>+SUMIFS('NOI Walk'!$E36:$CW36,'NOI Walk'!$E$14:$CW$14,NOI!H$4)</f>
        <v>42501.605319653783</v>
      </c>
      <c r="I20" s="24">
        <f>+SUMIFS('NOI Walk'!$E36:$CW36,'NOI Walk'!$E$14:$CW$14,NOI!I$4)</f>
        <v>46903.939486348856</v>
      </c>
      <c r="J20" s="24">
        <f>+SUMIFS('NOI Walk'!$E36:$CW36,'NOI Walk'!$E$14:$CW$14,NOI!J$4)</f>
        <v>50308.231223020288</v>
      </c>
      <c r="K20" s="24">
        <f>+SUMIFS('NOI Walk'!$E36:$CW36,'NOI Walk'!$E$14:$CW$14,NOI!K$4)</f>
        <v>51323.670455732994</v>
      </c>
    </row>
    <row r="21" spans="3:11" x14ac:dyDescent="0.45">
      <c r="C21" s="1" t="str">
        <f>'NOI Walk'!B37</f>
        <v>Repairs &amp; Maintenance</v>
      </c>
      <c r="D21" s="1"/>
      <c r="E21" s="1"/>
      <c r="F21" s="1"/>
      <c r="G21" s="24">
        <f>+SUMIFS('NOI Walk'!$E37:$CW37,'NOI Walk'!$E$14:$CW$14,NOI!G$4)</f>
        <v>35666.421945709029</v>
      </c>
      <c r="H21" s="24">
        <f>+SUMIFS('NOI Walk'!$E37:$CW37,'NOI Walk'!$E$14:$CW$14,NOI!H$4)</f>
        <v>35365.107904128403</v>
      </c>
      <c r="I21" s="24">
        <f>+SUMIFS('NOI Walk'!$E37:$CW37,'NOI Walk'!$E$14:$CW$14,NOI!I$4)</f>
        <v>39028.240664979858</v>
      </c>
      <c r="J21" s="24">
        <f>+SUMIFS('NOI Walk'!$E37:$CW37,'NOI Walk'!$E$14:$CW$14,NOI!J$4)</f>
        <v>41860.913541664006</v>
      </c>
      <c r="K21" s="24">
        <f>+SUMIFS('NOI Walk'!$E37:$CW37,'NOI Walk'!$E$14:$CW$14,NOI!K$4)</f>
        <v>42705.849109741554</v>
      </c>
    </row>
    <row r="22" spans="3:11" x14ac:dyDescent="0.45">
      <c r="C22" s="1" t="str">
        <f>'NOI Walk'!B38</f>
        <v>Bank fees</v>
      </c>
      <c r="D22" s="1"/>
      <c r="E22" s="1"/>
      <c r="F22" s="1"/>
      <c r="G22" s="24">
        <f>+SUMIFS('NOI Walk'!$E38:$CW38,'NOI Walk'!$E$14:$CW$14,NOI!G$4)</f>
        <v>1971.2546367446228</v>
      </c>
      <c r="H22" s="24">
        <f>+SUMIFS('NOI Walk'!$E38:$CW38,'NOI Walk'!$E$14:$CW$14,NOI!H$4)</f>
        <v>2011.0431414714867</v>
      </c>
      <c r="I22" s="24">
        <f>+SUMIFS('NOI Walk'!$E38:$CW38,'NOI Walk'!$E$14:$CW$14,NOI!I$4)</f>
        <v>2051.6347515297921</v>
      </c>
      <c r="J22" s="24">
        <f>+SUMIFS('NOI Walk'!$E38:$CW38,'NOI Walk'!$E$14:$CW$14,NOI!J$4)</f>
        <v>2093.0456770832002</v>
      </c>
      <c r="K22" s="24">
        <f>+SUMIFS('NOI Walk'!$E38:$CW38,'NOI Walk'!$E$14:$CW$14,NOI!K$4)</f>
        <v>2135.2924554870779</v>
      </c>
    </row>
    <row r="23" spans="3:11" x14ac:dyDescent="0.45">
      <c r="C23" s="1" t="str">
        <f>'NOI Walk'!B39</f>
        <v>Trash</v>
      </c>
      <c r="D23" s="1"/>
      <c r="E23" s="1"/>
      <c r="F23" s="1"/>
      <c r="G23" s="24">
        <f>+SUMIFS('NOI Walk'!$E39:$CW39,'NOI Walk'!$E$14:$CW$14,NOI!G$4)</f>
        <v>2426.1595529164588</v>
      </c>
      <c r="H23" s="24">
        <f>+SUMIFS('NOI Walk'!$E39:$CW39,'NOI Walk'!$E$14:$CW$14,NOI!H$4)</f>
        <v>2475.1300202725988</v>
      </c>
      <c r="I23" s="24">
        <f>+SUMIFS('NOI Walk'!$E39:$CW39,'NOI Walk'!$E$14:$CW$14,NOI!I$4)</f>
        <v>2525.0889249597444</v>
      </c>
      <c r="J23" s="24">
        <f>+SUMIFS('NOI Walk'!$E39:$CW39,'NOI Walk'!$E$14:$CW$14,NOI!J$4)</f>
        <v>2576.0562179485537</v>
      </c>
      <c r="K23" s="24">
        <f>+SUMIFS('NOI Walk'!$E39:$CW39,'NOI Walk'!$E$14:$CW$14,NOI!K$4)</f>
        <v>2628.0522529071727</v>
      </c>
    </row>
    <row r="24" spans="3:11" x14ac:dyDescent="0.45">
      <c r="C24" s="1" t="str">
        <f>'NOI Walk'!B40</f>
        <v>Cleaning</v>
      </c>
      <c r="D24" s="1"/>
      <c r="E24" s="1"/>
      <c r="F24" s="1"/>
      <c r="G24" s="24">
        <f>+SUMIFS('NOI Walk'!$E40:$CW40,'NOI Walk'!$E$14:$CW$14,NOI!G$4)</f>
        <v>11827.527820467736</v>
      </c>
      <c r="H24" s="24">
        <f>+SUMIFS('NOI Walk'!$E40:$CW40,'NOI Walk'!$E$14:$CW$14,NOI!H$4)</f>
        <v>12066.25884882892</v>
      </c>
      <c r="I24" s="24">
        <f>+SUMIFS('NOI Walk'!$E40:$CW40,'NOI Walk'!$E$14:$CW$14,NOI!I$4)</f>
        <v>12309.808509178754</v>
      </c>
      <c r="J24" s="24">
        <f>+SUMIFS('NOI Walk'!$E40:$CW40,'NOI Walk'!$E$14:$CW$14,NOI!J$4)</f>
        <v>12558.274062499202</v>
      </c>
      <c r="K24" s="24">
        <f>+SUMIFS('NOI Walk'!$E40:$CW40,'NOI Walk'!$E$14:$CW$14,NOI!K$4)</f>
        <v>12811.754732922465</v>
      </c>
    </row>
    <row r="25" spans="3:11" x14ac:dyDescent="0.45">
      <c r="C25" s="1" t="str">
        <f>'NOI Walk'!B41</f>
        <v>Security, Internet</v>
      </c>
      <c r="D25" s="1"/>
      <c r="E25" s="1"/>
      <c r="F25" s="1"/>
      <c r="G25" s="24">
        <f>+SUMIFS('NOI Walk'!$E41:$CW41,'NOI Walk'!$E$14:$CW$14,NOI!G$4)</f>
        <v>2426.1595529164588</v>
      </c>
      <c r="H25" s="24">
        <f>+SUMIFS('NOI Walk'!$E41:$CW41,'NOI Walk'!$E$14:$CW$14,NOI!H$4)</f>
        <v>2475.1300202725988</v>
      </c>
      <c r="I25" s="24">
        <f>+SUMIFS('NOI Walk'!$E41:$CW41,'NOI Walk'!$E$14:$CW$14,NOI!I$4)</f>
        <v>2525.0889249597444</v>
      </c>
      <c r="J25" s="24">
        <f>+SUMIFS('NOI Walk'!$E41:$CW41,'NOI Walk'!$E$14:$CW$14,NOI!J$4)</f>
        <v>2576.0562179485537</v>
      </c>
      <c r="K25" s="24">
        <f>+SUMIFS('NOI Walk'!$E41:$CW41,'NOI Walk'!$E$14:$CW$14,NOI!K$4)</f>
        <v>2628.0522529071727</v>
      </c>
    </row>
    <row r="26" spans="3:11" x14ac:dyDescent="0.45">
      <c r="C26" s="1" t="str">
        <f>'NOI Walk'!B42</f>
        <v>Pest Control</v>
      </c>
      <c r="D26" s="1"/>
      <c r="E26" s="1"/>
      <c r="F26" s="1"/>
      <c r="G26" s="24">
        <f>+SUMIFS('NOI Walk'!$E42:$CW42,'NOI Walk'!$E$14:$CW$14,NOI!G$4)</f>
        <v>5913.763910233868</v>
      </c>
      <c r="H26" s="24">
        <f>+SUMIFS('NOI Walk'!$E42:$CW42,'NOI Walk'!$E$14:$CW$14,NOI!H$4)</f>
        <v>6033.1294244144601</v>
      </c>
      <c r="I26" s="24">
        <f>+SUMIFS('NOI Walk'!$E42:$CW42,'NOI Walk'!$E$14:$CW$14,NOI!I$4)</f>
        <v>6154.9042545893772</v>
      </c>
      <c r="J26" s="24">
        <f>+SUMIFS('NOI Walk'!$E42:$CW42,'NOI Walk'!$E$14:$CW$14,NOI!J$4)</f>
        <v>6279.137031249601</v>
      </c>
      <c r="K26" s="24">
        <f>+SUMIFS('NOI Walk'!$E42:$CW42,'NOI Walk'!$E$14:$CW$14,NOI!K$4)</f>
        <v>6405.8773664612327</v>
      </c>
    </row>
    <row r="27" spans="3:11" x14ac:dyDescent="0.45">
      <c r="C27" s="1" t="str">
        <f>'NOI Walk'!B43</f>
        <v>Super (Payroll)</v>
      </c>
      <c r="D27" s="1"/>
      <c r="E27" s="1"/>
      <c r="F27" s="1"/>
      <c r="G27" s="24">
        <f>+SUMIFS('NOI Walk'!$E43:$CW43,'NOI Walk'!$E$14:$CW$14,NOI!G$4)</f>
        <v>39425.09273489246</v>
      </c>
      <c r="H27" s="24">
        <f>+SUMIFS('NOI Walk'!$E43:$CW43,'NOI Walk'!$E$14:$CW$14,NOI!H$4)</f>
        <v>40220.86282942973</v>
      </c>
      <c r="I27" s="24">
        <f>+SUMIFS('NOI Walk'!$E43:$CW43,'NOI Walk'!$E$14:$CW$14,NOI!I$4)</f>
        <v>41032.695030595853</v>
      </c>
      <c r="J27" s="24">
        <f>+SUMIFS('NOI Walk'!$E43:$CW43,'NOI Walk'!$E$14:$CW$14,NOI!J$4)</f>
        <v>41860.913541664006</v>
      </c>
      <c r="K27" s="24">
        <f>+SUMIFS('NOI Walk'!$E43:$CW43,'NOI Walk'!$E$14:$CW$14,NOI!K$4)</f>
        <v>42705.849109741554</v>
      </c>
    </row>
    <row r="28" spans="3:11" x14ac:dyDescent="0.45">
      <c r="C28" s="1" t="str">
        <f>'NOI Walk'!B44</f>
        <v>Heat (Gas)</v>
      </c>
      <c r="D28" s="1"/>
      <c r="E28" s="1"/>
      <c r="F28" s="1"/>
      <c r="G28" s="24">
        <f>+SUMIFS('NOI Walk'!$E44:$CW44,'NOI Walk'!$E$14:$CW$14,NOI!G$4)</f>
        <v>68118.473047384425</v>
      </c>
      <c r="H28" s="24">
        <f>+SUMIFS('NOI Walk'!$E44:$CW44,'NOI Walk'!$E$14:$CW$14,NOI!H$4)</f>
        <v>69493.400535853652</v>
      </c>
      <c r="I28" s="24">
        <f>+SUMIFS('NOI Walk'!$E44:$CW44,'NOI Walk'!$E$14:$CW$14,NOI!I$4)</f>
        <v>70896.080049786411</v>
      </c>
      <c r="J28" s="24">
        <f>+SUMIFS('NOI Walk'!$E44:$CW44,'NOI Walk'!$E$14:$CW$14,NOI!J$4)</f>
        <v>72327.071745935566</v>
      </c>
      <c r="K28" s="24">
        <f>+SUMIFS('NOI Walk'!$E44:$CW44,'NOI Walk'!$E$14:$CW$14,NOI!K$4)</f>
        <v>73786.94708745704</v>
      </c>
    </row>
    <row r="29" spans="3:11" x14ac:dyDescent="0.45">
      <c r="C29" s="1" t="str">
        <f>'NOI Walk'!B45</f>
        <v>Common Area Electric</v>
      </c>
      <c r="D29" s="1"/>
      <c r="E29" s="1"/>
      <c r="F29" s="1"/>
      <c r="G29" s="24">
        <f>+SUMIFS('NOI Walk'!$E45:$CW45,'NOI Walk'!$E$14:$CW$14,NOI!G$4)</f>
        <v>3420.8849696122079</v>
      </c>
      <c r="H29" s="24">
        <f>+SUMIFS('NOI Walk'!$E45:$CW45,'NOI Walk'!$E$14:$CW$14,NOI!H$4)</f>
        <v>3489.9333285843663</v>
      </c>
      <c r="I29" s="24">
        <f>+SUMIFS('NOI Walk'!$E45:$CW45,'NOI Walk'!$E$14:$CW$14,NOI!I$4)</f>
        <v>3560.3753841932416</v>
      </c>
      <c r="J29" s="24">
        <f>+SUMIFS('NOI Walk'!$E45:$CW45,'NOI Walk'!$E$14:$CW$14,NOI!J$4)</f>
        <v>3632.2392673074628</v>
      </c>
      <c r="K29" s="24">
        <f>+SUMIFS('NOI Walk'!$E45:$CW45,'NOI Walk'!$E$14:$CW$14,NOI!K$4)</f>
        <v>3705.5536765991155</v>
      </c>
    </row>
    <row r="30" spans="3:11" x14ac:dyDescent="0.45">
      <c r="C30" s="1" t="str">
        <f>'NOI Walk'!B46</f>
        <v>Landscaping / Snow Removal</v>
      </c>
      <c r="D30" s="1"/>
      <c r="E30" s="1"/>
      <c r="F30" s="1"/>
      <c r="G30" s="24">
        <f>+SUMIFS('NOI Walk'!$E46:$CW46,'NOI Walk'!$E$14:$CW$14,NOI!G$4)</f>
        <v>15163.497205727868</v>
      </c>
      <c r="H30" s="24">
        <f>+SUMIFS('NOI Walk'!$E46:$CW46,'NOI Walk'!$E$14:$CW$14,NOI!H$4)</f>
        <v>15469.562626703744</v>
      </c>
      <c r="I30" s="24">
        <f>+SUMIFS('NOI Walk'!$E46:$CW46,'NOI Walk'!$E$14:$CW$14,NOI!I$4)</f>
        <v>15781.805780998404</v>
      </c>
      <c r="J30" s="24">
        <f>+SUMIFS('NOI Walk'!$E46:$CW46,'NOI Walk'!$E$14:$CW$14,NOI!J$4)</f>
        <v>16100.351362178464</v>
      </c>
      <c r="K30" s="24">
        <f>+SUMIFS('NOI Walk'!$E46:$CW46,'NOI Walk'!$E$14:$CW$14,NOI!K$4)</f>
        <v>16425.326580669829</v>
      </c>
    </row>
    <row r="31" spans="3:11" x14ac:dyDescent="0.45">
      <c r="C31" s="1" t="str">
        <f>'NOI Walk'!B47</f>
        <v>Property Management</v>
      </c>
      <c r="D31" s="1"/>
      <c r="E31" s="1"/>
      <c r="F31" s="1"/>
      <c r="G31" s="24">
        <f>+SUMIFS('NOI Walk'!$E47:$CW47,'NOI Walk'!$E$14:$CW$14,NOI!G$4)</f>
        <v>43154.563859551708</v>
      </c>
      <c r="H31" s="24">
        <f>+SUMIFS('NOI Walk'!$E47:$CW47,'NOI Walk'!$E$14:$CW$14,NOI!H$4)</f>
        <v>52348.417842248135</v>
      </c>
      <c r="I31" s="24">
        <f>+SUMIFS('NOI Walk'!$E47:$CW47,'NOI Walk'!$E$14:$CW$14,NOI!I$4)</f>
        <v>63180.72995532403</v>
      </c>
      <c r="J31" s="24">
        <f>+SUMIFS('NOI Walk'!$E47:$CW47,'NOI Walk'!$E$14:$CW$14,NOI!J$4)</f>
        <v>67859.723399105467</v>
      </c>
      <c r="K31" s="24">
        <f>+SUMIFS('NOI Walk'!$E47:$CW47,'NOI Walk'!$E$14:$CW$14,NOI!K$4)</f>
        <v>69518.578228584229</v>
      </c>
    </row>
    <row r="32" spans="3:11" x14ac:dyDescent="0.45">
      <c r="C32" s="1" t="str">
        <f>'NOI Walk'!B48</f>
        <v>Accounting / Legal</v>
      </c>
      <c r="D32" s="1"/>
      <c r="E32" s="1"/>
      <c r="F32" s="1"/>
      <c r="G32" s="24">
        <f>+SUMIFS('NOI Walk'!$E48:$CW48,'NOI Walk'!$E$14:$CW$14,NOI!G$4)</f>
        <v>3538.1493480031691</v>
      </c>
      <c r="H32" s="24">
        <f>+SUMIFS('NOI Walk'!$E48:$CW48,'NOI Walk'!$E$14:$CW$14,NOI!H$4)</f>
        <v>3609.5646128975404</v>
      </c>
      <c r="I32" s="24">
        <f>+SUMIFS('NOI Walk'!$E48:$CW48,'NOI Walk'!$E$14:$CW$14,NOI!I$4)</f>
        <v>3682.4213488996279</v>
      </c>
      <c r="J32" s="24">
        <f>+SUMIFS('NOI Walk'!$E48:$CW48,'NOI Walk'!$E$14:$CW$14,NOI!J$4)</f>
        <v>3756.7486511749748</v>
      </c>
      <c r="K32" s="24">
        <f>+SUMIFS('NOI Walk'!$E48:$CW48,'NOI Walk'!$E$14:$CW$14,NOI!K$4)</f>
        <v>3832.5762021562941</v>
      </c>
    </row>
    <row r="33" spans="3:11" x14ac:dyDescent="0.45">
      <c r="C33" s="4" t="str">
        <f>'NOI Walk'!B49</f>
        <v>Total Operating Expenses</v>
      </c>
      <c r="D33" s="4"/>
      <c r="E33" s="4"/>
      <c r="F33" s="4"/>
      <c r="G33" s="26">
        <f>+SUMIFS('NOI Walk'!$E49:$CW49,'NOI Walk'!$E$14:$CW$14,NOI!G$4)</f>
        <v>648539.40830808692</v>
      </c>
      <c r="H33" s="26">
        <f>+SUMIFS('NOI Walk'!$E49:$CW49,'NOI Walk'!$E$14:$CW$14,NOI!H$4)</f>
        <v>667704.05322667677</v>
      </c>
      <c r="I33" s="26">
        <f>+SUMIFS('NOI Walk'!$E49:$CW49,'NOI Walk'!$E$14:$CW$14,NOI!I$4)</f>
        <v>697450.699847057</v>
      </c>
      <c r="J33" s="26">
        <f>+SUMIFS('NOI Walk'!$E49:$CW49,'NOI Walk'!$E$14:$CW$14,NOI!J$4)</f>
        <v>719434.50288592302</v>
      </c>
      <c r="K33" s="26">
        <f>+SUMIFS('NOI Walk'!$E49:$CW49,'NOI Walk'!$E$14:$CW$14,NOI!K$4)</f>
        <v>734244.97481766017</v>
      </c>
    </row>
    <row r="34" spans="3:11" x14ac:dyDescent="0.45">
      <c r="C34" s="1"/>
      <c r="D34" s="1"/>
      <c r="E34" s="1"/>
      <c r="F34" s="1"/>
      <c r="G34" s="24"/>
      <c r="H34" s="24"/>
      <c r="I34" s="24"/>
      <c r="J34" s="24"/>
      <c r="K34" s="24"/>
    </row>
    <row r="35" spans="3:11" x14ac:dyDescent="0.45">
      <c r="C35" s="351" t="str">
        <f>'NOI Walk'!B51</f>
        <v>Multifamily NOI</v>
      </c>
      <c r="D35" s="351"/>
      <c r="E35" s="351"/>
      <c r="F35" s="351"/>
      <c r="G35" s="352">
        <f>+SUMIFS('NOI Walk'!$E51:$CW51,'NOI Walk'!$E$14:$CW$14,NOI!G$4)</f>
        <v>789946.05367696984</v>
      </c>
      <c r="H35" s="352">
        <f>+SUMIFS('NOI Walk'!$E51:$CW51,'NOI Walk'!$E$14:$CW$14,NOI!H$4)</f>
        <v>1077243.2081815947</v>
      </c>
      <c r="I35" s="352">
        <f>+SUMIFS('NOI Walk'!$E51:$CW51,'NOI Walk'!$E$14:$CW$14,NOI!I$4)</f>
        <v>1408573.6319970777</v>
      </c>
      <c r="J35" s="352">
        <f>+SUMIFS('NOI Walk'!$E51:$CW51,'NOI Walk'!$E$14:$CW$14,NOI!J$4)</f>
        <v>1542556.2770842598</v>
      </c>
      <c r="K35" s="352">
        <f>+SUMIFS('NOI Walk'!$E51:$CW51,'NOI Walk'!$E$14:$CW$14,NOI!K$4)</f>
        <v>1583040.966135148</v>
      </c>
    </row>
    <row r="36" spans="3:11" x14ac:dyDescent="0.45">
      <c r="C36" s="3" t="str">
        <f>'NOI Walk'!B55</f>
        <v>Reserves</v>
      </c>
      <c r="D36" s="3"/>
      <c r="E36" s="3"/>
      <c r="F36" s="3"/>
      <c r="G36" s="25">
        <f>-SUMIFS('NOI Walk'!$E56:$CW56,'NOI Walk'!$E$14:$CW$14,NOI!G$4)</f>
        <v>-14384.854619850568</v>
      </c>
      <c r="H36" s="25">
        <f>-SUMIFS('NOI Walk'!$E56:$CW56,'NOI Walk'!$E$14:$CW$14,NOI!H$4)</f>
        <v>-17449.472614082715</v>
      </c>
      <c r="I36" s="25">
        <f>-SUMIFS('NOI Walk'!$E56:$CW56,'NOI Walk'!$E$14:$CW$14,NOI!I$4)</f>
        <v>-21060.243318441346</v>
      </c>
      <c r="J36" s="25">
        <f>-SUMIFS('NOI Walk'!$E56:$CW56,'NOI Walk'!$E$14:$CW$14,NOI!J$4)</f>
        <v>-22619.907799701832</v>
      </c>
      <c r="K36" s="25">
        <f>-SUMIFS('NOI Walk'!$E56:$CW56,'NOI Walk'!$E$14:$CW$14,NOI!K$4)</f>
        <v>-23172.859409528079</v>
      </c>
    </row>
    <row r="37" spans="3:11" x14ac:dyDescent="0.45">
      <c r="C37" s="351" t="s">
        <v>323</v>
      </c>
      <c r="D37" s="351"/>
      <c r="E37" s="351"/>
      <c r="F37" s="351"/>
      <c r="G37" s="352">
        <f>SUM(G35:G36)</f>
        <v>775561.19905711932</v>
      </c>
      <c r="H37" s="352">
        <f>SUM(H35:H36)</f>
        <v>1059793.735567512</v>
      </c>
      <c r="I37" s="352">
        <f>SUM(I35:I36)</f>
        <v>1387513.3886786364</v>
      </c>
      <c r="J37" s="352">
        <f>SUM(J35:J36)</f>
        <v>1519936.3692845579</v>
      </c>
      <c r="K37" s="352">
        <f>SUM(K35:K36)</f>
        <v>1559868.1067256199</v>
      </c>
    </row>
    <row r="38" spans="3:11" s="350" customFormat="1" x14ac:dyDescent="0.45">
      <c r="C38" s="78" t="s">
        <v>322</v>
      </c>
      <c r="D38" s="78"/>
      <c r="E38" s="78"/>
      <c r="F38" s="78"/>
      <c r="G38" s="236">
        <f>+G37/Assumptions!$F$17</f>
        <v>4.6538605457928227E-2</v>
      </c>
      <c r="H38" s="236">
        <f>+H37/Assumptions!$F$17</f>
        <v>6.359436571391433E-2</v>
      </c>
      <c r="I38" s="236">
        <f>+I37/Assumptions!$F$17</f>
        <v>8.3259629597009208E-2</v>
      </c>
      <c r="J38" s="236">
        <f>+J37/Assumptions!$F$17</f>
        <v>9.1205850804921884E-2</v>
      </c>
      <c r="K38" s="236">
        <f>+K37/Assumptions!$F$17</f>
        <v>9.3602009065905614E-2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D08E-DCFB-452D-B28F-0DF3B5BE75C1}">
  <sheetPr>
    <tabColor theme="7" tint="0.59999389629810485"/>
  </sheetPr>
  <dimension ref="B2:U44"/>
  <sheetViews>
    <sheetView showGridLines="0" workbookViewId="0"/>
  </sheetViews>
  <sheetFormatPr defaultColWidth="9.1328125" defaultRowHeight="14.25" x14ac:dyDescent="0.45"/>
  <cols>
    <col min="1" max="1" width="9.1328125" style="160"/>
    <col min="2" max="2" width="32.33203125" style="160" bestFit="1" customWidth="1"/>
    <col min="3" max="3" width="15.53125" style="160" bestFit="1" customWidth="1"/>
    <col min="4" max="4" width="17.796875" style="160" bestFit="1" customWidth="1"/>
    <col min="5" max="5" width="21.33203125" style="160" bestFit="1" customWidth="1"/>
    <col min="6" max="6" width="10.46484375" style="160" bestFit="1" customWidth="1"/>
    <col min="7" max="7" width="9.1328125" style="160" bestFit="1" customWidth="1"/>
    <col min="8" max="8" width="10" style="160" bestFit="1" customWidth="1"/>
    <col min="9" max="9" width="11.19921875" style="160" bestFit="1" customWidth="1"/>
    <col min="10" max="10" width="9.1328125" style="160" bestFit="1" customWidth="1"/>
    <col min="11" max="11" width="11.796875" style="160" bestFit="1" customWidth="1"/>
    <col min="12" max="12" width="10.19921875" style="160" bestFit="1" customWidth="1"/>
    <col min="13" max="13" width="25.53125" style="160" customWidth="1"/>
    <col min="14" max="15" width="2.33203125" style="160" bestFit="1" customWidth="1"/>
    <col min="16" max="16" width="11" style="160" bestFit="1" customWidth="1"/>
    <col min="17" max="17" width="12.19921875" style="160" bestFit="1" customWidth="1"/>
    <col min="18" max="18" width="15.53125" style="160" customWidth="1"/>
    <col min="19" max="19" width="10.53125" style="160" customWidth="1"/>
    <col min="20" max="20" width="6.53125" style="160" customWidth="1"/>
    <col min="21" max="21" width="14.53125" style="160" customWidth="1"/>
    <col min="22" max="16384" width="9.1328125" style="160"/>
  </cols>
  <sheetData>
    <row r="2" spans="2:14" x14ac:dyDescent="0.45">
      <c r="B2" s="191" t="s">
        <v>326</v>
      </c>
    </row>
    <row r="3" spans="2:14" hidden="1" x14ac:dyDescent="0.45">
      <c r="F3" s="354">
        <v>0</v>
      </c>
      <c r="G3" s="354">
        <f>+F3+1</f>
        <v>1</v>
      </c>
      <c r="H3" s="354">
        <f>+G3+1</f>
        <v>2</v>
      </c>
      <c r="I3" s="354">
        <f>+H3+1</f>
        <v>3</v>
      </c>
      <c r="J3" s="354">
        <f>+I3+1</f>
        <v>4</v>
      </c>
      <c r="K3" s="354">
        <f>+J3+1</f>
        <v>5</v>
      </c>
    </row>
    <row r="4" spans="2:14" x14ac:dyDescent="0.45">
      <c r="F4" s="355"/>
      <c r="G4" s="355"/>
      <c r="H4" s="355"/>
      <c r="I4" s="355"/>
      <c r="J4" s="355"/>
      <c r="K4" s="355"/>
    </row>
    <row r="5" spans="2:14" x14ac:dyDescent="0.45">
      <c r="B5" s="294"/>
      <c r="C5" s="294"/>
      <c r="D5" s="294"/>
      <c r="E5" s="294"/>
      <c r="F5" s="356" t="s">
        <v>327</v>
      </c>
      <c r="G5" s="357">
        <f>+G3</f>
        <v>1</v>
      </c>
      <c r="H5" s="357">
        <f>+H3</f>
        <v>2</v>
      </c>
      <c r="I5" s="357">
        <f>+I3</f>
        <v>3</v>
      </c>
      <c r="J5" s="357">
        <f>+J3</f>
        <v>4</v>
      </c>
      <c r="K5" s="357">
        <f>+K3</f>
        <v>5</v>
      </c>
    </row>
    <row r="6" spans="2:14" s="191" customFormat="1" ht="20" customHeight="1" x14ac:dyDescent="0.45">
      <c r="B6" s="358" t="s">
        <v>309</v>
      </c>
      <c r="C6" s="358"/>
      <c r="D6" s="358"/>
      <c r="E6" s="358"/>
      <c r="F6" s="359">
        <f>+SUMIFS(Model!$G26:$DW26,Model!$G$3:$DW$3,'Cash Flow and Exit'!F$3)</f>
        <v>0</v>
      </c>
      <c r="G6" s="359">
        <f>+SUMIFS(Model!$G26:$DW26,Model!$G$3:$DW$3,'Cash Flow and Exit'!G$3)</f>
        <v>775561.19905711943</v>
      </c>
      <c r="H6" s="359">
        <f>+SUMIFS(Model!$G26:$DW26,Model!$G$3:$DW$3,'Cash Flow and Exit'!H$3)</f>
        <v>1059793.735567512</v>
      </c>
      <c r="I6" s="359">
        <f>+SUMIFS(Model!$G26:$DW26,Model!$G$3:$DW$3,'Cash Flow and Exit'!I$3)</f>
        <v>1387513.3886786362</v>
      </c>
      <c r="J6" s="359">
        <f>+SUMIFS(Model!$G26:$DW26,Model!$G$3:$DW$3,'Cash Flow and Exit'!J$3)</f>
        <v>1519936.3692845579</v>
      </c>
      <c r="K6" s="359">
        <f>+SUMIFS(Model!$G26:$DW26,Model!$G$3:$DW$3,'Cash Flow and Exit'!K$3)</f>
        <v>1559868.1067256199</v>
      </c>
      <c r="L6" s="160"/>
      <c r="M6" s="160"/>
      <c r="N6" s="160"/>
    </row>
    <row r="7" spans="2:14" x14ac:dyDescent="0.45">
      <c r="F7" s="192"/>
      <c r="G7" s="192"/>
      <c r="H7" s="192"/>
      <c r="I7" s="192"/>
      <c r="J7" s="192"/>
      <c r="K7" s="192"/>
    </row>
    <row r="8" spans="2:14" ht="20" customHeight="1" x14ac:dyDescent="0.45">
      <c r="B8" s="360" t="s">
        <v>328</v>
      </c>
      <c r="C8" s="360"/>
      <c r="D8" s="360"/>
      <c r="E8" s="360"/>
      <c r="F8" s="361">
        <f>+SUMIFS(Model!$G40:$DW40,Model!$G$3:$DW$3,'Cash Flow and Exit'!F$3)</f>
        <v>10430000</v>
      </c>
      <c r="G8" s="361">
        <f>+SUMIFS(Model!$G40:$DW40,Model!$G$3:$DW$3,'Cash Flow and Exit'!G$3)</f>
        <v>-471651.98199122399</v>
      </c>
      <c r="H8" s="361">
        <f>+SUMIFS(Model!$G40:$DW40,Model!$G$3:$DW$3,'Cash Flow and Exit'!H$3)</f>
        <v>102967.94827191904</v>
      </c>
      <c r="I8" s="361">
        <f>+SUMIFS(Model!$G40:$DW40,Model!$G$3:$DW$3,'Cash Flow and Exit'!I$3)</f>
        <v>0</v>
      </c>
      <c r="J8" s="361">
        <f>+SUMIFS(Model!$G40:$DW40,Model!$G$3:$DW$3,'Cash Flow and Exit'!J$3)</f>
        <v>0</v>
      </c>
      <c r="K8" s="361">
        <f>+SUMIFS(Model!$G40:$DW40,Model!$G$3:$DW$3,'Cash Flow and Exit'!K$3)</f>
        <v>0</v>
      </c>
    </row>
    <row r="9" spans="2:14" ht="20" customHeight="1" x14ac:dyDescent="0.45">
      <c r="B9" s="362" t="s">
        <v>329</v>
      </c>
      <c r="C9" s="362"/>
      <c r="D9" s="362"/>
      <c r="E9" s="362"/>
      <c r="F9" s="363">
        <f>-SUMIFS(Model!$G41:$DW41,Model!$G$3:$DW$3,'Cash Flow and Exit'!F$3)+SUMIFS(Model!$G47:$DW47,Model!$G$3:$DW$3,'Cash Flow and Exit'!F$3)</f>
        <v>0</v>
      </c>
      <c r="G9" s="363">
        <f>-SUMIFS(Model!$G41:$DW41,Model!$G$3:$DW$3,'Cash Flow and Exit'!G$3)+SUMIFS(Model!$G47:$DW47,Model!$G$3:$DW$3,'Cash Flow and Exit'!G$3)</f>
        <v>875136.87890465849</v>
      </c>
      <c r="H9" s="363">
        <f>-SUMIFS(Model!$G41:$DW41,Model!$G$3:$DW$3,'Cash Flow and Exit'!H$3)+SUMIFS(Model!$G47:$DW47,Model!$G$3:$DW$3,'Cash Flow and Exit'!H$3)</f>
        <v>875136.87890465849</v>
      </c>
      <c r="I9" s="363">
        <f>-SUMIFS(Model!$G41:$DW41,Model!$G$3:$DW$3,'Cash Flow and Exit'!I$3)+SUMIFS(Model!$G47:$DW47,Model!$G$3:$DW$3,'Cash Flow and Exit'!I$3)</f>
        <v>875136.87890465849</v>
      </c>
      <c r="J9" s="363">
        <f>-SUMIFS(Model!$G41:$DW41,Model!$G$3:$DW$3,'Cash Flow and Exit'!J$3)+SUMIFS(Model!$G47:$DW47,Model!$G$3:$DW$3,'Cash Flow and Exit'!J$3)</f>
        <v>0</v>
      </c>
      <c r="K9" s="363">
        <f>-SUMIFS(Model!$G41:$DW41,Model!$G$3:$DW$3,'Cash Flow and Exit'!K$3)+SUMIFS(Model!$G47:$DW47,Model!$G$3:$DW$3,'Cash Flow and Exit'!K$3)</f>
        <v>0</v>
      </c>
    </row>
    <row r="10" spans="2:14" ht="20" customHeight="1" x14ac:dyDescent="0.45">
      <c r="B10" s="364" t="s">
        <v>330</v>
      </c>
      <c r="C10" s="364"/>
      <c r="D10" s="364"/>
      <c r="E10" s="364"/>
      <c r="F10" s="365">
        <f>+SUMIFS(Model!$G42:$DW42,Model!$G$3:$DW$3,'Cash Flow and Exit'!F$3)</f>
        <v>0</v>
      </c>
      <c r="G10" s="365">
        <f>+SUMIFS(Model!$G42:$DW42,Model!$G$3:$DW$3,'Cash Flow and Exit'!G$3)</f>
        <v>0</v>
      </c>
      <c r="H10" s="365">
        <f>+SUMIFS(Model!$G42:$DW42,Model!$G$3:$DW$3,'Cash Flow and Exit'!H$3)</f>
        <v>0</v>
      </c>
      <c r="I10" s="365">
        <f>+SUMIFS(Model!$G42:$DW42,Model!$G$3:$DW$3,'Cash Flow and Exit'!I$3)</f>
        <v>-9749902.0097397529</v>
      </c>
      <c r="J10" s="365">
        <f>+SUMIFS(Model!$G42:$DW42,Model!$G$3:$DW$3,'Cash Flow and Exit'!J$3)</f>
        <v>0</v>
      </c>
      <c r="K10" s="365">
        <f>+SUMIFS(Model!$G42:$DW42,Model!$G$3:$DW$3,'Cash Flow and Exit'!K$3)</f>
        <v>0</v>
      </c>
    </row>
    <row r="11" spans="2:14" x14ac:dyDescent="0.45">
      <c r="F11" s="192"/>
      <c r="G11" s="192"/>
      <c r="H11" s="192"/>
      <c r="I11" s="192"/>
      <c r="J11" s="192"/>
      <c r="K11" s="192"/>
    </row>
    <row r="12" spans="2:14" ht="20" customHeight="1" x14ac:dyDescent="0.45">
      <c r="B12" s="360" t="s">
        <v>331</v>
      </c>
      <c r="C12" s="360"/>
      <c r="D12" s="360"/>
      <c r="E12" s="360"/>
      <c r="F12" s="361">
        <f>+SUMIFS(Model!$G59:$DW59,Model!$G$3:$DW$3,'Cash Flow and Exit'!F$3)</f>
        <v>0</v>
      </c>
      <c r="G12" s="361">
        <f>+SUMIFS(Model!$G59:$DW59,Model!$G$3:$DW$3,'Cash Flow and Exit'!G$3)</f>
        <v>0</v>
      </c>
      <c r="H12" s="361">
        <f>+SUMIFS(Model!$G59:$DW59,Model!$G$3:$DW$3,'Cash Flow and Exit'!H$3)</f>
        <v>0</v>
      </c>
      <c r="I12" s="361">
        <f>+SUMIFS(Model!$G59:$DW59,Model!$G$3:$DW$3,'Cash Flow and Exit'!I$3)</f>
        <v>17127872.151652358</v>
      </c>
      <c r="J12" s="361">
        <f>+SUMIFS(Model!$G59:$DW59,Model!$G$3:$DW$3,'Cash Flow and Exit'!J$3)</f>
        <v>0</v>
      </c>
      <c r="K12" s="361">
        <f>+SUMIFS(Model!$G59:$DW59,Model!$G$3:$DW$3,'Cash Flow and Exit'!K$3)</f>
        <v>0</v>
      </c>
    </row>
    <row r="13" spans="2:14" ht="20" customHeight="1" x14ac:dyDescent="0.45">
      <c r="B13" s="362" t="s">
        <v>332</v>
      </c>
      <c r="C13" s="362"/>
      <c r="D13" s="362"/>
      <c r="E13" s="362"/>
      <c r="F13" s="363">
        <f>-SUMIFS(Model!$G60:$DW60,Model!$G$3:$DW$3,'Cash Flow and Exit'!F$3)-SUMIFS(Model!$G62:$DW62,Model!$G$3:$DW$3,'Cash Flow and Exit'!F$3)</f>
        <v>0</v>
      </c>
      <c r="G13" s="363">
        <f>-SUMIFS(Model!$G60:$DW60,Model!$G$3:$DW$3,'Cash Flow and Exit'!G$3)-SUMIFS(Model!$G62:$DW62,Model!$G$3:$DW$3,'Cash Flow and Exit'!G$3)</f>
        <v>0</v>
      </c>
      <c r="H13" s="363">
        <f>-SUMIFS(Model!$G60:$DW60,Model!$G$3:$DW$3,'Cash Flow and Exit'!H$3)-SUMIFS(Model!$G62:$DW62,Model!$G$3:$DW$3,'Cash Flow and Exit'!H$3)</f>
        <v>0</v>
      </c>
      <c r="I13" s="363">
        <f>-SUMIFS(Model!$G60:$DW60,Model!$G$3:$DW$3,'Cash Flow and Exit'!I$3)-SUMIFS(Model!$G62:$DW62,Model!$G$3:$DW$3,'Cash Flow and Exit'!I$3)</f>
        <v>0</v>
      </c>
      <c r="J13" s="363">
        <f>-SUMIFS(Model!$G60:$DW60,Model!$G$3:$DW$3,'Cash Flow and Exit'!J$3)-SUMIFS(Model!$G62:$DW62,Model!$G$3:$DW$3,'Cash Flow and Exit'!J$3)</f>
        <v>-749522.19033754035</v>
      </c>
      <c r="K13" s="363">
        <f>-SUMIFS(Model!$G60:$DW60,Model!$G$3:$DW$3,'Cash Flow and Exit'!K$3)-SUMIFS(Model!$G62:$DW62,Model!$G$3:$DW$3,'Cash Flow and Exit'!K$3)</f>
        <v>-723498.27338768332</v>
      </c>
    </row>
    <row r="14" spans="2:14" ht="20" customHeight="1" x14ac:dyDescent="0.45">
      <c r="B14" s="364" t="s">
        <v>333</v>
      </c>
      <c r="C14" s="364"/>
      <c r="D14" s="364"/>
      <c r="E14" s="364"/>
      <c r="F14" s="365">
        <f>+SUMIFS(Model!$G61:$DW61,Model!$G$3:$DW$3,'Cash Flow and Exit'!F$3)</f>
        <v>0</v>
      </c>
      <c r="G14" s="365">
        <f>+SUMIFS(Model!$G61:$DW61,Model!$G$3:$DW$3,'Cash Flow and Exit'!G$3)</f>
        <v>0</v>
      </c>
      <c r="H14" s="365">
        <f>+SUMIFS(Model!$G61:$DW61,Model!$G$3:$DW$3,'Cash Flow and Exit'!H$3)</f>
        <v>0</v>
      </c>
      <c r="I14" s="365">
        <f>+SUMIFS(Model!$G61:$DW61,Model!$G$3:$DW$3,'Cash Flow and Exit'!I$3)</f>
        <v>0</v>
      </c>
      <c r="J14" s="365">
        <f>+SUMIFS(Model!$G61:$DW61,Model!$G$3:$DW$3,'Cash Flow and Exit'!J$3)</f>
        <v>0</v>
      </c>
      <c r="K14" s="365">
        <f>+SUMIFS(Model!$G61:$DW61,Model!$G$3:$DW$3,'Cash Flow and Exit'!K$3)</f>
        <v>-16670620.52986739</v>
      </c>
    </row>
    <row r="15" spans="2:14" x14ac:dyDescent="0.45">
      <c r="F15" s="192"/>
      <c r="G15" s="192"/>
      <c r="H15" s="192"/>
      <c r="I15" s="192"/>
      <c r="J15" s="192"/>
      <c r="K15" s="192"/>
    </row>
    <row r="16" spans="2:14" ht="20" customHeight="1" x14ac:dyDescent="0.45">
      <c r="B16" s="317" t="s">
        <v>334</v>
      </c>
      <c r="C16" s="317"/>
      <c r="D16" s="317"/>
      <c r="E16" s="317"/>
      <c r="F16" s="366">
        <f>+SUMIFS(Model!$G18:$DW18,Model!$G$3:$DW$3,'Cash Flow and Exit'!F$3)</f>
        <v>0</v>
      </c>
      <c r="G16" s="366">
        <f>+SUMIFS(Model!$G18:$DW18,Model!$G$3:$DW$3,'Cash Flow and Exit'!G$3)</f>
        <v>0</v>
      </c>
      <c r="H16" s="366">
        <f>+SUMIFS(Model!$G18:$DW18,Model!$G$3:$DW$3,'Cash Flow and Exit'!H$3)</f>
        <v>0</v>
      </c>
      <c r="I16" s="366">
        <f>+SUMIFS(Model!$G18:$DW18,Model!$G$3:$DW$3,'Cash Flow and Exit'!I$3)</f>
        <v>0</v>
      </c>
      <c r="J16" s="366">
        <f>+SUMIFS(Model!$G18:$DW18,Model!$G$3:$DW$3,'Cash Flow and Exit'!J$3)</f>
        <v>0</v>
      </c>
      <c r="K16" s="366">
        <f>+SUMIFS(Model!$G18:$DW18,Model!$G$3:$DW$3,'Cash Flow and Exit'!K$3)</f>
        <v>26327178.346453849</v>
      </c>
    </row>
    <row r="17" spans="2:16" x14ac:dyDescent="0.45">
      <c r="F17" s="192"/>
      <c r="G17" s="192"/>
      <c r="H17" s="192"/>
      <c r="I17" s="192"/>
      <c r="J17" s="192"/>
      <c r="K17" s="192"/>
    </row>
    <row r="18" spans="2:16" s="191" customFormat="1" ht="20" customHeight="1" x14ac:dyDescent="0.45">
      <c r="B18" s="367" t="s">
        <v>335</v>
      </c>
      <c r="C18" s="367"/>
      <c r="D18" s="367"/>
      <c r="E18" s="367"/>
      <c r="F18" s="368">
        <f>+SUMIFS(Model!$G65:$DW65,Model!$G$3:$DW$3,'Cash Flow and Exit'!F$3)</f>
        <v>-5340556.2753367089</v>
      </c>
      <c r="G18" s="368">
        <f>+SUMIFS(Model!$G65:$DW65,Model!$G$3:$DW$3,'Cash Flow and Exit'!G$3)</f>
        <v>-945265.11229381536</v>
      </c>
      <c r="H18" s="368">
        <f>+SUMIFS(Model!$G65:$DW65,Model!$G$3:$DW$3,'Cash Flow and Exit'!H$3)</f>
        <v>-33380.036824627394</v>
      </c>
      <c r="I18" s="368">
        <f>+SUMIFS(Model!$G65:$DW65,Model!$G$3:$DW$3,'Cash Flow and Exit'!I$3)</f>
        <v>7603725.7031141259</v>
      </c>
      <c r="J18" s="368">
        <f>+SUMIFS(Model!$G65:$DW65,Model!$G$3:$DW$3,'Cash Flow and Exit'!J$3)</f>
        <v>326174.5156369895</v>
      </c>
      <c r="K18" s="368">
        <f>+SUMIFS(Model!$G65:$DW65,Model!$G$3:$DW$3,'Cash Flow and Exit'!K$3)</f>
        <v>10022664.069664512</v>
      </c>
      <c r="L18" s="369"/>
    </row>
    <row r="19" spans="2:16" s="314" customFormat="1" ht="20" customHeight="1" x14ac:dyDescent="0.45">
      <c r="B19" s="314" t="s">
        <v>281</v>
      </c>
      <c r="F19" s="370"/>
      <c r="G19" s="371">
        <f>-G18/$F$18</f>
        <v>-0.17699750055235935</v>
      </c>
      <c r="H19" s="371">
        <f>-H18/$F$18</f>
        <v>-6.2502921238336475E-3</v>
      </c>
      <c r="I19" s="371">
        <f>-I18/$F$18</f>
        <v>1.4237703548278273</v>
      </c>
      <c r="J19" s="371">
        <f>-J18/$F$18</f>
        <v>6.1075007699722253E-2</v>
      </c>
      <c r="K19" s="371">
        <f>-K18/$F$18</f>
        <v>1.8767078845232481</v>
      </c>
    </row>
    <row r="20" spans="2:16" x14ac:dyDescent="0.45">
      <c r="F20" s="192"/>
      <c r="G20" s="192"/>
      <c r="H20" s="192"/>
      <c r="I20" s="192"/>
      <c r="J20" s="192"/>
      <c r="K20" s="192"/>
    </row>
    <row r="21" spans="2:16" x14ac:dyDescent="0.45">
      <c r="B21" s="372" t="s">
        <v>336</v>
      </c>
      <c r="C21" s="373"/>
      <c r="D21" s="373"/>
      <c r="E21" s="374">
        <f>-Model!$G$66</f>
        <v>6794409.477995934</v>
      </c>
      <c r="F21" s="375"/>
      <c r="G21" s="375"/>
      <c r="H21" s="375" t="s">
        <v>337</v>
      </c>
      <c r="I21" s="375"/>
      <c r="J21" s="375"/>
      <c r="K21" s="376" t="str">
        <f ca="1">+TEXT(Model!F31,"0.0%")&amp;" / "&amp;TEXT(Model!F32,"0.00x")</f>
        <v>16.5% / 2.02x</v>
      </c>
    </row>
    <row r="22" spans="2:16" x14ac:dyDescent="0.45">
      <c r="B22" s="377" t="s">
        <v>338</v>
      </c>
      <c r="C22" s="378"/>
      <c r="D22" s="378"/>
      <c r="E22" s="379">
        <f>+E23+E21</f>
        <v>17977606.649931066</v>
      </c>
      <c r="F22" s="380"/>
      <c r="G22" s="380"/>
      <c r="H22" s="380" t="s">
        <v>339</v>
      </c>
      <c r="I22" s="380"/>
      <c r="J22" s="380"/>
      <c r="K22" s="381" t="str">
        <f>+TEXT(Model!G68,"0.0%")&amp;" / "&amp;TEXT(Model!G69,"0.00x")</f>
        <v>30.4% / 2.65x</v>
      </c>
    </row>
    <row r="23" spans="2:16" x14ac:dyDescent="0.45">
      <c r="B23" s="382" t="s">
        <v>340</v>
      </c>
      <c r="C23" s="383"/>
      <c r="D23" s="383"/>
      <c r="E23" s="384">
        <f>+Model!G67</f>
        <v>11183197.171935132</v>
      </c>
      <c r="F23" s="385"/>
      <c r="G23" s="385"/>
      <c r="H23" s="385" t="s">
        <v>341</v>
      </c>
      <c r="I23" s="385"/>
      <c r="J23" s="385"/>
      <c r="K23" s="386" t="str">
        <f>+TEXT(Model!E95,"0.0%")&amp;" / "&amp;TEXT(Model!E96,"0.00x")</f>
        <v>22.8% / 2.20x</v>
      </c>
    </row>
    <row r="24" spans="2:16" x14ac:dyDescent="0.45">
      <c r="F24" s="192"/>
      <c r="G24" s="192"/>
      <c r="H24" s="192"/>
      <c r="I24" s="192"/>
      <c r="J24" s="192"/>
      <c r="K24" s="192"/>
      <c r="M24" s="8" t="str">
        <f>+Assumptions!B174</f>
        <v>Multifamily</v>
      </c>
      <c r="N24" s="1"/>
      <c r="O24" s="1"/>
      <c r="P24" s="1"/>
    </row>
    <row r="25" spans="2:16" x14ac:dyDescent="0.45">
      <c r="F25" s="192"/>
      <c r="G25" s="192"/>
      <c r="H25" s="192"/>
      <c r="I25" s="192"/>
      <c r="J25" s="192"/>
      <c r="K25" s="192"/>
      <c r="M25" s="3" t="str">
        <f>+Assumptions!B175</f>
        <v>Exit (June 30, 2030)</v>
      </c>
      <c r="N25" s="3"/>
      <c r="O25" s="3"/>
      <c r="P25" s="387">
        <f>+Assumptions!E175</f>
        <v>60</v>
      </c>
    </row>
    <row r="26" spans="2:16" x14ac:dyDescent="0.45">
      <c r="B26" s="427"/>
      <c r="C26" s="427"/>
      <c r="D26" s="427"/>
      <c r="E26" s="427"/>
      <c r="F26" s="192"/>
      <c r="G26" s="192"/>
      <c r="H26" s="192"/>
      <c r="I26" s="192"/>
      <c r="J26" s="192"/>
      <c r="K26" s="192"/>
      <c r="M26" s="1" t="str">
        <f>+Assumptions!B176</f>
        <v>NTM NOI in Month 60</v>
      </c>
      <c r="N26" s="1"/>
      <c r="O26" s="1"/>
      <c r="P26" s="19">
        <f>+Assumptions!E176</f>
        <v>1628485.258543537</v>
      </c>
    </row>
    <row r="27" spans="2:16" x14ac:dyDescent="0.45">
      <c r="B27" s="428"/>
      <c r="C27" s="429"/>
      <c r="D27" s="429"/>
      <c r="E27" s="429"/>
      <c r="F27" s="192"/>
      <c r="G27" s="192"/>
      <c r="H27" s="192"/>
      <c r="I27" s="192"/>
      <c r="J27" s="192"/>
      <c r="K27" s="192"/>
      <c r="M27" s="1" t="str">
        <f>+Assumptions!B177</f>
        <v>Applied Exit Cap Rate</v>
      </c>
      <c r="N27" s="1"/>
      <c r="O27" s="1"/>
      <c r="P27" s="388">
        <f>+Assumptions!E177</f>
        <v>0.06</v>
      </c>
    </row>
    <row r="28" spans="2:16" x14ac:dyDescent="0.45">
      <c r="B28" s="429"/>
      <c r="C28" s="430"/>
      <c r="D28" s="427"/>
      <c r="E28" s="429"/>
      <c r="F28" s="192"/>
      <c r="G28" s="192"/>
      <c r="H28" s="192"/>
      <c r="I28" s="192"/>
      <c r="J28" s="192"/>
      <c r="K28" s="192"/>
      <c r="M28" s="1" t="str">
        <f>+Assumptions!B178</f>
        <v>Implied Asset Value</v>
      </c>
      <c r="N28" s="1"/>
      <c r="O28" s="1"/>
      <c r="P28" s="19">
        <f>+Assumptions!E178</f>
        <v>27141420.975725617</v>
      </c>
    </row>
    <row r="29" spans="2:16" x14ac:dyDescent="0.45">
      <c r="B29" s="429"/>
      <c r="C29" s="429"/>
      <c r="D29" s="429"/>
      <c r="E29" s="429"/>
      <c r="F29" s="192"/>
      <c r="G29" s="192"/>
      <c r="H29" s="192"/>
      <c r="I29" s="192"/>
      <c r="J29" s="192"/>
      <c r="K29" s="192"/>
      <c r="M29" s="1" t="str">
        <f>+Assumptions!B179</f>
        <v>Less: Selling Costs</v>
      </c>
      <c r="N29" s="1"/>
      <c r="O29" s="1"/>
      <c r="P29" s="388">
        <f>+Assumptions!E179</f>
        <v>0.03</v>
      </c>
    </row>
    <row r="30" spans="2:16" x14ac:dyDescent="0.45">
      <c r="B30" s="429"/>
      <c r="C30" s="431"/>
      <c r="D30" s="432"/>
      <c r="E30" s="432"/>
      <c r="F30" s="192"/>
      <c r="G30" s="192"/>
      <c r="H30" s="192"/>
      <c r="I30" s="192"/>
      <c r="J30" s="192"/>
      <c r="K30" s="192"/>
      <c r="M30" s="1" t="str">
        <f>+Assumptions!B180</f>
        <v>Less: Selling Costs</v>
      </c>
      <c r="N30" s="1"/>
      <c r="O30" s="1"/>
      <c r="P30" s="19">
        <f>+Assumptions!E180</f>
        <v>-814242.6292717685</v>
      </c>
    </row>
    <row r="31" spans="2:16" x14ac:dyDescent="0.45">
      <c r="B31" s="429"/>
      <c r="C31" s="431"/>
      <c r="D31" s="432"/>
      <c r="E31" s="432"/>
      <c r="F31" s="192"/>
      <c r="G31" s="192"/>
      <c r="H31" s="192"/>
      <c r="I31" s="192"/>
      <c r="J31" s="192"/>
      <c r="K31" s="192"/>
      <c r="M31" s="4" t="str">
        <f>+Assumptions!B181</f>
        <v>Net Reversion Proceeds</v>
      </c>
      <c r="N31" s="4"/>
      <c r="O31" s="4"/>
      <c r="P31" s="389">
        <f>+Assumptions!E181</f>
        <v>26327178.346453849</v>
      </c>
    </row>
    <row r="32" spans="2:16" x14ac:dyDescent="0.45">
      <c r="B32" s="429"/>
      <c r="C32" s="431"/>
      <c r="D32" s="432"/>
      <c r="E32" s="432"/>
      <c r="F32" s="192"/>
      <c r="G32" s="192"/>
      <c r="H32" s="192"/>
      <c r="I32" s="192"/>
      <c r="J32" s="192"/>
      <c r="K32" s="192"/>
      <c r="M32" s="78" t="str">
        <f>+Assumptions!B182</f>
        <v>$ / Unit</v>
      </c>
      <c r="N32" s="78"/>
      <c r="O32" s="78"/>
      <c r="P32" s="390">
        <f>+Assumptions!E182</f>
        <v>347966.93558622588</v>
      </c>
    </row>
    <row r="33" spans="2:21" x14ac:dyDescent="0.45">
      <c r="B33" s="429"/>
      <c r="C33" s="433"/>
      <c r="D33" s="432"/>
      <c r="E33" s="432"/>
      <c r="F33" s="192"/>
      <c r="G33" s="192"/>
      <c r="H33" s="192"/>
      <c r="I33" s="192"/>
      <c r="J33" s="192"/>
      <c r="K33" s="192"/>
    </row>
    <row r="34" spans="2:21" x14ac:dyDescent="0.45">
      <c r="B34" s="429"/>
      <c r="C34" s="434"/>
      <c r="D34" s="432"/>
      <c r="E34" s="432"/>
      <c r="F34" s="192"/>
      <c r="G34" s="192"/>
      <c r="H34" s="192"/>
      <c r="I34" s="192"/>
      <c r="J34" s="192"/>
      <c r="K34" s="192"/>
      <c r="Q34" s="391" t="s">
        <v>342</v>
      </c>
      <c r="R34" s="356" t="s">
        <v>343</v>
      </c>
      <c r="S34" s="356" t="s">
        <v>161</v>
      </c>
      <c r="T34" s="356" t="s">
        <v>162</v>
      </c>
      <c r="U34" s="356" t="s">
        <v>344</v>
      </c>
    </row>
    <row r="35" spans="2:21" x14ac:dyDescent="0.45">
      <c r="B35" s="427"/>
      <c r="C35" s="427"/>
      <c r="D35" s="427"/>
      <c r="E35" s="427"/>
      <c r="F35" s="192"/>
      <c r="G35" s="192"/>
      <c r="H35" s="192"/>
      <c r="I35" s="192"/>
      <c r="J35" s="192"/>
      <c r="K35" s="192"/>
      <c r="Q35" s="392">
        <v>0.08</v>
      </c>
      <c r="R35" s="193">
        <f>+$P$26/Q35</f>
        <v>20356065.731794212</v>
      </c>
      <c r="S35" s="196">
        <f>+R35/Assumptions!$E$124</f>
        <v>260975.2016896694</v>
      </c>
      <c r="T35" s="196">
        <f>+R35/Assumptions!$G$24</f>
        <v>370.11028603262201</v>
      </c>
      <c r="U35" s="194" t="str">
        <f>+TEXT(Assumptions!G191,"0.0%")&amp;" / "&amp;TEXT(Assumptions!G201,"0.0x")</f>
        <v>36.4% / 3.2x</v>
      </c>
    </row>
    <row r="36" spans="2:21" x14ac:dyDescent="0.45">
      <c r="B36" s="428"/>
      <c r="C36" s="429"/>
      <c r="D36" s="429"/>
      <c r="E36" s="429"/>
      <c r="F36" s="192"/>
      <c r="G36" s="192"/>
      <c r="H36" s="192"/>
      <c r="I36" s="192"/>
      <c r="J36" s="192"/>
      <c r="K36" s="192"/>
      <c r="Q36" s="392">
        <f>+Q35-0.25%</f>
        <v>7.7499999999999999E-2</v>
      </c>
      <c r="R36" s="193">
        <f>+$P$26/Q36</f>
        <v>21012713.013464995</v>
      </c>
      <c r="S36" s="196">
        <f>+R36/Assumptions!$E$124</f>
        <v>269393.75658288453</v>
      </c>
      <c r="T36" s="196">
        <f>+R36/Assumptions!$G$24</f>
        <v>382.04932751754535</v>
      </c>
      <c r="U36" s="194" t="str">
        <f>+TEXT(Assumptions!G192,"0.0%")&amp;" / "&amp;TEXT(Assumptions!G202,"0.0x")</f>
        <v>34.7% / 3.0x</v>
      </c>
    </row>
    <row r="37" spans="2:21" x14ac:dyDescent="0.45">
      <c r="B37" s="429"/>
      <c r="C37" s="430"/>
      <c r="D37" s="427"/>
      <c r="E37" s="429"/>
      <c r="F37" s="192"/>
      <c r="G37" s="192"/>
      <c r="H37" s="192"/>
      <c r="I37" s="192"/>
      <c r="J37" s="192"/>
      <c r="K37" s="192"/>
      <c r="Q37" s="392">
        <f>+Q36-0.25%</f>
        <v>7.4999999999999997E-2</v>
      </c>
      <c r="R37" s="193">
        <f>+$P$26/Q37</f>
        <v>21713136.780580495</v>
      </c>
      <c r="S37" s="196">
        <f>+R37/Assumptions!$E$124</f>
        <v>278373.54846898071</v>
      </c>
      <c r="T37" s="196">
        <f>+R37/Assumptions!$G$24</f>
        <v>394.78430510146353</v>
      </c>
      <c r="U37" s="194" t="str">
        <f>+TEXT(Assumptions!G193,"0.0%")&amp;" / "&amp;TEXT(Assumptions!G203,"0.0x")</f>
        <v>33.1% / 2.8x</v>
      </c>
    </row>
    <row r="38" spans="2:21" x14ac:dyDescent="0.45">
      <c r="B38" s="429"/>
      <c r="C38" s="429"/>
      <c r="D38" s="429"/>
      <c r="E38" s="429"/>
      <c r="F38" s="192"/>
      <c r="G38" s="192"/>
      <c r="H38" s="192"/>
      <c r="I38" s="192"/>
      <c r="J38" s="192"/>
      <c r="K38" s="192"/>
      <c r="Q38" s="392">
        <f>+Q37-0.25%</f>
        <v>7.2499999999999995E-2</v>
      </c>
      <c r="R38" s="193">
        <f>+$P$26/Q38</f>
        <v>22461865.635083269</v>
      </c>
      <c r="S38" s="196">
        <f>+R38/Assumptions!$E$124</f>
        <v>287972.63634722139</v>
      </c>
      <c r="T38" s="196">
        <f>+R38/Assumptions!$G$24</f>
        <v>408.39755700151397</v>
      </c>
      <c r="U38" s="194" t="str">
        <f>+TEXT(Assumptions!G194,"0.0%")&amp;" / "&amp;TEXT(Assumptions!G204,"0.0x")</f>
        <v>31.5% / 2.7x</v>
      </c>
    </row>
    <row r="39" spans="2:21" x14ac:dyDescent="0.45">
      <c r="B39" s="429"/>
      <c r="C39" s="431"/>
      <c r="D39" s="432"/>
      <c r="E39" s="432"/>
      <c r="F39" s="192"/>
      <c r="G39" s="192"/>
      <c r="H39" s="192"/>
      <c r="I39" s="192"/>
      <c r="J39" s="192"/>
      <c r="K39" s="192"/>
      <c r="Q39" s="393">
        <f>+Q38-0.25%</f>
        <v>6.9999999999999993E-2</v>
      </c>
      <c r="R39" s="394">
        <f>+$P$26/Q39</f>
        <v>23264075.122050531</v>
      </c>
      <c r="S39" s="395">
        <f>+R39/Assumptions!$E$124</f>
        <v>298257.3733596222</v>
      </c>
      <c r="T39" s="395">
        <f>+R39/Assumptions!$G$24</f>
        <v>422.9831840372824</v>
      </c>
      <c r="U39" s="280" t="str">
        <f>+TEXT(Assumptions!G195,"0.0%")&amp;" / "&amp;TEXT(Assumptions!G205,"0.0x")</f>
        <v>29.9% / 2.5x</v>
      </c>
    </row>
    <row r="40" spans="2:21" x14ac:dyDescent="0.45">
      <c r="B40" s="429"/>
      <c r="C40" s="431"/>
      <c r="D40" s="432"/>
      <c r="E40" s="432"/>
      <c r="F40" s="192"/>
      <c r="G40" s="192"/>
      <c r="H40" s="192"/>
      <c r="I40" s="192"/>
      <c r="J40" s="192"/>
      <c r="K40" s="192"/>
      <c r="R40" s="194"/>
      <c r="S40" s="194"/>
      <c r="T40" s="194"/>
      <c r="U40" s="194"/>
    </row>
    <row r="41" spans="2:21" x14ac:dyDescent="0.45">
      <c r="B41" s="429"/>
      <c r="C41" s="433"/>
      <c r="D41" s="432"/>
      <c r="E41" s="432"/>
      <c r="F41" s="192"/>
      <c r="G41" s="192"/>
      <c r="H41" s="192"/>
      <c r="I41" s="192"/>
      <c r="J41" s="192"/>
      <c r="K41" s="192"/>
    </row>
    <row r="42" spans="2:21" x14ac:dyDescent="0.45">
      <c r="B42" s="429"/>
      <c r="C42" s="433"/>
      <c r="D42" s="432"/>
      <c r="E42" s="432"/>
      <c r="F42" s="192"/>
      <c r="G42" s="192"/>
      <c r="H42" s="192"/>
      <c r="I42" s="192"/>
      <c r="J42" s="192"/>
      <c r="K42" s="192"/>
    </row>
    <row r="43" spans="2:21" x14ac:dyDescent="0.45">
      <c r="B43" s="429"/>
      <c r="C43" s="434"/>
      <c r="D43" s="432"/>
      <c r="E43" s="432"/>
      <c r="F43" s="192"/>
      <c r="G43" s="192"/>
      <c r="H43" s="192"/>
      <c r="I43" s="192"/>
      <c r="J43" s="192"/>
      <c r="K43" s="192"/>
    </row>
    <row r="44" spans="2:21" x14ac:dyDescent="0.45">
      <c r="B44" s="427"/>
      <c r="C44" s="427"/>
      <c r="D44" s="427"/>
      <c r="E44" s="4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A984-DF4F-4841-9F2D-9066635A00DC}">
  <sheetPr>
    <tabColor theme="4"/>
    <pageSetUpPr autoPageBreaks="0"/>
  </sheetPr>
  <dimension ref="B1:EM229"/>
  <sheetViews>
    <sheetView showGridLines="0" tabSelected="1" topLeftCell="A58" zoomScale="115" zoomScaleNormal="115" workbookViewId="0">
      <pane xSplit="4" topLeftCell="E1" activePane="topRight" state="frozen"/>
      <selection activeCell="J44" sqref="J44"/>
      <selection pane="topRight" activeCell="G72" sqref="G72"/>
    </sheetView>
  </sheetViews>
  <sheetFormatPr defaultColWidth="9.1328125" defaultRowHeight="12.75" x14ac:dyDescent="0.45"/>
  <cols>
    <col min="1" max="1" width="4.19921875" style="1" bestFit="1" customWidth="1"/>
    <col min="2" max="2" width="12.86328125" style="1" bestFit="1" customWidth="1"/>
    <col min="3" max="3" width="2.796875" style="1" customWidth="1"/>
    <col min="4" max="4" width="23.796875" style="1" bestFit="1" customWidth="1"/>
    <col min="5" max="5" width="12.796875" style="1" customWidth="1"/>
    <col min="6" max="6" width="15.796875" style="1" customWidth="1"/>
    <col min="7" max="7" width="11.796875" style="1" bestFit="1" customWidth="1"/>
    <col min="8" max="11" width="10.46484375" style="1" bestFit="1" customWidth="1"/>
    <col min="12" max="12" width="11.46484375" style="1" bestFit="1" customWidth="1"/>
    <col min="13" max="16" width="10.46484375" style="1" bestFit="1" customWidth="1"/>
    <col min="17" max="18" width="11.46484375" style="1" bestFit="1" customWidth="1"/>
    <col min="19" max="23" width="10.46484375" style="1" bestFit="1" customWidth="1"/>
    <col min="24" max="45" width="11.19921875" style="1" bestFit="1" customWidth="1"/>
    <col min="46" max="46" width="11.46484375" style="1" bestFit="1" customWidth="1"/>
    <col min="47" max="81" width="11.19921875" style="1" bestFit="1" customWidth="1"/>
    <col min="82" max="82" width="12.1328125" style="1" bestFit="1" customWidth="1"/>
    <col min="83" max="83" width="11.19921875" style="1" bestFit="1" customWidth="1"/>
    <col min="84" max="84" width="12" style="1" bestFit="1" customWidth="1"/>
    <col min="85" max="86" width="11.19921875" style="1" bestFit="1" customWidth="1"/>
    <col min="87" max="87" width="12" style="1" bestFit="1" customWidth="1"/>
    <col min="88" max="139" width="11.19921875" style="1" bestFit="1" customWidth="1"/>
    <col min="140" max="16384" width="9.1328125" style="1"/>
  </cols>
  <sheetData>
    <row r="1" spans="2:143" x14ac:dyDescent="0.45">
      <c r="EM1" s="1" t="s">
        <v>178</v>
      </c>
    </row>
    <row r="2" spans="2:143" x14ac:dyDescent="0.45">
      <c r="G2" s="16">
        <f>+Assumptions!F2</f>
        <v>45838</v>
      </c>
      <c r="H2" s="16">
        <f>+EOMONTH(G2,1)</f>
        <v>45869</v>
      </c>
      <c r="I2" s="16">
        <f t="shared" ref="I2:T2" si="0">+EOMONTH(H2,1)</f>
        <v>45900</v>
      </c>
      <c r="J2" s="16">
        <f t="shared" si="0"/>
        <v>45930</v>
      </c>
      <c r="K2" s="16">
        <f t="shared" si="0"/>
        <v>45961</v>
      </c>
      <c r="L2" s="16">
        <f t="shared" si="0"/>
        <v>45991</v>
      </c>
      <c r="M2" s="16">
        <f t="shared" si="0"/>
        <v>46022</v>
      </c>
      <c r="N2" s="16">
        <f t="shared" si="0"/>
        <v>46053</v>
      </c>
      <c r="O2" s="16">
        <f t="shared" si="0"/>
        <v>46081</v>
      </c>
      <c r="P2" s="16">
        <f t="shared" si="0"/>
        <v>46112</v>
      </c>
      <c r="Q2" s="16">
        <f t="shared" si="0"/>
        <v>46142</v>
      </c>
      <c r="R2" s="16">
        <f t="shared" si="0"/>
        <v>46173</v>
      </c>
      <c r="S2" s="16">
        <f t="shared" si="0"/>
        <v>46203</v>
      </c>
      <c r="T2" s="16">
        <f t="shared" si="0"/>
        <v>46234</v>
      </c>
      <c r="U2" s="16">
        <f t="shared" ref="U2:AZ2" si="1">+EOMONTH(T2,1)</f>
        <v>46265</v>
      </c>
      <c r="V2" s="16">
        <f t="shared" si="1"/>
        <v>46295</v>
      </c>
      <c r="W2" s="16">
        <f t="shared" si="1"/>
        <v>46326</v>
      </c>
      <c r="X2" s="16">
        <f t="shared" si="1"/>
        <v>46356</v>
      </c>
      <c r="Y2" s="16">
        <f t="shared" si="1"/>
        <v>46387</v>
      </c>
      <c r="Z2" s="16">
        <f t="shared" si="1"/>
        <v>46418</v>
      </c>
      <c r="AA2" s="16">
        <f t="shared" si="1"/>
        <v>46446</v>
      </c>
      <c r="AB2" s="16">
        <f t="shared" si="1"/>
        <v>46477</v>
      </c>
      <c r="AC2" s="16">
        <f t="shared" si="1"/>
        <v>46507</v>
      </c>
      <c r="AD2" s="16">
        <f t="shared" si="1"/>
        <v>46538</v>
      </c>
      <c r="AE2" s="16">
        <f t="shared" si="1"/>
        <v>46568</v>
      </c>
      <c r="AF2" s="16">
        <f t="shared" si="1"/>
        <v>46599</v>
      </c>
      <c r="AG2" s="16">
        <f t="shared" si="1"/>
        <v>46630</v>
      </c>
      <c r="AH2" s="16">
        <f t="shared" si="1"/>
        <v>46660</v>
      </c>
      <c r="AI2" s="16">
        <f t="shared" si="1"/>
        <v>46691</v>
      </c>
      <c r="AJ2" s="16">
        <f t="shared" si="1"/>
        <v>46721</v>
      </c>
      <c r="AK2" s="16">
        <f t="shared" si="1"/>
        <v>46752</v>
      </c>
      <c r="AL2" s="16">
        <f t="shared" si="1"/>
        <v>46783</v>
      </c>
      <c r="AM2" s="16">
        <f t="shared" si="1"/>
        <v>46812</v>
      </c>
      <c r="AN2" s="16">
        <f t="shared" si="1"/>
        <v>46843</v>
      </c>
      <c r="AO2" s="16">
        <f t="shared" si="1"/>
        <v>46873</v>
      </c>
      <c r="AP2" s="16">
        <f t="shared" si="1"/>
        <v>46904</v>
      </c>
      <c r="AQ2" s="16">
        <f t="shared" si="1"/>
        <v>46934</v>
      </c>
      <c r="AR2" s="16">
        <f t="shared" si="1"/>
        <v>46965</v>
      </c>
      <c r="AS2" s="16">
        <f t="shared" si="1"/>
        <v>46996</v>
      </c>
      <c r="AT2" s="16">
        <f t="shared" si="1"/>
        <v>47026</v>
      </c>
      <c r="AU2" s="16">
        <f t="shared" si="1"/>
        <v>47057</v>
      </c>
      <c r="AV2" s="16">
        <f t="shared" si="1"/>
        <v>47087</v>
      </c>
      <c r="AW2" s="16">
        <f t="shared" si="1"/>
        <v>47118</v>
      </c>
      <c r="AX2" s="16">
        <f t="shared" si="1"/>
        <v>47149</v>
      </c>
      <c r="AY2" s="16">
        <f t="shared" si="1"/>
        <v>47177</v>
      </c>
      <c r="AZ2" s="16">
        <f t="shared" si="1"/>
        <v>47208</v>
      </c>
      <c r="BA2" s="16">
        <f t="shared" ref="BA2:CF2" si="2">+EOMONTH(AZ2,1)</f>
        <v>47238</v>
      </c>
      <c r="BB2" s="16">
        <f t="shared" si="2"/>
        <v>47269</v>
      </c>
      <c r="BC2" s="16">
        <f t="shared" si="2"/>
        <v>47299</v>
      </c>
      <c r="BD2" s="16">
        <f t="shared" si="2"/>
        <v>47330</v>
      </c>
      <c r="BE2" s="16">
        <f t="shared" si="2"/>
        <v>47361</v>
      </c>
      <c r="BF2" s="16">
        <f t="shared" si="2"/>
        <v>47391</v>
      </c>
      <c r="BG2" s="16">
        <f t="shared" si="2"/>
        <v>47422</v>
      </c>
      <c r="BH2" s="16">
        <f t="shared" si="2"/>
        <v>47452</v>
      </c>
      <c r="BI2" s="16">
        <f t="shared" si="2"/>
        <v>47483</v>
      </c>
      <c r="BJ2" s="16">
        <f t="shared" si="2"/>
        <v>47514</v>
      </c>
      <c r="BK2" s="16">
        <f t="shared" si="2"/>
        <v>47542</v>
      </c>
      <c r="BL2" s="16">
        <f t="shared" si="2"/>
        <v>47573</v>
      </c>
      <c r="BM2" s="16">
        <f t="shared" si="2"/>
        <v>47603</v>
      </c>
      <c r="BN2" s="16">
        <f t="shared" si="2"/>
        <v>47634</v>
      </c>
      <c r="BO2" s="16">
        <f t="shared" si="2"/>
        <v>47664</v>
      </c>
      <c r="BP2" s="16">
        <f t="shared" si="2"/>
        <v>47695</v>
      </c>
      <c r="BQ2" s="16">
        <f t="shared" si="2"/>
        <v>47726</v>
      </c>
      <c r="BR2" s="16">
        <f t="shared" si="2"/>
        <v>47756</v>
      </c>
      <c r="BS2" s="16">
        <f t="shared" si="2"/>
        <v>47787</v>
      </c>
      <c r="BT2" s="16">
        <f t="shared" si="2"/>
        <v>47817</v>
      </c>
      <c r="BU2" s="16">
        <f t="shared" si="2"/>
        <v>47848</v>
      </c>
      <c r="BV2" s="16">
        <f t="shared" si="2"/>
        <v>47879</v>
      </c>
      <c r="BW2" s="16">
        <f t="shared" si="2"/>
        <v>47907</v>
      </c>
      <c r="BX2" s="16">
        <f t="shared" si="2"/>
        <v>47938</v>
      </c>
      <c r="BY2" s="16">
        <f t="shared" si="2"/>
        <v>47968</v>
      </c>
      <c r="BZ2" s="16">
        <f t="shared" si="2"/>
        <v>47999</v>
      </c>
      <c r="CA2" s="16">
        <f t="shared" si="2"/>
        <v>48029</v>
      </c>
      <c r="CB2" s="16">
        <f t="shared" si="2"/>
        <v>48060</v>
      </c>
      <c r="CC2" s="16">
        <f t="shared" si="2"/>
        <v>48091</v>
      </c>
      <c r="CD2" s="16">
        <f t="shared" si="2"/>
        <v>48121</v>
      </c>
      <c r="CE2" s="16">
        <f t="shared" si="2"/>
        <v>48152</v>
      </c>
      <c r="CF2" s="16">
        <f t="shared" si="2"/>
        <v>48182</v>
      </c>
      <c r="CG2" s="16">
        <f t="shared" ref="CG2:DL2" si="3">+EOMONTH(CF2,1)</f>
        <v>48213</v>
      </c>
      <c r="CH2" s="16">
        <f t="shared" si="3"/>
        <v>48244</v>
      </c>
      <c r="CI2" s="16">
        <f t="shared" si="3"/>
        <v>48273</v>
      </c>
      <c r="CJ2" s="16">
        <f t="shared" si="3"/>
        <v>48304</v>
      </c>
      <c r="CK2" s="16">
        <f t="shared" si="3"/>
        <v>48334</v>
      </c>
      <c r="CL2" s="16">
        <f t="shared" si="3"/>
        <v>48365</v>
      </c>
      <c r="CM2" s="16">
        <f t="shared" si="3"/>
        <v>48395</v>
      </c>
      <c r="CN2" s="16">
        <f t="shared" si="3"/>
        <v>48426</v>
      </c>
      <c r="CO2" s="16">
        <f t="shared" si="3"/>
        <v>48457</v>
      </c>
      <c r="CP2" s="16">
        <f t="shared" si="3"/>
        <v>48487</v>
      </c>
      <c r="CQ2" s="16">
        <f t="shared" si="3"/>
        <v>48518</v>
      </c>
      <c r="CR2" s="16">
        <f t="shared" si="3"/>
        <v>48548</v>
      </c>
      <c r="CS2" s="16">
        <f t="shared" si="3"/>
        <v>48579</v>
      </c>
      <c r="CT2" s="16">
        <f t="shared" si="3"/>
        <v>48610</v>
      </c>
      <c r="CU2" s="16">
        <f t="shared" si="3"/>
        <v>48638</v>
      </c>
      <c r="CV2" s="16">
        <f t="shared" si="3"/>
        <v>48669</v>
      </c>
      <c r="CW2" s="16">
        <f t="shared" si="3"/>
        <v>48699</v>
      </c>
      <c r="CX2" s="16">
        <f t="shared" si="3"/>
        <v>48730</v>
      </c>
      <c r="CY2" s="16">
        <f t="shared" si="3"/>
        <v>48760</v>
      </c>
      <c r="CZ2" s="16">
        <f t="shared" si="3"/>
        <v>48791</v>
      </c>
      <c r="DA2" s="16">
        <f t="shared" si="3"/>
        <v>48822</v>
      </c>
      <c r="DB2" s="16">
        <f t="shared" si="3"/>
        <v>48852</v>
      </c>
      <c r="DC2" s="16">
        <f t="shared" si="3"/>
        <v>48883</v>
      </c>
      <c r="DD2" s="16">
        <f t="shared" si="3"/>
        <v>48913</v>
      </c>
      <c r="DE2" s="16">
        <f t="shared" si="3"/>
        <v>48944</v>
      </c>
      <c r="DF2" s="16">
        <f t="shared" si="3"/>
        <v>48975</v>
      </c>
      <c r="DG2" s="16">
        <f t="shared" si="3"/>
        <v>49003</v>
      </c>
      <c r="DH2" s="16">
        <f t="shared" si="3"/>
        <v>49034</v>
      </c>
      <c r="DI2" s="16">
        <f t="shared" si="3"/>
        <v>49064</v>
      </c>
      <c r="DJ2" s="16">
        <f t="shared" si="3"/>
        <v>49095</v>
      </c>
      <c r="DK2" s="16">
        <f t="shared" si="3"/>
        <v>49125</v>
      </c>
      <c r="DL2" s="16">
        <f t="shared" si="3"/>
        <v>49156</v>
      </c>
      <c r="DM2" s="16">
        <f t="shared" ref="DM2:EI2" si="4">+EOMONTH(DL2,1)</f>
        <v>49187</v>
      </c>
      <c r="DN2" s="16">
        <f t="shared" si="4"/>
        <v>49217</v>
      </c>
      <c r="DO2" s="16">
        <f t="shared" si="4"/>
        <v>49248</v>
      </c>
      <c r="DP2" s="16">
        <f t="shared" si="4"/>
        <v>49278</v>
      </c>
      <c r="DQ2" s="16">
        <f t="shared" si="4"/>
        <v>49309</v>
      </c>
      <c r="DR2" s="16">
        <f t="shared" si="4"/>
        <v>49340</v>
      </c>
      <c r="DS2" s="16">
        <f t="shared" si="4"/>
        <v>49368</v>
      </c>
      <c r="DT2" s="16">
        <f t="shared" si="4"/>
        <v>49399</v>
      </c>
      <c r="DU2" s="16">
        <f t="shared" si="4"/>
        <v>49429</v>
      </c>
      <c r="DV2" s="16">
        <f t="shared" si="4"/>
        <v>49460</v>
      </c>
      <c r="DW2" s="16">
        <f t="shared" si="4"/>
        <v>49490</v>
      </c>
      <c r="DX2" s="16">
        <f t="shared" si="4"/>
        <v>49521</v>
      </c>
      <c r="DY2" s="16">
        <f t="shared" si="4"/>
        <v>49552</v>
      </c>
      <c r="DZ2" s="16">
        <f t="shared" si="4"/>
        <v>49582</v>
      </c>
      <c r="EA2" s="16">
        <f t="shared" si="4"/>
        <v>49613</v>
      </c>
      <c r="EB2" s="16">
        <f t="shared" si="4"/>
        <v>49643</v>
      </c>
      <c r="EC2" s="16">
        <f t="shared" si="4"/>
        <v>49674</v>
      </c>
      <c r="ED2" s="16">
        <f t="shared" si="4"/>
        <v>49705</v>
      </c>
      <c r="EE2" s="16">
        <f t="shared" si="4"/>
        <v>49734</v>
      </c>
      <c r="EF2" s="16">
        <f t="shared" si="4"/>
        <v>49765</v>
      </c>
      <c r="EG2" s="16">
        <f t="shared" si="4"/>
        <v>49795</v>
      </c>
      <c r="EH2" s="16">
        <f t="shared" si="4"/>
        <v>49826</v>
      </c>
      <c r="EI2" s="16">
        <f t="shared" si="4"/>
        <v>49856</v>
      </c>
      <c r="EM2" s="1" t="s">
        <v>178</v>
      </c>
    </row>
    <row r="3" spans="2:143" x14ac:dyDescent="0.45">
      <c r="G3" s="15">
        <f t="shared" ref="G3:S3" si="5">ROUNDUP(G4/12,0)</f>
        <v>0</v>
      </c>
      <c r="H3" s="15">
        <f t="shared" si="5"/>
        <v>1</v>
      </c>
      <c r="I3" s="15">
        <f t="shared" si="5"/>
        <v>1</v>
      </c>
      <c r="J3" s="15">
        <f t="shared" si="5"/>
        <v>1</v>
      </c>
      <c r="K3" s="15">
        <f t="shared" si="5"/>
        <v>1</v>
      </c>
      <c r="L3" s="15">
        <f t="shared" si="5"/>
        <v>1</v>
      </c>
      <c r="M3" s="15">
        <f t="shared" si="5"/>
        <v>1</v>
      </c>
      <c r="N3" s="15">
        <f t="shared" si="5"/>
        <v>1</v>
      </c>
      <c r="O3" s="15">
        <f t="shared" si="5"/>
        <v>1</v>
      </c>
      <c r="P3" s="15">
        <f t="shared" si="5"/>
        <v>1</v>
      </c>
      <c r="Q3" s="15">
        <f t="shared" si="5"/>
        <v>1</v>
      </c>
      <c r="R3" s="15">
        <f t="shared" si="5"/>
        <v>1</v>
      </c>
      <c r="S3" s="15">
        <f t="shared" si="5"/>
        <v>1</v>
      </c>
      <c r="T3" s="15">
        <f t="shared" ref="T3:EI3" si="6">ROUNDUP(T4/12,0)</f>
        <v>2</v>
      </c>
      <c r="U3" s="15">
        <f t="shared" si="6"/>
        <v>2</v>
      </c>
      <c r="V3" s="15">
        <f t="shared" si="6"/>
        <v>2</v>
      </c>
      <c r="W3" s="15">
        <f t="shared" si="6"/>
        <v>2</v>
      </c>
      <c r="X3" s="15">
        <f t="shared" si="6"/>
        <v>2</v>
      </c>
      <c r="Y3" s="15">
        <f t="shared" si="6"/>
        <v>2</v>
      </c>
      <c r="Z3" s="15">
        <f t="shared" si="6"/>
        <v>2</v>
      </c>
      <c r="AA3" s="15">
        <f t="shared" si="6"/>
        <v>2</v>
      </c>
      <c r="AB3" s="15">
        <f t="shared" si="6"/>
        <v>2</v>
      </c>
      <c r="AC3" s="15">
        <f t="shared" si="6"/>
        <v>2</v>
      </c>
      <c r="AD3" s="15">
        <f t="shared" si="6"/>
        <v>2</v>
      </c>
      <c r="AE3" s="15">
        <f t="shared" si="6"/>
        <v>2</v>
      </c>
      <c r="AF3" s="15">
        <f t="shared" si="6"/>
        <v>3</v>
      </c>
      <c r="AG3" s="15">
        <f t="shared" si="6"/>
        <v>3</v>
      </c>
      <c r="AH3" s="15">
        <f t="shared" si="6"/>
        <v>3</v>
      </c>
      <c r="AI3" s="15">
        <f t="shared" si="6"/>
        <v>3</v>
      </c>
      <c r="AJ3" s="15">
        <f t="shared" si="6"/>
        <v>3</v>
      </c>
      <c r="AK3" s="15">
        <f t="shared" si="6"/>
        <v>3</v>
      </c>
      <c r="AL3" s="15">
        <f t="shared" si="6"/>
        <v>3</v>
      </c>
      <c r="AM3" s="15">
        <f t="shared" si="6"/>
        <v>3</v>
      </c>
      <c r="AN3" s="15">
        <f t="shared" si="6"/>
        <v>3</v>
      </c>
      <c r="AO3" s="15">
        <f t="shared" si="6"/>
        <v>3</v>
      </c>
      <c r="AP3" s="15">
        <f t="shared" si="6"/>
        <v>3</v>
      </c>
      <c r="AQ3" s="15">
        <f t="shared" si="6"/>
        <v>3</v>
      </c>
      <c r="AR3" s="15">
        <f t="shared" si="6"/>
        <v>4</v>
      </c>
      <c r="AS3" s="15">
        <f t="shared" si="6"/>
        <v>4</v>
      </c>
      <c r="AT3" s="15">
        <f t="shared" si="6"/>
        <v>4</v>
      </c>
      <c r="AU3" s="15">
        <f t="shared" si="6"/>
        <v>4</v>
      </c>
      <c r="AV3" s="15">
        <f t="shared" si="6"/>
        <v>4</v>
      </c>
      <c r="AW3" s="15">
        <f t="shared" si="6"/>
        <v>4</v>
      </c>
      <c r="AX3" s="15">
        <f t="shared" si="6"/>
        <v>4</v>
      </c>
      <c r="AY3" s="15">
        <f t="shared" si="6"/>
        <v>4</v>
      </c>
      <c r="AZ3" s="15">
        <f t="shared" si="6"/>
        <v>4</v>
      </c>
      <c r="BA3" s="15">
        <f t="shared" si="6"/>
        <v>4</v>
      </c>
      <c r="BB3" s="15">
        <f t="shared" si="6"/>
        <v>4</v>
      </c>
      <c r="BC3" s="15">
        <f t="shared" si="6"/>
        <v>4</v>
      </c>
      <c r="BD3" s="15">
        <f t="shared" si="6"/>
        <v>5</v>
      </c>
      <c r="BE3" s="15">
        <f t="shared" si="6"/>
        <v>5</v>
      </c>
      <c r="BF3" s="15">
        <f t="shared" si="6"/>
        <v>5</v>
      </c>
      <c r="BG3" s="15">
        <f t="shared" si="6"/>
        <v>5</v>
      </c>
      <c r="BH3" s="15">
        <f t="shared" si="6"/>
        <v>5</v>
      </c>
      <c r="BI3" s="15">
        <f t="shared" si="6"/>
        <v>5</v>
      </c>
      <c r="BJ3" s="15">
        <f t="shared" si="6"/>
        <v>5</v>
      </c>
      <c r="BK3" s="15">
        <f t="shared" si="6"/>
        <v>5</v>
      </c>
      <c r="BL3" s="15">
        <f t="shared" si="6"/>
        <v>5</v>
      </c>
      <c r="BM3" s="15">
        <f t="shared" si="6"/>
        <v>5</v>
      </c>
      <c r="BN3" s="15">
        <f t="shared" si="6"/>
        <v>5</v>
      </c>
      <c r="BO3" s="15">
        <f t="shared" si="6"/>
        <v>5</v>
      </c>
      <c r="BP3" s="15">
        <f t="shared" si="6"/>
        <v>6</v>
      </c>
      <c r="BQ3" s="15">
        <f t="shared" si="6"/>
        <v>6</v>
      </c>
      <c r="BR3" s="15">
        <f t="shared" si="6"/>
        <v>6</v>
      </c>
      <c r="BS3" s="15">
        <f t="shared" si="6"/>
        <v>6</v>
      </c>
      <c r="BT3" s="15">
        <f t="shared" si="6"/>
        <v>6</v>
      </c>
      <c r="BU3" s="15">
        <f t="shared" si="6"/>
        <v>6</v>
      </c>
      <c r="BV3" s="15">
        <f t="shared" si="6"/>
        <v>6</v>
      </c>
      <c r="BW3" s="15">
        <f t="shared" si="6"/>
        <v>6</v>
      </c>
      <c r="BX3" s="15">
        <f t="shared" si="6"/>
        <v>6</v>
      </c>
      <c r="BY3" s="15">
        <f t="shared" si="6"/>
        <v>6</v>
      </c>
      <c r="BZ3" s="15">
        <f t="shared" si="6"/>
        <v>6</v>
      </c>
      <c r="CA3" s="15">
        <f t="shared" si="6"/>
        <v>6</v>
      </c>
      <c r="CB3" s="15">
        <f t="shared" si="6"/>
        <v>7</v>
      </c>
      <c r="CC3" s="15">
        <f t="shared" si="6"/>
        <v>7</v>
      </c>
      <c r="CD3" s="15">
        <f t="shared" si="6"/>
        <v>7</v>
      </c>
      <c r="CE3" s="15">
        <f t="shared" si="6"/>
        <v>7</v>
      </c>
      <c r="CF3" s="15">
        <f t="shared" si="6"/>
        <v>7</v>
      </c>
      <c r="CG3" s="15">
        <f t="shared" si="6"/>
        <v>7</v>
      </c>
      <c r="CH3" s="15">
        <f t="shared" si="6"/>
        <v>7</v>
      </c>
      <c r="CI3" s="15">
        <f t="shared" si="6"/>
        <v>7</v>
      </c>
      <c r="CJ3" s="15">
        <f t="shared" si="6"/>
        <v>7</v>
      </c>
      <c r="CK3" s="15">
        <f t="shared" si="6"/>
        <v>7</v>
      </c>
      <c r="CL3" s="15">
        <f t="shared" si="6"/>
        <v>7</v>
      </c>
      <c r="CM3" s="15">
        <f t="shared" si="6"/>
        <v>7</v>
      </c>
      <c r="CN3" s="15">
        <f t="shared" si="6"/>
        <v>8</v>
      </c>
      <c r="CO3" s="15">
        <f t="shared" si="6"/>
        <v>8</v>
      </c>
      <c r="CP3" s="15">
        <f t="shared" si="6"/>
        <v>8</v>
      </c>
      <c r="CQ3" s="15">
        <f t="shared" si="6"/>
        <v>8</v>
      </c>
      <c r="CR3" s="15">
        <f t="shared" si="6"/>
        <v>8</v>
      </c>
      <c r="CS3" s="15">
        <f t="shared" si="6"/>
        <v>8</v>
      </c>
      <c r="CT3" s="15">
        <f t="shared" si="6"/>
        <v>8</v>
      </c>
      <c r="CU3" s="15">
        <f t="shared" si="6"/>
        <v>8</v>
      </c>
      <c r="CV3" s="15">
        <f t="shared" si="6"/>
        <v>8</v>
      </c>
      <c r="CW3" s="15">
        <f t="shared" si="6"/>
        <v>8</v>
      </c>
      <c r="CX3" s="15">
        <f t="shared" si="6"/>
        <v>8</v>
      </c>
      <c r="CY3" s="15">
        <f t="shared" si="6"/>
        <v>8</v>
      </c>
      <c r="CZ3" s="15">
        <f t="shared" si="6"/>
        <v>9</v>
      </c>
      <c r="DA3" s="15">
        <f t="shared" si="6"/>
        <v>9</v>
      </c>
      <c r="DB3" s="15">
        <f t="shared" si="6"/>
        <v>9</v>
      </c>
      <c r="DC3" s="15">
        <f t="shared" si="6"/>
        <v>9</v>
      </c>
      <c r="DD3" s="15">
        <f t="shared" si="6"/>
        <v>9</v>
      </c>
      <c r="DE3" s="15">
        <f t="shared" si="6"/>
        <v>9</v>
      </c>
      <c r="DF3" s="15">
        <f t="shared" si="6"/>
        <v>9</v>
      </c>
      <c r="DG3" s="15">
        <f t="shared" si="6"/>
        <v>9</v>
      </c>
      <c r="DH3" s="15">
        <f t="shared" si="6"/>
        <v>9</v>
      </c>
      <c r="DI3" s="15">
        <f t="shared" si="6"/>
        <v>9</v>
      </c>
      <c r="DJ3" s="15">
        <f t="shared" si="6"/>
        <v>9</v>
      </c>
      <c r="DK3" s="15">
        <f t="shared" si="6"/>
        <v>9</v>
      </c>
      <c r="DL3" s="15">
        <f t="shared" si="6"/>
        <v>10</v>
      </c>
      <c r="DM3" s="15">
        <f t="shared" si="6"/>
        <v>10</v>
      </c>
      <c r="DN3" s="15">
        <f t="shared" si="6"/>
        <v>10</v>
      </c>
      <c r="DO3" s="15">
        <f t="shared" si="6"/>
        <v>10</v>
      </c>
      <c r="DP3" s="15">
        <f t="shared" si="6"/>
        <v>10</v>
      </c>
      <c r="DQ3" s="15">
        <f t="shared" si="6"/>
        <v>10</v>
      </c>
      <c r="DR3" s="15">
        <f t="shared" si="6"/>
        <v>10</v>
      </c>
      <c r="DS3" s="15">
        <f t="shared" si="6"/>
        <v>10</v>
      </c>
      <c r="DT3" s="15">
        <f t="shared" si="6"/>
        <v>10</v>
      </c>
      <c r="DU3" s="15">
        <f t="shared" si="6"/>
        <v>10</v>
      </c>
      <c r="DV3" s="15">
        <f t="shared" si="6"/>
        <v>10</v>
      </c>
      <c r="DW3" s="15">
        <f t="shared" si="6"/>
        <v>10</v>
      </c>
      <c r="DX3" s="15">
        <f t="shared" si="6"/>
        <v>11</v>
      </c>
      <c r="DY3" s="15">
        <f t="shared" si="6"/>
        <v>11</v>
      </c>
      <c r="DZ3" s="15">
        <f t="shared" si="6"/>
        <v>11</v>
      </c>
      <c r="EA3" s="15">
        <f t="shared" si="6"/>
        <v>11</v>
      </c>
      <c r="EB3" s="15">
        <f t="shared" si="6"/>
        <v>11</v>
      </c>
      <c r="EC3" s="15">
        <f t="shared" si="6"/>
        <v>11</v>
      </c>
      <c r="ED3" s="15">
        <f t="shared" si="6"/>
        <v>11</v>
      </c>
      <c r="EE3" s="15">
        <f t="shared" si="6"/>
        <v>11</v>
      </c>
      <c r="EF3" s="15">
        <f t="shared" si="6"/>
        <v>11</v>
      </c>
      <c r="EG3" s="15">
        <f t="shared" si="6"/>
        <v>11</v>
      </c>
      <c r="EH3" s="15">
        <f t="shared" si="6"/>
        <v>11</v>
      </c>
      <c r="EI3" s="15">
        <f t="shared" si="6"/>
        <v>11</v>
      </c>
      <c r="EM3" s="1" t="s">
        <v>178</v>
      </c>
    </row>
    <row r="4" spans="2:143" x14ac:dyDescent="0.45">
      <c r="D4" s="2"/>
      <c r="E4" s="2"/>
      <c r="F4" s="2"/>
      <c r="G4" s="18">
        <v>0</v>
      </c>
      <c r="H4" s="18">
        <f>+G4+1</f>
        <v>1</v>
      </c>
      <c r="I4" s="18">
        <f t="shared" ref="I4:T4" si="7">+H4+1</f>
        <v>2</v>
      </c>
      <c r="J4" s="18">
        <f t="shared" si="7"/>
        <v>3</v>
      </c>
      <c r="K4" s="18">
        <f t="shared" si="7"/>
        <v>4</v>
      </c>
      <c r="L4" s="18">
        <f t="shared" si="7"/>
        <v>5</v>
      </c>
      <c r="M4" s="18">
        <f t="shared" si="7"/>
        <v>6</v>
      </c>
      <c r="N4" s="18">
        <f t="shared" si="7"/>
        <v>7</v>
      </c>
      <c r="O4" s="18">
        <f t="shared" si="7"/>
        <v>8</v>
      </c>
      <c r="P4" s="18">
        <f t="shared" si="7"/>
        <v>9</v>
      </c>
      <c r="Q4" s="18">
        <f t="shared" si="7"/>
        <v>10</v>
      </c>
      <c r="R4" s="18">
        <f t="shared" si="7"/>
        <v>11</v>
      </c>
      <c r="S4" s="18">
        <f t="shared" si="7"/>
        <v>12</v>
      </c>
      <c r="T4" s="18">
        <f t="shared" si="7"/>
        <v>13</v>
      </c>
      <c r="U4" s="18">
        <f t="shared" ref="U4:AZ4" si="8">+T4+1</f>
        <v>14</v>
      </c>
      <c r="V4" s="18">
        <f t="shared" si="8"/>
        <v>15</v>
      </c>
      <c r="W4" s="18">
        <f t="shared" si="8"/>
        <v>16</v>
      </c>
      <c r="X4" s="18">
        <f t="shared" si="8"/>
        <v>17</v>
      </c>
      <c r="Y4" s="18">
        <f t="shared" si="8"/>
        <v>18</v>
      </c>
      <c r="Z4" s="18">
        <f t="shared" si="8"/>
        <v>19</v>
      </c>
      <c r="AA4" s="18">
        <f t="shared" si="8"/>
        <v>20</v>
      </c>
      <c r="AB4" s="18">
        <f t="shared" si="8"/>
        <v>21</v>
      </c>
      <c r="AC4" s="18">
        <f t="shared" si="8"/>
        <v>22</v>
      </c>
      <c r="AD4" s="18">
        <f t="shared" si="8"/>
        <v>23</v>
      </c>
      <c r="AE4" s="18">
        <f t="shared" si="8"/>
        <v>24</v>
      </c>
      <c r="AF4" s="18">
        <f t="shared" si="8"/>
        <v>25</v>
      </c>
      <c r="AG4" s="18">
        <f t="shared" si="8"/>
        <v>26</v>
      </c>
      <c r="AH4" s="18">
        <f t="shared" si="8"/>
        <v>27</v>
      </c>
      <c r="AI4" s="18">
        <f t="shared" si="8"/>
        <v>28</v>
      </c>
      <c r="AJ4" s="18">
        <f t="shared" si="8"/>
        <v>29</v>
      </c>
      <c r="AK4" s="18">
        <f t="shared" si="8"/>
        <v>30</v>
      </c>
      <c r="AL4" s="18">
        <f t="shared" si="8"/>
        <v>31</v>
      </c>
      <c r="AM4" s="18">
        <f t="shared" si="8"/>
        <v>32</v>
      </c>
      <c r="AN4" s="18">
        <f t="shared" si="8"/>
        <v>33</v>
      </c>
      <c r="AO4" s="18">
        <f t="shared" si="8"/>
        <v>34</v>
      </c>
      <c r="AP4" s="18">
        <f t="shared" si="8"/>
        <v>35</v>
      </c>
      <c r="AQ4" s="18">
        <f t="shared" si="8"/>
        <v>36</v>
      </c>
      <c r="AR4" s="18">
        <f t="shared" si="8"/>
        <v>37</v>
      </c>
      <c r="AS4" s="18">
        <f t="shared" si="8"/>
        <v>38</v>
      </c>
      <c r="AT4" s="18">
        <f t="shared" si="8"/>
        <v>39</v>
      </c>
      <c r="AU4" s="18">
        <f t="shared" si="8"/>
        <v>40</v>
      </c>
      <c r="AV4" s="18">
        <f t="shared" si="8"/>
        <v>41</v>
      </c>
      <c r="AW4" s="18">
        <f t="shared" si="8"/>
        <v>42</v>
      </c>
      <c r="AX4" s="18">
        <f t="shared" si="8"/>
        <v>43</v>
      </c>
      <c r="AY4" s="18">
        <f t="shared" si="8"/>
        <v>44</v>
      </c>
      <c r="AZ4" s="18">
        <f t="shared" si="8"/>
        <v>45</v>
      </c>
      <c r="BA4" s="18">
        <f t="shared" ref="BA4:CF4" si="9">+AZ4+1</f>
        <v>46</v>
      </c>
      <c r="BB4" s="18">
        <f t="shared" si="9"/>
        <v>47</v>
      </c>
      <c r="BC4" s="18">
        <f t="shared" si="9"/>
        <v>48</v>
      </c>
      <c r="BD4" s="18">
        <f t="shared" si="9"/>
        <v>49</v>
      </c>
      <c r="BE4" s="18">
        <f t="shared" si="9"/>
        <v>50</v>
      </c>
      <c r="BF4" s="18">
        <f t="shared" si="9"/>
        <v>51</v>
      </c>
      <c r="BG4" s="18">
        <f t="shared" si="9"/>
        <v>52</v>
      </c>
      <c r="BH4" s="18">
        <f t="shared" si="9"/>
        <v>53</v>
      </c>
      <c r="BI4" s="18">
        <f t="shared" si="9"/>
        <v>54</v>
      </c>
      <c r="BJ4" s="18">
        <f t="shared" si="9"/>
        <v>55</v>
      </c>
      <c r="BK4" s="18">
        <f t="shared" si="9"/>
        <v>56</v>
      </c>
      <c r="BL4" s="18">
        <f t="shared" si="9"/>
        <v>57</v>
      </c>
      <c r="BM4" s="18">
        <f t="shared" si="9"/>
        <v>58</v>
      </c>
      <c r="BN4" s="18">
        <f t="shared" si="9"/>
        <v>59</v>
      </c>
      <c r="BO4" s="18">
        <f t="shared" si="9"/>
        <v>60</v>
      </c>
      <c r="BP4" s="18">
        <f t="shared" si="9"/>
        <v>61</v>
      </c>
      <c r="BQ4" s="18">
        <f t="shared" si="9"/>
        <v>62</v>
      </c>
      <c r="BR4" s="18">
        <f t="shared" si="9"/>
        <v>63</v>
      </c>
      <c r="BS4" s="18">
        <f t="shared" si="9"/>
        <v>64</v>
      </c>
      <c r="BT4" s="18">
        <f t="shared" si="9"/>
        <v>65</v>
      </c>
      <c r="BU4" s="18">
        <f t="shared" si="9"/>
        <v>66</v>
      </c>
      <c r="BV4" s="18">
        <f t="shared" si="9"/>
        <v>67</v>
      </c>
      <c r="BW4" s="18">
        <f t="shared" si="9"/>
        <v>68</v>
      </c>
      <c r="BX4" s="18">
        <f t="shared" si="9"/>
        <v>69</v>
      </c>
      <c r="BY4" s="18">
        <f t="shared" si="9"/>
        <v>70</v>
      </c>
      <c r="BZ4" s="18">
        <f t="shared" si="9"/>
        <v>71</v>
      </c>
      <c r="CA4" s="18">
        <f t="shared" si="9"/>
        <v>72</v>
      </c>
      <c r="CB4" s="18">
        <f t="shared" si="9"/>
        <v>73</v>
      </c>
      <c r="CC4" s="18">
        <f t="shared" si="9"/>
        <v>74</v>
      </c>
      <c r="CD4" s="18">
        <f t="shared" si="9"/>
        <v>75</v>
      </c>
      <c r="CE4" s="18">
        <f t="shared" si="9"/>
        <v>76</v>
      </c>
      <c r="CF4" s="18">
        <f t="shared" si="9"/>
        <v>77</v>
      </c>
      <c r="CG4" s="18">
        <f t="shared" ref="CG4:DL4" si="10">+CF4+1</f>
        <v>78</v>
      </c>
      <c r="CH4" s="18">
        <f t="shared" si="10"/>
        <v>79</v>
      </c>
      <c r="CI4" s="18">
        <f t="shared" si="10"/>
        <v>80</v>
      </c>
      <c r="CJ4" s="18">
        <f t="shared" si="10"/>
        <v>81</v>
      </c>
      <c r="CK4" s="18">
        <f t="shared" si="10"/>
        <v>82</v>
      </c>
      <c r="CL4" s="18">
        <f t="shared" si="10"/>
        <v>83</v>
      </c>
      <c r="CM4" s="18">
        <f t="shared" si="10"/>
        <v>84</v>
      </c>
      <c r="CN4" s="18">
        <f t="shared" si="10"/>
        <v>85</v>
      </c>
      <c r="CO4" s="18">
        <f t="shared" si="10"/>
        <v>86</v>
      </c>
      <c r="CP4" s="18">
        <f t="shared" si="10"/>
        <v>87</v>
      </c>
      <c r="CQ4" s="18">
        <f t="shared" si="10"/>
        <v>88</v>
      </c>
      <c r="CR4" s="18">
        <f t="shared" si="10"/>
        <v>89</v>
      </c>
      <c r="CS4" s="18">
        <f t="shared" si="10"/>
        <v>90</v>
      </c>
      <c r="CT4" s="18">
        <f t="shared" si="10"/>
        <v>91</v>
      </c>
      <c r="CU4" s="18">
        <f t="shared" si="10"/>
        <v>92</v>
      </c>
      <c r="CV4" s="18">
        <f t="shared" si="10"/>
        <v>93</v>
      </c>
      <c r="CW4" s="18">
        <f t="shared" si="10"/>
        <v>94</v>
      </c>
      <c r="CX4" s="18">
        <f t="shared" si="10"/>
        <v>95</v>
      </c>
      <c r="CY4" s="18">
        <f t="shared" si="10"/>
        <v>96</v>
      </c>
      <c r="CZ4" s="18">
        <f t="shared" si="10"/>
        <v>97</v>
      </c>
      <c r="DA4" s="18">
        <f t="shared" si="10"/>
        <v>98</v>
      </c>
      <c r="DB4" s="18">
        <f t="shared" si="10"/>
        <v>99</v>
      </c>
      <c r="DC4" s="18">
        <f t="shared" si="10"/>
        <v>100</v>
      </c>
      <c r="DD4" s="18">
        <f t="shared" si="10"/>
        <v>101</v>
      </c>
      <c r="DE4" s="18">
        <f t="shared" si="10"/>
        <v>102</v>
      </c>
      <c r="DF4" s="18">
        <f t="shared" si="10"/>
        <v>103</v>
      </c>
      <c r="DG4" s="18">
        <f t="shared" si="10"/>
        <v>104</v>
      </c>
      <c r="DH4" s="18">
        <f t="shared" si="10"/>
        <v>105</v>
      </c>
      <c r="DI4" s="18">
        <f t="shared" si="10"/>
        <v>106</v>
      </c>
      <c r="DJ4" s="18">
        <f t="shared" si="10"/>
        <v>107</v>
      </c>
      <c r="DK4" s="18">
        <f t="shared" si="10"/>
        <v>108</v>
      </c>
      <c r="DL4" s="18">
        <f t="shared" si="10"/>
        <v>109</v>
      </c>
      <c r="DM4" s="18">
        <f t="shared" ref="DM4:EI4" si="11">+DL4+1</f>
        <v>110</v>
      </c>
      <c r="DN4" s="18">
        <f t="shared" si="11"/>
        <v>111</v>
      </c>
      <c r="DO4" s="18">
        <f t="shared" si="11"/>
        <v>112</v>
      </c>
      <c r="DP4" s="18">
        <f t="shared" si="11"/>
        <v>113</v>
      </c>
      <c r="DQ4" s="18">
        <f t="shared" si="11"/>
        <v>114</v>
      </c>
      <c r="DR4" s="18">
        <f t="shared" si="11"/>
        <v>115</v>
      </c>
      <c r="DS4" s="18">
        <f t="shared" si="11"/>
        <v>116</v>
      </c>
      <c r="DT4" s="18">
        <f t="shared" si="11"/>
        <v>117</v>
      </c>
      <c r="DU4" s="18">
        <f t="shared" si="11"/>
        <v>118</v>
      </c>
      <c r="DV4" s="18">
        <f t="shared" si="11"/>
        <v>119</v>
      </c>
      <c r="DW4" s="18">
        <f t="shared" si="11"/>
        <v>120</v>
      </c>
      <c r="DX4" s="18">
        <f t="shared" si="11"/>
        <v>121</v>
      </c>
      <c r="DY4" s="18">
        <f t="shared" si="11"/>
        <v>122</v>
      </c>
      <c r="DZ4" s="18">
        <f t="shared" si="11"/>
        <v>123</v>
      </c>
      <c r="EA4" s="18">
        <f t="shared" si="11"/>
        <v>124</v>
      </c>
      <c r="EB4" s="18">
        <f t="shared" si="11"/>
        <v>125</v>
      </c>
      <c r="EC4" s="18">
        <f t="shared" si="11"/>
        <v>126</v>
      </c>
      <c r="ED4" s="18">
        <f t="shared" si="11"/>
        <v>127</v>
      </c>
      <c r="EE4" s="18">
        <f t="shared" si="11"/>
        <v>128</v>
      </c>
      <c r="EF4" s="18">
        <f t="shared" si="11"/>
        <v>129</v>
      </c>
      <c r="EG4" s="18">
        <f t="shared" si="11"/>
        <v>130</v>
      </c>
      <c r="EH4" s="18">
        <f t="shared" si="11"/>
        <v>131</v>
      </c>
      <c r="EI4" s="18">
        <f t="shared" si="11"/>
        <v>132</v>
      </c>
      <c r="EM4" s="1" t="s">
        <v>178</v>
      </c>
    </row>
    <row r="5" spans="2:143" x14ac:dyDescent="0.45">
      <c r="B5" s="24">
        <f t="shared" ref="B5:B10" si="12">SUM(G5:EI5)</f>
        <v>14900000</v>
      </c>
      <c r="D5" s="1" t="s">
        <v>4</v>
      </c>
      <c r="G5" s="24">
        <f>+IF(G4=Assumptions!$G$23,Assumptions!$G$22,0)</f>
        <v>14900000</v>
      </c>
      <c r="H5" s="24">
        <f>+IF(H4=Assumptions!$G$23,Assumptions!$G$22,0)</f>
        <v>0</v>
      </c>
      <c r="I5" s="24">
        <f>+IF(I4=Assumptions!$G$23,Assumptions!$G$22,0)</f>
        <v>0</v>
      </c>
      <c r="J5" s="24">
        <f>+IF(J4=Assumptions!$G$23,Assumptions!$G$22,0)</f>
        <v>0</v>
      </c>
      <c r="K5" s="24">
        <f>+IF(K4=Assumptions!$G$23,Assumptions!$G$22,0)</f>
        <v>0</v>
      </c>
      <c r="L5" s="24">
        <f>+IF(L4=Assumptions!$G$23,Assumptions!$G$22,0)</f>
        <v>0</v>
      </c>
      <c r="M5" s="24">
        <f>+IF(M4=Assumptions!$G$23,Assumptions!$G$22,0)</f>
        <v>0</v>
      </c>
      <c r="N5" s="24">
        <f>+IF(N4=Assumptions!$G$23,Assumptions!$G$22,0)</f>
        <v>0</v>
      </c>
      <c r="O5" s="24">
        <f>+IF(O4=Assumptions!$G$23,Assumptions!$G$22,0)</f>
        <v>0</v>
      </c>
      <c r="P5" s="24">
        <f>+IF(P4=Assumptions!$G$23,Assumptions!$G$22,0)</f>
        <v>0</v>
      </c>
      <c r="Q5" s="24">
        <f>+IF(Q4=Assumptions!$G$23,Assumptions!$G$22,0)</f>
        <v>0</v>
      </c>
      <c r="R5" s="24">
        <f>+IF(R4=Assumptions!$G$23,Assumptions!$G$22,0)</f>
        <v>0</v>
      </c>
      <c r="S5" s="24">
        <f>+IF(S4=Assumptions!$G$23,Assumptions!$G$22,0)</f>
        <v>0</v>
      </c>
      <c r="T5" s="24">
        <f>+IF(T4=Assumptions!$G$23,Assumptions!$G$22,0)</f>
        <v>0</v>
      </c>
      <c r="U5" s="24">
        <f>+IF(U4=Assumptions!$G$23,Assumptions!$G$22,0)</f>
        <v>0</v>
      </c>
      <c r="V5" s="24">
        <f>+IF(V4=Assumptions!$G$23,Assumptions!$G$22,0)</f>
        <v>0</v>
      </c>
      <c r="W5" s="24">
        <f>+IF(W4=Assumptions!$G$23,Assumptions!$G$22,0)</f>
        <v>0</v>
      </c>
      <c r="X5" s="24">
        <f>+IF(X4=Assumptions!$G$23,Assumptions!$G$22,0)</f>
        <v>0</v>
      </c>
      <c r="Y5" s="24">
        <f>+IF(Y4=Assumptions!$G$23,Assumptions!$G$22,0)</f>
        <v>0</v>
      </c>
      <c r="Z5" s="24">
        <f>+IF(Z4=Assumptions!$G$23,Assumptions!$G$22,0)</f>
        <v>0</v>
      </c>
      <c r="AA5" s="24">
        <f>+IF(AA4=Assumptions!$G$23,Assumptions!$G$22,0)</f>
        <v>0</v>
      </c>
      <c r="AB5" s="24">
        <f>+IF(AB4=Assumptions!$G$23,Assumptions!$G$22,0)</f>
        <v>0</v>
      </c>
      <c r="AC5" s="24">
        <f>+IF(AC4=Assumptions!$G$23,Assumptions!$G$22,0)</f>
        <v>0</v>
      </c>
      <c r="AD5" s="24">
        <f>+IF(AD4=Assumptions!$G$23,Assumptions!$G$22,0)</f>
        <v>0</v>
      </c>
      <c r="AE5" s="24">
        <f>+IF(AE4=Assumptions!$G$23,Assumptions!$G$22,0)</f>
        <v>0</v>
      </c>
      <c r="AF5" s="24">
        <f>+IF(AF4=Assumptions!$G$23,Assumptions!$G$22,0)</f>
        <v>0</v>
      </c>
      <c r="AG5" s="24">
        <f>+IF(AG4=Assumptions!$G$23,Assumptions!$G$22,0)</f>
        <v>0</v>
      </c>
      <c r="AH5" s="24">
        <f>+IF(AH4=Assumptions!$G$23,Assumptions!$G$22,0)</f>
        <v>0</v>
      </c>
      <c r="AI5" s="24">
        <f>+IF(AI4=Assumptions!$G$23,Assumptions!$G$22,0)</f>
        <v>0</v>
      </c>
      <c r="AJ5" s="24">
        <f>+IF(AJ4=Assumptions!$G$23,Assumptions!$G$22,0)</f>
        <v>0</v>
      </c>
      <c r="AK5" s="24">
        <f>+IF(AK4=Assumptions!$G$23,Assumptions!$G$22,0)</f>
        <v>0</v>
      </c>
      <c r="AL5" s="24">
        <f>+IF(AL4=Assumptions!$G$23,Assumptions!$G$22,0)</f>
        <v>0</v>
      </c>
      <c r="AM5" s="24">
        <f>+IF(AM4=Assumptions!$G$23,Assumptions!$G$22,0)</f>
        <v>0</v>
      </c>
      <c r="AN5" s="24">
        <f>+IF(AN4=Assumptions!$G$23,Assumptions!$G$22,0)</f>
        <v>0</v>
      </c>
      <c r="AO5" s="24">
        <f>+IF(AO4=Assumptions!$G$23,Assumptions!$G$22,0)</f>
        <v>0</v>
      </c>
      <c r="AP5" s="24">
        <f>+IF(AP4=Assumptions!$G$23,Assumptions!$G$22,0)</f>
        <v>0</v>
      </c>
      <c r="AQ5" s="24">
        <f>+IF(AQ4=Assumptions!$G$23,Assumptions!$G$22,0)</f>
        <v>0</v>
      </c>
      <c r="AR5" s="24">
        <f>+IF(AR4=Assumptions!$G$23,Assumptions!$G$22,0)</f>
        <v>0</v>
      </c>
      <c r="AS5" s="24">
        <f>+IF(AS4=Assumptions!$G$23,Assumptions!$G$22,0)</f>
        <v>0</v>
      </c>
      <c r="AT5" s="24">
        <f>+IF(AT4=Assumptions!$G$23,Assumptions!$G$22,0)</f>
        <v>0</v>
      </c>
      <c r="AU5" s="24">
        <f>+IF(AU4=Assumptions!$G$23,Assumptions!$G$22,0)</f>
        <v>0</v>
      </c>
      <c r="AV5" s="24">
        <f>+IF(AV4=Assumptions!$G$23,Assumptions!$G$22,0)</f>
        <v>0</v>
      </c>
      <c r="AW5" s="24">
        <f>+IF(AW4=Assumptions!$G$23,Assumptions!$G$22,0)</f>
        <v>0</v>
      </c>
      <c r="AX5" s="24">
        <f>+IF(AX4=Assumptions!$G$23,Assumptions!$G$22,0)</f>
        <v>0</v>
      </c>
      <c r="AY5" s="24">
        <f>+IF(AY4=Assumptions!$G$23,Assumptions!$G$22,0)</f>
        <v>0</v>
      </c>
      <c r="AZ5" s="24">
        <f>+IF(AZ4=Assumptions!$G$23,Assumptions!$G$22,0)</f>
        <v>0</v>
      </c>
      <c r="BA5" s="24">
        <f>+IF(BA4=Assumptions!$G$23,Assumptions!$G$22,0)</f>
        <v>0</v>
      </c>
      <c r="BB5" s="24">
        <f>+IF(BB4=Assumptions!$G$23,Assumptions!$G$22,0)</f>
        <v>0</v>
      </c>
      <c r="BC5" s="24">
        <f>+IF(BC4=Assumptions!$G$23,Assumptions!$G$22,0)</f>
        <v>0</v>
      </c>
      <c r="BD5" s="24">
        <f>+IF(BD4=Assumptions!$G$23,Assumptions!$G$22,0)</f>
        <v>0</v>
      </c>
      <c r="BE5" s="24">
        <f>+IF(BE4=Assumptions!$G$23,Assumptions!$G$22,0)</f>
        <v>0</v>
      </c>
      <c r="BF5" s="24">
        <f>+IF(BF4=Assumptions!$G$23,Assumptions!$G$22,0)</f>
        <v>0</v>
      </c>
      <c r="BG5" s="24">
        <f>+IF(BG4=Assumptions!$G$23,Assumptions!$G$22,0)</f>
        <v>0</v>
      </c>
      <c r="BH5" s="24">
        <f>+IF(BH4=Assumptions!$G$23,Assumptions!$G$22,0)</f>
        <v>0</v>
      </c>
      <c r="BI5" s="24">
        <f>+IF(BI4=Assumptions!$G$23,Assumptions!$G$22,0)</f>
        <v>0</v>
      </c>
      <c r="BJ5" s="24">
        <f>+IF(BJ4=Assumptions!$G$23,Assumptions!$G$22,0)</f>
        <v>0</v>
      </c>
      <c r="BK5" s="24">
        <f>+IF(BK4=Assumptions!$G$23,Assumptions!$G$22,0)</f>
        <v>0</v>
      </c>
      <c r="BL5" s="24">
        <f>+IF(BL4=Assumptions!$G$23,Assumptions!$G$22,0)</f>
        <v>0</v>
      </c>
      <c r="BM5" s="24">
        <f>+IF(BM4=Assumptions!$G$23,Assumptions!$G$22,0)</f>
        <v>0</v>
      </c>
      <c r="BN5" s="24">
        <f>+IF(BN4=Assumptions!$G$23,Assumptions!$G$22,0)</f>
        <v>0</v>
      </c>
      <c r="BO5" s="24">
        <f>+IF(BO4=Assumptions!$G$23,Assumptions!$G$22,0)</f>
        <v>0</v>
      </c>
      <c r="BP5" s="24">
        <f>+IF(BP4=Assumptions!$G$23,Assumptions!$G$22,0)</f>
        <v>0</v>
      </c>
      <c r="BQ5" s="24">
        <f>+IF(BQ4=Assumptions!$G$23,Assumptions!$G$22,0)</f>
        <v>0</v>
      </c>
      <c r="BR5" s="24">
        <f>+IF(BR4=Assumptions!$G$23,Assumptions!$G$22,0)</f>
        <v>0</v>
      </c>
      <c r="BS5" s="24">
        <f>+IF(BS4=Assumptions!$G$23,Assumptions!$G$22,0)</f>
        <v>0</v>
      </c>
      <c r="BT5" s="24">
        <f>+IF(BT4=Assumptions!$G$23,Assumptions!$G$22,0)</f>
        <v>0</v>
      </c>
      <c r="BU5" s="24">
        <f>+IF(BU4=Assumptions!$G$23,Assumptions!$G$22,0)</f>
        <v>0</v>
      </c>
      <c r="BV5" s="24">
        <f>+IF(BV4=Assumptions!$G$23,Assumptions!$G$22,0)</f>
        <v>0</v>
      </c>
      <c r="BW5" s="24">
        <f>+IF(BW4=Assumptions!$G$23,Assumptions!$G$22,0)</f>
        <v>0</v>
      </c>
      <c r="BX5" s="24">
        <f>+IF(BX4=Assumptions!$G$23,Assumptions!$G$22,0)</f>
        <v>0</v>
      </c>
      <c r="BY5" s="24">
        <f>+IF(BY4=Assumptions!$G$23,Assumptions!$G$22,0)</f>
        <v>0</v>
      </c>
      <c r="BZ5" s="24">
        <f>+IF(BZ4=Assumptions!$G$23,Assumptions!$G$22,0)</f>
        <v>0</v>
      </c>
      <c r="CA5" s="24">
        <f>+IF(CA4=Assumptions!$G$23,Assumptions!$G$22,0)</f>
        <v>0</v>
      </c>
      <c r="CB5" s="24">
        <f>+IF(CB4=Assumptions!$G$23,Assumptions!$G$22,0)</f>
        <v>0</v>
      </c>
      <c r="CC5" s="24">
        <f>+IF(CC4=Assumptions!$G$23,Assumptions!$G$22,0)</f>
        <v>0</v>
      </c>
      <c r="CD5" s="24">
        <f>+IF(CD4=Assumptions!$G$23,Assumptions!$G$22,0)</f>
        <v>0</v>
      </c>
      <c r="CE5" s="24">
        <f>+IF(CE4=Assumptions!$G$23,Assumptions!$G$22,0)</f>
        <v>0</v>
      </c>
      <c r="CF5" s="24">
        <f>+IF(CF4=Assumptions!$G$23,Assumptions!$G$22,0)</f>
        <v>0</v>
      </c>
      <c r="CG5" s="24">
        <f>+IF(CG4=Assumptions!$G$23,Assumptions!$G$22,0)</f>
        <v>0</v>
      </c>
      <c r="CH5" s="24">
        <f>+IF(CH4=Assumptions!$G$23,Assumptions!$G$22,0)</f>
        <v>0</v>
      </c>
      <c r="CI5" s="24">
        <f>+IF(CI4=Assumptions!$G$23,Assumptions!$G$22,0)</f>
        <v>0</v>
      </c>
      <c r="CJ5" s="24">
        <f>+IF(CJ4=Assumptions!$G$23,Assumptions!$G$22,0)</f>
        <v>0</v>
      </c>
      <c r="CK5" s="24">
        <f>+IF(CK4=Assumptions!$G$23,Assumptions!$G$22,0)</f>
        <v>0</v>
      </c>
      <c r="CL5" s="24">
        <f>+IF(CL4=Assumptions!$G$23,Assumptions!$G$22,0)</f>
        <v>0</v>
      </c>
      <c r="CM5" s="24">
        <f>+IF(CM4=Assumptions!$G$23,Assumptions!$G$22,0)</f>
        <v>0</v>
      </c>
      <c r="CN5" s="24">
        <f>+IF(CN4=Assumptions!$G$23,Assumptions!$G$22,0)</f>
        <v>0</v>
      </c>
      <c r="CO5" s="24">
        <f>+IF(CO4=Assumptions!$G$23,Assumptions!$G$22,0)</f>
        <v>0</v>
      </c>
      <c r="CP5" s="24">
        <f>+IF(CP4=Assumptions!$G$23,Assumptions!$G$22,0)</f>
        <v>0</v>
      </c>
      <c r="CQ5" s="24">
        <f>+IF(CQ4=Assumptions!$G$23,Assumptions!$G$22,0)</f>
        <v>0</v>
      </c>
      <c r="CR5" s="24">
        <f>+IF(CR4=Assumptions!$G$23,Assumptions!$G$22,0)</f>
        <v>0</v>
      </c>
      <c r="CS5" s="24">
        <f>+IF(CS4=Assumptions!$G$23,Assumptions!$G$22,0)</f>
        <v>0</v>
      </c>
      <c r="CT5" s="24">
        <f>+IF(CT4=Assumptions!$G$23,Assumptions!$G$22,0)</f>
        <v>0</v>
      </c>
      <c r="CU5" s="24">
        <f>+IF(CU4=Assumptions!$G$23,Assumptions!$G$22,0)</f>
        <v>0</v>
      </c>
      <c r="CV5" s="24">
        <f>+IF(CV4=Assumptions!$G$23,Assumptions!$G$22,0)</f>
        <v>0</v>
      </c>
      <c r="CW5" s="24">
        <f>+IF(CW4=Assumptions!$G$23,Assumptions!$G$22,0)</f>
        <v>0</v>
      </c>
      <c r="CX5" s="24">
        <f>+IF(CX4=Assumptions!$G$23,Assumptions!$G$22,0)</f>
        <v>0</v>
      </c>
      <c r="CY5" s="24">
        <f>+IF(CY4=Assumptions!$G$23,Assumptions!$G$22,0)</f>
        <v>0</v>
      </c>
      <c r="CZ5" s="24">
        <f>+IF(CZ4=Assumptions!$G$23,Assumptions!$G$22,0)</f>
        <v>0</v>
      </c>
      <c r="DA5" s="24">
        <f>+IF(DA4=Assumptions!$G$23,Assumptions!$G$22,0)</f>
        <v>0</v>
      </c>
      <c r="DB5" s="24">
        <f>+IF(DB4=Assumptions!$G$23,Assumptions!$G$22,0)</f>
        <v>0</v>
      </c>
      <c r="DC5" s="24">
        <f>+IF(DC4=Assumptions!$G$23,Assumptions!$G$22,0)</f>
        <v>0</v>
      </c>
      <c r="DD5" s="24">
        <f>+IF(DD4=Assumptions!$G$23,Assumptions!$G$22,0)</f>
        <v>0</v>
      </c>
      <c r="DE5" s="24">
        <f>+IF(DE4=Assumptions!$G$23,Assumptions!$G$22,0)</f>
        <v>0</v>
      </c>
      <c r="DF5" s="24">
        <f>+IF(DF4=Assumptions!$G$23,Assumptions!$G$22,0)</f>
        <v>0</v>
      </c>
      <c r="DG5" s="24">
        <f>+IF(DG4=Assumptions!$G$23,Assumptions!$G$22,0)</f>
        <v>0</v>
      </c>
      <c r="DH5" s="24">
        <f>+IF(DH4=Assumptions!$G$23,Assumptions!$G$22,0)</f>
        <v>0</v>
      </c>
      <c r="DI5" s="24">
        <f>+IF(DI4=Assumptions!$G$23,Assumptions!$G$22,0)</f>
        <v>0</v>
      </c>
      <c r="DJ5" s="24">
        <f>+IF(DJ4=Assumptions!$G$23,Assumptions!$G$22,0)</f>
        <v>0</v>
      </c>
      <c r="DK5" s="24">
        <f>+IF(DK4=Assumptions!$G$23,Assumptions!$G$22,0)</f>
        <v>0</v>
      </c>
      <c r="DL5" s="24">
        <f>+IF(DL4=Assumptions!$G$23,Assumptions!$G$22,0)</f>
        <v>0</v>
      </c>
      <c r="DM5" s="24">
        <f>+IF(DM4=Assumptions!$G$23,Assumptions!$G$22,0)</f>
        <v>0</v>
      </c>
      <c r="DN5" s="24">
        <f>+IF(DN4=Assumptions!$G$23,Assumptions!$G$22,0)</f>
        <v>0</v>
      </c>
      <c r="DO5" s="24">
        <f>+IF(DO4=Assumptions!$G$23,Assumptions!$G$22,0)</f>
        <v>0</v>
      </c>
      <c r="DP5" s="24">
        <f>+IF(DP4=Assumptions!$G$23,Assumptions!$G$22,0)</f>
        <v>0</v>
      </c>
      <c r="DQ5" s="24">
        <f>+IF(DQ4=Assumptions!$G$23,Assumptions!$G$22,0)</f>
        <v>0</v>
      </c>
      <c r="DR5" s="24">
        <f>+IF(DR4=Assumptions!$G$23,Assumptions!$G$22,0)</f>
        <v>0</v>
      </c>
      <c r="DS5" s="24">
        <f>+IF(DS4=Assumptions!$G$23,Assumptions!$G$22,0)</f>
        <v>0</v>
      </c>
      <c r="DT5" s="24">
        <f>+IF(DT4=Assumptions!$G$23,Assumptions!$G$22,0)</f>
        <v>0</v>
      </c>
      <c r="DU5" s="24">
        <f>+IF(DU4=Assumptions!$G$23,Assumptions!$G$22,0)</f>
        <v>0</v>
      </c>
      <c r="DV5" s="24">
        <f>+IF(DV4=Assumptions!$G$23,Assumptions!$G$22,0)</f>
        <v>0</v>
      </c>
      <c r="DW5" s="24">
        <f>+IF(DW4=Assumptions!$G$23,Assumptions!$G$22,0)</f>
        <v>0</v>
      </c>
      <c r="DX5" s="24">
        <f>+IF(DX4=Assumptions!$G$23,Assumptions!$G$22,0)</f>
        <v>0</v>
      </c>
      <c r="DY5" s="24">
        <f>+IF(DY4=Assumptions!$G$23,Assumptions!$G$22,0)</f>
        <v>0</v>
      </c>
      <c r="DZ5" s="24">
        <f>+IF(DZ4=Assumptions!$G$23,Assumptions!$G$22,0)</f>
        <v>0</v>
      </c>
      <c r="EA5" s="24">
        <f>+IF(EA4=Assumptions!$G$23,Assumptions!$G$22,0)</f>
        <v>0</v>
      </c>
      <c r="EB5" s="24">
        <f>+IF(EB4=Assumptions!$G$23,Assumptions!$G$22,0)</f>
        <v>0</v>
      </c>
      <c r="EC5" s="24">
        <f>+IF(EC4=Assumptions!$G$23,Assumptions!$G$22,0)</f>
        <v>0</v>
      </c>
      <c r="ED5" s="24">
        <f>+IF(ED4=Assumptions!$G$23,Assumptions!$G$22,0)</f>
        <v>0</v>
      </c>
      <c r="EE5" s="24">
        <f>+IF(EE4=Assumptions!$G$23,Assumptions!$G$22,0)</f>
        <v>0</v>
      </c>
      <c r="EF5" s="24">
        <f>+IF(EF4=Assumptions!$G$23,Assumptions!$G$22,0)</f>
        <v>0</v>
      </c>
      <c r="EG5" s="24">
        <f>+IF(EG4=Assumptions!$G$23,Assumptions!$G$22,0)</f>
        <v>0</v>
      </c>
      <c r="EH5" s="24">
        <f>+IF(EH4=Assumptions!$G$23,Assumptions!$G$22,0)</f>
        <v>0</v>
      </c>
      <c r="EI5" s="24">
        <f>+IF(EI4=Assumptions!$G$23,Assumptions!$G$22,0)</f>
        <v>0</v>
      </c>
      <c r="EM5" s="1" t="s">
        <v>178</v>
      </c>
    </row>
    <row r="6" spans="2:143" x14ac:dyDescent="0.45">
      <c r="B6" s="24">
        <f t="shared" si="12"/>
        <v>646260.72389297537</v>
      </c>
      <c r="D6" s="1" t="str">
        <f>+'Closing Costs'!B4</f>
        <v>Closing Costs</v>
      </c>
      <c r="G6" s="24" cm="1">
        <f t="array" ref="G6">INDEX('Closing Costs'!$J$18:$EL$18,,MATCH(Model!G$4,'Closing Costs'!$J$4:$EL$4,0))</f>
        <v>646260.72389297537</v>
      </c>
      <c r="H6" s="24" cm="1">
        <f t="array" ref="H6">INDEX('Closing Costs'!$J$18:$EL$18,,MATCH(Model!H$4,'Closing Costs'!$J$4:$EL$4,0))</f>
        <v>0</v>
      </c>
      <c r="I6" s="24" cm="1">
        <f t="array" ref="I6">INDEX('Closing Costs'!$J$18:$EL$18,,MATCH(Model!I$4,'Closing Costs'!$J$4:$EL$4,0))</f>
        <v>0</v>
      </c>
      <c r="J6" s="24" cm="1">
        <f t="array" ref="J6">INDEX('Closing Costs'!$J$18:$EL$18,,MATCH(Model!J$4,'Closing Costs'!$J$4:$EL$4,0))</f>
        <v>0</v>
      </c>
      <c r="K6" s="24" cm="1">
        <f t="array" ref="K6">INDEX('Closing Costs'!$J$18:$EL$18,,MATCH(Model!K$4,'Closing Costs'!$J$4:$EL$4,0))</f>
        <v>0</v>
      </c>
      <c r="L6" s="24" cm="1">
        <f t="array" ref="L6">INDEX('Closing Costs'!$J$18:$EL$18,,MATCH(Model!L$4,'Closing Costs'!$J$4:$EL$4,0))</f>
        <v>0</v>
      </c>
      <c r="M6" s="24" cm="1">
        <f t="array" ref="M6">INDEX('Closing Costs'!$J$18:$EL$18,,MATCH(Model!M$4,'Closing Costs'!$J$4:$EL$4,0))</f>
        <v>0</v>
      </c>
      <c r="N6" s="24" cm="1">
        <f t="array" ref="N6">INDEX('Closing Costs'!$J$18:$EL$18,,MATCH(Model!N$4,'Closing Costs'!$J$4:$EL$4,0))</f>
        <v>0</v>
      </c>
      <c r="O6" s="24" cm="1">
        <f t="array" ref="O6">INDEX('Closing Costs'!$J$18:$EL$18,,MATCH(Model!O$4,'Closing Costs'!$J$4:$EL$4,0))</f>
        <v>0</v>
      </c>
      <c r="P6" s="24" cm="1">
        <f t="array" ref="P6">INDEX('Closing Costs'!$J$18:$EL$18,,MATCH(Model!P$4,'Closing Costs'!$J$4:$EL$4,0))</f>
        <v>0</v>
      </c>
      <c r="Q6" s="24" cm="1">
        <f t="array" ref="Q6">INDEX('Closing Costs'!$J$18:$EL$18,,MATCH(Model!Q$4,'Closing Costs'!$J$4:$EL$4,0))</f>
        <v>0</v>
      </c>
      <c r="R6" s="24" cm="1">
        <f t="array" ref="R6">INDEX('Closing Costs'!$J$18:$EL$18,,MATCH(Model!R$4,'Closing Costs'!$J$4:$EL$4,0))</f>
        <v>0</v>
      </c>
      <c r="S6" s="24" cm="1">
        <f t="array" ref="S6">INDEX('Closing Costs'!$J$18:$EL$18,,MATCH(Model!S$4,'Closing Costs'!$J$4:$EL$4,0))</f>
        <v>0</v>
      </c>
      <c r="T6" s="24" cm="1">
        <f t="array" ref="T6">INDEX('Closing Costs'!$J$18:$EL$18,,MATCH(Model!T$4,'Closing Costs'!$J$4:$EL$4,0))</f>
        <v>0</v>
      </c>
      <c r="U6" s="24" cm="1">
        <f t="array" ref="U6">INDEX('Closing Costs'!$J$18:$EL$18,,MATCH(Model!U$4,'Closing Costs'!$J$4:$EL$4,0))</f>
        <v>0</v>
      </c>
      <c r="V6" s="24" cm="1">
        <f t="array" ref="V6">INDEX('Closing Costs'!$J$18:$EL$18,,MATCH(Model!V$4,'Closing Costs'!$J$4:$EL$4,0))</f>
        <v>0</v>
      </c>
      <c r="W6" s="24" cm="1">
        <f t="array" ref="W6">INDEX('Closing Costs'!$J$18:$EL$18,,MATCH(Model!W$4,'Closing Costs'!$J$4:$EL$4,0))</f>
        <v>0</v>
      </c>
      <c r="X6" s="24" cm="1">
        <f t="array" ref="X6">INDEX('Closing Costs'!$J$18:$EL$18,,MATCH(Model!X$4,'Closing Costs'!$J$4:$EL$4,0))</f>
        <v>0</v>
      </c>
      <c r="Y6" s="24" cm="1">
        <f t="array" ref="Y6">INDEX('Closing Costs'!$J$18:$EL$18,,MATCH(Model!Y$4,'Closing Costs'!$J$4:$EL$4,0))</f>
        <v>0</v>
      </c>
      <c r="Z6" s="24" cm="1">
        <f t="array" ref="Z6">INDEX('Closing Costs'!$J$18:$EL$18,,MATCH(Model!Z$4,'Closing Costs'!$J$4:$EL$4,0))</f>
        <v>0</v>
      </c>
      <c r="AA6" s="24" cm="1">
        <f t="array" ref="AA6">INDEX('Closing Costs'!$J$18:$EL$18,,MATCH(Model!AA$4,'Closing Costs'!$J$4:$EL$4,0))</f>
        <v>0</v>
      </c>
      <c r="AB6" s="24" cm="1">
        <f t="array" ref="AB6">INDEX('Closing Costs'!$J$18:$EL$18,,MATCH(Model!AB$4,'Closing Costs'!$J$4:$EL$4,0))</f>
        <v>0</v>
      </c>
      <c r="AC6" s="24" cm="1">
        <f t="array" ref="AC6">INDEX('Closing Costs'!$J$18:$EL$18,,MATCH(Model!AC$4,'Closing Costs'!$J$4:$EL$4,0))</f>
        <v>0</v>
      </c>
      <c r="AD6" s="24" cm="1">
        <f t="array" ref="AD6">INDEX('Closing Costs'!$J$18:$EL$18,,MATCH(Model!AD$4,'Closing Costs'!$J$4:$EL$4,0))</f>
        <v>0</v>
      </c>
      <c r="AE6" s="24" cm="1">
        <f t="array" ref="AE6">INDEX('Closing Costs'!$J$18:$EL$18,,MATCH(Model!AE$4,'Closing Costs'!$J$4:$EL$4,0))</f>
        <v>0</v>
      </c>
      <c r="AF6" s="24" cm="1">
        <f t="array" ref="AF6">INDEX('Closing Costs'!$J$18:$EL$18,,MATCH(Model!AF$4,'Closing Costs'!$J$4:$EL$4,0))</f>
        <v>0</v>
      </c>
      <c r="AG6" s="24" cm="1">
        <f t="array" ref="AG6">INDEX('Closing Costs'!$J$18:$EL$18,,MATCH(Model!AG$4,'Closing Costs'!$J$4:$EL$4,0))</f>
        <v>0</v>
      </c>
      <c r="AH6" s="24" cm="1">
        <f t="array" ref="AH6">INDEX('Closing Costs'!$J$18:$EL$18,,MATCH(Model!AH$4,'Closing Costs'!$J$4:$EL$4,0))</f>
        <v>0</v>
      </c>
      <c r="AI6" s="24" cm="1">
        <f t="array" ref="AI6">INDEX('Closing Costs'!$J$18:$EL$18,,MATCH(Model!AI$4,'Closing Costs'!$J$4:$EL$4,0))</f>
        <v>0</v>
      </c>
      <c r="AJ6" s="24" cm="1">
        <f t="array" ref="AJ6">INDEX('Closing Costs'!$J$18:$EL$18,,MATCH(Model!AJ$4,'Closing Costs'!$J$4:$EL$4,0))</f>
        <v>0</v>
      </c>
      <c r="AK6" s="24" cm="1">
        <f t="array" ref="AK6">INDEX('Closing Costs'!$J$18:$EL$18,,MATCH(Model!AK$4,'Closing Costs'!$J$4:$EL$4,0))</f>
        <v>0</v>
      </c>
      <c r="AL6" s="24" cm="1">
        <f t="array" ref="AL6">INDEX('Closing Costs'!$J$18:$EL$18,,MATCH(Model!AL$4,'Closing Costs'!$J$4:$EL$4,0))</f>
        <v>0</v>
      </c>
      <c r="AM6" s="24" cm="1">
        <f t="array" ref="AM6">INDEX('Closing Costs'!$J$18:$EL$18,,MATCH(Model!AM$4,'Closing Costs'!$J$4:$EL$4,0))</f>
        <v>0</v>
      </c>
      <c r="AN6" s="24" cm="1">
        <f t="array" ref="AN6">INDEX('Closing Costs'!$J$18:$EL$18,,MATCH(Model!AN$4,'Closing Costs'!$J$4:$EL$4,0))</f>
        <v>0</v>
      </c>
      <c r="AO6" s="24" cm="1">
        <f t="array" ref="AO6">INDEX('Closing Costs'!$J$18:$EL$18,,MATCH(Model!AO$4,'Closing Costs'!$J$4:$EL$4,0))</f>
        <v>0</v>
      </c>
      <c r="AP6" s="24" cm="1">
        <f t="array" ref="AP6">INDEX('Closing Costs'!$J$18:$EL$18,,MATCH(Model!AP$4,'Closing Costs'!$J$4:$EL$4,0))</f>
        <v>0</v>
      </c>
      <c r="AQ6" s="24" cm="1">
        <f t="array" ref="AQ6">INDEX('Closing Costs'!$J$18:$EL$18,,MATCH(Model!AQ$4,'Closing Costs'!$J$4:$EL$4,0))</f>
        <v>0</v>
      </c>
      <c r="AR6" s="24" cm="1">
        <f t="array" ref="AR6">INDEX('Closing Costs'!$J$18:$EL$18,,MATCH(Model!AR$4,'Closing Costs'!$J$4:$EL$4,0))</f>
        <v>0</v>
      </c>
      <c r="AS6" s="24" cm="1">
        <f t="array" ref="AS6">INDEX('Closing Costs'!$J$18:$EL$18,,MATCH(Model!AS$4,'Closing Costs'!$J$4:$EL$4,0))</f>
        <v>0</v>
      </c>
      <c r="AT6" s="24" cm="1">
        <f t="array" ref="AT6">INDEX('Closing Costs'!$J$18:$EL$18,,MATCH(Model!AT$4,'Closing Costs'!$J$4:$EL$4,0))</f>
        <v>0</v>
      </c>
      <c r="AU6" s="24" cm="1">
        <f t="array" ref="AU6">INDEX('Closing Costs'!$J$18:$EL$18,,MATCH(Model!AU$4,'Closing Costs'!$J$4:$EL$4,0))</f>
        <v>0</v>
      </c>
      <c r="AV6" s="24" cm="1">
        <f t="array" ref="AV6">INDEX('Closing Costs'!$J$18:$EL$18,,MATCH(Model!AV$4,'Closing Costs'!$J$4:$EL$4,0))</f>
        <v>0</v>
      </c>
      <c r="AW6" s="24" cm="1">
        <f t="array" ref="AW6">INDEX('Closing Costs'!$J$18:$EL$18,,MATCH(Model!AW$4,'Closing Costs'!$J$4:$EL$4,0))</f>
        <v>0</v>
      </c>
      <c r="AX6" s="24" cm="1">
        <f t="array" ref="AX6">INDEX('Closing Costs'!$J$18:$EL$18,,MATCH(Model!AX$4,'Closing Costs'!$J$4:$EL$4,0))</f>
        <v>0</v>
      </c>
      <c r="AY6" s="24" cm="1">
        <f t="array" ref="AY6">INDEX('Closing Costs'!$J$18:$EL$18,,MATCH(Model!AY$4,'Closing Costs'!$J$4:$EL$4,0))</f>
        <v>0</v>
      </c>
      <c r="AZ6" s="24" cm="1">
        <f t="array" ref="AZ6">INDEX('Closing Costs'!$J$18:$EL$18,,MATCH(Model!AZ$4,'Closing Costs'!$J$4:$EL$4,0))</f>
        <v>0</v>
      </c>
      <c r="BA6" s="24" cm="1">
        <f t="array" ref="BA6">INDEX('Closing Costs'!$J$18:$EL$18,,MATCH(Model!BA$4,'Closing Costs'!$J$4:$EL$4,0))</f>
        <v>0</v>
      </c>
      <c r="BB6" s="24" cm="1">
        <f t="array" ref="BB6">INDEX('Closing Costs'!$J$18:$EL$18,,MATCH(Model!BB$4,'Closing Costs'!$J$4:$EL$4,0))</f>
        <v>0</v>
      </c>
      <c r="BC6" s="24" cm="1">
        <f t="array" ref="BC6">INDEX('Closing Costs'!$J$18:$EL$18,,MATCH(Model!BC$4,'Closing Costs'!$J$4:$EL$4,0))</f>
        <v>0</v>
      </c>
      <c r="BD6" s="24" cm="1">
        <f t="array" ref="BD6">INDEX('Closing Costs'!$J$18:$EL$18,,MATCH(Model!BD$4,'Closing Costs'!$J$4:$EL$4,0))</f>
        <v>0</v>
      </c>
      <c r="BE6" s="24" cm="1">
        <f t="array" ref="BE6">INDEX('Closing Costs'!$J$18:$EL$18,,MATCH(Model!BE$4,'Closing Costs'!$J$4:$EL$4,0))</f>
        <v>0</v>
      </c>
      <c r="BF6" s="24" cm="1">
        <f t="array" ref="BF6">INDEX('Closing Costs'!$J$18:$EL$18,,MATCH(Model!BF$4,'Closing Costs'!$J$4:$EL$4,0))</f>
        <v>0</v>
      </c>
      <c r="BG6" s="24" cm="1">
        <f t="array" ref="BG6">INDEX('Closing Costs'!$J$18:$EL$18,,MATCH(Model!BG$4,'Closing Costs'!$J$4:$EL$4,0))</f>
        <v>0</v>
      </c>
      <c r="BH6" s="24" cm="1">
        <f t="array" ref="BH6">INDEX('Closing Costs'!$J$18:$EL$18,,MATCH(Model!BH$4,'Closing Costs'!$J$4:$EL$4,0))</f>
        <v>0</v>
      </c>
      <c r="BI6" s="24" cm="1">
        <f t="array" ref="BI6">INDEX('Closing Costs'!$J$18:$EL$18,,MATCH(Model!BI$4,'Closing Costs'!$J$4:$EL$4,0))</f>
        <v>0</v>
      </c>
      <c r="BJ6" s="24" cm="1">
        <f t="array" ref="BJ6">INDEX('Closing Costs'!$J$18:$EL$18,,MATCH(Model!BJ$4,'Closing Costs'!$J$4:$EL$4,0))</f>
        <v>0</v>
      </c>
      <c r="BK6" s="24" cm="1">
        <f t="array" ref="BK6">INDEX('Closing Costs'!$J$18:$EL$18,,MATCH(Model!BK$4,'Closing Costs'!$J$4:$EL$4,0))</f>
        <v>0</v>
      </c>
      <c r="BL6" s="24" cm="1">
        <f t="array" ref="BL6">INDEX('Closing Costs'!$J$18:$EL$18,,MATCH(Model!BL$4,'Closing Costs'!$J$4:$EL$4,0))</f>
        <v>0</v>
      </c>
      <c r="BM6" s="24" cm="1">
        <f t="array" ref="BM6">INDEX('Closing Costs'!$J$18:$EL$18,,MATCH(Model!BM$4,'Closing Costs'!$J$4:$EL$4,0))</f>
        <v>0</v>
      </c>
      <c r="BN6" s="24" cm="1">
        <f t="array" ref="BN6">INDEX('Closing Costs'!$J$18:$EL$18,,MATCH(Model!BN$4,'Closing Costs'!$J$4:$EL$4,0))</f>
        <v>0</v>
      </c>
      <c r="BO6" s="24" cm="1">
        <f t="array" ref="BO6">INDEX('Closing Costs'!$J$18:$EL$18,,MATCH(Model!BO$4,'Closing Costs'!$J$4:$EL$4,0))</f>
        <v>0</v>
      </c>
      <c r="BP6" s="24" cm="1">
        <f t="array" ref="BP6">INDEX('Closing Costs'!$J$18:$EL$18,,MATCH(Model!BP$4,'Closing Costs'!$J$4:$EL$4,0))</f>
        <v>0</v>
      </c>
      <c r="BQ6" s="24" cm="1">
        <f t="array" ref="BQ6">INDEX('Closing Costs'!$J$18:$EL$18,,MATCH(Model!BQ$4,'Closing Costs'!$J$4:$EL$4,0))</f>
        <v>0</v>
      </c>
      <c r="BR6" s="24" cm="1">
        <f t="array" ref="BR6">INDEX('Closing Costs'!$J$18:$EL$18,,MATCH(Model!BR$4,'Closing Costs'!$J$4:$EL$4,0))</f>
        <v>0</v>
      </c>
      <c r="BS6" s="24" cm="1">
        <f t="array" ref="BS6">INDEX('Closing Costs'!$J$18:$EL$18,,MATCH(Model!BS$4,'Closing Costs'!$J$4:$EL$4,0))</f>
        <v>0</v>
      </c>
      <c r="BT6" s="24" cm="1">
        <f t="array" ref="BT6">INDEX('Closing Costs'!$J$18:$EL$18,,MATCH(Model!BT$4,'Closing Costs'!$J$4:$EL$4,0))</f>
        <v>0</v>
      </c>
      <c r="BU6" s="24" cm="1">
        <f t="array" ref="BU6">INDEX('Closing Costs'!$J$18:$EL$18,,MATCH(Model!BU$4,'Closing Costs'!$J$4:$EL$4,0))</f>
        <v>0</v>
      </c>
      <c r="BV6" s="24" cm="1">
        <f t="array" ref="BV6">INDEX('Closing Costs'!$J$18:$EL$18,,MATCH(Model!BV$4,'Closing Costs'!$J$4:$EL$4,0))</f>
        <v>0</v>
      </c>
      <c r="BW6" s="24" cm="1">
        <f t="array" ref="BW6">INDEX('Closing Costs'!$J$18:$EL$18,,MATCH(Model!BW$4,'Closing Costs'!$J$4:$EL$4,0))</f>
        <v>0</v>
      </c>
      <c r="BX6" s="24" cm="1">
        <f t="array" ref="BX6">INDEX('Closing Costs'!$J$18:$EL$18,,MATCH(Model!BX$4,'Closing Costs'!$J$4:$EL$4,0))</f>
        <v>0</v>
      </c>
      <c r="BY6" s="24" cm="1">
        <f t="array" ref="BY6">INDEX('Closing Costs'!$J$18:$EL$18,,MATCH(Model!BY$4,'Closing Costs'!$J$4:$EL$4,0))</f>
        <v>0</v>
      </c>
      <c r="BZ6" s="24" cm="1">
        <f t="array" ref="BZ6">INDEX('Closing Costs'!$J$18:$EL$18,,MATCH(Model!BZ$4,'Closing Costs'!$J$4:$EL$4,0))</f>
        <v>0</v>
      </c>
      <c r="CA6" s="24" cm="1">
        <f t="array" ref="CA6">INDEX('Closing Costs'!$J$18:$EL$18,,MATCH(Model!CA$4,'Closing Costs'!$J$4:$EL$4,0))</f>
        <v>0</v>
      </c>
      <c r="CB6" s="24" cm="1">
        <f t="array" ref="CB6">INDEX('Closing Costs'!$J$18:$EL$18,,MATCH(Model!CB$4,'Closing Costs'!$J$4:$EL$4,0))</f>
        <v>0</v>
      </c>
      <c r="CC6" s="24" cm="1">
        <f t="array" ref="CC6">INDEX('Closing Costs'!$J$18:$EL$18,,MATCH(Model!CC$4,'Closing Costs'!$J$4:$EL$4,0))</f>
        <v>0</v>
      </c>
      <c r="CD6" s="24" cm="1">
        <f t="array" ref="CD6">INDEX('Closing Costs'!$J$18:$EL$18,,MATCH(Model!CD$4,'Closing Costs'!$J$4:$EL$4,0))</f>
        <v>0</v>
      </c>
      <c r="CE6" s="24" cm="1">
        <f t="array" ref="CE6">INDEX('Closing Costs'!$J$18:$EL$18,,MATCH(Model!CE$4,'Closing Costs'!$J$4:$EL$4,0))</f>
        <v>0</v>
      </c>
      <c r="CF6" s="24" cm="1">
        <f t="array" ref="CF6">INDEX('Closing Costs'!$J$18:$EL$18,,MATCH(Model!CF$4,'Closing Costs'!$J$4:$EL$4,0))</f>
        <v>0</v>
      </c>
      <c r="CG6" s="24" cm="1">
        <f t="array" ref="CG6">INDEX('Closing Costs'!$J$18:$EL$18,,MATCH(Model!CG$4,'Closing Costs'!$J$4:$EL$4,0))</f>
        <v>0</v>
      </c>
      <c r="CH6" s="24" cm="1">
        <f t="array" ref="CH6">INDEX('Closing Costs'!$J$18:$EL$18,,MATCH(Model!CH$4,'Closing Costs'!$J$4:$EL$4,0))</f>
        <v>0</v>
      </c>
      <c r="CI6" s="24" cm="1">
        <f t="array" ref="CI6">INDEX('Closing Costs'!$J$18:$EL$18,,MATCH(Model!CI$4,'Closing Costs'!$J$4:$EL$4,0))</f>
        <v>0</v>
      </c>
      <c r="CJ6" s="24" cm="1">
        <f t="array" ref="CJ6">INDEX('Closing Costs'!$J$18:$EL$18,,MATCH(Model!CJ$4,'Closing Costs'!$J$4:$EL$4,0))</f>
        <v>0</v>
      </c>
      <c r="CK6" s="24" cm="1">
        <f t="array" ref="CK6">INDEX('Closing Costs'!$J$18:$EL$18,,MATCH(Model!CK$4,'Closing Costs'!$J$4:$EL$4,0))</f>
        <v>0</v>
      </c>
      <c r="CL6" s="24" cm="1">
        <f t="array" ref="CL6">INDEX('Closing Costs'!$J$18:$EL$18,,MATCH(Model!CL$4,'Closing Costs'!$J$4:$EL$4,0))</f>
        <v>0</v>
      </c>
      <c r="CM6" s="24" cm="1">
        <f t="array" ref="CM6">INDEX('Closing Costs'!$J$18:$EL$18,,MATCH(Model!CM$4,'Closing Costs'!$J$4:$EL$4,0))</f>
        <v>0</v>
      </c>
      <c r="CN6" s="24" cm="1">
        <f t="array" ref="CN6">INDEX('Closing Costs'!$J$18:$EL$18,,MATCH(Model!CN$4,'Closing Costs'!$J$4:$EL$4,0))</f>
        <v>0</v>
      </c>
      <c r="CO6" s="24" cm="1">
        <f t="array" ref="CO6">INDEX('Closing Costs'!$J$18:$EL$18,,MATCH(Model!CO$4,'Closing Costs'!$J$4:$EL$4,0))</f>
        <v>0</v>
      </c>
      <c r="CP6" s="24" cm="1">
        <f t="array" ref="CP6">INDEX('Closing Costs'!$J$18:$EL$18,,MATCH(Model!CP$4,'Closing Costs'!$J$4:$EL$4,0))</f>
        <v>0</v>
      </c>
      <c r="CQ6" s="24" cm="1">
        <f t="array" ref="CQ6">INDEX('Closing Costs'!$J$18:$EL$18,,MATCH(Model!CQ$4,'Closing Costs'!$J$4:$EL$4,0))</f>
        <v>0</v>
      </c>
      <c r="CR6" s="24" cm="1">
        <f t="array" ref="CR6">INDEX('Closing Costs'!$J$18:$EL$18,,MATCH(Model!CR$4,'Closing Costs'!$J$4:$EL$4,0))</f>
        <v>0</v>
      </c>
      <c r="CS6" s="24" cm="1">
        <f t="array" ref="CS6">INDEX('Closing Costs'!$J$18:$EL$18,,MATCH(Model!CS$4,'Closing Costs'!$J$4:$EL$4,0))</f>
        <v>0</v>
      </c>
      <c r="CT6" s="24" cm="1">
        <f t="array" ref="CT6">INDEX('Closing Costs'!$J$18:$EL$18,,MATCH(Model!CT$4,'Closing Costs'!$J$4:$EL$4,0))</f>
        <v>0</v>
      </c>
      <c r="CU6" s="24" cm="1">
        <f t="array" ref="CU6">INDEX('Closing Costs'!$J$18:$EL$18,,MATCH(Model!CU$4,'Closing Costs'!$J$4:$EL$4,0))</f>
        <v>0</v>
      </c>
      <c r="CV6" s="24" cm="1">
        <f t="array" ref="CV6">INDEX('Closing Costs'!$J$18:$EL$18,,MATCH(Model!CV$4,'Closing Costs'!$J$4:$EL$4,0))</f>
        <v>0</v>
      </c>
      <c r="CW6" s="24" cm="1">
        <f t="array" ref="CW6">INDEX('Closing Costs'!$J$18:$EL$18,,MATCH(Model!CW$4,'Closing Costs'!$J$4:$EL$4,0))</f>
        <v>0</v>
      </c>
      <c r="CX6" s="24" cm="1">
        <f t="array" ref="CX6">INDEX('Closing Costs'!$J$18:$EL$18,,MATCH(Model!CX$4,'Closing Costs'!$J$4:$EL$4,0))</f>
        <v>0</v>
      </c>
      <c r="CY6" s="24" cm="1">
        <f t="array" ref="CY6">INDEX('Closing Costs'!$J$18:$EL$18,,MATCH(Model!CY$4,'Closing Costs'!$J$4:$EL$4,0))</f>
        <v>0</v>
      </c>
      <c r="CZ6" s="24" cm="1">
        <f t="array" ref="CZ6">INDEX('Closing Costs'!$J$18:$EL$18,,MATCH(Model!CZ$4,'Closing Costs'!$J$4:$EL$4,0))</f>
        <v>0</v>
      </c>
      <c r="DA6" s="24" cm="1">
        <f t="array" ref="DA6">INDEX('Closing Costs'!$J$18:$EL$18,,MATCH(Model!DA$4,'Closing Costs'!$J$4:$EL$4,0))</f>
        <v>0</v>
      </c>
      <c r="DB6" s="24" cm="1">
        <f t="array" ref="DB6">INDEX('Closing Costs'!$J$18:$EL$18,,MATCH(Model!DB$4,'Closing Costs'!$J$4:$EL$4,0))</f>
        <v>0</v>
      </c>
      <c r="DC6" s="24" cm="1">
        <f t="array" ref="DC6">INDEX('Closing Costs'!$J$18:$EL$18,,MATCH(Model!DC$4,'Closing Costs'!$J$4:$EL$4,0))</f>
        <v>0</v>
      </c>
      <c r="DD6" s="24" cm="1">
        <f t="array" ref="DD6">INDEX('Closing Costs'!$J$18:$EL$18,,MATCH(Model!DD$4,'Closing Costs'!$J$4:$EL$4,0))</f>
        <v>0</v>
      </c>
      <c r="DE6" s="24" cm="1">
        <f t="array" ref="DE6">INDEX('Closing Costs'!$J$18:$EL$18,,MATCH(Model!DE$4,'Closing Costs'!$J$4:$EL$4,0))</f>
        <v>0</v>
      </c>
      <c r="DF6" s="24" cm="1">
        <f t="array" ref="DF6">INDEX('Closing Costs'!$J$18:$EL$18,,MATCH(Model!DF$4,'Closing Costs'!$J$4:$EL$4,0))</f>
        <v>0</v>
      </c>
      <c r="DG6" s="24" cm="1">
        <f t="array" ref="DG6">INDEX('Closing Costs'!$J$18:$EL$18,,MATCH(Model!DG$4,'Closing Costs'!$J$4:$EL$4,0))</f>
        <v>0</v>
      </c>
      <c r="DH6" s="24" cm="1">
        <f t="array" ref="DH6">INDEX('Closing Costs'!$J$18:$EL$18,,MATCH(Model!DH$4,'Closing Costs'!$J$4:$EL$4,0))</f>
        <v>0</v>
      </c>
      <c r="DI6" s="24" cm="1">
        <f t="array" ref="DI6">INDEX('Closing Costs'!$J$18:$EL$18,,MATCH(Model!DI$4,'Closing Costs'!$J$4:$EL$4,0))</f>
        <v>0</v>
      </c>
      <c r="DJ6" s="24" cm="1">
        <f t="array" ref="DJ6">INDEX('Closing Costs'!$J$18:$EL$18,,MATCH(Model!DJ$4,'Closing Costs'!$J$4:$EL$4,0))</f>
        <v>0</v>
      </c>
      <c r="DK6" s="24" cm="1">
        <f t="array" ref="DK6">INDEX('Closing Costs'!$J$18:$EL$18,,MATCH(Model!DK$4,'Closing Costs'!$J$4:$EL$4,0))</f>
        <v>0</v>
      </c>
      <c r="DL6" s="24" cm="1">
        <f t="array" ref="DL6">INDEX('Closing Costs'!$J$18:$EL$18,,MATCH(Model!DL$4,'Closing Costs'!$J$4:$EL$4,0))</f>
        <v>0</v>
      </c>
      <c r="DM6" s="24" cm="1">
        <f t="array" ref="DM6">INDEX('Closing Costs'!$J$18:$EL$18,,MATCH(Model!DM$4,'Closing Costs'!$J$4:$EL$4,0))</f>
        <v>0</v>
      </c>
      <c r="DN6" s="24" cm="1">
        <f t="array" ref="DN6">INDEX('Closing Costs'!$J$18:$EL$18,,MATCH(Model!DN$4,'Closing Costs'!$J$4:$EL$4,0))</f>
        <v>0</v>
      </c>
      <c r="DO6" s="24" cm="1">
        <f t="array" ref="DO6">INDEX('Closing Costs'!$J$18:$EL$18,,MATCH(Model!DO$4,'Closing Costs'!$J$4:$EL$4,0))</f>
        <v>0</v>
      </c>
      <c r="DP6" s="24" cm="1">
        <f t="array" ref="DP6">INDEX('Closing Costs'!$J$18:$EL$18,,MATCH(Model!DP$4,'Closing Costs'!$J$4:$EL$4,0))</f>
        <v>0</v>
      </c>
      <c r="DQ6" s="24" cm="1">
        <f t="array" ref="DQ6">INDEX('Closing Costs'!$J$18:$EL$18,,MATCH(Model!DQ$4,'Closing Costs'!$J$4:$EL$4,0))</f>
        <v>0</v>
      </c>
      <c r="DR6" s="24" cm="1">
        <f t="array" ref="DR6">INDEX('Closing Costs'!$J$18:$EL$18,,MATCH(Model!DR$4,'Closing Costs'!$J$4:$EL$4,0))</f>
        <v>0</v>
      </c>
      <c r="DS6" s="24" cm="1">
        <f t="array" ref="DS6">INDEX('Closing Costs'!$J$18:$EL$18,,MATCH(Model!DS$4,'Closing Costs'!$J$4:$EL$4,0))</f>
        <v>0</v>
      </c>
      <c r="DT6" s="24" cm="1">
        <f t="array" ref="DT6">INDEX('Closing Costs'!$J$18:$EL$18,,MATCH(Model!DT$4,'Closing Costs'!$J$4:$EL$4,0))</f>
        <v>0</v>
      </c>
      <c r="DU6" s="24" cm="1">
        <f t="array" ref="DU6">INDEX('Closing Costs'!$J$18:$EL$18,,MATCH(Model!DU$4,'Closing Costs'!$J$4:$EL$4,0))</f>
        <v>0</v>
      </c>
      <c r="DV6" s="24" cm="1">
        <f t="array" ref="DV6">INDEX('Closing Costs'!$J$18:$EL$18,,MATCH(Model!DV$4,'Closing Costs'!$J$4:$EL$4,0))</f>
        <v>0</v>
      </c>
      <c r="DW6" s="24" cm="1">
        <f t="array" ref="DW6">INDEX('Closing Costs'!$J$18:$EL$18,,MATCH(Model!DW$4,'Closing Costs'!$J$4:$EL$4,0))</f>
        <v>0</v>
      </c>
      <c r="DX6" s="24" cm="1">
        <f t="array" ref="DX6">INDEX('Closing Costs'!$J$18:$EL$18,,MATCH(Model!DX$4,'Closing Costs'!$J$4:$EL$4,0))</f>
        <v>0</v>
      </c>
      <c r="DY6" s="24" cm="1">
        <f t="array" ref="DY6">INDEX('Closing Costs'!$J$18:$EL$18,,MATCH(Model!DY$4,'Closing Costs'!$J$4:$EL$4,0))</f>
        <v>0</v>
      </c>
      <c r="DZ6" s="24" cm="1">
        <f t="array" ref="DZ6">INDEX('Closing Costs'!$J$18:$EL$18,,MATCH(Model!DZ$4,'Closing Costs'!$J$4:$EL$4,0))</f>
        <v>0</v>
      </c>
      <c r="EA6" s="24" cm="1">
        <f t="array" ref="EA6">INDEX('Closing Costs'!$J$18:$EL$18,,MATCH(Model!EA$4,'Closing Costs'!$J$4:$EL$4,0))</f>
        <v>0</v>
      </c>
      <c r="EB6" s="24" cm="1">
        <f t="array" ref="EB6">INDEX('Closing Costs'!$J$18:$EL$18,,MATCH(Model!EB$4,'Closing Costs'!$J$4:$EL$4,0))</f>
        <v>0</v>
      </c>
      <c r="EC6" s="24" cm="1">
        <f t="array" ref="EC6">INDEX('Closing Costs'!$J$18:$EL$18,,MATCH(Model!EC$4,'Closing Costs'!$J$4:$EL$4,0))</f>
        <v>0</v>
      </c>
      <c r="ED6" s="24" cm="1">
        <f t="array" ref="ED6">INDEX('Closing Costs'!$J$18:$EL$18,,MATCH(Model!ED$4,'Closing Costs'!$J$4:$EL$4,0))</f>
        <v>0</v>
      </c>
      <c r="EE6" s="24" cm="1">
        <f t="array" ref="EE6">INDEX('Closing Costs'!$J$18:$EL$18,,MATCH(Model!EE$4,'Closing Costs'!$J$4:$EL$4,0))</f>
        <v>0</v>
      </c>
      <c r="EF6" s="24" cm="1">
        <f t="array" ref="EF6">INDEX('Closing Costs'!$J$18:$EL$18,,MATCH(Model!EF$4,'Closing Costs'!$J$4:$EL$4,0))</f>
        <v>0</v>
      </c>
      <c r="EG6" s="24" cm="1">
        <f t="array" ref="EG6">INDEX('Closing Costs'!$J$18:$EL$18,,MATCH(Model!EG$4,'Closing Costs'!$J$4:$EL$4,0))</f>
        <v>0</v>
      </c>
      <c r="EH6" s="24" cm="1">
        <f t="array" ref="EH6">INDEX('Closing Costs'!$J$18:$EL$18,,MATCH(Model!EH$4,'Closing Costs'!$J$4:$EL$4,0))</f>
        <v>0</v>
      </c>
      <c r="EI6" s="24" cm="1">
        <f t="array" ref="EI6">INDEX('Closing Costs'!$J$18:$EL$18,,MATCH(Model!EI$4,'Closing Costs'!$J$4:$EL$4,0))</f>
        <v>0</v>
      </c>
      <c r="EM6" s="1" t="s">
        <v>178</v>
      </c>
    </row>
    <row r="7" spans="2:143" x14ac:dyDescent="0.45">
      <c r="B7" s="24">
        <f t="shared" si="12"/>
        <v>34650</v>
      </c>
      <c r="D7" s="1" t="str">
        <f>+'Legal and Pre-Dev'!B4</f>
        <v>Legal and Setup Costs</v>
      </c>
      <c r="G7" s="24" cm="1">
        <f t="array" ref="G7">INDEX('Legal and Pre-Dev'!$J$12:$EL$12,,MATCH(Model!G$4,'Legal and Pre-Dev'!$J$4:$EL$4,0))</f>
        <v>34650</v>
      </c>
      <c r="H7" s="24" cm="1">
        <f t="array" ref="H7">INDEX('Legal and Pre-Dev'!$J$12:$EL$12,,MATCH(Model!H$4,'Legal and Pre-Dev'!$J$4:$EL$4,0))</f>
        <v>0</v>
      </c>
      <c r="I7" s="24" cm="1">
        <f t="array" ref="I7">INDEX('Legal and Pre-Dev'!$J$12:$EL$12,,MATCH(Model!I$4,'Legal and Pre-Dev'!$J$4:$EL$4,0))</f>
        <v>0</v>
      </c>
      <c r="J7" s="24" cm="1">
        <f t="array" ref="J7">INDEX('Legal and Pre-Dev'!$J$12:$EL$12,,MATCH(Model!J$4,'Legal and Pre-Dev'!$J$4:$EL$4,0))</f>
        <v>0</v>
      </c>
      <c r="K7" s="24" cm="1">
        <f t="array" ref="K7">INDEX('Legal and Pre-Dev'!$J$12:$EL$12,,MATCH(Model!K$4,'Legal and Pre-Dev'!$J$4:$EL$4,0))</f>
        <v>0</v>
      </c>
      <c r="L7" s="24" cm="1">
        <f t="array" ref="L7">INDEX('Legal and Pre-Dev'!$J$12:$EL$12,,MATCH(Model!L$4,'Legal and Pre-Dev'!$J$4:$EL$4,0))</f>
        <v>0</v>
      </c>
      <c r="M7" s="24" cm="1">
        <f t="array" ref="M7">INDEX('Legal and Pre-Dev'!$J$12:$EL$12,,MATCH(Model!M$4,'Legal and Pre-Dev'!$J$4:$EL$4,0))</f>
        <v>0</v>
      </c>
      <c r="N7" s="24" cm="1">
        <f t="array" ref="N7">INDEX('Legal and Pre-Dev'!$J$12:$EL$12,,MATCH(Model!N$4,'Legal and Pre-Dev'!$J$4:$EL$4,0))</f>
        <v>0</v>
      </c>
      <c r="O7" s="24" cm="1">
        <f t="array" ref="O7">INDEX('Legal and Pre-Dev'!$J$12:$EL$12,,MATCH(Model!O$4,'Legal and Pre-Dev'!$J$4:$EL$4,0))</f>
        <v>0</v>
      </c>
      <c r="P7" s="24" cm="1">
        <f t="array" ref="P7">INDEX('Legal and Pre-Dev'!$J$12:$EL$12,,MATCH(Model!P$4,'Legal and Pre-Dev'!$J$4:$EL$4,0))</f>
        <v>0</v>
      </c>
      <c r="Q7" s="24" cm="1">
        <f t="array" ref="Q7">INDEX('Legal and Pre-Dev'!$J$12:$EL$12,,MATCH(Model!Q$4,'Legal and Pre-Dev'!$J$4:$EL$4,0))</f>
        <v>0</v>
      </c>
      <c r="R7" s="24" cm="1">
        <f t="array" ref="R7">INDEX('Legal and Pre-Dev'!$J$12:$EL$12,,MATCH(Model!R$4,'Legal and Pre-Dev'!$J$4:$EL$4,0))</f>
        <v>0</v>
      </c>
      <c r="S7" s="24" cm="1">
        <f t="array" ref="S7">INDEX('Legal and Pre-Dev'!$J$12:$EL$12,,MATCH(Model!S$4,'Legal and Pre-Dev'!$J$4:$EL$4,0))</f>
        <v>0</v>
      </c>
      <c r="T7" s="24" cm="1">
        <f t="array" ref="T7">INDEX('Legal and Pre-Dev'!$J$12:$EL$12,,MATCH(Model!T$4,'Legal and Pre-Dev'!$J$4:$EL$4,0))</f>
        <v>0</v>
      </c>
      <c r="U7" s="24" cm="1">
        <f t="array" ref="U7">INDEX('Legal and Pre-Dev'!$J$12:$EL$12,,MATCH(Model!U$4,'Legal and Pre-Dev'!$J$4:$EL$4,0))</f>
        <v>0</v>
      </c>
      <c r="V7" s="24" cm="1">
        <f t="array" ref="V7">INDEX('Legal and Pre-Dev'!$J$12:$EL$12,,MATCH(Model!V$4,'Legal and Pre-Dev'!$J$4:$EL$4,0))</f>
        <v>0</v>
      </c>
      <c r="W7" s="24" cm="1">
        <f t="array" ref="W7">INDEX('Legal and Pre-Dev'!$J$12:$EL$12,,MATCH(Model!W$4,'Legal and Pre-Dev'!$J$4:$EL$4,0))</f>
        <v>0</v>
      </c>
      <c r="X7" s="24" cm="1">
        <f t="array" ref="X7">INDEX('Legal and Pre-Dev'!$J$12:$EL$12,,MATCH(Model!X$4,'Legal and Pre-Dev'!$J$4:$EL$4,0))</f>
        <v>0</v>
      </c>
      <c r="Y7" s="24" cm="1">
        <f t="array" ref="Y7">INDEX('Legal and Pre-Dev'!$J$12:$EL$12,,MATCH(Model!Y$4,'Legal and Pre-Dev'!$J$4:$EL$4,0))</f>
        <v>0</v>
      </c>
      <c r="Z7" s="24" cm="1">
        <f t="array" ref="Z7">INDEX('Legal and Pre-Dev'!$J$12:$EL$12,,MATCH(Model!Z$4,'Legal and Pre-Dev'!$J$4:$EL$4,0))</f>
        <v>0</v>
      </c>
      <c r="AA7" s="24" cm="1">
        <f t="array" ref="AA7">INDEX('Legal and Pre-Dev'!$J$12:$EL$12,,MATCH(Model!AA$4,'Legal and Pre-Dev'!$J$4:$EL$4,0))</f>
        <v>0</v>
      </c>
      <c r="AB7" s="24" cm="1">
        <f t="array" ref="AB7">INDEX('Legal and Pre-Dev'!$J$12:$EL$12,,MATCH(Model!AB$4,'Legal and Pre-Dev'!$J$4:$EL$4,0))</f>
        <v>0</v>
      </c>
      <c r="AC7" s="24" cm="1">
        <f t="array" ref="AC7">INDEX('Legal and Pre-Dev'!$J$12:$EL$12,,MATCH(Model!AC$4,'Legal and Pre-Dev'!$J$4:$EL$4,0))</f>
        <v>0</v>
      </c>
      <c r="AD7" s="24" cm="1">
        <f t="array" ref="AD7">INDEX('Legal and Pre-Dev'!$J$12:$EL$12,,MATCH(Model!AD$4,'Legal and Pre-Dev'!$J$4:$EL$4,0))</f>
        <v>0</v>
      </c>
      <c r="AE7" s="24" cm="1">
        <f t="array" ref="AE7">INDEX('Legal and Pre-Dev'!$J$12:$EL$12,,MATCH(Model!AE$4,'Legal and Pre-Dev'!$J$4:$EL$4,0))</f>
        <v>0</v>
      </c>
      <c r="AF7" s="24" cm="1">
        <f t="array" ref="AF7">INDEX('Legal and Pre-Dev'!$J$12:$EL$12,,MATCH(Model!AF$4,'Legal and Pre-Dev'!$J$4:$EL$4,0))</f>
        <v>0</v>
      </c>
      <c r="AG7" s="24" cm="1">
        <f t="array" ref="AG7">INDEX('Legal and Pre-Dev'!$J$12:$EL$12,,MATCH(Model!AG$4,'Legal and Pre-Dev'!$J$4:$EL$4,0))</f>
        <v>0</v>
      </c>
      <c r="AH7" s="24" cm="1">
        <f t="array" ref="AH7">INDEX('Legal and Pre-Dev'!$J$12:$EL$12,,MATCH(Model!AH$4,'Legal and Pre-Dev'!$J$4:$EL$4,0))</f>
        <v>0</v>
      </c>
      <c r="AI7" s="24" cm="1">
        <f t="array" ref="AI7">INDEX('Legal and Pre-Dev'!$J$12:$EL$12,,MATCH(Model!AI$4,'Legal and Pre-Dev'!$J$4:$EL$4,0))</f>
        <v>0</v>
      </c>
      <c r="AJ7" s="24" cm="1">
        <f t="array" ref="AJ7">INDEX('Legal and Pre-Dev'!$J$12:$EL$12,,MATCH(Model!AJ$4,'Legal and Pre-Dev'!$J$4:$EL$4,0))</f>
        <v>0</v>
      </c>
      <c r="AK7" s="24" cm="1">
        <f t="array" ref="AK7">INDEX('Legal and Pre-Dev'!$J$12:$EL$12,,MATCH(Model!AK$4,'Legal and Pre-Dev'!$J$4:$EL$4,0))</f>
        <v>0</v>
      </c>
      <c r="AL7" s="24" cm="1">
        <f t="array" ref="AL7">INDEX('Legal and Pre-Dev'!$J$12:$EL$12,,MATCH(Model!AL$4,'Legal and Pre-Dev'!$J$4:$EL$4,0))</f>
        <v>0</v>
      </c>
      <c r="AM7" s="24" cm="1">
        <f t="array" ref="AM7">INDEX('Legal and Pre-Dev'!$J$12:$EL$12,,MATCH(Model!AM$4,'Legal and Pre-Dev'!$J$4:$EL$4,0))</f>
        <v>0</v>
      </c>
      <c r="AN7" s="24" cm="1">
        <f t="array" ref="AN7">INDEX('Legal and Pre-Dev'!$J$12:$EL$12,,MATCH(Model!AN$4,'Legal and Pre-Dev'!$J$4:$EL$4,0))</f>
        <v>0</v>
      </c>
      <c r="AO7" s="24" cm="1">
        <f t="array" ref="AO7">INDEX('Legal and Pre-Dev'!$J$12:$EL$12,,MATCH(Model!AO$4,'Legal and Pre-Dev'!$J$4:$EL$4,0))</f>
        <v>0</v>
      </c>
      <c r="AP7" s="24" cm="1">
        <f t="array" ref="AP7">INDEX('Legal and Pre-Dev'!$J$12:$EL$12,,MATCH(Model!AP$4,'Legal and Pre-Dev'!$J$4:$EL$4,0))</f>
        <v>0</v>
      </c>
      <c r="AQ7" s="24" cm="1">
        <f t="array" ref="AQ7">INDEX('Legal and Pre-Dev'!$J$12:$EL$12,,MATCH(Model!AQ$4,'Legal and Pre-Dev'!$J$4:$EL$4,0))</f>
        <v>0</v>
      </c>
      <c r="AR7" s="24" cm="1">
        <f t="array" ref="AR7">INDEX('Legal and Pre-Dev'!$J$12:$EL$12,,MATCH(Model!AR$4,'Legal and Pre-Dev'!$J$4:$EL$4,0))</f>
        <v>0</v>
      </c>
      <c r="AS7" s="24" cm="1">
        <f t="array" ref="AS7">INDEX('Legal and Pre-Dev'!$J$12:$EL$12,,MATCH(Model!AS$4,'Legal and Pre-Dev'!$J$4:$EL$4,0))</f>
        <v>0</v>
      </c>
      <c r="AT7" s="24" cm="1">
        <f t="array" ref="AT7">INDEX('Legal and Pre-Dev'!$J$12:$EL$12,,MATCH(Model!AT$4,'Legal and Pre-Dev'!$J$4:$EL$4,0))</f>
        <v>0</v>
      </c>
      <c r="AU7" s="24" cm="1">
        <f t="array" ref="AU7">INDEX('Legal and Pre-Dev'!$J$12:$EL$12,,MATCH(Model!AU$4,'Legal and Pre-Dev'!$J$4:$EL$4,0))</f>
        <v>0</v>
      </c>
      <c r="AV7" s="24" cm="1">
        <f t="array" ref="AV7">INDEX('Legal and Pre-Dev'!$J$12:$EL$12,,MATCH(Model!AV$4,'Legal and Pre-Dev'!$J$4:$EL$4,0))</f>
        <v>0</v>
      </c>
      <c r="AW7" s="24" cm="1">
        <f t="array" ref="AW7">INDEX('Legal and Pre-Dev'!$J$12:$EL$12,,MATCH(Model!AW$4,'Legal and Pre-Dev'!$J$4:$EL$4,0))</f>
        <v>0</v>
      </c>
      <c r="AX7" s="24" cm="1">
        <f t="array" ref="AX7">INDEX('Legal and Pre-Dev'!$J$12:$EL$12,,MATCH(Model!AX$4,'Legal and Pre-Dev'!$J$4:$EL$4,0))</f>
        <v>0</v>
      </c>
      <c r="AY7" s="24" cm="1">
        <f t="array" ref="AY7">INDEX('Legal and Pre-Dev'!$J$12:$EL$12,,MATCH(Model!AY$4,'Legal and Pre-Dev'!$J$4:$EL$4,0))</f>
        <v>0</v>
      </c>
      <c r="AZ7" s="24" cm="1">
        <f t="array" ref="AZ7">INDEX('Legal and Pre-Dev'!$J$12:$EL$12,,MATCH(Model!AZ$4,'Legal and Pre-Dev'!$J$4:$EL$4,0))</f>
        <v>0</v>
      </c>
      <c r="BA7" s="24" cm="1">
        <f t="array" ref="BA7">INDEX('Legal and Pre-Dev'!$J$12:$EL$12,,MATCH(Model!BA$4,'Legal and Pre-Dev'!$J$4:$EL$4,0))</f>
        <v>0</v>
      </c>
      <c r="BB7" s="24" cm="1">
        <f t="array" ref="BB7">INDEX('Legal and Pre-Dev'!$J$12:$EL$12,,MATCH(Model!BB$4,'Legal and Pre-Dev'!$J$4:$EL$4,0))</f>
        <v>0</v>
      </c>
      <c r="BC7" s="24" cm="1">
        <f t="array" ref="BC7">INDEX('Legal and Pre-Dev'!$J$12:$EL$12,,MATCH(Model!BC$4,'Legal and Pre-Dev'!$J$4:$EL$4,0))</f>
        <v>0</v>
      </c>
      <c r="BD7" s="24" cm="1">
        <f t="array" ref="BD7">INDEX('Legal and Pre-Dev'!$J$12:$EL$12,,MATCH(Model!BD$4,'Legal and Pre-Dev'!$J$4:$EL$4,0))</f>
        <v>0</v>
      </c>
      <c r="BE7" s="24" cm="1">
        <f t="array" ref="BE7">INDEX('Legal and Pre-Dev'!$J$12:$EL$12,,MATCH(Model!BE$4,'Legal and Pre-Dev'!$J$4:$EL$4,0))</f>
        <v>0</v>
      </c>
      <c r="BF7" s="24" cm="1">
        <f t="array" ref="BF7">INDEX('Legal and Pre-Dev'!$J$12:$EL$12,,MATCH(Model!BF$4,'Legal and Pre-Dev'!$J$4:$EL$4,0))</f>
        <v>0</v>
      </c>
      <c r="BG7" s="24" cm="1">
        <f t="array" ref="BG7">INDEX('Legal and Pre-Dev'!$J$12:$EL$12,,MATCH(Model!BG$4,'Legal and Pre-Dev'!$J$4:$EL$4,0))</f>
        <v>0</v>
      </c>
      <c r="BH7" s="24" cm="1">
        <f t="array" ref="BH7">INDEX('Legal and Pre-Dev'!$J$12:$EL$12,,MATCH(Model!BH$4,'Legal and Pre-Dev'!$J$4:$EL$4,0))</f>
        <v>0</v>
      </c>
      <c r="BI7" s="24" cm="1">
        <f t="array" ref="BI7">INDEX('Legal and Pre-Dev'!$J$12:$EL$12,,MATCH(Model!BI$4,'Legal and Pre-Dev'!$J$4:$EL$4,0))</f>
        <v>0</v>
      </c>
      <c r="BJ7" s="24" cm="1">
        <f t="array" ref="BJ7">INDEX('Legal and Pre-Dev'!$J$12:$EL$12,,MATCH(Model!BJ$4,'Legal and Pre-Dev'!$J$4:$EL$4,0))</f>
        <v>0</v>
      </c>
      <c r="BK7" s="24" cm="1">
        <f t="array" ref="BK7">INDEX('Legal and Pre-Dev'!$J$12:$EL$12,,MATCH(Model!BK$4,'Legal and Pre-Dev'!$J$4:$EL$4,0))</f>
        <v>0</v>
      </c>
      <c r="BL7" s="24" cm="1">
        <f t="array" ref="BL7">INDEX('Legal and Pre-Dev'!$J$12:$EL$12,,MATCH(Model!BL$4,'Legal and Pre-Dev'!$J$4:$EL$4,0))</f>
        <v>0</v>
      </c>
      <c r="BM7" s="24" cm="1">
        <f t="array" ref="BM7">INDEX('Legal and Pre-Dev'!$J$12:$EL$12,,MATCH(Model!BM$4,'Legal and Pre-Dev'!$J$4:$EL$4,0))</f>
        <v>0</v>
      </c>
      <c r="BN7" s="24" cm="1">
        <f t="array" ref="BN7">INDEX('Legal and Pre-Dev'!$J$12:$EL$12,,MATCH(Model!BN$4,'Legal and Pre-Dev'!$J$4:$EL$4,0))</f>
        <v>0</v>
      </c>
      <c r="BO7" s="24" cm="1">
        <f t="array" ref="BO7">INDEX('Legal and Pre-Dev'!$J$12:$EL$12,,MATCH(Model!BO$4,'Legal and Pre-Dev'!$J$4:$EL$4,0))</f>
        <v>0</v>
      </c>
      <c r="BP7" s="24" cm="1">
        <f t="array" ref="BP7">INDEX('Legal and Pre-Dev'!$J$12:$EL$12,,MATCH(Model!BP$4,'Legal and Pre-Dev'!$J$4:$EL$4,0))</f>
        <v>0</v>
      </c>
      <c r="BQ7" s="24" cm="1">
        <f t="array" ref="BQ7">INDEX('Legal and Pre-Dev'!$J$12:$EL$12,,MATCH(Model!BQ$4,'Legal and Pre-Dev'!$J$4:$EL$4,0))</f>
        <v>0</v>
      </c>
      <c r="BR7" s="24" cm="1">
        <f t="array" ref="BR7">INDEX('Legal and Pre-Dev'!$J$12:$EL$12,,MATCH(Model!BR$4,'Legal and Pre-Dev'!$J$4:$EL$4,0))</f>
        <v>0</v>
      </c>
      <c r="BS7" s="24" cm="1">
        <f t="array" ref="BS7">INDEX('Legal and Pre-Dev'!$J$12:$EL$12,,MATCH(Model!BS$4,'Legal and Pre-Dev'!$J$4:$EL$4,0))</f>
        <v>0</v>
      </c>
      <c r="BT7" s="24" cm="1">
        <f t="array" ref="BT7">INDEX('Legal and Pre-Dev'!$J$12:$EL$12,,MATCH(Model!BT$4,'Legal and Pre-Dev'!$J$4:$EL$4,0))</f>
        <v>0</v>
      </c>
      <c r="BU7" s="24" cm="1">
        <f t="array" ref="BU7">INDEX('Legal and Pre-Dev'!$J$12:$EL$12,,MATCH(Model!BU$4,'Legal and Pre-Dev'!$J$4:$EL$4,0))</f>
        <v>0</v>
      </c>
      <c r="BV7" s="24" cm="1">
        <f t="array" ref="BV7">INDEX('Legal and Pre-Dev'!$J$12:$EL$12,,MATCH(Model!BV$4,'Legal and Pre-Dev'!$J$4:$EL$4,0))</f>
        <v>0</v>
      </c>
      <c r="BW7" s="24" cm="1">
        <f t="array" ref="BW7">INDEX('Legal and Pre-Dev'!$J$12:$EL$12,,MATCH(Model!BW$4,'Legal and Pre-Dev'!$J$4:$EL$4,0))</f>
        <v>0</v>
      </c>
      <c r="BX7" s="24" cm="1">
        <f t="array" ref="BX7">INDEX('Legal and Pre-Dev'!$J$12:$EL$12,,MATCH(Model!BX$4,'Legal and Pre-Dev'!$J$4:$EL$4,0))</f>
        <v>0</v>
      </c>
      <c r="BY7" s="24" cm="1">
        <f t="array" ref="BY7">INDEX('Legal and Pre-Dev'!$J$12:$EL$12,,MATCH(Model!BY$4,'Legal and Pre-Dev'!$J$4:$EL$4,0))</f>
        <v>0</v>
      </c>
      <c r="BZ7" s="24" cm="1">
        <f t="array" ref="BZ7">INDEX('Legal and Pre-Dev'!$J$12:$EL$12,,MATCH(Model!BZ$4,'Legal and Pre-Dev'!$J$4:$EL$4,0))</f>
        <v>0</v>
      </c>
      <c r="CA7" s="24" cm="1">
        <f t="array" ref="CA7">INDEX('Legal and Pre-Dev'!$J$12:$EL$12,,MATCH(Model!CA$4,'Legal and Pre-Dev'!$J$4:$EL$4,0))</f>
        <v>0</v>
      </c>
      <c r="CB7" s="24" cm="1">
        <f t="array" ref="CB7">INDEX('Legal and Pre-Dev'!$J$12:$EL$12,,MATCH(Model!CB$4,'Legal and Pre-Dev'!$J$4:$EL$4,0))</f>
        <v>0</v>
      </c>
      <c r="CC7" s="24" cm="1">
        <f t="array" ref="CC7">INDEX('Legal and Pre-Dev'!$J$12:$EL$12,,MATCH(Model!CC$4,'Legal and Pre-Dev'!$J$4:$EL$4,0))</f>
        <v>0</v>
      </c>
      <c r="CD7" s="24" cm="1">
        <f t="array" ref="CD7">INDEX('Legal and Pre-Dev'!$J$12:$EL$12,,MATCH(Model!CD$4,'Legal and Pre-Dev'!$J$4:$EL$4,0))</f>
        <v>0</v>
      </c>
      <c r="CE7" s="24" cm="1">
        <f t="array" ref="CE7">INDEX('Legal and Pre-Dev'!$J$12:$EL$12,,MATCH(Model!CE$4,'Legal and Pre-Dev'!$J$4:$EL$4,0))</f>
        <v>0</v>
      </c>
      <c r="CF7" s="24" cm="1">
        <f t="array" ref="CF7">INDEX('Legal and Pre-Dev'!$J$12:$EL$12,,MATCH(Model!CF$4,'Legal and Pre-Dev'!$J$4:$EL$4,0))</f>
        <v>0</v>
      </c>
      <c r="CG7" s="24" cm="1">
        <f t="array" ref="CG7">INDEX('Legal and Pre-Dev'!$J$12:$EL$12,,MATCH(Model!CG$4,'Legal and Pre-Dev'!$J$4:$EL$4,0))</f>
        <v>0</v>
      </c>
      <c r="CH7" s="24" cm="1">
        <f t="array" ref="CH7">INDEX('Legal and Pre-Dev'!$J$12:$EL$12,,MATCH(Model!CH$4,'Legal and Pre-Dev'!$J$4:$EL$4,0))</f>
        <v>0</v>
      </c>
      <c r="CI7" s="24" cm="1">
        <f t="array" ref="CI7">INDEX('Legal and Pre-Dev'!$J$12:$EL$12,,MATCH(Model!CI$4,'Legal and Pre-Dev'!$J$4:$EL$4,0))</f>
        <v>0</v>
      </c>
      <c r="CJ7" s="24" cm="1">
        <f t="array" ref="CJ7">INDEX('Legal and Pre-Dev'!$J$12:$EL$12,,MATCH(Model!CJ$4,'Legal and Pre-Dev'!$J$4:$EL$4,0))</f>
        <v>0</v>
      </c>
      <c r="CK7" s="24" cm="1">
        <f t="array" ref="CK7">INDEX('Legal and Pre-Dev'!$J$12:$EL$12,,MATCH(Model!CK$4,'Legal and Pre-Dev'!$J$4:$EL$4,0))</f>
        <v>0</v>
      </c>
      <c r="CL7" s="24" cm="1">
        <f t="array" ref="CL7">INDEX('Legal and Pre-Dev'!$J$12:$EL$12,,MATCH(Model!CL$4,'Legal and Pre-Dev'!$J$4:$EL$4,0))</f>
        <v>0</v>
      </c>
      <c r="CM7" s="24" cm="1">
        <f t="array" ref="CM7">INDEX('Legal and Pre-Dev'!$J$12:$EL$12,,MATCH(Model!CM$4,'Legal and Pre-Dev'!$J$4:$EL$4,0))</f>
        <v>0</v>
      </c>
      <c r="CN7" s="24" cm="1">
        <f t="array" ref="CN7">INDEX('Legal and Pre-Dev'!$J$12:$EL$12,,MATCH(Model!CN$4,'Legal and Pre-Dev'!$J$4:$EL$4,0))</f>
        <v>0</v>
      </c>
      <c r="CO7" s="24" cm="1">
        <f t="array" ref="CO7">INDEX('Legal and Pre-Dev'!$J$12:$EL$12,,MATCH(Model!CO$4,'Legal and Pre-Dev'!$J$4:$EL$4,0))</f>
        <v>0</v>
      </c>
      <c r="CP7" s="24" cm="1">
        <f t="array" ref="CP7">INDEX('Legal and Pre-Dev'!$J$12:$EL$12,,MATCH(Model!CP$4,'Legal and Pre-Dev'!$J$4:$EL$4,0))</f>
        <v>0</v>
      </c>
      <c r="CQ7" s="24" cm="1">
        <f t="array" ref="CQ7">INDEX('Legal and Pre-Dev'!$J$12:$EL$12,,MATCH(Model!CQ$4,'Legal and Pre-Dev'!$J$4:$EL$4,0))</f>
        <v>0</v>
      </c>
      <c r="CR7" s="24" cm="1">
        <f t="array" ref="CR7">INDEX('Legal and Pre-Dev'!$J$12:$EL$12,,MATCH(Model!CR$4,'Legal and Pre-Dev'!$J$4:$EL$4,0))</f>
        <v>0</v>
      </c>
      <c r="CS7" s="24" cm="1">
        <f t="array" ref="CS7">INDEX('Legal and Pre-Dev'!$J$12:$EL$12,,MATCH(Model!CS$4,'Legal and Pre-Dev'!$J$4:$EL$4,0))</f>
        <v>0</v>
      </c>
      <c r="CT7" s="24" cm="1">
        <f t="array" ref="CT7">INDEX('Legal and Pre-Dev'!$J$12:$EL$12,,MATCH(Model!CT$4,'Legal and Pre-Dev'!$J$4:$EL$4,0))</f>
        <v>0</v>
      </c>
      <c r="CU7" s="24" cm="1">
        <f t="array" ref="CU7">INDEX('Legal and Pre-Dev'!$J$12:$EL$12,,MATCH(Model!CU$4,'Legal and Pre-Dev'!$J$4:$EL$4,0))</f>
        <v>0</v>
      </c>
      <c r="CV7" s="24" cm="1">
        <f t="array" ref="CV7">INDEX('Legal and Pre-Dev'!$J$12:$EL$12,,MATCH(Model!CV$4,'Legal and Pre-Dev'!$J$4:$EL$4,0))</f>
        <v>0</v>
      </c>
      <c r="CW7" s="24" cm="1">
        <f t="array" ref="CW7">INDEX('Legal and Pre-Dev'!$J$12:$EL$12,,MATCH(Model!CW$4,'Legal and Pre-Dev'!$J$4:$EL$4,0))</f>
        <v>0</v>
      </c>
      <c r="CX7" s="24" cm="1">
        <f t="array" ref="CX7">INDEX('Legal and Pre-Dev'!$J$12:$EL$12,,MATCH(Model!CX$4,'Legal and Pre-Dev'!$J$4:$EL$4,0))</f>
        <v>0</v>
      </c>
      <c r="CY7" s="24" cm="1">
        <f t="array" ref="CY7">INDEX('Legal and Pre-Dev'!$J$12:$EL$12,,MATCH(Model!CY$4,'Legal and Pre-Dev'!$J$4:$EL$4,0))</f>
        <v>0</v>
      </c>
      <c r="CZ7" s="24" cm="1">
        <f t="array" ref="CZ7">INDEX('Legal and Pre-Dev'!$J$12:$EL$12,,MATCH(Model!CZ$4,'Legal and Pre-Dev'!$J$4:$EL$4,0))</f>
        <v>0</v>
      </c>
      <c r="DA7" s="24" cm="1">
        <f t="array" ref="DA7">INDEX('Legal and Pre-Dev'!$J$12:$EL$12,,MATCH(Model!DA$4,'Legal and Pre-Dev'!$J$4:$EL$4,0))</f>
        <v>0</v>
      </c>
      <c r="DB7" s="24" cm="1">
        <f t="array" ref="DB7">INDEX('Legal and Pre-Dev'!$J$12:$EL$12,,MATCH(Model!DB$4,'Legal and Pre-Dev'!$J$4:$EL$4,0))</f>
        <v>0</v>
      </c>
      <c r="DC7" s="24" cm="1">
        <f t="array" ref="DC7">INDEX('Legal and Pre-Dev'!$J$12:$EL$12,,MATCH(Model!DC$4,'Legal and Pre-Dev'!$J$4:$EL$4,0))</f>
        <v>0</v>
      </c>
      <c r="DD7" s="24" cm="1">
        <f t="array" ref="DD7">INDEX('Legal and Pre-Dev'!$J$12:$EL$12,,MATCH(Model!DD$4,'Legal and Pre-Dev'!$J$4:$EL$4,0))</f>
        <v>0</v>
      </c>
      <c r="DE7" s="24" cm="1">
        <f t="array" ref="DE7">INDEX('Legal and Pre-Dev'!$J$12:$EL$12,,MATCH(Model!DE$4,'Legal and Pre-Dev'!$J$4:$EL$4,0))</f>
        <v>0</v>
      </c>
      <c r="DF7" s="24" cm="1">
        <f t="array" ref="DF7">INDEX('Legal and Pre-Dev'!$J$12:$EL$12,,MATCH(Model!DF$4,'Legal and Pre-Dev'!$J$4:$EL$4,0))</f>
        <v>0</v>
      </c>
      <c r="DG7" s="24" cm="1">
        <f t="array" ref="DG7">INDEX('Legal and Pre-Dev'!$J$12:$EL$12,,MATCH(Model!DG$4,'Legal and Pre-Dev'!$J$4:$EL$4,0))</f>
        <v>0</v>
      </c>
      <c r="DH7" s="24" cm="1">
        <f t="array" ref="DH7">INDEX('Legal and Pre-Dev'!$J$12:$EL$12,,MATCH(Model!DH$4,'Legal and Pre-Dev'!$J$4:$EL$4,0))</f>
        <v>0</v>
      </c>
      <c r="DI7" s="24" cm="1">
        <f t="array" ref="DI7">INDEX('Legal and Pre-Dev'!$J$12:$EL$12,,MATCH(Model!DI$4,'Legal and Pre-Dev'!$J$4:$EL$4,0))</f>
        <v>0</v>
      </c>
      <c r="DJ7" s="24" cm="1">
        <f t="array" ref="DJ7">INDEX('Legal and Pre-Dev'!$J$12:$EL$12,,MATCH(Model!DJ$4,'Legal and Pre-Dev'!$J$4:$EL$4,0))</f>
        <v>0</v>
      </c>
      <c r="DK7" s="24" cm="1">
        <f t="array" ref="DK7">INDEX('Legal and Pre-Dev'!$J$12:$EL$12,,MATCH(Model!DK$4,'Legal and Pre-Dev'!$J$4:$EL$4,0))</f>
        <v>0</v>
      </c>
      <c r="DL7" s="24" cm="1">
        <f t="array" ref="DL7">INDEX('Legal and Pre-Dev'!$J$12:$EL$12,,MATCH(Model!DL$4,'Legal and Pre-Dev'!$J$4:$EL$4,0))</f>
        <v>0</v>
      </c>
      <c r="DM7" s="24" cm="1">
        <f t="array" ref="DM7">INDEX('Legal and Pre-Dev'!$J$12:$EL$12,,MATCH(Model!DM$4,'Legal and Pre-Dev'!$J$4:$EL$4,0))</f>
        <v>0</v>
      </c>
      <c r="DN7" s="24" cm="1">
        <f t="array" ref="DN7">INDEX('Legal and Pre-Dev'!$J$12:$EL$12,,MATCH(Model!DN$4,'Legal and Pre-Dev'!$J$4:$EL$4,0))</f>
        <v>0</v>
      </c>
      <c r="DO7" s="24" cm="1">
        <f t="array" ref="DO7">INDEX('Legal and Pre-Dev'!$J$12:$EL$12,,MATCH(Model!DO$4,'Legal and Pre-Dev'!$J$4:$EL$4,0))</f>
        <v>0</v>
      </c>
      <c r="DP7" s="24" cm="1">
        <f t="array" ref="DP7">INDEX('Legal and Pre-Dev'!$J$12:$EL$12,,MATCH(Model!DP$4,'Legal and Pre-Dev'!$J$4:$EL$4,0))</f>
        <v>0</v>
      </c>
      <c r="DQ7" s="24" cm="1">
        <f t="array" ref="DQ7">INDEX('Legal and Pre-Dev'!$J$12:$EL$12,,MATCH(Model!DQ$4,'Legal and Pre-Dev'!$J$4:$EL$4,0))</f>
        <v>0</v>
      </c>
      <c r="DR7" s="24" cm="1">
        <f t="array" ref="DR7">INDEX('Legal and Pre-Dev'!$J$12:$EL$12,,MATCH(Model!DR$4,'Legal and Pre-Dev'!$J$4:$EL$4,0))</f>
        <v>0</v>
      </c>
      <c r="DS7" s="24" cm="1">
        <f t="array" ref="DS7">INDEX('Legal and Pre-Dev'!$J$12:$EL$12,,MATCH(Model!DS$4,'Legal and Pre-Dev'!$J$4:$EL$4,0))</f>
        <v>0</v>
      </c>
      <c r="DT7" s="24" cm="1">
        <f t="array" ref="DT7">INDEX('Legal and Pre-Dev'!$J$12:$EL$12,,MATCH(Model!DT$4,'Legal and Pre-Dev'!$J$4:$EL$4,0))</f>
        <v>0</v>
      </c>
      <c r="DU7" s="24" cm="1">
        <f t="array" ref="DU7">INDEX('Legal and Pre-Dev'!$J$12:$EL$12,,MATCH(Model!DU$4,'Legal and Pre-Dev'!$J$4:$EL$4,0))</f>
        <v>0</v>
      </c>
      <c r="DV7" s="24" cm="1">
        <f t="array" ref="DV7">INDEX('Legal and Pre-Dev'!$J$12:$EL$12,,MATCH(Model!DV$4,'Legal and Pre-Dev'!$J$4:$EL$4,0))</f>
        <v>0</v>
      </c>
      <c r="DW7" s="24" cm="1">
        <f t="array" ref="DW7">INDEX('Legal and Pre-Dev'!$J$12:$EL$12,,MATCH(Model!DW$4,'Legal and Pre-Dev'!$J$4:$EL$4,0))</f>
        <v>0</v>
      </c>
      <c r="DX7" s="24" cm="1">
        <f t="array" ref="DX7">INDEX('Legal and Pre-Dev'!$J$12:$EL$12,,MATCH(Model!DX$4,'Legal and Pre-Dev'!$J$4:$EL$4,0))</f>
        <v>0</v>
      </c>
      <c r="DY7" s="24" cm="1">
        <f t="array" ref="DY7">INDEX('Legal and Pre-Dev'!$J$12:$EL$12,,MATCH(Model!DY$4,'Legal and Pre-Dev'!$J$4:$EL$4,0))</f>
        <v>0</v>
      </c>
      <c r="DZ7" s="24" cm="1">
        <f t="array" ref="DZ7">INDEX('Legal and Pre-Dev'!$J$12:$EL$12,,MATCH(Model!DZ$4,'Legal and Pre-Dev'!$J$4:$EL$4,0))</f>
        <v>0</v>
      </c>
      <c r="EA7" s="24" cm="1">
        <f t="array" ref="EA7">INDEX('Legal and Pre-Dev'!$J$12:$EL$12,,MATCH(Model!EA$4,'Legal and Pre-Dev'!$J$4:$EL$4,0))</f>
        <v>0</v>
      </c>
      <c r="EB7" s="24" cm="1">
        <f t="array" ref="EB7">INDEX('Legal and Pre-Dev'!$J$12:$EL$12,,MATCH(Model!EB$4,'Legal and Pre-Dev'!$J$4:$EL$4,0))</f>
        <v>0</v>
      </c>
      <c r="EC7" s="24" cm="1">
        <f t="array" ref="EC7">INDEX('Legal and Pre-Dev'!$J$12:$EL$12,,MATCH(Model!EC$4,'Legal and Pre-Dev'!$J$4:$EL$4,0))</f>
        <v>0</v>
      </c>
      <c r="ED7" s="24" cm="1">
        <f t="array" ref="ED7">INDEX('Legal and Pre-Dev'!$J$12:$EL$12,,MATCH(Model!ED$4,'Legal and Pre-Dev'!$J$4:$EL$4,0))</f>
        <v>0</v>
      </c>
      <c r="EE7" s="24" cm="1">
        <f t="array" ref="EE7">INDEX('Legal and Pre-Dev'!$J$12:$EL$12,,MATCH(Model!EE$4,'Legal and Pre-Dev'!$J$4:$EL$4,0))</f>
        <v>0</v>
      </c>
      <c r="EF7" s="24" cm="1">
        <f t="array" ref="EF7">INDEX('Legal and Pre-Dev'!$J$12:$EL$12,,MATCH(Model!EF$4,'Legal and Pre-Dev'!$J$4:$EL$4,0))</f>
        <v>0</v>
      </c>
      <c r="EG7" s="24" cm="1">
        <f t="array" ref="EG7">INDEX('Legal and Pre-Dev'!$J$12:$EL$12,,MATCH(Model!EG$4,'Legal and Pre-Dev'!$J$4:$EL$4,0))</f>
        <v>0</v>
      </c>
      <c r="EH7" s="24" cm="1">
        <f t="array" ref="EH7">INDEX('Legal and Pre-Dev'!$J$12:$EL$12,,MATCH(Model!EH$4,'Legal and Pre-Dev'!$J$4:$EL$4,0))</f>
        <v>0</v>
      </c>
      <c r="EI7" s="24" cm="1">
        <f t="array" ref="EI7">INDEX('Legal and Pre-Dev'!$J$12:$EL$12,,MATCH(Model!EI$4,'Legal and Pre-Dev'!$J$4:$EL$4,0))</f>
        <v>0</v>
      </c>
      <c r="EM7" s="1" t="s">
        <v>178</v>
      </c>
    </row>
    <row r="8" spans="2:143" x14ac:dyDescent="0.45">
      <c r="B8" s="24">
        <f t="shared" si="12"/>
        <v>386152.19856246572</v>
      </c>
      <c r="D8" s="1" t="str">
        <f>+Reserves!B4</f>
        <v>Reserves</v>
      </c>
      <c r="G8" s="24" cm="1">
        <f t="array" ref="G8">INDEX(Reserves!$J$12:$EL$12,,MATCH(Model!G$4,Reserves!$J$4:$EL$4,0))</f>
        <v>119645.55144373335</v>
      </c>
      <c r="H8" s="24" cm="1">
        <f t="array" ref="H8">INDEX(Reserves!$J$12:$EL$12,,MATCH(Model!H$4,Reserves!$J$4:$EL$4,0))</f>
        <v>7012.1788422688423</v>
      </c>
      <c r="I8" s="24" cm="1">
        <f t="array" ref="I8">INDEX(Reserves!$J$12:$EL$12,,MATCH(Model!I$4,Reserves!$J$4:$EL$4,0))</f>
        <v>7012.1788422688423</v>
      </c>
      <c r="J8" s="24" cm="1">
        <f t="array" ref="J8">INDEX(Reserves!$J$12:$EL$12,,MATCH(Model!J$4,Reserves!$J$4:$EL$4,0))</f>
        <v>7012.1788422688423</v>
      </c>
      <c r="K8" s="24" cm="1">
        <f t="array" ref="K8">INDEX(Reserves!$J$12:$EL$12,,MATCH(Model!K$4,Reserves!$J$4:$EL$4,0))</f>
        <v>7012.1788422688423</v>
      </c>
      <c r="L8" s="24" cm="1">
        <f t="array" ref="L8">INDEX(Reserves!$J$12:$EL$12,,MATCH(Model!L$4,Reserves!$J$4:$EL$4,0))</f>
        <v>7012.1788422688423</v>
      </c>
      <c r="M8" s="24" cm="1">
        <f t="array" ref="M8">INDEX(Reserves!$J$12:$EL$12,,MATCH(Model!M$4,Reserves!$J$4:$EL$4,0))</f>
        <v>7012.1788422688423</v>
      </c>
      <c r="N8" s="24" cm="1">
        <f t="array" ref="N8">INDEX(Reserves!$J$12:$EL$12,,MATCH(Model!N$4,Reserves!$J$4:$EL$4,0))</f>
        <v>7012.1788422688423</v>
      </c>
      <c r="O8" s="24" cm="1">
        <f t="array" ref="O8">INDEX(Reserves!$J$12:$EL$12,,MATCH(Model!O$4,Reserves!$J$4:$EL$4,0))</f>
        <v>7012.1788422688423</v>
      </c>
      <c r="P8" s="24" cm="1">
        <f t="array" ref="P8">INDEX(Reserves!$J$12:$EL$12,,MATCH(Model!P$4,Reserves!$J$4:$EL$4,0))</f>
        <v>7012.1788422688423</v>
      </c>
      <c r="Q8" s="24" cm="1">
        <f t="array" ref="Q8">INDEX(Reserves!$J$12:$EL$12,,MATCH(Model!Q$4,Reserves!$J$4:$EL$4,0))</f>
        <v>7012.1788422688423</v>
      </c>
      <c r="R8" s="24" cm="1">
        <f t="array" ref="R8">INDEX(Reserves!$J$12:$EL$12,,MATCH(Model!R$4,Reserves!$J$4:$EL$4,0))</f>
        <v>7012.1788422688423</v>
      </c>
      <c r="S8" s="24" cm="1">
        <f t="array" ref="S8">INDEX(Reserves!$J$12:$EL$12,,MATCH(Model!S$4,Reserves!$J$4:$EL$4,0))</f>
        <v>7012.1788422688423</v>
      </c>
      <c r="T8" s="24" cm="1">
        <f t="array" ref="T8">INDEX(Reserves!$J$12:$EL$12,,MATCH(Model!T$4,Reserves!$J$4:$EL$4,0))</f>
        <v>7012.1788422688423</v>
      </c>
      <c r="U8" s="24" cm="1">
        <f t="array" ref="U8">INDEX(Reserves!$J$12:$EL$12,,MATCH(Model!U$4,Reserves!$J$4:$EL$4,0))</f>
        <v>7012.1788422688423</v>
      </c>
      <c r="V8" s="24" cm="1">
        <f t="array" ref="V8">INDEX(Reserves!$J$12:$EL$12,,MATCH(Model!V$4,Reserves!$J$4:$EL$4,0))</f>
        <v>7012.1788422688423</v>
      </c>
      <c r="W8" s="24" cm="1">
        <f t="array" ref="W8">INDEX(Reserves!$J$12:$EL$12,,MATCH(Model!W$4,Reserves!$J$4:$EL$4,0))</f>
        <v>7012.1788422688423</v>
      </c>
      <c r="X8" s="24" cm="1">
        <f t="array" ref="X8">INDEX(Reserves!$J$12:$EL$12,,MATCH(Model!X$4,Reserves!$J$4:$EL$4,0))</f>
        <v>7012.1788422688423</v>
      </c>
      <c r="Y8" s="24" cm="1">
        <f t="array" ref="Y8">INDEX(Reserves!$J$12:$EL$12,,MATCH(Model!Y$4,Reserves!$J$4:$EL$4,0))</f>
        <v>7012.1788422688423</v>
      </c>
      <c r="Z8" s="24" cm="1">
        <f t="array" ref="Z8">INDEX(Reserves!$J$12:$EL$12,,MATCH(Model!Z$4,Reserves!$J$4:$EL$4,0))</f>
        <v>7012.1788422688423</v>
      </c>
      <c r="AA8" s="24" cm="1">
        <f t="array" ref="AA8">INDEX(Reserves!$J$12:$EL$12,,MATCH(Model!AA$4,Reserves!$J$4:$EL$4,0))</f>
        <v>7012.1788422688423</v>
      </c>
      <c r="AB8" s="24" cm="1">
        <f t="array" ref="AB8">INDEX(Reserves!$J$12:$EL$12,,MATCH(Model!AB$4,Reserves!$J$4:$EL$4,0))</f>
        <v>7012.1788422688423</v>
      </c>
      <c r="AC8" s="24" cm="1">
        <f t="array" ref="AC8">INDEX(Reserves!$J$12:$EL$12,,MATCH(Model!AC$4,Reserves!$J$4:$EL$4,0))</f>
        <v>7012.1788422688423</v>
      </c>
      <c r="AD8" s="24" cm="1">
        <f t="array" ref="AD8">INDEX(Reserves!$J$12:$EL$12,,MATCH(Model!AD$4,Reserves!$J$4:$EL$4,0))</f>
        <v>7012.1788422688423</v>
      </c>
      <c r="AE8" s="24" cm="1">
        <f t="array" ref="AE8">INDEX(Reserves!$J$12:$EL$12,,MATCH(Model!AE$4,Reserves!$J$4:$EL$4,0))</f>
        <v>7012.1788422688423</v>
      </c>
      <c r="AF8" s="24" cm="1">
        <f t="array" ref="AF8">INDEX(Reserves!$J$12:$EL$12,,MATCH(Model!AF$4,Reserves!$J$4:$EL$4,0))</f>
        <v>7012.1788422688423</v>
      </c>
      <c r="AG8" s="24" cm="1">
        <f t="array" ref="AG8">INDEX(Reserves!$J$12:$EL$12,,MATCH(Model!AG$4,Reserves!$J$4:$EL$4,0))</f>
        <v>7012.1788422688423</v>
      </c>
      <c r="AH8" s="24" cm="1">
        <f t="array" ref="AH8">INDEX(Reserves!$J$12:$EL$12,,MATCH(Model!AH$4,Reserves!$J$4:$EL$4,0))</f>
        <v>7012.1788422688423</v>
      </c>
      <c r="AI8" s="24" cm="1">
        <f t="array" ref="AI8">INDEX(Reserves!$J$12:$EL$12,,MATCH(Model!AI$4,Reserves!$J$4:$EL$4,0))</f>
        <v>7012.1788422688423</v>
      </c>
      <c r="AJ8" s="24" cm="1">
        <f t="array" ref="AJ8">INDEX(Reserves!$J$12:$EL$12,,MATCH(Model!AJ$4,Reserves!$J$4:$EL$4,0))</f>
        <v>7012.1788422688423</v>
      </c>
      <c r="AK8" s="24" cm="1">
        <f t="array" ref="AK8">INDEX(Reserves!$J$12:$EL$12,,MATCH(Model!AK$4,Reserves!$J$4:$EL$4,0))</f>
        <v>7012.1788422688423</v>
      </c>
      <c r="AL8" s="24" cm="1">
        <f t="array" ref="AL8">INDEX(Reserves!$J$12:$EL$12,,MATCH(Model!AL$4,Reserves!$J$4:$EL$4,0))</f>
        <v>7012.1788422688423</v>
      </c>
      <c r="AM8" s="24" cm="1">
        <f t="array" ref="AM8">INDEX(Reserves!$J$12:$EL$12,,MATCH(Model!AM$4,Reserves!$J$4:$EL$4,0))</f>
        <v>7012.1788422688423</v>
      </c>
      <c r="AN8" s="24" cm="1">
        <f t="array" ref="AN8">INDEX(Reserves!$J$12:$EL$12,,MATCH(Model!AN$4,Reserves!$J$4:$EL$4,0))</f>
        <v>42116.924166129356</v>
      </c>
      <c r="AO8" s="24" cm="1">
        <f t="array" ref="AO8">INDEX(Reserves!$J$12:$EL$12,,MATCH(Model!AO$4,Reserves!$J$4:$EL$4,0))</f>
        <v>0</v>
      </c>
      <c r="AP8" s="24" cm="1">
        <f t="array" ref="AP8">INDEX(Reserves!$J$12:$EL$12,,MATCH(Model!AP$4,Reserves!$J$4:$EL$4,0))</f>
        <v>0</v>
      </c>
      <c r="AQ8" s="24" cm="1">
        <f t="array" ref="AQ8">INDEX(Reserves!$J$12:$EL$12,,MATCH(Model!AQ$4,Reserves!$J$4:$EL$4,0))</f>
        <v>0</v>
      </c>
      <c r="AR8" s="24" cm="1">
        <f t="array" ref="AR8">INDEX(Reserves!$J$12:$EL$12,,MATCH(Model!AR$4,Reserves!$J$4:$EL$4,0))</f>
        <v>0</v>
      </c>
      <c r="AS8" s="24" cm="1">
        <f t="array" ref="AS8">INDEX(Reserves!$J$12:$EL$12,,MATCH(Model!AS$4,Reserves!$J$4:$EL$4,0))</f>
        <v>0</v>
      </c>
      <c r="AT8" s="24" cm="1">
        <f t="array" ref="AT8">INDEX(Reserves!$J$12:$EL$12,,MATCH(Model!AT$4,Reserves!$J$4:$EL$4,0))</f>
        <v>0</v>
      </c>
      <c r="AU8" s="24" cm="1">
        <f t="array" ref="AU8">INDEX(Reserves!$J$12:$EL$12,,MATCH(Model!AU$4,Reserves!$J$4:$EL$4,0))</f>
        <v>0</v>
      </c>
      <c r="AV8" s="24" cm="1">
        <f t="array" ref="AV8">INDEX(Reserves!$J$12:$EL$12,,MATCH(Model!AV$4,Reserves!$J$4:$EL$4,0))</f>
        <v>0</v>
      </c>
      <c r="AW8" s="24" cm="1">
        <f t="array" ref="AW8">INDEX(Reserves!$J$12:$EL$12,,MATCH(Model!AW$4,Reserves!$J$4:$EL$4,0))</f>
        <v>0</v>
      </c>
      <c r="AX8" s="24" cm="1">
        <f t="array" ref="AX8">INDEX(Reserves!$J$12:$EL$12,,MATCH(Model!AX$4,Reserves!$J$4:$EL$4,0))</f>
        <v>0</v>
      </c>
      <c r="AY8" s="24" cm="1">
        <f t="array" ref="AY8">INDEX(Reserves!$J$12:$EL$12,,MATCH(Model!AY$4,Reserves!$J$4:$EL$4,0))</f>
        <v>0</v>
      </c>
      <c r="AZ8" s="24" cm="1">
        <f t="array" ref="AZ8">INDEX(Reserves!$J$12:$EL$12,,MATCH(Model!AZ$4,Reserves!$J$4:$EL$4,0))</f>
        <v>0</v>
      </c>
      <c r="BA8" s="24" cm="1">
        <f t="array" ref="BA8">INDEX(Reserves!$J$12:$EL$12,,MATCH(Model!BA$4,Reserves!$J$4:$EL$4,0))</f>
        <v>0</v>
      </c>
      <c r="BB8" s="24" cm="1">
        <f t="array" ref="BB8">INDEX(Reserves!$J$12:$EL$12,,MATCH(Model!BB$4,Reserves!$J$4:$EL$4,0))</f>
        <v>0</v>
      </c>
      <c r="BC8" s="24" cm="1">
        <f t="array" ref="BC8">INDEX(Reserves!$J$12:$EL$12,,MATCH(Model!BC$4,Reserves!$J$4:$EL$4,0))</f>
        <v>0</v>
      </c>
      <c r="BD8" s="24" cm="1">
        <f t="array" ref="BD8">INDEX(Reserves!$J$12:$EL$12,,MATCH(Model!BD$4,Reserves!$J$4:$EL$4,0))</f>
        <v>0</v>
      </c>
      <c r="BE8" s="24" cm="1">
        <f t="array" ref="BE8">INDEX(Reserves!$J$12:$EL$12,,MATCH(Model!BE$4,Reserves!$J$4:$EL$4,0))</f>
        <v>0</v>
      </c>
      <c r="BF8" s="24" cm="1">
        <f t="array" ref="BF8">INDEX(Reserves!$J$12:$EL$12,,MATCH(Model!BF$4,Reserves!$J$4:$EL$4,0))</f>
        <v>0</v>
      </c>
      <c r="BG8" s="24" cm="1">
        <f t="array" ref="BG8">INDEX(Reserves!$J$12:$EL$12,,MATCH(Model!BG$4,Reserves!$J$4:$EL$4,0))</f>
        <v>0</v>
      </c>
      <c r="BH8" s="24" cm="1">
        <f t="array" ref="BH8">INDEX(Reserves!$J$12:$EL$12,,MATCH(Model!BH$4,Reserves!$J$4:$EL$4,0))</f>
        <v>0</v>
      </c>
      <c r="BI8" s="24" cm="1">
        <f t="array" ref="BI8">INDEX(Reserves!$J$12:$EL$12,,MATCH(Model!BI$4,Reserves!$J$4:$EL$4,0))</f>
        <v>0</v>
      </c>
      <c r="BJ8" s="24" cm="1">
        <f t="array" ref="BJ8">INDEX(Reserves!$J$12:$EL$12,,MATCH(Model!BJ$4,Reserves!$J$4:$EL$4,0))</f>
        <v>0</v>
      </c>
      <c r="BK8" s="24" cm="1">
        <f t="array" ref="BK8">INDEX(Reserves!$J$12:$EL$12,,MATCH(Model!BK$4,Reserves!$J$4:$EL$4,0))</f>
        <v>0</v>
      </c>
      <c r="BL8" s="24" cm="1">
        <f t="array" ref="BL8">INDEX(Reserves!$J$12:$EL$12,,MATCH(Model!BL$4,Reserves!$J$4:$EL$4,0))</f>
        <v>0</v>
      </c>
      <c r="BM8" s="24" cm="1">
        <f t="array" ref="BM8">INDEX(Reserves!$J$12:$EL$12,,MATCH(Model!BM$4,Reserves!$J$4:$EL$4,0))</f>
        <v>0</v>
      </c>
      <c r="BN8" s="24" cm="1">
        <f t="array" ref="BN8">INDEX(Reserves!$J$12:$EL$12,,MATCH(Model!BN$4,Reserves!$J$4:$EL$4,0))</f>
        <v>0</v>
      </c>
      <c r="BO8" s="24" cm="1">
        <f t="array" ref="BO8">INDEX(Reserves!$J$12:$EL$12,,MATCH(Model!BO$4,Reserves!$J$4:$EL$4,0))</f>
        <v>0</v>
      </c>
      <c r="BP8" s="24" cm="1">
        <f t="array" ref="BP8">INDEX(Reserves!$J$12:$EL$12,,MATCH(Model!BP$4,Reserves!$J$4:$EL$4,0))</f>
        <v>0</v>
      </c>
      <c r="BQ8" s="24" cm="1">
        <f t="array" ref="BQ8">INDEX(Reserves!$J$12:$EL$12,,MATCH(Model!BQ$4,Reserves!$J$4:$EL$4,0))</f>
        <v>0</v>
      </c>
      <c r="BR8" s="24" cm="1">
        <f t="array" ref="BR8">INDEX(Reserves!$J$12:$EL$12,,MATCH(Model!BR$4,Reserves!$J$4:$EL$4,0))</f>
        <v>0</v>
      </c>
      <c r="BS8" s="24" cm="1">
        <f t="array" ref="BS8">INDEX(Reserves!$J$12:$EL$12,,MATCH(Model!BS$4,Reserves!$J$4:$EL$4,0))</f>
        <v>0</v>
      </c>
      <c r="BT8" s="24" cm="1">
        <f t="array" ref="BT8">INDEX(Reserves!$J$12:$EL$12,,MATCH(Model!BT$4,Reserves!$J$4:$EL$4,0))</f>
        <v>0</v>
      </c>
      <c r="BU8" s="24" cm="1">
        <f t="array" ref="BU8">INDEX(Reserves!$J$12:$EL$12,,MATCH(Model!BU$4,Reserves!$J$4:$EL$4,0))</f>
        <v>0</v>
      </c>
      <c r="BV8" s="24" cm="1">
        <f t="array" ref="BV8">INDEX(Reserves!$J$12:$EL$12,,MATCH(Model!BV$4,Reserves!$J$4:$EL$4,0))</f>
        <v>0</v>
      </c>
      <c r="BW8" s="24" cm="1">
        <f t="array" ref="BW8">INDEX(Reserves!$J$12:$EL$12,,MATCH(Model!BW$4,Reserves!$J$4:$EL$4,0))</f>
        <v>0</v>
      </c>
      <c r="BX8" s="24" cm="1">
        <f t="array" ref="BX8">INDEX(Reserves!$J$12:$EL$12,,MATCH(Model!BX$4,Reserves!$J$4:$EL$4,0))</f>
        <v>0</v>
      </c>
      <c r="BY8" s="24" cm="1">
        <f t="array" ref="BY8">INDEX(Reserves!$J$12:$EL$12,,MATCH(Model!BY$4,Reserves!$J$4:$EL$4,0))</f>
        <v>0</v>
      </c>
      <c r="BZ8" s="24" cm="1">
        <f t="array" ref="BZ8">INDEX(Reserves!$J$12:$EL$12,,MATCH(Model!BZ$4,Reserves!$J$4:$EL$4,0))</f>
        <v>0</v>
      </c>
      <c r="CA8" s="24" cm="1">
        <f t="array" ref="CA8">INDEX(Reserves!$J$12:$EL$12,,MATCH(Model!CA$4,Reserves!$J$4:$EL$4,0))</f>
        <v>0</v>
      </c>
      <c r="CB8" s="24" cm="1">
        <f t="array" ref="CB8">INDEX(Reserves!$J$12:$EL$12,,MATCH(Model!CB$4,Reserves!$J$4:$EL$4,0))</f>
        <v>0</v>
      </c>
      <c r="CC8" s="24" cm="1">
        <f t="array" ref="CC8">INDEX(Reserves!$J$12:$EL$12,,MATCH(Model!CC$4,Reserves!$J$4:$EL$4,0))</f>
        <v>0</v>
      </c>
      <c r="CD8" s="24" cm="1">
        <f t="array" ref="CD8">INDEX(Reserves!$J$12:$EL$12,,MATCH(Model!CD$4,Reserves!$J$4:$EL$4,0))</f>
        <v>0</v>
      </c>
      <c r="CE8" s="24" cm="1">
        <f t="array" ref="CE8">INDEX(Reserves!$J$12:$EL$12,,MATCH(Model!CE$4,Reserves!$J$4:$EL$4,0))</f>
        <v>0</v>
      </c>
      <c r="CF8" s="24" cm="1">
        <f t="array" ref="CF8">INDEX(Reserves!$J$12:$EL$12,,MATCH(Model!CF$4,Reserves!$J$4:$EL$4,0))</f>
        <v>0</v>
      </c>
      <c r="CG8" s="24" cm="1">
        <f t="array" ref="CG8">INDEX(Reserves!$J$12:$EL$12,,MATCH(Model!CG$4,Reserves!$J$4:$EL$4,0))</f>
        <v>0</v>
      </c>
      <c r="CH8" s="24" cm="1">
        <f t="array" ref="CH8">INDEX(Reserves!$J$12:$EL$12,,MATCH(Model!CH$4,Reserves!$J$4:$EL$4,0))</f>
        <v>0</v>
      </c>
      <c r="CI8" s="24" cm="1">
        <f t="array" ref="CI8">INDEX(Reserves!$J$12:$EL$12,,MATCH(Model!CI$4,Reserves!$J$4:$EL$4,0))</f>
        <v>0</v>
      </c>
      <c r="CJ8" s="24" cm="1">
        <f t="array" ref="CJ8">INDEX(Reserves!$J$12:$EL$12,,MATCH(Model!CJ$4,Reserves!$J$4:$EL$4,0))</f>
        <v>0</v>
      </c>
      <c r="CK8" s="24" cm="1">
        <f t="array" ref="CK8">INDEX(Reserves!$J$12:$EL$12,,MATCH(Model!CK$4,Reserves!$J$4:$EL$4,0))</f>
        <v>0</v>
      </c>
      <c r="CL8" s="24" cm="1">
        <f t="array" ref="CL8">INDEX(Reserves!$J$12:$EL$12,,MATCH(Model!CL$4,Reserves!$J$4:$EL$4,0))</f>
        <v>0</v>
      </c>
      <c r="CM8" s="24" cm="1">
        <f t="array" ref="CM8">INDEX(Reserves!$J$12:$EL$12,,MATCH(Model!CM$4,Reserves!$J$4:$EL$4,0))</f>
        <v>0</v>
      </c>
      <c r="CN8" s="24" cm="1">
        <f t="array" ref="CN8">INDEX(Reserves!$J$12:$EL$12,,MATCH(Model!CN$4,Reserves!$J$4:$EL$4,0))</f>
        <v>0</v>
      </c>
      <c r="CO8" s="24" cm="1">
        <f t="array" ref="CO8">INDEX(Reserves!$J$12:$EL$12,,MATCH(Model!CO$4,Reserves!$J$4:$EL$4,0))</f>
        <v>0</v>
      </c>
      <c r="CP8" s="24" cm="1">
        <f t="array" ref="CP8">INDEX(Reserves!$J$12:$EL$12,,MATCH(Model!CP$4,Reserves!$J$4:$EL$4,0))</f>
        <v>0</v>
      </c>
      <c r="CQ8" s="24" cm="1">
        <f t="array" ref="CQ8">INDEX(Reserves!$J$12:$EL$12,,MATCH(Model!CQ$4,Reserves!$J$4:$EL$4,0))</f>
        <v>0</v>
      </c>
      <c r="CR8" s="24" cm="1">
        <f t="array" ref="CR8">INDEX(Reserves!$J$12:$EL$12,,MATCH(Model!CR$4,Reserves!$J$4:$EL$4,0))</f>
        <v>0</v>
      </c>
      <c r="CS8" s="24" cm="1">
        <f t="array" ref="CS8">INDEX(Reserves!$J$12:$EL$12,,MATCH(Model!CS$4,Reserves!$J$4:$EL$4,0))</f>
        <v>0</v>
      </c>
      <c r="CT8" s="24" cm="1">
        <f t="array" ref="CT8">INDEX(Reserves!$J$12:$EL$12,,MATCH(Model!CT$4,Reserves!$J$4:$EL$4,0))</f>
        <v>0</v>
      </c>
      <c r="CU8" s="24" cm="1">
        <f t="array" ref="CU8">INDEX(Reserves!$J$12:$EL$12,,MATCH(Model!CU$4,Reserves!$J$4:$EL$4,0))</f>
        <v>0</v>
      </c>
      <c r="CV8" s="24" cm="1">
        <f t="array" ref="CV8">INDEX(Reserves!$J$12:$EL$12,,MATCH(Model!CV$4,Reserves!$J$4:$EL$4,0))</f>
        <v>0</v>
      </c>
      <c r="CW8" s="24" cm="1">
        <f t="array" ref="CW8">INDEX(Reserves!$J$12:$EL$12,,MATCH(Model!CW$4,Reserves!$J$4:$EL$4,0))</f>
        <v>0</v>
      </c>
      <c r="CX8" s="24" cm="1">
        <f t="array" ref="CX8">INDEX(Reserves!$J$12:$EL$12,,MATCH(Model!CX$4,Reserves!$J$4:$EL$4,0))</f>
        <v>0</v>
      </c>
      <c r="CY8" s="24" cm="1">
        <f t="array" ref="CY8">INDEX(Reserves!$J$12:$EL$12,,MATCH(Model!CY$4,Reserves!$J$4:$EL$4,0))</f>
        <v>0</v>
      </c>
      <c r="CZ8" s="24" cm="1">
        <f t="array" ref="CZ8">INDEX(Reserves!$J$12:$EL$12,,MATCH(Model!CZ$4,Reserves!$J$4:$EL$4,0))</f>
        <v>0</v>
      </c>
      <c r="DA8" s="24" cm="1">
        <f t="array" ref="DA8">INDEX(Reserves!$J$12:$EL$12,,MATCH(Model!DA$4,Reserves!$J$4:$EL$4,0))</f>
        <v>0</v>
      </c>
      <c r="DB8" s="24" cm="1">
        <f t="array" ref="DB8">INDEX(Reserves!$J$12:$EL$12,,MATCH(Model!DB$4,Reserves!$J$4:$EL$4,0))</f>
        <v>0</v>
      </c>
      <c r="DC8" s="24" cm="1">
        <f t="array" ref="DC8">INDEX(Reserves!$J$12:$EL$12,,MATCH(Model!DC$4,Reserves!$J$4:$EL$4,0))</f>
        <v>0</v>
      </c>
      <c r="DD8" s="24" cm="1">
        <f t="array" ref="DD8">INDEX(Reserves!$J$12:$EL$12,,MATCH(Model!DD$4,Reserves!$J$4:$EL$4,0))</f>
        <v>0</v>
      </c>
      <c r="DE8" s="24" cm="1">
        <f t="array" ref="DE8">INDEX(Reserves!$J$12:$EL$12,,MATCH(Model!DE$4,Reserves!$J$4:$EL$4,0))</f>
        <v>0</v>
      </c>
      <c r="DF8" s="24" cm="1">
        <f t="array" ref="DF8">INDEX(Reserves!$J$12:$EL$12,,MATCH(Model!DF$4,Reserves!$J$4:$EL$4,0))</f>
        <v>0</v>
      </c>
      <c r="DG8" s="24" cm="1">
        <f t="array" ref="DG8">INDEX(Reserves!$J$12:$EL$12,,MATCH(Model!DG$4,Reserves!$J$4:$EL$4,0))</f>
        <v>0</v>
      </c>
      <c r="DH8" s="24" cm="1">
        <f t="array" ref="DH8">INDEX(Reserves!$J$12:$EL$12,,MATCH(Model!DH$4,Reserves!$J$4:$EL$4,0))</f>
        <v>0</v>
      </c>
      <c r="DI8" s="24" cm="1">
        <f t="array" ref="DI8">INDEX(Reserves!$J$12:$EL$12,,MATCH(Model!DI$4,Reserves!$J$4:$EL$4,0))</f>
        <v>0</v>
      </c>
      <c r="DJ8" s="24" cm="1">
        <f t="array" ref="DJ8">INDEX(Reserves!$J$12:$EL$12,,MATCH(Model!DJ$4,Reserves!$J$4:$EL$4,0))</f>
        <v>0</v>
      </c>
      <c r="DK8" s="24" cm="1">
        <f t="array" ref="DK8">INDEX(Reserves!$J$12:$EL$12,,MATCH(Model!DK$4,Reserves!$J$4:$EL$4,0))</f>
        <v>0</v>
      </c>
      <c r="DL8" s="24" cm="1">
        <f t="array" ref="DL8">INDEX(Reserves!$J$12:$EL$12,,MATCH(Model!DL$4,Reserves!$J$4:$EL$4,0))</f>
        <v>0</v>
      </c>
      <c r="DM8" s="24" cm="1">
        <f t="array" ref="DM8">INDEX(Reserves!$J$12:$EL$12,,MATCH(Model!DM$4,Reserves!$J$4:$EL$4,0))</f>
        <v>0</v>
      </c>
      <c r="DN8" s="24" cm="1">
        <f t="array" ref="DN8">INDEX(Reserves!$J$12:$EL$12,,MATCH(Model!DN$4,Reserves!$J$4:$EL$4,0))</f>
        <v>0</v>
      </c>
      <c r="DO8" s="24" cm="1">
        <f t="array" ref="DO8">INDEX(Reserves!$J$12:$EL$12,,MATCH(Model!DO$4,Reserves!$J$4:$EL$4,0))</f>
        <v>0</v>
      </c>
      <c r="DP8" s="24" cm="1">
        <f t="array" ref="DP8">INDEX(Reserves!$J$12:$EL$12,,MATCH(Model!DP$4,Reserves!$J$4:$EL$4,0))</f>
        <v>0</v>
      </c>
      <c r="DQ8" s="24" cm="1">
        <f t="array" ref="DQ8">INDEX(Reserves!$J$12:$EL$12,,MATCH(Model!DQ$4,Reserves!$J$4:$EL$4,0))</f>
        <v>0</v>
      </c>
      <c r="DR8" s="24" cm="1">
        <f t="array" ref="DR8">INDEX(Reserves!$J$12:$EL$12,,MATCH(Model!DR$4,Reserves!$J$4:$EL$4,0))</f>
        <v>0</v>
      </c>
      <c r="DS8" s="24" cm="1">
        <f t="array" ref="DS8">INDEX(Reserves!$J$12:$EL$12,,MATCH(Model!DS$4,Reserves!$J$4:$EL$4,0))</f>
        <v>0</v>
      </c>
      <c r="DT8" s="24" cm="1">
        <f t="array" ref="DT8">INDEX(Reserves!$J$12:$EL$12,,MATCH(Model!DT$4,Reserves!$J$4:$EL$4,0))</f>
        <v>0</v>
      </c>
      <c r="DU8" s="24" cm="1">
        <f t="array" ref="DU8">INDEX(Reserves!$J$12:$EL$12,,MATCH(Model!DU$4,Reserves!$J$4:$EL$4,0))</f>
        <v>0</v>
      </c>
      <c r="DV8" s="24" cm="1">
        <f t="array" ref="DV8">INDEX(Reserves!$J$12:$EL$12,,MATCH(Model!DV$4,Reserves!$J$4:$EL$4,0))</f>
        <v>0</v>
      </c>
      <c r="DW8" s="24" cm="1">
        <f t="array" ref="DW8">INDEX(Reserves!$J$12:$EL$12,,MATCH(Model!DW$4,Reserves!$J$4:$EL$4,0))</f>
        <v>0</v>
      </c>
      <c r="DX8" s="24" cm="1">
        <f t="array" ref="DX8">INDEX(Reserves!$J$12:$EL$12,,MATCH(Model!DX$4,Reserves!$J$4:$EL$4,0))</f>
        <v>0</v>
      </c>
      <c r="DY8" s="24" cm="1">
        <f t="array" ref="DY8">INDEX(Reserves!$J$12:$EL$12,,MATCH(Model!DY$4,Reserves!$J$4:$EL$4,0))</f>
        <v>0</v>
      </c>
      <c r="DZ8" s="24" cm="1">
        <f t="array" ref="DZ8">INDEX(Reserves!$J$12:$EL$12,,MATCH(Model!DZ$4,Reserves!$J$4:$EL$4,0))</f>
        <v>0</v>
      </c>
      <c r="EA8" s="24" cm="1">
        <f t="array" ref="EA8">INDEX(Reserves!$J$12:$EL$12,,MATCH(Model!EA$4,Reserves!$J$4:$EL$4,0))</f>
        <v>0</v>
      </c>
      <c r="EB8" s="24" cm="1">
        <f t="array" ref="EB8">INDEX(Reserves!$J$12:$EL$12,,MATCH(Model!EB$4,Reserves!$J$4:$EL$4,0))</f>
        <v>0</v>
      </c>
      <c r="EC8" s="24" cm="1">
        <f t="array" ref="EC8">INDEX(Reserves!$J$12:$EL$12,,MATCH(Model!EC$4,Reserves!$J$4:$EL$4,0))</f>
        <v>0</v>
      </c>
      <c r="ED8" s="24" cm="1">
        <f t="array" ref="ED8">INDEX(Reserves!$J$12:$EL$12,,MATCH(Model!ED$4,Reserves!$J$4:$EL$4,0))</f>
        <v>0</v>
      </c>
      <c r="EE8" s="24" cm="1">
        <f t="array" ref="EE8">INDEX(Reserves!$J$12:$EL$12,,MATCH(Model!EE$4,Reserves!$J$4:$EL$4,0))</f>
        <v>0</v>
      </c>
      <c r="EF8" s="24" cm="1">
        <f t="array" ref="EF8">INDEX(Reserves!$J$12:$EL$12,,MATCH(Model!EF$4,Reserves!$J$4:$EL$4,0))</f>
        <v>0</v>
      </c>
      <c r="EG8" s="24" cm="1">
        <f t="array" ref="EG8">INDEX(Reserves!$J$12:$EL$12,,MATCH(Model!EG$4,Reserves!$J$4:$EL$4,0))</f>
        <v>0</v>
      </c>
      <c r="EH8" s="24" cm="1">
        <f t="array" ref="EH8">INDEX(Reserves!$J$12:$EL$12,,MATCH(Model!EH$4,Reserves!$J$4:$EL$4,0))</f>
        <v>0</v>
      </c>
      <c r="EI8" s="24" cm="1">
        <f t="array" ref="EI8">INDEX(Reserves!$J$12:$EL$12,,MATCH(Model!EI$4,Reserves!$J$4:$EL$4,0))</f>
        <v>0</v>
      </c>
      <c r="EM8" s="1" t="s">
        <v>178</v>
      </c>
    </row>
    <row r="9" spans="2:143" x14ac:dyDescent="0.45">
      <c r="B9" s="24">
        <f t="shared" si="12"/>
        <v>596750.00000000012</v>
      </c>
      <c r="D9" s="1" t="str">
        <f>+'Hard Costs'!B4</f>
        <v>Hard Costs</v>
      </c>
      <c r="G9" s="24" cm="1">
        <f t="array" ref="G9">INDEX('Hard Costs'!$J$17:$EL$17,,MATCH(Model!G$4,'Hard Costs'!$J$4:$EL$4,0))</f>
        <v>70000</v>
      </c>
      <c r="H9" s="24" cm="1">
        <f t="array" ref="H9">INDEX('Hard Costs'!$J$17:$EL$17,,MATCH(Model!H$4,'Hard Costs'!$J$4:$EL$4,0))</f>
        <v>0</v>
      </c>
      <c r="I9" s="24" cm="1">
        <f t="array" ref="I9">INDEX('Hard Costs'!$J$17:$EL$17,,MATCH(Model!I$4,'Hard Costs'!$J$4:$EL$4,0))</f>
        <v>16217.391304347828</v>
      </c>
      <c r="J9" s="24" cm="1">
        <f t="array" ref="J9">INDEX('Hard Costs'!$J$17:$EL$17,,MATCH(Model!J$4,'Hard Costs'!$J$4:$EL$4,0))</f>
        <v>16217.391304347828</v>
      </c>
      <c r="K9" s="24" cm="1">
        <f t="array" ref="K9">INDEX('Hard Costs'!$J$17:$EL$17,,MATCH(Model!K$4,'Hard Costs'!$J$4:$EL$4,0))</f>
        <v>16217.391304347828</v>
      </c>
      <c r="L9" s="24" cm="1">
        <f t="array" ref="L9">INDEX('Hard Costs'!$J$17:$EL$17,,MATCH(Model!L$4,'Hard Costs'!$J$4:$EL$4,0))</f>
        <v>77467.391304347824</v>
      </c>
      <c r="M9" s="24" cm="1">
        <f t="array" ref="M9">INDEX('Hard Costs'!$J$17:$EL$17,,MATCH(Model!M$4,'Hard Costs'!$J$4:$EL$4,0))</f>
        <v>47467.391304347831</v>
      </c>
      <c r="N9" s="24" cm="1">
        <f t="array" ref="N9">INDEX('Hard Costs'!$J$17:$EL$17,,MATCH(Model!N$4,'Hard Costs'!$J$4:$EL$4,0))</f>
        <v>16217.391304347828</v>
      </c>
      <c r="O9" s="24" cm="1">
        <f t="array" ref="O9">INDEX('Hard Costs'!$J$17:$EL$17,,MATCH(Model!O$4,'Hard Costs'!$J$4:$EL$4,0))</f>
        <v>16217.391304347828</v>
      </c>
      <c r="P9" s="24" cm="1">
        <f t="array" ref="P9">INDEX('Hard Costs'!$J$17:$EL$17,,MATCH(Model!P$4,'Hard Costs'!$J$4:$EL$4,0))</f>
        <v>16217.391304347828</v>
      </c>
      <c r="Q9" s="24" cm="1">
        <f t="array" ref="Q9">INDEX('Hard Costs'!$J$17:$EL$17,,MATCH(Model!Q$4,'Hard Costs'!$J$4:$EL$4,0))</f>
        <v>36217.391304347824</v>
      </c>
      <c r="R9" s="24" cm="1">
        <f t="array" ref="R9">INDEX('Hard Costs'!$J$17:$EL$17,,MATCH(Model!R$4,'Hard Costs'!$J$4:$EL$4,0))</f>
        <v>16217.391304347828</v>
      </c>
      <c r="S9" s="24" cm="1">
        <f t="array" ref="S9">INDEX('Hard Costs'!$J$17:$EL$17,,MATCH(Model!S$4,'Hard Costs'!$J$4:$EL$4,0))</f>
        <v>15217.391304347828</v>
      </c>
      <c r="T9" s="24" cm="1">
        <f t="array" ref="T9">INDEX('Hard Costs'!$J$17:$EL$17,,MATCH(Model!T$4,'Hard Costs'!$J$4:$EL$4,0))</f>
        <v>15217.391304347828</v>
      </c>
      <c r="U9" s="24" cm="1">
        <f t="array" ref="U9">INDEX('Hard Costs'!$J$17:$EL$17,,MATCH(Model!U$4,'Hard Costs'!$J$4:$EL$4,0))</f>
        <v>15217.391304347828</v>
      </c>
      <c r="V9" s="24" cm="1">
        <f t="array" ref="V9">INDEX('Hard Costs'!$J$17:$EL$17,,MATCH(Model!V$4,'Hard Costs'!$J$4:$EL$4,0))</f>
        <v>15217.391304347828</v>
      </c>
      <c r="W9" s="24" cm="1">
        <f t="array" ref="W9">INDEX('Hard Costs'!$J$17:$EL$17,,MATCH(Model!W$4,'Hard Costs'!$J$4:$EL$4,0))</f>
        <v>15217.391304347828</v>
      </c>
      <c r="X9" s="24" cm="1">
        <f t="array" ref="X9">INDEX('Hard Costs'!$J$17:$EL$17,,MATCH(Model!X$4,'Hard Costs'!$J$4:$EL$4,0))</f>
        <v>15217.391304347828</v>
      </c>
      <c r="Y9" s="24" cm="1">
        <f t="array" ref="Y9">INDEX('Hard Costs'!$J$17:$EL$17,,MATCH(Model!Y$4,'Hard Costs'!$J$4:$EL$4,0))</f>
        <v>15217.391304347828</v>
      </c>
      <c r="Z9" s="24" cm="1">
        <f t="array" ref="Z9">INDEX('Hard Costs'!$J$17:$EL$17,,MATCH(Model!Z$4,'Hard Costs'!$J$4:$EL$4,0))</f>
        <v>15217.391304347828</v>
      </c>
      <c r="AA9" s="24" cm="1">
        <f t="array" ref="AA9">INDEX('Hard Costs'!$J$17:$EL$17,,MATCH(Model!AA$4,'Hard Costs'!$J$4:$EL$4,0))</f>
        <v>15217.391304347828</v>
      </c>
      <c r="AB9" s="24" cm="1">
        <f t="array" ref="AB9">INDEX('Hard Costs'!$J$17:$EL$17,,MATCH(Model!AB$4,'Hard Costs'!$J$4:$EL$4,0))</f>
        <v>15217.391304347828</v>
      </c>
      <c r="AC9" s="24" cm="1">
        <f t="array" ref="AC9">INDEX('Hard Costs'!$J$17:$EL$17,,MATCH(Model!AC$4,'Hard Costs'!$J$4:$EL$4,0))</f>
        <v>15217.391304347828</v>
      </c>
      <c r="AD9" s="24" cm="1">
        <f t="array" ref="AD9">INDEX('Hard Costs'!$J$17:$EL$17,,MATCH(Model!AD$4,'Hard Costs'!$J$4:$EL$4,0))</f>
        <v>15217.391304347828</v>
      </c>
      <c r="AE9" s="24" cm="1">
        <f t="array" ref="AE9">INDEX('Hard Costs'!$J$17:$EL$17,,MATCH(Model!AE$4,'Hard Costs'!$J$4:$EL$4,0))</f>
        <v>69467.391304347824</v>
      </c>
      <c r="AF9" s="24" cm="1">
        <f t="array" ref="AF9">INDEX('Hard Costs'!$J$17:$EL$17,,MATCH(Model!AF$4,'Hard Costs'!$J$4:$EL$4,0))</f>
        <v>0</v>
      </c>
      <c r="AG9" s="24" cm="1">
        <f t="array" ref="AG9">INDEX('Hard Costs'!$J$17:$EL$17,,MATCH(Model!AG$4,'Hard Costs'!$J$4:$EL$4,0))</f>
        <v>0</v>
      </c>
      <c r="AH9" s="24" cm="1">
        <f t="array" ref="AH9">INDEX('Hard Costs'!$J$17:$EL$17,,MATCH(Model!AH$4,'Hard Costs'!$J$4:$EL$4,0))</f>
        <v>0</v>
      </c>
      <c r="AI9" s="24" cm="1">
        <f t="array" ref="AI9">INDEX('Hard Costs'!$J$17:$EL$17,,MATCH(Model!AI$4,'Hard Costs'!$J$4:$EL$4,0))</f>
        <v>0</v>
      </c>
      <c r="AJ9" s="24" cm="1">
        <f t="array" ref="AJ9">INDEX('Hard Costs'!$J$17:$EL$17,,MATCH(Model!AJ$4,'Hard Costs'!$J$4:$EL$4,0))</f>
        <v>0</v>
      </c>
      <c r="AK9" s="24" cm="1">
        <f t="array" ref="AK9">INDEX('Hard Costs'!$J$17:$EL$17,,MATCH(Model!AK$4,'Hard Costs'!$J$4:$EL$4,0))</f>
        <v>0</v>
      </c>
      <c r="AL9" s="24" cm="1">
        <f t="array" ref="AL9">INDEX('Hard Costs'!$J$17:$EL$17,,MATCH(Model!AL$4,'Hard Costs'!$J$4:$EL$4,0))</f>
        <v>0</v>
      </c>
      <c r="AM9" s="24" cm="1">
        <f t="array" ref="AM9">INDEX('Hard Costs'!$J$17:$EL$17,,MATCH(Model!AM$4,'Hard Costs'!$J$4:$EL$4,0))</f>
        <v>0</v>
      </c>
      <c r="AN9" s="24" cm="1">
        <f t="array" ref="AN9">INDEX('Hard Costs'!$J$17:$EL$17,,MATCH(Model!AN$4,'Hard Costs'!$J$4:$EL$4,0))</f>
        <v>0</v>
      </c>
      <c r="AO9" s="24" cm="1">
        <f t="array" ref="AO9">INDEX('Hard Costs'!$J$17:$EL$17,,MATCH(Model!AO$4,'Hard Costs'!$J$4:$EL$4,0))</f>
        <v>0</v>
      </c>
      <c r="AP9" s="24" cm="1">
        <f t="array" ref="AP9">INDEX('Hard Costs'!$J$17:$EL$17,,MATCH(Model!AP$4,'Hard Costs'!$J$4:$EL$4,0))</f>
        <v>0</v>
      </c>
      <c r="AQ9" s="24" cm="1">
        <f t="array" ref="AQ9">INDEX('Hard Costs'!$J$17:$EL$17,,MATCH(Model!AQ$4,'Hard Costs'!$J$4:$EL$4,0))</f>
        <v>0</v>
      </c>
      <c r="AR9" s="24" cm="1">
        <f t="array" ref="AR9">INDEX('Hard Costs'!$J$17:$EL$17,,MATCH(Model!AR$4,'Hard Costs'!$J$4:$EL$4,0))</f>
        <v>0</v>
      </c>
      <c r="AS9" s="24" cm="1">
        <f t="array" ref="AS9">INDEX('Hard Costs'!$J$17:$EL$17,,MATCH(Model!AS$4,'Hard Costs'!$J$4:$EL$4,0))</f>
        <v>0</v>
      </c>
      <c r="AT9" s="24" cm="1">
        <f t="array" ref="AT9">INDEX('Hard Costs'!$J$17:$EL$17,,MATCH(Model!AT$4,'Hard Costs'!$J$4:$EL$4,0))</f>
        <v>0</v>
      </c>
      <c r="AU9" s="24" cm="1">
        <f t="array" ref="AU9">INDEX('Hard Costs'!$J$17:$EL$17,,MATCH(Model!AU$4,'Hard Costs'!$J$4:$EL$4,0))</f>
        <v>0</v>
      </c>
      <c r="AV9" s="24" cm="1">
        <f t="array" ref="AV9">INDEX('Hard Costs'!$J$17:$EL$17,,MATCH(Model!AV$4,'Hard Costs'!$J$4:$EL$4,0))</f>
        <v>0</v>
      </c>
      <c r="AW9" s="24" cm="1">
        <f t="array" ref="AW9">INDEX('Hard Costs'!$J$17:$EL$17,,MATCH(Model!AW$4,'Hard Costs'!$J$4:$EL$4,0))</f>
        <v>0</v>
      </c>
      <c r="AX9" s="24" cm="1">
        <f t="array" ref="AX9">INDEX('Hard Costs'!$J$17:$EL$17,,MATCH(Model!AX$4,'Hard Costs'!$J$4:$EL$4,0))</f>
        <v>0</v>
      </c>
      <c r="AY9" s="24" cm="1">
        <f t="array" ref="AY9">INDEX('Hard Costs'!$J$17:$EL$17,,MATCH(Model!AY$4,'Hard Costs'!$J$4:$EL$4,0))</f>
        <v>0</v>
      </c>
      <c r="AZ9" s="24" cm="1">
        <f t="array" ref="AZ9">INDEX('Hard Costs'!$J$17:$EL$17,,MATCH(Model!AZ$4,'Hard Costs'!$J$4:$EL$4,0))</f>
        <v>0</v>
      </c>
      <c r="BA9" s="24" cm="1">
        <f t="array" ref="BA9">INDEX('Hard Costs'!$J$17:$EL$17,,MATCH(Model!BA$4,'Hard Costs'!$J$4:$EL$4,0))</f>
        <v>0</v>
      </c>
      <c r="BB9" s="24" cm="1">
        <f t="array" ref="BB9">INDEX('Hard Costs'!$J$17:$EL$17,,MATCH(Model!BB$4,'Hard Costs'!$J$4:$EL$4,0))</f>
        <v>0</v>
      </c>
      <c r="BC9" s="24" cm="1">
        <f t="array" ref="BC9">INDEX('Hard Costs'!$J$17:$EL$17,,MATCH(Model!BC$4,'Hard Costs'!$J$4:$EL$4,0))</f>
        <v>0</v>
      </c>
      <c r="BD9" s="24" cm="1">
        <f t="array" ref="BD9">INDEX('Hard Costs'!$J$17:$EL$17,,MATCH(Model!BD$4,'Hard Costs'!$J$4:$EL$4,0))</f>
        <v>0</v>
      </c>
      <c r="BE9" s="24" cm="1">
        <f t="array" ref="BE9">INDEX('Hard Costs'!$J$17:$EL$17,,MATCH(Model!BE$4,'Hard Costs'!$J$4:$EL$4,0))</f>
        <v>0</v>
      </c>
      <c r="BF9" s="24" cm="1">
        <f t="array" ref="BF9">INDEX('Hard Costs'!$J$17:$EL$17,,MATCH(Model!BF$4,'Hard Costs'!$J$4:$EL$4,0))</f>
        <v>0</v>
      </c>
      <c r="BG9" s="24" cm="1">
        <f t="array" ref="BG9">INDEX('Hard Costs'!$J$17:$EL$17,,MATCH(Model!BG$4,'Hard Costs'!$J$4:$EL$4,0))</f>
        <v>0</v>
      </c>
      <c r="BH9" s="24" cm="1">
        <f t="array" ref="BH9">INDEX('Hard Costs'!$J$17:$EL$17,,MATCH(Model!BH$4,'Hard Costs'!$J$4:$EL$4,0))</f>
        <v>0</v>
      </c>
      <c r="BI9" s="24" cm="1">
        <f t="array" ref="BI9">INDEX('Hard Costs'!$J$17:$EL$17,,MATCH(Model!BI$4,'Hard Costs'!$J$4:$EL$4,0))</f>
        <v>0</v>
      </c>
      <c r="BJ9" s="24" cm="1">
        <f t="array" ref="BJ9">INDEX('Hard Costs'!$J$17:$EL$17,,MATCH(Model!BJ$4,'Hard Costs'!$J$4:$EL$4,0))</f>
        <v>0</v>
      </c>
      <c r="BK9" s="24" cm="1">
        <f t="array" ref="BK9">INDEX('Hard Costs'!$J$17:$EL$17,,MATCH(Model!BK$4,'Hard Costs'!$J$4:$EL$4,0))</f>
        <v>0</v>
      </c>
      <c r="BL9" s="24" cm="1">
        <f t="array" ref="BL9">INDEX('Hard Costs'!$J$17:$EL$17,,MATCH(Model!BL$4,'Hard Costs'!$J$4:$EL$4,0))</f>
        <v>0</v>
      </c>
      <c r="BM9" s="24" cm="1">
        <f t="array" ref="BM9">INDEX('Hard Costs'!$J$17:$EL$17,,MATCH(Model!BM$4,'Hard Costs'!$J$4:$EL$4,0))</f>
        <v>0</v>
      </c>
      <c r="BN9" s="24" cm="1">
        <f t="array" ref="BN9">INDEX('Hard Costs'!$J$17:$EL$17,,MATCH(Model!BN$4,'Hard Costs'!$J$4:$EL$4,0))</f>
        <v>0</v>
      </c>
      <c r="BO9" s="24" cm="1">
        <f t="array" ref="BO9">INDEX('Hard Costs'!$J$17:$EL$17,,MATCH(Model!BO$4,'Hard Costs'!$J$4:$EL$4,0))</f>
        <v>0</v>
      </c>
      <c r="BP9" s="24" cm="1">
        <f t="array" ref="BP9">INDEX('Hard Costs'!$J$17:$EL$17,,MATCH(Model!BP$4,'Hard Costs'!$J$4:$EL$4,0))</f>
        <v>0</v>
      </c>
      <c r="BQ9" s="24" cm="1">
        <f t="array" ref="BQ9">INDEX('Hard Costs'!$J$17:$EL$17,,MATCH(Model!BQ$4,'Hard Costs'!$J$4:$EL$4,0))</f>
        <v>0</v>
      </c>
      <c r="BR9" s="24" cm="1">
        <f t="array" ref="BR9">INDEX('Hard Costs'!$J$17:$EL$17,,MATCH(Model!BR$4,'Hard Costs'!$J$4:$EL$4,0))</f>
        <v>0</v>
      </c>
      <c r="BS9" s="24" cm="1">
        <f t="array" ref="BS9">INDEX('Hard Costs'!$J$17:$EL$17,,MATCH(Model!BS$4,'Hard Costs'!$J$4:$EL$4,0))</f>
        <v>0</v>
      </c>
      <c r="BT9" s="24" cm="1">
        <f t="array" ref="BT9">INDEX('Hard Costs'!$J$17:$EL$17,,MATCH(Model!BT$4,'Hard Costs'!$J$4:$EL$4,0))</f>
        <v>0</v>
      </c>
      <c r="BU9" s="24" cm="1">
        <f t="array" ref="BU9">INDEX('Hard Costs'!$J$17:$EL$17,,MATCH(Model!BU$4,'Hard Costs'!$J$4:$EL$4,0))</f>
        <v>0</v>
      </c>
      <c r="BV9" s="24" cm="1">
        <f t="array" ref="BV9">INDEX('Hard Costs'!$J$17:$EL$17,,MATCH(Model!BV$4,'Hard Costs'!$J$4:$EL$4,0))</f>
        <v>0</v>
      </c>
      <c r="BW9" s="24" cm="1">
        <f t="array" ref="BW9">INDEX('Hard Costs'!$J$17:$EL$17,,MATCH(Model!BW$4,'Hard Costs'!$J$4:$EL$4,0))</f>
        <v>0</v>
      </c>
      <c r="BX9" s="24" cm="1">
        <f t="array" ref="BX9">INDEX('Hard Costs'!$J$17:$EL$17,,MATCH(Model!BX$4,'Hard Costs'!$J$4:$EL$4,0))</f>
        <v>0</v>
      </c>
      <c r="BY9" s="24" cm="1">
        <f t="array" ref="BY9">INDEX('Hard Costs'!$J$17:$EL$17,,MATCH(Model!BY$4,'Hard Costs'!$J$4:$EL$4,0))</f>
        <v>0</v>
      </c>
      <c r="BZ9" s="24" cm="1">
        <f t="array" ref="BZ9">INDEX('Hard Costs'!$J$17:$EL$17,,MATCH(Model!BZ$4,'Hard Costs'!$J$4:$EL$4,0))</f>
        <v>0</v>
      </c>
      <c r="CA9" s="24" cm="1">
        <f t="array" ref="CA9">INDEX('Hard Costs'!$J$17:$EL$17,,MATCH(Model!CA$4,'Hard Costs'!$J$4:$EL$4,0))</f>
        <v>0</v>
      </c>
      <c r="CB9" s="24" cm="1">
        <f t="array" ref="CB9">INDEX('Hard Costs'!$J$17:$EL$17,,MATCH(Model!CB$4,'Hard Costs'!$J$4:$EL$4,0))</f>
        <v>0</v>
      </c>
      <c r="CC9" s="24" cm="1">
        <f t="array" ref="CC9">INDEX('Hard Costs'!$J$17:$EL$17,,MATCH(Model!CC$4,'Hard Costs'!$J$4:$EL$4,0))</f>
        <v>0</v>
      </c>
      <c r="CD9" s="24" cm="1">
        <f t="array" ref="CD9">INDEX('Hard Costs'!$J$17:$EL$17,,MATCH(Model!CD$4,'Hard Costs'!$J$4:$EL$4,0))</f>
        <v>0</v>
      </c>
      <c r="CE9" s="24" cm="1">
        <f t="array" ref="CE9">INDEX('Hard Costs'!$J$17:$EL$17,,MATCH(Model!CE$4,'Hard Costs'!$J$4:$EL$4,0))</f>
        <v>0</v>
      </c>
      <c r="CF9" s="24" cm="1">
        <f t="array" ref="CF9">INDEX('Hard Costs'!$J$17:$EL$17,,MATCH(Model!CF$4,'Hard Costs'!$J$4:$EL$4,0))</f>
        <v>0</v>
      </c>
      <c r="CG9" s="24" cm="1">
        <f t="array" ref="CG9">INDEX('Hard Costs'!$J$17:$EL$17,,MATCH(Model!CG$4,'Hard Costs'!$J$4:$EL$4,0))</f>
        <v>0</v>
      </c>
      <c r="CH9" s="24" cm="1">
        <f t="array" ref="CH9">INDEX('Hard Costs'!$J$17:$EL$17,,MATCH(Model!CH$4,'Hard Costs'!$J$4:$EL$4,0))</f>
        <v>0</v>
      </c>
      <c r="CI9" s="24" cm="1">
        <f t="array" ref="CI9">INDEX('Hard Costs'!$J$17:$EL$17,,MATCH(Model!CI$4,'Hard Costs'!$J$4:$EL$4,0))</f>
        <v>0</v>
      </c>
      <c r="CJ9" s="24" cm="1">
        <f t="array" ref="CJ9">INDEX('Hard Costs'!$J$17:$EL$17,,MATCH(Model!CJ$4,'Hard Costs'!$J$4:$EL$4,0))</f>
        <v>0</v>
      </c>
      <c r="CK9" s="24" cm="1">
        <f t="array" ref="CK9">INDEX('Hard Costs'!$J$17:$EL$17,,MATCH(Model!CK$4,'Hard Costs'!$J$4:$EL$4,0))</f>
        <v>0</v>
      </c>
      <c r="CL9" s="24" cm="1">
        <f t="array" ref="CL9">INDEX('Hard Costs'!$J$17:$EL$17,,MATCH(Model!CL$4,'Hard Costs'!$J$4:$EL$4,0))</f>
        <v>0</v>
      </c>
      <c r="CM9" s="24" cm="1">
        <f t="array" ref="CM9">INDEX('Hard Costs'!$J$17:$EL$17,,MATCH(Model!CM$4,'Hard Costs'!$J$4:$EL$4,0))</f>
        <v>0</v>
      </c>
      <c r="CN9" s="24" cm="1">
        <f t="array" ref="CN9">INDEX('Hard Costs'!$J$17:$EL$17,,MATCH(Model!CN$4,'Hard Costs'!$J$4:$EL$4,0))</f>
        <v>0</v>
      </c>
      <c r="CO9" s="24" cm="1">
        <f t="array" ref="CO9">INDEX('Hard Costs'!$J$17:$EL$17,,MATCH(Model!CO$4,'Hard Costs'!$J$4:$EL$4,0))</f>
        <v>0</v>
      </c>
      <c r="CP9" s="24" cm="1">
        <f t="array" ref="CP9">INDEX('Hard Costs'!$J$17:$EL$17,,MATCH(Model!CP$4,'Hard Costs'!$J$4:$EL$4,0))</f>
        <v>0</v>
      </c>
      <c r="CQ9" s="24" cm="1">
        <f t="array" ref="CQ9">INDEX('Hard Costs'!$J$17:$EL$17,,MATCH(Model!CQ$4,'Hard Costs'!$J$4:$EL$4,0))</f>
        <v>0</v>
      </c>
      <c r="CR9" s="24" cm="1">
        <f t="array" ref="CR9">INDEX('Hard Costs'!$J$17:$EL$17,,MATCH(Model!CR$4,'Hard Costs'!$J$4:$EL$4,0))</f>
        <v>0</v>
      </c>
      <c r="CS9" s="24" cm="1">
        <f t="array" ref="CS9">INDEX('Hard Costs'!$J$17:$EL$17,,MATCH(Model!CS$4,'Hard Costs'!$J$4:$EL$4,0))</f>
        <v>0</v>
      </c>
      <c r="CT9" s="24" cm="1">
        <f t="array" ref="CT9">INDEX('Hard Costs'!$J$17:$EL$17,,MATCH(Model!CT$4,'Hard Costs'!$J$4:$EL$4,0))</f>
        <v>0</v>
      </c>
      <c r="CU9" s="24" cm="1">
        <f t="array" ref="CU9">INDEX('Hard Costs'!$J$17:$EL$17,,MATCH(Model!CU$4,'Hard Costs'!$J$4:$EL$4,0))</f>
        <v>0</v>
      </c>
      <c r="CV9" s="24" cm="1">
        <f t="array" ref="CV9">INDEX('Hard Costs'!$J$17:$EL$17,,MATCH(Model!CV$4,'Hard Costs'!$J$4:$EL$4,0))</f>
        <v>0</v>
      </c>
      <c r="CW9" s="24" cm="1">
        <f t="array" ref="CW9">INDEX('Hard Costs'!$J$17:$EL$17,,MATCH(Model!CW$4,'Hard Costs'!$J$4:$EL$4,0))</f>
        <v>0</v>
      </c>
      <c r="CX9" s="24" cm="1">
        <f t="array" ref="CX9">INDEX('Hard Costs'!$J$17:$EL$17,,MATCH(Model!CX$4,'Hard Costs'!$J$4:$EL$4,0))</f>
        <v>0</v>
      </c>
      <c r="CY9" s="24" cm="1">
        <f t="array" ref="CY9">INDEX('Hard Costs'!$J$17:$EL$17,,MATCH(Model!CY$4,'Hard Costs'!$J$4:$EL$4,0))</f>
        <v>0</v>
      </c>
      <c r="CZ9" s="24" cm="1">
        <f t="array" ref="CZ9">INDEX('Hard Costs'!$J$17:$EL$17,,MATCH(Model!CZ$4,'Hard Costs'!$J$4:$EL$4,0))</f>
        <v>0</v>
      </c>
      <c r="DA9" s="24" cm="1">
        <f t="array" ref="DA9">INDEX('Hard Costs'!$J$17:$EL$17,,MATCH(Model!DA$4,'Hard Costs'!$J$4:$EL$4,0))</f>
        <v>0</v>
      </c>
      <c r="DB9" s="24" cm="1">
        <f t="array" ref="DB9">INDEX('Hard Costs'!$J$17:$EL$17,,MATCH(Model!DB$4,'Hard Costs'!$J$4:$EL$4,0))</f>
        <v>0</v>
      </c>
      <c r="DC9" s="24" cm="1">
        <f t="array" ref="DC9">INDEX('Hard Costs'!$J$17:$EL$17,,MATCH(Model!DC$4,'Hard Costs'!$J$4:$EL$4,0))</f>
        <v>0</v>
      </c>
      <c r="DD9" s="24" cm="1">
        <f t="array" ref="DD9">INDEX('Hard Costs'!$J$17:$EL$17,,MATCH(Model!DD$4,'Hard Costs'!$J$4:$EL$4,0))</f>
        <v>0</v>
      </c>
      <c r="DE9" s="24" cm="1">
        <f t="array" ref="DE9">INDEX('Hard Costs'!$J$17:$EL$17,,MATCH(Model!DE$4,'Hard Costs'!$J$4:$EL$4,0))</f>
        <v>0</v>
      </c>
      <c r="DF9" s="24" cm="1">
        <f t="array" ref="DF9">INDEX('Hard Costs'!$J$17:$EL$17,,MATCH(Model!DF$4,'Hard Costs'!$J$4:$EL$4,0))</f>
        <v>0</v>
      </c>
      <c r="DG9" s="24" cm="1">
        <f t="array" ref="DG9">INDEX('Hard Costs'!$J$17:$EL$17,,MATCH(Model!DG$4,'Hard Costs'!$J$4:$EL$4,0))</f>
        <v>0</v>
      </c>
      <c r="DH9" s="24" cm="1">
        <f t="array" ref="DH9">INDEX('Hard Costs'!$J$17:$EL$17,,MATCH(Model!DH$4,'Hard Costs'!$J$4:$EL$4,0))</f>
        <v>0</v>
      </c>
      <c r="DI9" s="24" cm="1">
        <f t="array" ref="DI9">INDEX('Hard Costs'!$J$17:$EL$17,,MATCH(Model!DI$4,'Hard Costs'!$J$4:$EL$4,0))</f>
        <v>0</v>
      </c>
      <c r="DJ9" s="24" cm="1">
        <f t="array" ref="DJ9">INDEX('Hard Costs'!$J$17:$EL$17,,MATCH(Model!DJ$4,'Hard Costs'!$J$4:$EL$4,0))</f>
        <v>0</v>
      </c>
      <c r="DK9" s="24" cm="1">
        <f t="array" ref="DK9">INDEX('Hard Costs'!$J$17:$EL$17,,MATCH(Model!DK$4,'Hard Costs'!$J$4:$EL$4,0))</f>
        <v>0</v>
      </c>
      <c r="DL9" s="24" cm="1">
        <f t="array" ref="DL9">INDEX('Hard Costs'!$J$17:$EL$17,,MATCH(Model!DL$4,'Hard Costs'!$J$4:$EL$4,0))</f>
        <v>0</v>
      </c>
      <c r="DM9" s="24" cm="1">
        <f t="array" ref="DM9">INDEX('Hard Costs'!$J$17:$EL$17,,MATCH(Model!DM$4,'Hard Costs'!$J$4:$EL$4,0))</f>
        <v>0</v>
      </c>
      <c r="DN9" s="24" cm="1">
        <f t="array" ref="DN9">INDEX('Hard Costs'!$J$17:$EL$17,,MATCH(Model!DN$4,'Hard Costs'!$J$4:$EL$4,0))</f>
        <v>0</v>
      </c>
      <c r="DO9" s="24" cm="1">
        <f t="array" ref="DO9">INDEX('Hard Costs'!$J$17:$EL$17,,MATCH(Model!DO$4,'Hard Costs'!$J$4:$EL$4,0))</f>
        <v>0</v>
      </c>
      <c r="DP9" s="24" cm="1">
        <f t="array" ref="DP9">INDEX('Hard Costs'!$J$17:$EL$17,,MATCH(Model!DP$4,'Hard Costs'!$J$4:$EL$4,0))</f>
        <v>0</v>
      </c>
      <c r="DQ9" s="24" cm="1">
        <f t="array" ref="DQ9">INDEX('Hard Costs'!$J$17:$EL$17,,MATCH(Model!DQ$4,'Hard Costs'!$J$4:$EL$4,0))</f>
        <v>0</v>
      </c>
      <c r="DR9" s="24" cm="1">
        <f t="array" ref="DR9">INDEX('Hard Costs'!$J$17:$EL$17,,MATCH(Model!DR$4,'Hard Costs'!$J$4:$EL$4,0))</f>
        <v>0</v>
      </c>
      <c r="DS9" s="24" cm="1">
        <f t="array" ref="DS9">INDEX('Hard Costs'!$J$17:$EL$17,,MATCH(Model!DS$4,'Hard Costs'!$J$4:$EL$4,0))</f>
        <v>0</v>
      </c>
      <c r="DT9" s="24" cm="1">
        <f t="array" ref="DT9">INDEX('Hard Costs'!$J$17:$EL$17,,MATCH(Model!DT$4,'Hard Costs'!$J$4:$EL$4,0))</f>
        <v>0</v>
      </c>
      <c r="DU9" s="24" cm="1">
        <f t="array" ref="DU9">INDEX('Hard Costs'!$J$17:$EL$17,,MATCH(Model!DU$4,'Hard Costs'!$J$4:$EL$4,0))</f>
        <v>0</v>
      </c>
      <c r="DV9" s="24" cm="1">
        <f t="array" ref="DV9">INDEX('Hard Costs'!$J$17:$EL$17,,MATCH(Model!DV$4,'Hard Costs'!$J$4:$EL$4,0))</f>
        <v>0</v>
      </c>
      <c r="DW9" s="24" cm="1">
        <f t="array" ref="DW9">INDEX('Hard Costs'!$J$17:$EL$17,,MATCH(Model!DW$4,'Hard Costs'!$J$4:$EL$4,0))</f>
        <v>0</v>
      </c>
      <c r="DX9" s="24" cm="1">
        <f t="array" ref="DX9">INDEX('Hard Costs'!$J$17:$EL$17,,MATCH(Model!DX$4,'Hard Costs'!$J$4:$EL$4,0))</f>
        <v>0</v>
      </c>
      <c r="DY9" s="24" cm="1">
        <f t="array" ref="DY9">INDEX('Hard Costs'!$J$17:$EL$17,,MATCH(Model!DY$4,'Hard Costs'!$J$4:$EL$4,0))</f>
        <v>0</v>
      </c>
      <c r="DZ9" s="24" cm="1">
        <f t="array" ref="DZ9">INDEX('Hard Costs'!$J$17:$EL$17,,MATCH(Model!DZ$4,'Hard Costs'!$J$4:$EL$4,0))</f>
        <v>0</v>
      </c>
      <c r="EA9" s="24" cm="1">
        <f t="array" ref="EA9">INDEX('Hard Costs'!$J$17:$EL$17,,MATCH(Model!EA$4,'Hard Costs'!$J$4:$EL$4,0))</f>
        <v>0</v>
      </c>
      <c r="EB9" s="24" cm="1">
        <f t="array" ref="EB9">INDEX('Hard Costs'!$J$17:$EL$17,,MATCH(Model!EB$4,'Hard Costs'!$J$4:$EL$4,0))</f>
        <v>0</v>
      </c>
      <c r="EC9" s="24" cm="1">
        <f t="array" ref="EC9">INDEX('Hard Costs'!$J$17:$EL$17,,MATCH(Model!EC$4,'Hard Costs'!$J$4:$EL$4,0))</f>
        <v>0</v>
      </c>
      <c r="ED9" s="24" cm="1">
        <f t="array" ref="ED9">INDEX('Hard Costs'!$J$17:$EL$17,,MATCH(Model!ED$4,'Hard Costs'!$J$4:$EL$4,0))</f>
        <v>0</v>
      </c>
      <c r="EE9" s="24" cm="1">
        <f t="array" ref="EE9">INDEX('Hard Costs'!$J$17:$EL$17,,MATCH(Model!EE$4,'Hard Costs'!$J$4:$EL$4,0))</f>
        <v>0</v>
      </c>
      <c r="EF9" s="24" cm="1">
        <f t="array" ref="EF9">INDEX('Hard Costs'!$J$17:$EL$17,,MATCH(Model!EF$4,'Hard Costs'!$J$4:$EL$4,0))</f>
        <v>0</v>
      </c>
      <c r="EG9" s="24" cm="1">
        <f t="array" ref="EG9">INDEX('Hard Costs'!$J$17:$EL$17,,MATCH(Model!EG$4,'Hard Costs'!$J$4:$EL$4,0))</f>
        <v>0</v>
      </c>
      <c r="EH9" s="24" cm="1">
        <f t="array" ref="EH9">INDEX('Hard Costs'!$J$17:$EL$17,,MATCH(Model!EH$4,'Hard Costs'!$J$4:$EL$4,0))</f>
        <v>0</v>
      </c>
      <c r="EI9" s="24" cm="1">
        <f t="array" ref="EI9">INDEX('Hard Costs'!$J$17:$EL$17,,MATCH(Model!EI$4,'Hard Costs'!$J$4:$EL$4,0))</f>
        <v>0</v>
      </c>
      <c r="EM9" s="1" t="s">
        <v>178</v>
      </c>
    </row>
    <row r="10" spans="2:143" x14ac:dyDescent="0.45">
      <c r="B10" s="41">
        <f t="shared" si="12"/>
        <v>-16563812.922455439</v>
      </c>
      <c r="D10" s="4" t="s">
        <v>24</v>
      </c>
      <c r="E10" s="4"/>
      <c r="F10" s="4"/>
      <c r="G10" s="26">
        <f t="shared" ref="G10:AL10" si="13">-SUM(G5:G9)</f>
        <v>-15770556.275336709</v>
      </c>
      <c r="H10" s="26">
        <f t="shared" si="13"/>
        <v>-7012.1788422688423</v>
      </c>
      <c r="I10" s="26">
        <f t="shared" si="13"/>
        <v>-23229.570146616672</v>
      </c>
      <c r="J10" s="26">
        <f t="shared" si="13"/>
        <v>-23229.570146616672</v>
      </c>
      <c r="K10" s="26">
        <f t="shared" si="13"/>
        <v>-23229.570146616672</v>
      </c>
      <c r="L10" s="26">
        <f t="shared" si="13"/>
        <v>-84479.570146616665</v>
      </c>
      <c r="M10" s="26">
        <f t="shared" si="13"/>
        <v>-54479.570146616672</v>
      </c>
      <c r="N10" s="26">
        <f t="shared" si="13"/>
        <v>-23229.570146616672</v>
      </c>
      <c r="O10" s="26">
        <f t="shared" si="13"/>
        <v>-23229.570146616672</v>
      </c>
      <c r="P10" s="26">
        <f t="shared" si="13"/>
        <v>-23229.570146616672</v>
      </c>
      <c r="Q10" s="26">
        <f t="shared" si="13"/>
        <v>-43229.570146616665</v>
      </c>
      <c r="R10" s="26">
        <f t="shared" si="13"/>
        <v>-23229.570146616672</v>
      </c>
      <c r="S10" s="26">
        <f t="shared" si="13"/>
        <v>-22229.570146616672</v>
      </c>
      <c r="T10" s="26">
        <f t="shared" si="13"/>
        <v>-22229.570146616672</v>
      </c>
      <c r="U10" s="26">
        <f t="shared" si="13"/>
        <v>-22229.570146616672</v>
      </c>
      <c r="V10" s="26">
        <f t="shared" si="13"/>
        <v>-22229.570146616672</v>
      </c>
      <c r="W10" s="26">
        <f t="shared" si="13"/>
        <v>-22229.570146616672</v>
      </c>
      <c r="X10" s="26">
        <f t="shared" si="13"/>
        <v>-22229.570146616672</v>
      </c>
      <c r="Y10" s="26">
        <f t="shared" si="13"/>
        <v>-22229.570146616672</v>
      </c>
      <c r="Z10" s="26">
        <f t="shared" si="13"/>
        <v>-22229.570146616672</v>
      </c>
      <c r="AA10" s="26">
        <f t="shared" si="13"/>
        <v>-22229.570146616672</v>
      </c>
      <c r="AB10" s="26">
        <f t="shared" si="13"/>
        <v>-22229.570146616672</v>
      </c>
      <c r="AC10" s="26">
        <f t="shared" si="13"/>
        <v>-22229.570146616672</v>
      </c>
      <c r="AD10" s="26">
        <f t="shared" si="13"/>
        <v>-22229.570146616672</v>
      </c>
      <c r="AE10" s="26">
        <f t="shared" si="13"/>
        <v>-76479.570146616665</v>
      </c>
      <c r="AF10" s="26">
        <f t="shared" si="13"/>
        <v>-7012.1788422688423</v>
      </c>
      <c r="AG10" s="26">
        <f t="shared" si="13"/>
        <v>-7012.1788422688423</v>
      </c>
      <c r="AH10" s="26">
        <f t="shared" si="13"/>
        <v>-7012.1788422688423</v>
      </c>
      <c r="AI10" s="26">
        <f t="shared" si="13"/>
        <v>-7012.1788422688423</v>
      </c>
      <c r="AJ10" s="26">
        <f t="shared" si="13"/>
        <v>-7012.1788422688423</v>
      </c>
      <c r="AK10" s="26">
        <f t="shared" si="13"/>
        <v>-7012.1788422688423</v>
      </c>
      <c r="AL10" s="26">
        <f t="shared" si="13"/>
        <v>-7012.1788422688423</v>
      </c>
      <c r="AM10" s="26">
        <f t="shared" ref="AM10:BR10" si="14">-SUM(AM5:AM9)</f>
        <v>-7012.1788422688423</v>
      </c>
      <c r="AN10" s="26">
        <f t="shared" si="14"/>
        <v>-42116.924166129356</v>
      </c>
      <c r="AO10" s="26">
        <f t="shared" si="14"/>
        <v>0</v>
      </c>
      <c r="AP10" s="26">
        <f t="shared" si="14"/>
        <v>0</v>
      </c>
      <c r="AQ10" s="26">
        <f t="shared" si="14"/>
        <v>0</v>
      </c>
      <c r="AR10" s="26">
        <f t="shared" si="14"/>
        <v>0</v>
      </c>
      <c r="AS10" s="26">
        <f t="shared" si="14"/>
        <v>0</v>
      </c>
      <c r="AT10" s="26">
        <f t="shared" si="14"/>
        <v>0</v>
      </c>
      <c r="AU10" s="26">
        <f t="shared" si="14"/>
        <v>0</v>
      </c>
      <c r="AV10" s="26">
        <f t="shared" si="14"/>
        <v>0</v>
      </c>
      <c r="AW10" s="26">
        <f t="shared" si="14"/>
        <v>0</v>
      </c>
      <c r="AX10" s="26">
        <f t="shared" si="14"/>
        <v>0</v>
      </c>
      <c r="AY10" s="26">
        <f t="shared" si="14"/>
        <v>0</v>
      </c>
      <c r="AZ10" s="26">
        <f t="shared" si="14"/>
        <v>0</v>
      </c>
      <c r="BA10" s="26">
        <f t="shared" si="14"/>
        <v>0</v>
      </c>
      <c r="BB10" s="26">
        <f t="shared" si="14"/>
        <v>0</v>
      </c>
      <c r="BC10" s="26">
        <f t="shared" si="14"/>
        <v>0</v>
      </c>
      <c r="BD10" s="26">
        <f t="shared" si="14"/>
        <v>0</v>
      </c>
      <c r="BE10" s="26">
        <f t="shared" si="14"/>
        <v>0</v>
      </c>
      <c r="BF10" s="26">
        <f t="shared" si="14"/>
        <v>0</v>
      </c>
      <c r="BG10" s="26">
        <f t="shared" si="14"/>
        <v>0</v>
      </c>
      <c r="BH10" s="26">
        <f t="shared" si="14"/>
        <v>0</v>
      </c>
      <c r="BI10" s="26">
        <f t="shared" si="14"/>
        <v>0</v>
      </c>
      <c r="BJ10" s="26">
        <f t="shared" si="14"/>
        <v>0</v>
      </c>
      <c r="BK10" s="26">
        <f t="shared" si="14"/>
        <v>0</v>
      </c>
      <c r="BL10" s="26">
        <f t="shared" si="14"/>
        <v>0</v>
      </c>
      <c r="BM10" s="26">
        <f t="shared" si="14"/>
        <v>0</v>
      </c>
      <c r="BN10" s="26">
        <f t="shared" si="14"/>
        <v>0</v>
      </c>
      <c r="BO10" s="26">
        <f t="shared" si="14"/>
        <v>0</v>
      </c>
      <c r="BP10" s="26">
        <f t="shared" si="14"/>
        <v>0</v>
      </c>
      <c r="BQ10" s="26">
        <f t="shared" si="14"/>
        <v>0</v>
      </c>
      <c r="BR10" s="26">
        <f t="shared" si="14"/>
        <v>0</v>
      </c>
      <c r="BS10" s="26">
        <f t="shared" ref="BS10:CV10" si="15">-SUM(BS5:BS9)</f>
        <v>0</v>
      </c>
      <c r="BT10" s="26">
        <f t="shared" si="15"/>
        <v>0</v>
      </c>
      <c r="BU10" s="26">
        <f t="shared" si="15"/>
        <v>0</v>
      </c>
      <c r="BV10" s="26">
        <f t="shared" si="15"/>
        <v>0</v>
      </c>
      <c r="BW10" s="26">
        <f t="shared" si="15"/>
        <v>0</v>
      </c>
      <c r="BX10" s="26">
        <f t="shared" si="15"/>
        <v>0</v>
      </c>
      <c r="BY10" s="26">
        <f t="shared" si="15"/>
        <v>0</v>
      </c>
      <c r="BZ10" s="26">
        <f t="shared" si="15"/>
        <v>0</v>
      </c>
      <c r="CA10" s="26">
        <f t="shared" si="15"/>
        <v>0</v>
      </c>
      <c r="CB10" s="26">
        <f t="shared" si="15"/>
        <v>0</v>
      </c>
      <c r="CC10" s="26">
        <f t="shared" si="15"/>
        <v>0</v>
      </c>
      <c r="CD10" s="26">
        <f t="shared" si="15"/>
        <v>0</v>
      </c>
      <c r="CE10" s="26">
        <f t="shared" si="15"/>
        <v>0</v>
      </c>
      <c r="CF10" s="26">
        <f t="shared" si="15"/>
        <v>0</v>
      </c>
      <c r="CG10" s="26">
        <f t="shared" si="15"/>
        <v>0</v>
      </c>
      <c r="CH10" s="26">
        <f t="shared" si="15"/>
        <v>0</v>
      </c>
      <c r="CI10" s="26">
        <f t="shared" si="15"/>
        <v>0</v>
      </c>
      <c r="CJ10" s="26">
        <f t="shared" si="15"/>
        <v>0</v>
      </c>
      <c r="CK10" s="26">
        <f t="shared" si="15"/>
        <v>0</v>
      </c>
      <c r="CL10" s="26">
        <f t="shared" si="15"/>
        <v>0</v>
      </c>
      <c r="CM10" s="26">
        <f t="shared" si="15"/>
        <v>0</v>
      </c>
      <c r="CN10" s="26">
        <f t="shared" si="15"/>
        <v>0</v>
      </c>
      <c r="CO10" s="26">
        <f t="shared" si="15"/>
        <v>0</v>
      </c>
      <c r="CP10" s="26">
        <f t="shared" si="15"/>
        <v>0</v>
      </c>
      <c r="CQ10" s="26">
        <f t="shared" si="15"/>
        <v>0</v>
      </c>
      <c r="CR10" s="26">
        <f t="shared" si="15"/>
        <v>0</v>
      </c>
      <c r="CS10" s="26">
        <f t="shared" si="15"/>
        <v>0</v>
      </c>
      <c r="CT10" s="26">
        <f t="shared" si="15"/>
        <v>0</v>
      </c>
      <c r="CU10" s="26">
        <f t="shared" si="15"/>
        <v>0</v>
      </c>
      <c r="CV10" s="26">
        <f t="shared" si="15"/>
        <v>0</v>
      </c>
      <c r="CW10" s="26">
        <f t="shared" ref="CW10:EI10" si="16">-SUM(CW5:CW9)</f>
        <v>0</v>
      </c>
      <c r="CX10" s="26">
        <f t="shared" si="16"/>
        <v>0</v>
      </c>
      <c r="CY10" s="26">
        <f t="shared" si="16"/>
        <v>0</v>
      </c>
      <c r="CZ10" s="26">
        <f t="shared" si="16"/>
        <v>0</v>
      </c>
      <c r="DA10" s="26">
        <f t="shared" si="16"/>
        <v>0</v>
      </c>
      <c r="DB10" s="26">
        <f t="shared" si="16"/>
        <v>0</v>
      </c>
      <c r="DC10" s="26">
        <f t="shared" si="16"/>
        <v>0</v>
      </c>
      <c r="DD10" s="26">
        <f t="shared" si="16"/>
        <v>0</v>
      </c>
      <c r="DE10" s="26">
        <f t="shared" si="16"/>
        <v>0</v>
      </c>
      <c r="DF10" s="26">
        <f t="shared" si="16"/>
        <v>0</v>
      </c>
      <c r="DG10" s="26">
        <f t="shared" si="16"/>
        <v>0</v>
      </c>
      <c r="DH10" s="26">
        <f t="shared" si="16"/>
        <v>0</v>
      </c>
      <c r="DI10" s="26">
        <f t="shared" si="16"/>
        <v>0</v>
      </c>
      <c r="DJ10" s="26">
        <f t="shared" si="16"/>
        <v>0</v>
      </c>
      <c r="DK10" s="26">
        <f t="shared" si="16"/>
        <v>0</v>
      </c>
      <c r="DL10" s="26">
        <f t="shared" si="16"/>
        <v>0</v>
      </c>
      <c r="DM10" s="26">
        <f t="shared" si="16"/>
        <v>0</v>
      </c>
      <c r="DN10" s="26">
        <f t="shared" si="16"/>
        <v>0</v>
      </c>
      <c r="DO10" s="26">
        <f t="shared" si="16"/>
        <v>0</v>
      </c>
      <c r="DP10" s="26">
        <f t="shared" si="16"/>
        <v>0</v>
      </c>
      <c r="DQ10" s="26">
        <f t="shared" si="16"/>
        <v>0</v>
      </c>
      <c r="DR10" s="26">
        <f t="shared" si="16"/>
        <v>0</v>
      </c>
      <c r="DS10" s="26">
        <f t="shared" si="16"/>
        <v>0</v>
      </c>
      <c r="DT10" s="26">
        <f t="shared" si="16"/>
        <v>0</v>
      </c>
      <c r="DU10" s="26">
        <f t="shared" si="16"/>
        <v>0</v>
      </c>
      <c r="DV10" s="26">
        <f t="shared" si="16"/>
        <v>0</v>
      </c>
      <c r="DW10" s="26">
        <f t="shared" si="16"/>
        <v>0</v>
      </c>
      <c r="DX10" s="26">
        <f t="shared" si="16"/>
        <v>0</v>
      </c>
      <c r="DY10" s="26">
        <f t="shared" si="16"/>
        <v>0</v>
      </c>
      <c r="DZ10" s="26">
        <f t="shared" si="16"/>
        <v>0</v>
      </c>
      <c r="EA10" s="26">
        <f t="shared" si="16"/>
        <v>0</v>
      </c>
      <c r="EB10" s="26">
        <f t="shared" si="16"/>
        <v>0</v>
      </c>
      <c r="EC10" s="26">
        <f t="shared" si="16"/>
        <v>0</v>
      </c>
      <c r="ED10" s="26">
        <f t="shared" si="16"/>
        <v>0</v>
      </c>
      <c r="EE10" s="26">
        <f t="shared" si="16"/>
        <v>0</v>
      </c>
      <c r="EF10" s="26">
        <f t="shared" si="16"/>
        <v>0</v>
      </c>
      <c r="EG10" s="26">
        <f t="shared" si="16"/>
        <v>0</v>
      </c>
      <c r="EH10" s="26">
        <f t="shared" si="16"/>
        <v>0</v>
      </c>
      <c r="EI10" s="26">
        <f t="shared" si="16"/>
        <v>0</v>
      </c>
      <c r="EM10" s="1" t="s">
        <v>178</v>
      </c>
    </row>
    <row r="11" spans="2:143" x14ac:dyDescent="0.45"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M11" s="1" t="s">
        <v>178</v>
      </c>
    </row>
    <row r="12" spans="2:143" x14ac:dyDescent="0.45">
      <c r="D12" s="1" t="s">
        <v>11</v>
      </c>
      <c r="G12" s="24">
        <f>IF(G$4=Assumptions!$J$175,Assumptions!$J$178,0)</f>
        <v>0</v>
      </c>
      <c r="H12" s="24">
        <f>IF(H$4=Assumptions!$J$175,Assumptions!$J$178,0)</f>
        <v>0</v>
      </c>
      <c r="I12" s="24">
        <f>IF(I$4=Assumptions!$J$175,Assumptions!$J$178,0)</f>
        <v>0</v>
      </c>
      <c r="J12" s="24">
        <f>IF(J$4=Assumptions!$J$175,Assumptions!$J$178,0)</f>
        <v>0</v>
      </c>
      <c r="K12" s="24">
        <f>IF(K$4=Assumptions!$J$175,Assumptions!$J$178,0)</f>
        <v>0</v>
      </c>
      <c r="L12" s="24">
        <f>IF(L$4=Assumptions!$J$175,Assumptions!$J$178,0)</f>
        <v>0</v>
      </c>
      <c r="M12" s="24">
        <f>IF(M$4=Assumptions!$J$175,Assumptions!$J$178,0)</f>
        <v>0</v>
      </c>
      <c r="N12" s="24">
        <f>IF(N$4=Assumptions!$J$175,Assumptions!$J$178,0)</f>
        <v>0</v>
      </c>
      <c r="O12" s="24">
        <f>IF(O$4=Assumptions!$J$175,Assumptions!$J$178,0)</f>
        <v>0</v>
      </c>
      <c r="P12" s="24">
        <f>IF(P$4=Assumptions!$J$175,Assumptions!$J$178,0)</f>
        <v>0</v>
      </c>
      <c r="Q12" s="24">
        <f>IF(Q$4=Assumptions!$J$175,Assumptions!$J$178,0)</f>
        <v>0</v>
      </c>
      <c r="R12" s="24">
        <f>IF(R$4=Assumptions!$J$175,Assumptions!$J$178,0)</f>
        <v>0</v>
      </c>
      <c r="S12" s="24">
        <f>IF(S$4=Assumptions!$J$175,Assumptions!$J$178,0)</f>
        <v>0</v>
      </c>
      <c r="T12" s="24">
        <f>IF(T$4=Assumptions!$J$175,Assumptions!$J$178,0)</f>
        <v>0</v>
      </c>
      <c r="U12" s="24">
        <f>IF(U$4=Assumptions!$J$175,Assumptions!$J$178,0)</f>
        <v>0</v>
      </c>
      <c r="V12" s="24">
        <f>IF(V$4=Assumptions!$J$175,Assumptions!$J$178,0)</f>
        <v>0</v>
      </c>
      <c r="W12" s="24">
        <f>IF(W$4=Assumptions!$J$175,Assumptions!$J$178,0)</f>
        <v>0</v>
      </c>
      <c r="X12" s="24">
        <f>IF(X$4=Assumptions!$J$175,Assumptions!$J$178,0)</f>
        <v>0</v>
      </c>
      <c r="Y12" s="24">
        <f>IF(Y$4=Assumptions!$J$175,Assumptions!$J$178,0)</f>
        <v>0</v>
      </c>
      <c r="Z12" s="24">
        <f>IF(Z$4=Assumptions!$J$175,Assumptions!$J$178,0)</f>
        <v>0</v>
      </c>
      <c r="AA12" s="24">
        <f>IF(AA$4=Assumptions!$J$175,Assumptions!$J$178,0)</f>
        <v>0</v>
      </c>
      <c r="AB12" s="24">
        <f>IF(AB$4=Assumptions!$J$175,Assumptions!$J$178,0)</f>
        <v>0</v>
      </c>
      <c r="AC12" s="24">
        <f>IF(AC$4=Assumptions!$J$175,Assumptions!$J$178,0)</f>
        <v>0</v>
      </c>
      <c r="AD12" s="24">
        <f>IF(AD$4=Assumptions!$J$175,Assumptions!$J$178,0)</f>
        <v>0</v>
      </c>
      <c r="AE12" s="24">
        <f>IF(AE$4=Assumptions!$J$175,Assumptions!$J$178,0)</f>
        <v>0</v>
      </c>
      <c r="AF12" s="24">
        <f>IF(AF$4=Assumptions!$J$175,Assumptions!$J$178,0)</f>
        <v>0</v>
      </c>
      <c r="AG12" s="24">
        <f>IF(AG$4=Assumptions!$J$175,Assumptions!$J$178,0)</f>
        <v>0</v>
      </c>
      <c r="AH12" s="24">
        <f>IF(AH$4=Assumptions!$J$175,Assumptions!$J$178,0)</f>
        <v>0</v>
      </c>
      <c r="AI12" s="24">
        <f>IF(AI$4=Assumptions!$J$175,Assumptions!$J$178,0)</f>
        <v>0</v>
      </c>
      <c r="AJ12" s="24">
        <f>IF(AJ$4=Assumptions!$J$175,Assumptions!$J$178,0)</f>
        <v>0</v>
      </c>
      <c r="AK12" s="24">
        <f>IF(AK$4=Assumptions!$J$175,Assumptions!$J$178,0)</f>
        <v>0</v>
      </c>
      <c r="AL12" s="24">
        <f>IF(AL$4=Assumptions!$J$175,Assumptions!$J$178,0)</f>
        <v>0</v>
      </c>
      <c r="AM12" s="24">
        <f>IF(AM$4=Assumptions!$J$175,Assumptions!$J$178,0)</f>
        <v>0</v>
      </c>
      <c r="AN12" s="24">
        <f>IF(AN$4=Assumptions!$J$175,Assumptions!$J$178,0)</f>
        <v>0</v>
      </c>
      <c r="AO12" s="24">
        <f>IF(AO$4=Assumptions!$J$175,Assumptions!$J$178,0)</f>
        <v>0</v>
      </c>
      <c r="AP12" s="24">
        <f>IF(AP$4=Assumptions!$J$175,Assumptions!$J$178,0)</f>
        <v>0</v>
      </c>
      <c r="AQ12" s="24">
        <f>IF(AQ$4=Assumptions!$J$175,Assumptions!$J$178,0)</f>
        <v>0</v>
      </c>
      <c r="AR12" s="24">
        <f>IF(AR$4=Assumptions!$J$175,Assumptions!$J$178,0)</f>
        <v>0</v>
      </c>
      <c r="AS12" s="24">
        <f>IF(AS$4=Assumptions!$J$175,Assumptions!$J$178,0)</f>
        <v>0</v>
      </c>
      <c r="AT12" s="24">
        <f>IF(AT$4=Assumptions!$J$175,Assumptions!$J$178,0)</f>
        <v>0</v>
      </c>
      <c r="AU12" s="24">
        <f>IF(AU$4=Assumptions!$J$175,Assumptions!$J$178,0)</f>
        <v>0</v>
      </c>
      <c r="AV12" s="24">
        <f>IF(AV$4=Assumptions!$J$175,Assumptions!$J$178,0)</f>
        <v>0</v>
      </c>
      <c r="AW12" s="24">
        <f>IF(AW$4=Assumptions!$J$175,Assumptions!$J$178,0)</f>
        <v>0</v>
      </c>
      <c r="AX12" s="24">
        <f>IF(AX$4=Assumptions!$J$175,Assumptions!$J$178,0)</f>
        <v>0</v>
      </c>
      <c r="AY12" s="24">
        <f>IF(AY$4=Assumptions!$J$175,Assumptions!$J$178,0)</f>
        <v>0</v>
      </c>
      <c r="AZ12" s="24">
        <f>IF(AZ$4=Assumptions!$J$175,Assumptions!$J$178,0)</f>
        <v>0</v>
      </c>
      <c r="BA12" s="24">
        <f>IF(BA$4=Assumptions!$J$175,Assumptions!$J$178,0)</f>
        <v>0</v>
      </c>
      <c r="BB12" s="24">
        <f>IF(BB$4=Assumptions!$J$175,Assumptions!$J$178,0)</f>
        <v>0</v>
      </c>
      <c r="BC12" s="24">
        <f>IF(BC$4=Assumptions!$J$175,Assumptions!$J$178,0)</f>
        <v>0</v>
      </c>
      <c r="BD12" s="24">
        <f>IF(BD$4=Assumptions!$J$175,Assumptions!$J$178,0)</f>
        <v>0</v>
      </c>
      <c r="BE12" s="24">
        <f>IF(BE$4=Assumptions!$J$175,Assumptions!$J$178,0)</f>
        <v>0</v>
      </c>
      <c r="BF12" s="24">
        <f>IF(BF$4=Assumptions!$J$175,Assumptions!$J$178,0)</f>
        <v>0</v>
      </c>
      <c r="BG12" s="24">
        <f>IF(BG$4=Assumptions!$J$175,Assumptions!$J$178,0)</f>
        <v>0</v>
      </c>
      <c r="BH12" s="24">
        <f>IF(BH$4=Assumptions!$J$175,Assumptions!$J$178,0)</f>
        <v>0</v>
      </c>
      <c r="BI12" s="24">
        <f>IF(BI$4=Assumptions!$J$175,Assumptions!$J$178,0)</f>
        <v>0</v>
      </c>
      <c r="BJ12" s="24">
        <f>IF(BJ$4=Assumptions!$J$175,Assumptions!$J$178,0)</f>
        <v>0</v>
      </c>
      <c r="BK12" s="24">
        <f>IF(BK$4=Assumptions!$J$175,Assumptions!$J$178,0)</f>
        <v>0</v>
      </c>
      <c r="BL12" s="24">
        <f>IF(BL$4=Assumptions!$J$175,Assumptions!$J$178,0)</f>
        <v>0</v>
      </c>
      <c r="BM12" s="24">
        <f>IF(BM$4=Assumptions!$J$175,Assumptions!$J$178,0)</f>
        <v>0</v>
      </c>
      <c r="BN12" s="24">
        <f>IF(BN$4=Assumptions!$J$175,Assumptions!$J$178,0)</f>
        <v>0</v>
      </c>
      <c r="BO12" s="24">
        <f>IF(BO$4=Assumptions!$J$175,Assumptions!$J$178,0)</f>
        <v>0</v>
      </c>
      <c r="BP12" s="24">
        <f>IF(BP$4=Assumptions!$J$175,Assumptions!$J$178,0)</f>
        <v>0</v>
      </c>
      <c r="BQ12" s="24">
        <f>IF(BQ$4=Assumptions!$J$175,Assumptions!$J$178,0)</f>
        <v>0</v>
      </c>
      <c r="BR12" s="24">
        <f>IF(BR$4=Assumptions!$J$175,Assumptions!$J$178,0)</f>
        <v>0</v>
      </c>
      <c r="BS12" s="24">
        <f>IF(BS$4=Assumptions!$J$175,Assumptions!$J$178,0)</f>
        <v>0</v>
      </c>
      <c r="BT12" s="24">
        <f>IF(BT$4=Assumptions!$J$175,Assumptions!$J$178,0)</f>
        <v>0</v>
      </c>
      <c r="BU12" s="24">
        <f>IF(BU$4=Assumptions!$J$175,Assumptions!$J$178,0)</f>
        <v>0</v>
      </c>
      <c r="BV12" s="24">
        <f>IF(BV$4=Assumptions!$J$175,Assumptions!$J$178,0)</f>
        <v>0</v>
      </c>
      <c r="BW12" s="24">
        <f>IF(BW$4=Assumptions!$J$175,Assumptions!$J$178,0)</f>
        <v>0</v>
      </c>
      <c r="BX12" s="24">
        <f>IF(BX$4=Assumptions!$J$175,Assumptions!$J$178,0)</f>
        <v>0</v>
      </c>
      <c r="BY12" s="24">
        <f>IF(BY$4=Assumptions!$J$175,Assumptions!$J$178,0)</f>
        <v>0</v>
      </c>
      <c r="BZ12" s="24">
        <f>IF(BZ$4=Assumptions!$J$175,Assumptions!$J$178,0)</f>
        <v>0</v>
      </c>
      <c r="CA12" s="24">
        <f>IF(CA$4=Assumptions!$J$175,Assumptions!$J$178,0)</f>
        <v>0</v>
      </c>
      <c r="CB12" s="24">
        <f>IF(CB$4=Assumptions!$J$175,Assumptions!$J$178,0)</f>
        <v>0</v>
      </c>
      <c r="CC12" s="24">
        <f>IF(CC$4=Assumptions!$J$175,Assumptions!$J$178,0)</f>
        <v>0</v>
      </c>
      <c r="CD12" s="24">
        <f>IF(CD$4=Assumptions!$J$175,Assumptions!$J$178,0)</f>
        <v>0</v>
      </c>
      <c r="CE12" s="24">
        <f>IF(CE$4=Assumptions!$J$175,Assumptions!$J$178,0)</f>
        <v>0</v>
      </c>
      <c r="CF12" s="24">
        <f>IF(CF$4=Assumptions!$J$175,Assumptions!$J$178,0)</f>
        <v>0</v>
      </c>
      <c r="CG12" s="24">
        <f>IF(CG$4=Assumptions!$J$175,Assumptions!$J$178,0)</f>
        <v>0</v>
      </c>
      <c r="CH12" s="24">
        <f>IF(CH$4=Assumptions!$J$175,Assumptions!$J$178,0)</f>
        <v>0</v>
      </c>
      <c r="CI12" s="24">
        <f>IF(CI$4=Assumptions!$J$175,Assumptions!$J$178,0)</f>
        <v>0</v>
      </c>
      <c r="CJ12" s="24">
        <f>IF(CJ$4=Assumptions!$J$175,Assumptions!$J$178,0)</f>
        <v>0</v>
      </c>
      <c r="CK12" s="24">
        <f>IF(CK$4=Assumptions!$J$175,Assumptions!$J$178,0)</f>
        <v>0</v>
      </c>
      <c r="CL12" s="24">
        <f>IF(CL$4=Assumptions!$J$175,Assumptions!$J$178,0)</f>
        <v>0</v>
      </c>
      <c r="CM12" s="24">
        <f>IF(CM$4=Assumptions!$J$175,Assumptions!$J$178,0)</f>
        <v>0</v>
      </c>
      <c r="CN12" s="24">
        <f>IF(CN$4=Assumptions!$J$175,Assumptions!$J$178,0)</f>
        <v>0</v>
      </c>
      <c r="CO12" s="24">
        <f>IF(CO$4=Assumptions!$J$175,Assumptions!$J$178,0)</f>
        <v>0</v>
      </c>
      <c r="CP12" s="24">
        <f>IF(CP$4=Assumptions!$J$175,Assumptions!$J$178,0)</f>
        <v>0</v>
      </c>
      <c r="CQ12" s="24">
        <f>IF(CQ$4=Assumptions!$J$175,Assumptions!$J$178,0)</f>
        <v>0</v>
      </c>
      <c r="CR12" s="24">
        <f>IF(CR$4=Assumptions!$J$175,Assumptions!$J$178,0)</f>
        <v>0</v>
      </c>
      <c r="CS12" s="24">
        <f>IF(CS$4=Assumptions!$J$175,Assumptions!$J$178,0)</f>
        <v>0</v>
      </c>
      <c r="CT12" s="24">
        <f>IF(CT$4=Assumptions!$J$175,Assumptions!$J$178,0)</f>
        <v>0</v>
      </c>
      <c r="CU12" s="24">
        <f>IF(CU$4=Assumptions!$J$175,Assumptions!$J$178,0)</f>
        <v>0</v>
      </c>
      <c r="CV12" s="24">
        <f>IF(CV$4=Assumptions!$J$175,Assumptions!$J$178,0)</f>
        <v>0</v>
      </c>
      <c r="CW12" s="24">
        <f>IF(CW$4=Assumptions!$J$175,Assumptions!$J$178,0)</f>
        <v>0</v>
      </c>
      <c r="CX12" s="24">
        <f>IF(CX$4=Assumptions!$J$175,Assumptions!$J$178,0)</f>
        <v>0</v>
      </c>
      <c r="CY12" s="24">
        <f>IF(CY$4=Assumptions!$J$175,Assumptions!$J$178,0)</f>
        <v>0</v>
      </c>
      <c r="CZ12" s="24">
        <f>IF(CZ$4=Assumptions!$J$175,Assumptions!$J$178,0)</f>
        <v>0</v>
      </c>
      <c r="DA12" s="24">
        <f>IF(DA$4=Assumptions!$J$175,Assumptions!$J$178,0)</f>
        <v>0</v>
      </c>
      <c r="DB12" s="24">
        <f>IF(DB$4=Assumptions!$J$175,Assumptions!$J$178,0)</f>
        <v>0</v>
      </c>
      <c r="DC12" s="24">
        <f>IF(DC$4=Assumptions!$J$175,Assumptions!$J$178,0)</f>
        <v>0</v>
      </c>
      <c r="DD12" s="24">
        <f>IF(DD$4=Assumptions!$J$175,Assumptions!$J$178,0)</f>
        <v>0</v>
      </c>
      <c r="DE12" s="24">
        <f>IF(DE$4=Assumptions!$J$175,Assumptions!$J$178,0)</f>
        <v>0</v>
      </c>
      <c r="DF12" s="24">
        <f>IF(DF$4=Assumptions!$J$175,Assumptions!$J$178,0)</f>
        <v>0</v>
      </c>
      <c r="DG12" s="24">
        <f>IF(DG$4=Assumptions!$J$175,Assumptions!$J$178,0)</f>
        <v>0</v>
      </c>
      <c r="DH12" s="24">
        <f>IF(DH$4=Assumptions!$J$175,Assumptions!$J$178,0)</f>
        <v>0</v>
      </c>
      <c r="DI12" s="24">
        <f>IF(DI$4=Assumptions!$J$175,Assumptions!$J$178,0)</f>
        <v>0</v>
      </c>
      <c r="DJ12" s="24">
        <f>IF(DJ$4=Assumptions!$J$175,Assumptions!$J$178,0)</f>
        <v>0</v>
      </c>
      <c r="DK12" s="24">
        <f>IF(DK$4=Assumptions!$J$175,Assumptions!$J$178,0)</f>
        <v>0</v>
      </c>
      <c r="DL12" s="24">
        <f>IF(DL$4=Assumptions!$J$175,Assumptions!$J$178,0)</f>
        <v>0</v>
      </c>
      <c r="DM12" s="24">
        <f>IF(DM$4=Assumptions!$J$175,Assumptions!$J$178,0)</f>
        <v>0</v>
      </c>
      <c r="DN12" s="24">
        <f>IF(DN$4=Assumptions!$J$175,Assumptions!$J$178,0)</f>
        <v>0</v>
      </c>
      <c r="DO12" s="24">
        <f>IF(DO$4=Assumptions!$J$175,Assumptions!$J$178,0)</f>
        <v>0</v>
      </c>
      <c r="DP12" s="24">
        <f>IF(DP$4=Assumptions!$J$175,Assumptions!$J$178,0)</f>
        <v>0</v>
      </c>
      <c r="DQ12" s="24">
        <f>IF(DQ$4=Assumptions!$J$175,Assumptions!$J$178,0)</f>
        <v>0</v>
      </c>
      <c r="DR12" s="24">
        <f>IF(DR$4=Assumptions!$J$175,Assumptions!$J$178,0)</f>
        <v>0</v>
      </c>
      <c r="DS12" s="24">
        <f>IF(DS$4=Assumptions!$J$175,Assumptions!$J$178,0)</f>
        <v>0</v>
      </c>
      <c r="DT12" s="24">
        <f>IF(DT$4=Assumptions!$J$175,Assumptions!$J$178,0)</f>
        <v>0</v>
      </c>
      <c r="DU12" s="24">
        <f>IF(DU$4=Assumptions!$J$175,Assumptions!$J$178,0)</f>
        <v>0</v>
      </c>
      <c r="DV12" s="24">
        <f>IF(DV$4=Assumptions!$J$175,Assumptions!$J$178,0)</f>
        <v>0</v>
      </c>
      <c r="DW12" s="24">
        <f>IF(DW$4=Assumptions!$J$175,Assumptions!$J$178,0)</f>
        <v>0</v>
      </c>
      <c r="DX12" s="24">
        <f>IF(DX$4=Assumptions!$J$175,Assumptions!$J$178,0)</f>
        <v>0</v>
      </c>
      <c r="DY12" s="24">
        <f>IF(DY$4=Assumptions!$J$175,Assumptions!$J$178,0)</f>
        <v>0</v>
      </c>
      <c r="DZ12" s="24">
        <f>IF(DZ$4=Assumptions!$J$175,Assumptions!$J$178,0)</f>
        <v>0</v>
      </c>
      <c r="EA12" s="24">
        <f>IF(EA$4=Assumptions!$J$175,Assumptions!$J$178,0)</f>
        <v>0</v>
      </c>
      <c r="EB12" s="24">
        <f>IF(EB$4=Assumptions!$J$175,Assumptions!$J$178,0)</f>
        <v>0</v>
      </c>
      <c r="EC12" s="24">
        <f>IF(EC$4=Assumptions!$J$175,Assumptions!$J$178,0)</f>
        <v>0</v>
      </c>
      <c r="ED12" s="24">
        <f>IF(ED$4=Assumptions!$J$175,Assumptions!$J$178,0)</f>
        <v>0</v>
      </c>
      <c r="EE12" s="24">
        <f>IF(EE$4=Assumptions!$J$175,Assumptions!$J$178,0)</f>
        <v>0</v>
      </c>
      <c r="EF12" s="24">
        <f>IF(EF$4=Assumptions!$J$175,Assumptions!$J$178,0)</f>
        <v>0</v>
      </c>
      <c r="EG12" s="24">
        <f>IF(EG$4=Assumptions!$J$175,Assumptions!$J$178,0)</f>
        <v>0</v>
      </c>
      <c r="EH12" s="24">
        <f>IF(EH$4=Assumptions!$J$175,Assumptions!$J$178,0)</f>
        <v>0</v>
      </c>
      <c r="EI12" s="24">
        <f>IF(EI$4=Assumptions!$J$175,Assumptions!$J$178,0)</f>
        <v>0</v>
      </c>
      <c r="EM12" s="1" t="s">
        <v>178</v>
      </c>
    </row>
    <row r="13" spans="2:143" x14ac:dyDescent="0.45">
      <c r="D13" s="1" t="s">
        <v>10</v>
      </c>
      <c r="G13" s="24">
        <f>IF(G$4=Assumptions!$J$175,Assumptions!$J$180,0)</f>
        <v>0</v>
      </c>
      <c r="H13" s="24">
        <f>IF(H$4=Assumptions!$J$175,Assumptions!$J$180,0)</f>
        <v>0</v>
      </c>
      <c r="I13" s="24">
        <f>IF(I$4=Assumptions!$J$175,Assumptions!$J$180,0)</f>
        <v>0</v>
      </c>
      <c r="J13" s="24">
        <f>IF(J$4=Assumptions!$J$175,Assumptions!$J$180,0)</f>
        <v>0</v>
      </c>
      <c r="K13" s="24">
        <f>IF(K$4=Assumptions!$J$175,Assumptions!$J$180,0)</f>
        <v>0</v>
      </c>
      <c r="L13" s="24">
        <f>IF(L$4=Assumptions!$J$175,Assumptions!$J$180,0)</f>
        <v>0</v>
      </c>
      <c r="M13" s="24">
        <f>IF(M$4=Assumptions!$J$175,Assumptions!$J$180,0)</f>
        <v>0</v>
      </c>
      <c r="N13" s="24">
        <f>IF(N$4=Assumptions!$J$175,Assumptions!$J$180,0)</f>
        <v>0</v>
      </c>
      <c r="O13" s="24">
        <f>IF(O$4=Assumptions!$J$175,Assumptions!$J$180,0)</f>
        <v>0</v>
      </c>
      <c r="P13" s="24">
        <f>IF(P$4=Assumptions!$J$175,Assumptions!$J$180,0)</f>
        <v>0</v>
      </c>
      <c r="Q13" s="24">
        <f>IF(Q$4=Assumptions!$J$175,Assumptions!$J$180,0)</f>
        <v>0</v>
      </c>
      <c r="R13" s="24">
        <f>IF(R$4=Assumptions!$J$175,Assumptions!$J$180,0)</f>
        <v>0</v>
      </c>
      <c r="S13" s="24">
        <f>IF(S$4=Assumptions!$J$175,Assumptions!$J$180,0)</f>
        <v>0</v>
      </c>
      <c r="T13" s="24">
        <f>IF(T$4=Assumptions!$J$175,Assumptions!$J$180,0)</f>
        <v>0</v>
      </c>
      <c r="U13" s="24">
        <f>IF(U$4=Assumptions!$J$175,Assumptions!$J$180,0)</f>
        <v>0</v>
      </c>
      <c r="V13" s="24">
        <f>IF(V$4=Assumptions!$J$175,Assumptions!$J$180,0)</f>
        <v>0</v>
      </c>
      <c r="W13" s="24">
        <f>IF(W$4=Assumptions!$J$175,Assumptions!$J$180,0)</f>
        <v>0</v>
      </c>
      <c r="X13" s="24">
        <f>IF(X$4=Assumptions!$J$175,Assumptions!$J$180,0)</f>
        <v>0</v>
      </c>
      <c r="Y13" s="24">
        <f>IF(Y$4=Assumptions!$J$175,Assumptions!$J$180,0)</f>
        <v>0</v>
      </c>
      <c r="Z13" s="24">
        <f>IF(Z$4=Assumptions!$J$175,Assumptions!$J$180,0)</f>
        <v>0</v>
      </c>
      <c r="AA13" s="24">
        <f>IF(AA$4=Assumptions!$J$175,Assumptions!$J$180,0)</f>
        <v>0</v>
      </c>
      <c r="AB13" s="24">
        <f>IF(AB$4=Assumptions!$J$175,Assumptions!$J$180,0)</f>
        <v>0</v>
      </c>
      <c r="AC13" s="24">
        <f>IF(AC$4=Assumptions!$J$175,Assumptions!$J$180,0)</f>
        <v>0</v>
      </c>
      <c r="AD13" s="24">
        <f>IF(AD$4=Assumptions!$J$175,Assumptions!$J$180,0)</f>
        <v>0</v>
      </c>
      <c r="AE13" s="24">
        <f>IF(AE$4=Assumptions!$J$175,Assumptions!$J$180,0)</f>
        <v>0</v>
      </c>
      <c r="AF13" s="24">
        <f>IF(AF$4=Assumptions!$J$175,Assumptions!$J$180,0)</f>
        <v>0</v>
      </c>
      <c r="AG13" s="24">
        <f>IF(AG$4=Assumptions!$J$175,Assumptions!$J$180,0)</f>
        <v>0</v>
      </c>
      <c r="AH13" s="24">
        <f>IF(AH$4=Assumptions!$J$175,Assumptions!$J$180,0)</f>
        <v>0</v>
      </c>
      <c r="AI13" s="24">
        <f>IF(AI$4=Assumptions!$J$175,Assumptions!$J$180,0)</f>
        <v>0</v>
      </c>
      <c r="AJ13" s="24">
        <f>IF(AJ$4=Assumptions!$J$175,Assumptions!$J$180,0)</f>
        <v>0</v>
      </c>
      <c r="AK13" s="24">
        <f>IF(AK$4=Assumptions!$J$175,Assumptions!$J$180,0)</f>
        <v>0</v>
      </c>
      <c r="AL13" s="24">
        <f>IF(AL$4=Assumptions!$J$175,Assumptions!$J$180,0)</f>
        <v>0</v>
      </c>
      <c r="AM13" s="24">
        <f>IF(AM$4=Assumptions!$J$175,Assumptions!$J$180,0)</f>
        <v>0</v>
      </c>
      <c r="AN13" s="24">
        <f>IF(AN$4=Assumptions!$J$175,Assumptions!$J$180,0)</f>
        <v>0</v>
      </c>
      <c r="AO13" s="24">
        <f>IF(AO$4=Assumptions!$J$175,Assumptions!$J$180,0)</f>
        <v>0</v>
      </c>
      <c r="AP13" s="24">
        <f>IF(AP$4=Assumptions!$J$175,Assumptions!$J$180,0)</f>
        <v>0</v>
      </c>
      <c r="AQ13" s="24">
        <f>IF(AQ$4=Assumptions!$J$175,Assumptions!$J$180,0)</f>
        <v>0</v>
      </c>
      <c r="AR13" s="24">
        <f>IF(AR$4=Assumptions!$J$175,Assumptions!$J$180,0)</f>
        <v>0</v>
      </c>
      <c r="AS13" s="24">
        <f>IF(AS$4=Assumptions!$J$175,Assumptions!$J$180,0)</f>
        <v>0</v>
      </c>
      <c r="AT13" s="24">
        <f>IF(AT$4=Assumptions!$J$175,Assumptions!$J$180,0)</f>
        <v>0</v>
      </c>
      <c r="AU13" s="24">
        <f>IF(AU$4=Assumptions!$J$175,Assumptions!$J$180,0)</f>
        <v>0</v>
      </c>
      <c r="AV13" s="24">
        <f>IF(AV$4=Assumptions!$J$175,Assumptions!$J$180,0)</f>
        <v>0</v>
      </c>
      <c r="AW13" s="24">
        <f>IF(AW$4=Assumptions!$J$175,Assumptions!$J$180,0)</f>
        <v>0</v>
      </c>
      <c r="AX13" s="24">
        <f>IF(AX$4=Assumptions!$J$175,Assumptions!$J$180,0)</f>
        <v>0</v>
      </c>
      <c r="AY13" s="24">
        <f>IF(AY$4=Assumptions!$J$175,Assumptions!$J$180,0)</f>
        <v>0</v>
      </c>
      <c r="AZ13" s="24">
        <f>IF(AZ$4=Assumptions!$J$175,Assumptions!$J$180,0)</f>
        <v>0</v>
      </c>
      <c r="BA13" s="24">
        <f>IF(BA$4=Assumptions!$J$175,Assumptions!$J$180,0)</f>
        <v>0</v>
      </c>
      <c r="BB13" s="24">
        <f>IF(BB$4=Assumptions!$J$175,Assumptions!$J$180,0)</f>
        <v>0</v>
      </c>
      <c r="BC13" s="24">
        <f>IF(BC$4=Assumptions!$J$175,Assumptions!$J$180,0)</f>
        <v>0</v>
      </c>
      <c r="BD13" s="24">
        <f>IF(BD$4=Assumptions!$J$175,Assumptions!$J$180,0)</f>
        <v>0</v>
      </c>
      <c r="BE13" s="24">
        <f>IF(BE$4=Assumptions!$J$175,Assumptions!$J$180,0)</f>
        <v>0</v>
      </c>
      <c r="BF13" s="24">
        <f>IF(BF$4=Assumptions!$J$175,Assumptions!$J$180,0)</f>
        <v>0</v>
      </c>
      <c r="BG13" s="24">
        <f>IF(BG$4=Assumptions!$J$175,Assumptions!$J$180,0)</f>
        <v>0</v>
      </c>
      <c r="BH13" s="24">
        <f>IF(BH$4=Assumptions!$J$175,Assumptions!$J$180,0)</f>
        <v>0</v>
      </c>
      <c r="BI13" s="24">
        <f>IF(BI$4=Assumptions!$J$175,Assumptions!$J$180,0)</f>
        <v>0</v>
      </c>
      <c r="BJ13" s="24">
        <f>IF(BJ$4=Assumptions!$J$175,Assumptions!$J$180,0)</f>
        <v>0</v>
      </c>
      <c r="BK13" s="24">
        <f>IF(BK$4=Assumptions!$J$175,Assumptions!$J$180,0)</f>
        <v>0</v>
      </c>
      <c r="BL13" s="24">
        <f>IF(BL$4=Assumptions!$J$175,Assumptions!$J$180,0)</f>
        <v>0</v>
      </c>
      <c r="BM13" s="24">
        <f>IF(BM$4=Assumptions!$J$175,Assumptions!$J$180,0)</f>
        <v>0</v>
      </c>
      <c r="BN13" s="24">
        <f>IF(BN$4=Assumptions!$J$175,Assumptions!$J$180,0)</f>
        <v>0</v>
      </c>
      <c r="BO13" s="24">
        <f>IF(BO$4=Assumptions!$J$175,Assumptions!$J$180,0)</f>
        <v>0</v>
      </c>
      <c r="BP13" s="24">
        <f>IF(BP$4=Assumptions!$J$175,Assumptions!$J$180,0)</f>
        <v>0</v>
      </c>
      <c r="BQ13" s="24">
        <f>IF(BQ$4=Assumptions!$J$175,Assumptions!$J$180,0)</f>
        <v>0</v>
      </c>
      <c r="BR13" s="24">
        <f>IF(BR$4=Assumptions!$J$175,Assumptions!$J$180,0)</f>
        <v>0</v>
      </c>
      <c r="BS13" s="24">
        <f>IF(BS$4=Assumptions!$J$175,Assumptions!$J$180,0)</f>
        <v>0</v>
      </c>
      <c r="BT13" s="24">
        <f>IF(BT$4=Assumptions!$J$175,Assumptions!$J$180,0)</f>
        <v>0</v>
      </c>
      <c r="BU13" s="24">
        <f>IF(BU$4=Assumptions!$J$175,Assumptions!$J$180,0)</f>
        <v>0</v>
      </c>
      <c r="BV13" s="24">
        <f>IF(BV$4=Assumptions!$J$175,Assumptions!$J$180,0)</f>
        <v>0</v>
      </c>
      <c r="BW13" s="24">
        <f>IF(BW$4=Assumptions!$J$175,Assumptions!$J$180,0)</f>
        <v>0</v>
      </c>
      <c r="BX13" s="24">
        <f>IF(BX$4=Assumptions!$J$175,Assumptions!$J$180,0)</f>
        <v>0</v>
      </c>
      <c r="BY13" s="24">
        <f>IF(BY$4=Assumptions!$J$175,Assumptions!$J$180,0)</f>
        <v>0</v>
      </c>
      <c r="BZ13" s="24">
        <f>IF(BZ$4=Assumptions!$J$175,Assumptions!$J$180,0)</f>
        <v>0</v>
      </c>
      <c r="CA13" s="24">
        <f>IF(CA$4=Assumptions!$J$175,Assumptions!$J$180,0)</f>
        <v>0</v>
      </c>
      <c r="CB13" s="24">
        <f>IF(CB$4=Assumptions!$J$175,Assumptions!$J$180,0)</f>
        <v>0</v>
      </c>
      <c r="CC13" s="24">
        <f>IF(CC$4=Assumptions!$J$175,Assumptions!$J$180,0)</f>
        <v>0</v>
      </c>
      <c r="CD13" s="24">
        <f>IF(CD$4=Assumptions!$J$175,Assumptions!$J$180,0)</f>
        <v>0</v>
      </c>
      <c r="CE13" s="24">
        <f>IF(CE$4=Assumptions!$J$175,Assumptions!$J$180,0)</f>
        <v>0</v>
      </c>
      <c r="CF13" s="24">
        <f>IF(CF$4=Assumptions!$J$175,Assumptions!$J$180,0)</f>
        <v>0</v>
      </c>
      <c r="CG13" s="24">
        <f>IF(CG$4=Assumptions!$J$175,Assumptions!$J$180,0)</f>
        <v>0</v>
      </c>
      <c r="CH13" s="24">
        <f>IF(CH$4=Assumptions!$J$175,Assumptions!$J$180,0)</f>
        <v>0</v>
      </c>
      <c r="CI13" s="24">
        <f>IF(CI$4=Assumptions!$J$175,Assumptions!$J$180,0)</f>
        <v>0</v>
      </c>
      <c r="CJ13" s="24">
        <f>IF(CJ$4=Assumptions!$J$175,Assumptions!$J$180,0)</f>
        <v>0</v>
      </c>
      <c r="CK13" s="24">
        <f>IF(CK$4=Assumptions!$J$175,Assumptions!$J$180,0)</f>
        <v>0</v>
      </c>
      <c r="CL13" s="24">
        <f>IF(CL$4=Assumptions!$J$175,Assumptions!$J$180,0)</f>
        <v>0</v>
      </c>
      <c r="CM13" s="24">
        <f>IF(CM$4=Assumptions!$J$175,Assumptions!$J$180,0)</f>
        <v>0</v>
      </c>
      <c r="CN13" s="24">
        <f>IF(CN$4=Assumptions!$J$175,Assumptions!$J$180,0)</f>
        <v>0</v>
      </c>
      <c r="CO13" s="24">
        <f>IF(CO$4=Assumptions!$J$175,Assumptions!$J$180,0)</f>
        <v>0</v>
      </c>
      <c r="CP13" s="24">
        <f>IF(CP$4=Assumptions!$J$175,Assumptions!$J$180,0)</f>
        <v>0</v>
      </c>
      <c r="CQ13" s="24">
        <f>IF(CQ$4=Assumptions!$J$175,Assumptions!$J$180,0)</f>
        <v>0</v>
      </c>
      <c r="CR13" s="24">
        <f>IF(CR$4=Assumptions!$J$175,Assumptions!$J$180,0)</f>
        <v>0</v>
      </c>
      <c r="CS13" s="24">
        <f>IF(CS$4=Assumptions!$J$175,Assumptions!$J$180,0)</f>
        <v>0</v>
      </c>
      <c r="CT13" s="24">
        <f>IF(CT$4=Assumptions!$J$175,Assumptions!$J$180,0)</f>
        <v>0</v>
      </c>
      <c r="CU13" s="24">
        <f>IF(CU$4=Assumptions!$J$175,Assumptions!$J$180,0)</f>
        <v>0</v>
      </c>
      <c r="CV13" s="24">
        <f>IF(CV$4=Assumptions!$J$175,Assumptions!$J$180,0)</f>
        <v>0</v>
      </c>
      <c r="CW13" s="24">
        <f>IF(CW$4=Assumptions!$J$175,Assumptions!$J$180,0)</f>
        <v>0</v>
      </c>
      <c r="CX13" s="24">
        <f>IF(CX$4=Assumptions!$J$175,Assumptions!$J$180,0)</f>
        <v>0</v>
      </c>
      <c r="CY13" s="24">
        <f>IF(CY$4=Assumptions!$J$175,Assumptions!$J$180,0)</f>
        <v>0</v>
      </c>
      <c r="CZ13" s="24">
        <f>IF(CZ$4=Assumptions!$J$175,Assumptions!$J$180,0)</f>
        <v>0</v>
      </c>
      <c r="DA13" s="24">
        <f>IF(DA$4=Assumptions!$J$175,Assumptions!$J$180,0)</f>
        <v>0</v>
      </c>
      <c r="DB13" s="24">
        <f>IF(DB$4=Assumptions!$J$175,Assumptions!$J$180,0)</f>
        <v>0</v>
      </c>
      <c r="DC13" s="24">
        <f>IF(DC$4=Assumptions!$J$175,Assumptions!$J$180,0)</f>
        <v>0</v>
      </c>
      <c r="DD13" s="24">
        <f>IF(DD$4=Assumptions!$J$175,Assumptions!$J$180,0)</f>
        <v>0</v>
      </c>
      <c r="DE13" s="24">
        <f>IF(DE$4=Assumptions!$J$175,Assumptions!$J$180,0)</f>
        <v>0</v>
      </c>
      <c r="DF13" s="24">
        <f>IF(DF$4=Assumptions!$J$175,Assumptions!$J$180,0)</f>
        <v>0</v>
      </c>
      <c r="DG13" s="24">
        <f>IF(DG$4=Assumptions!$J$175,Assumptions!$J$180,0)</f>
        <v>0</v>
      </c>
      <c r="DH13" s="24">
        <f>IF(DH$4=Assumptions!$J$175,Assumptions!$J$180,0)</f>
        <v>0</v>
      </c>
      <c r="DI13" s="24">
        <f>IF(DI$4=Assumptions!$J$175,Assumptions!$J$180,0)</f>
        <v>0</v>
      </c>
      <c r="DJ13" s="24">
        <f>IF(DJ$4=Assumptions!$J$175,Assumptions!$J$180,0)</f>
        <v>0</v>
      </c>
      <c r="DK13" s="24">
        <f>IF(DK$4=Assumptions!$J$175,Assumptions!$J$180,0)</f>
        <v>0</v>
      </c>
      <c r="DL13" s="24">
        <f>IF(DL$4=Assumptions!$J$175,Assumptions!$J$180,0)</f>
        <v>0</v>
      </c>
      <c r="DM13" s="24">
        <f>IF(DM$4=Assumptions!$J$175,Assumptions!$J$180,0)</f>
        <v>0</v>
      </c>
      <c r="DN13" s="24">
        <f>IF(DN$4=Assumptions!$J$175,Assumptions!$J$180,0)</f>
        <v>0</v>
      </c>
      <c r="DO13" s="24">
        <f>IF(DO$4=Assumptions!$J$175,Assumptions!$J$180,0)</f>
        <v>0</v>
      </c>
      <c r="DP13" s="24">
        <f>IF(DP$4=Assumptions!$J$175,Assumptions!$J$180,0)</f>
        <v>0</v>
      </c>
      <c r="DQ13" s="24">
        <f>IF(DQ$4=Assumptions!$J$175,Assumptions!$J$180,0)</f>
        <v>0</v>
      </c>
      <c r="DR13" s="24">
        <f>IF(DR$4=Assumptions!$J$175,Assumptions!$J$180,0)</f>
        <v>0</v>
      </c>
      <c r="DS13" s="24">
        <f>IF(DS$4=Assumptions!$J$175,Assumptions!$J$180,0)</f>
        <v>0</v>
      </c>
      <c r="DT13" s="24">
        <f>IF(DT$4=Assumptions!$J$175,Assumptions!$J$180,0)</f>
        <v>0</v>
      </c>
      <c r="DU13" s="24">
        <f>IF(DU$4=Assumptions!$J$175,Assumptions!$J$180,0)</f>
        <v>0</v>
      </c>
      <c r="DV13" s="24">
        <f>IF(DV$4=Assumptions!$J$175,Assumptions!$J$180,0)</f>
        <v>0</v>
      </c>
      <c r="DW13" s="24">
        <f>IF(DW$4=Assumptions!$J$175,Assumptions!$J$180,0)</f>
        <v>0</v>
      </c>
      <c r="DX13" s="24">
        <f>IF(DX$4=Assumptions!$J$175,Assumptions!$J$180,0)</f>
        <v>0</v>
      </c>
      <c r="DY13" s="24">
        <f>IF(DY$4=Assumptions!$J$175,Assumptions!$J$180,0)</f>
        <v>0</v>
      </c>
      <c r="DZ13" s="24">
        <f>IF(DZ$4=Assumptions!$J$175,Assumptions!$J$180,0)</f>
        <v>0</v>
      </c>
      <c r="EA13" s="24">
        <f>IF(EA$4=Assumptions!$J$175,Assumptions!$J$180,0)</f>
        <v>0</v>
      </c>
      <c r="EB13" s="24">
        <f>IF(EB$4=Assumptions!$J$175,Assumptions!$J$180,0)</f>
        <v>0</v>
      </c>
      <c r="EC13" s="24">
        <f>IF(EC$4=Assumptions!$J$175,Assumptions!$J$180,0)</f>
        <v>0</v>
      </c>
      <c r="ED13" s="24">
        <f>IF(ED$4=Assumptions!$J$175,Assumptions!$J$180,0)</f>
        <v>0</v>
      </c>
      <c r="EE13" s="24">
        <f>IF(EE$4=Assumptions!$J$175,Assumptions!$J$180,0)</f>
        <v>0</v>
      </c>
      <c r="EF13" s="24">
        <f>IF(EF$4=Assumptions!$J$175,Assumptions!$J$180,0)</f>
        <v>0</v>
      </c>
      <c r="EG13" s="24">
        <f>IF(EG$4=Assumptions!$J$175,Assumptions!$J$180,0)</f>
        <v>0</v>
      </c>
      <c r="EH13" s="24">
        <f>IF(EH$4=Assumptions!$J$175,Assumptions!$J$180,0)</f>
        <v>0</v>
      </c>
      <c r="EI13" s="24">
        <f>IF(EI$4=Assumptions!$J$175,Assumptions!$J$180,0)</f>
        <v>0</v>
      </c>
      <c r="EM13" s="1" t="s">
        <v>178</v>
      </c>
    </row>
    <row r="14" spans="2:143" s="8" customFormat="1" x14ac:dyDescent="0.45">
      <c r="D14" s="4" t="s">
        <v>12</v>
      </c>
      <c r="E14" s="4"/>
      <c r="F14" s="4"/>
      <c r="G14" s="26">
        <f>IF(G$4=Assumptions!$J$175,Assumptions!$J$181,0)</f>
        <v>0</v>
      </c>
      <c r="H14" s="26">
        <f>IF(H$4=Assumptions!$J$175,Assumptions!$J$181,0)</f>
        <v>0</v>
      </c>
      <c r="I14" s="26">
        <f>IF(I$4=Assumptions!$J$175,Assumptions!$J$181,0)</f>
        <v>0</v>
      </c>
      <c r="J14" s="26">
        <f>IF(J$4=Assumptions!$J$175,Assumptions!$J$181,0)</f>
        <v>0</v>
      </c>
      <c r="K14" s="26">
        <f>IF(K$4=Assumptions!$J$175,Assumptions!$J$181,0)</f>
        <v>0</v>
      </c>
      <c r="L14" s="26">
        <f>IF(L$4=Assumptions!$J$175,Assumptions!$J$181,0)</f>
        <v>0</v>
      </c>
      <c r="M14" s="26">
        <f>IF(M$4=Assumptions!$J$175,Assumptions!$J$181,0)</f>
        <v>0</v>
      </c>
      <c r="N14" s="26">
        <f>IF(N$4=Assumptions!$J$175,Assumptions!$J$181,0)</f>
        <v>0</v>
      </c>
      <c r="O14" s="26">
        <f>IF(O$4=Assumptions!$J$175,Assumptions!$J$181,0)</f>
        <v>0</v>
      </c>
      <c r="P14" s="26">
        <f>IF(P$4=Assumptions!$J$175,Assumptions!$J$181,0)</f>
        <v>0</v>
      </c>
      <c r="Q14" s="26">
        <f>IF(Q$4=Assumptions!$J$175,Assumptions!$J$181,0)</f>
        <v>0</v>
      </c>
      <c r="R14" s="26">
        <f>IF(R$4=Assumptions!$J$175,Assumptions!$J$181,0)</f>
        <v>0</v>
      </c>
      <c r="S14" s="26">
        <f>IF(S$4=Assumptions!$J$175,Assumptions!$J$181,0)</f>
        <v>0</v>
      </c>
      <c r="T14" s="26">
        <f>IF(T$4=Assumptions!$J$175,Assumptions!$J$181,0)</f>
        <v>0</v>
      </c>
      <c r="U14" s="26">
        <f>IF(U$4=Assumptions!$J$175,Assumptions!$J$181,0)</f>
        <v>0</v>
      </c>
      <c r="V14" s="26">
        <f>IF(V$4=Assumptions!$J$175,Assumptions!$J$181,0)</f>
        <v>0</v>
      </c>
      <c r="W14" s="26">
        <f>IF(W$4=Assumptions!$J$175,Assumptions!$J$181,0)</f>
        <v>0</v>
      </c>
      <c r="X14" s="26">
        <f>IF(X$4=Assumptions!$J$175,Assumptions!$J$181,0)</f>
        <v>0</v>
      </c>
      <c r="Y14" s="26">
        <f>IF(Y$4=Assumptions!$J$175,Assumptions!$J$181,0)</f>
        <v>0</v>
      </c>
      <c r="Z14" s="26">
        <f>IF(Z$4=Assumptions!$J$175,Assumptions!$J$181,0)</f>
        <v>0</v>
      </c>
      <c r="AA14" s="26">
        <f>IF(AA$4=Assumptions!$J$175,Assumptions!$J$181,0)</f>
        <v>0</v>
      </c>
      <c r="AB14" s="26">
        <f>IF(AB$4=Assumptions!$J$175,Assumptions!$J$181,0)</f>
        <v>0</v>
      </c>
      <c r="AC14" s="26">
        <f>IF(AC$4=Assumptions!$J$175,Assumptions!$J$181,0)</f>
        <v>0</v>
      </c>
      <c r="AD14" s="26">
        <f>IF(AD$4=Assumptions!$J$175,Assumptions!$J$181,0)</f>
        <v>0</v>
      </c>
      <c r="AE14" s="26">
        <f>IF(AE$4=Assumptions!$J$175,Assumptions!$J$181,0)</f>
        <v>0</v>
      </c>
      <c r="AF14" s="26">
        <f>IF(AF$4=Assumptions!$J$175,Assumptions!$J$181,0)</f>
        <v>0</v>
      </c>
      <c r="AG14" s="26">
        <f>IF(AG$4=Assumptions!$J$175,Assumptions!$J$181,0)</f>
        <v>0</v>
      </c>
      <c r="AH14" s="26">
        <f>IF(AH$4=Assumptions!$J$175,Assumptions!$J$181,0)</f>
        <v>0</v>
      </c>
      <c r="AI14" s="26">
        <f>IF(AI$4=Assumptions!$J$175,Assumptions!$J$181,0)</f>
        <v>0</v>
      </c>
      <c r="AJ14" s="26">
        <f>IF(AJ$4=Assumptions!$J$175,Assumptions!$J$181,0)</f>
        <v>0</v>
      </c>
      <c r="AK14" s="26">
        <f>IF(AK$4=Assumptions!$J$175,Assumptions!$J$181,0)</f>
        <v>0</v>
      </c>
      <c r="AL14" s="26">
        <f>IF(AL$4=Assumptions!$J$175,Assumptions!$J$181,0)</f>
        <v>0</v>
      </c>
      <c r="AM14" s="26">
        <f>IF(AM$4=Assumptions!$J$175,Assumptions!$J$181,0)</f>
        <v>0</v>
      </c>
      <c r="AN14" s="26">
        <f>IF(AN$4=Assumptions!$J$175,Assumptions!$J$181,0)</f>
        <v>0</v>
      </c>
      <c r="AO14" s="26">
        <f>IF(AO$4=Assumptions!$J$175,Assumptions!$J$181,0)</f>
        <v>0</v>
      </c>
      <c r="AP14" s="26">
        <f>IF(AP$4=Assumptions!$J$175,Assumptions!$J$181,0)</f>
        <v>0</v>
      </c>
      <c r="AQ14" s="26">
        <f>IF(AQ$4=Assumptions!$J$175,Assumptions!$J$181,0)</f>
        <v>0</v>
      </c>
      <c r="AR14" s="26">
        <f>IF(AR$4=Assumptions!$J$175,Assumptions!$J$181,0)</f>
        <v>0</v>
      </c>
      <c r="AS14" s="26">
        <f>IF(AS$4=Assumptions!$J$175,Assumptions!$J$181,0)</f>
        <v>0</v>
      </c>
      <c r="AT14" s="26">
        <f>IF(AT$4=Assumptions!$J$175,Assumptions!$J$181,0)</f>
        <v>0</v>
      </c>
      <c r="AU14" s="26">
        <f>IF(AU$4=Assumptions!$J$175,Assumptions!$J$181,0)</f>
        <v>0</v>
      </c>
      <c r="AV14" s="26">
        <f>IF(AV$4=Assumptions!$J$175,Assumptions!$J$181,0)</f>
        <v>0</v>
      </c>
      <c r="AW14" s="26">
        <f>IF(AW$4=Assumptions!$J$175,Assumptions!$J$181,0)</f>
        <v>0</v>
      </c>
      <c r="AX14" s="26">
        <f>IF(AX$4=Assumptions!$J$175,Assumptions!$J$181,0)</f>
        <v>0</v>
      </c>
      <c r="AY14" s="26">
        <f>IF(AY$4=Assumptions!$J$175,Assumptions!$J$181,0)</f>
        <v>0</v>
      </c>
      <c r="AZ14" s="26">
        <f>IF(AZ$4=Assumptions!$J$175,Assumptions!$J$181,0)</f>
        <v>0</v>
      </c>
      <c r="BA14" s="26">
        <f>IF(BA$4=Assumptions!$J$175,Assumptions!$J$181,0)</f>
        <v>0</v>
      </c>
      <c r="BB14" s="26">
        <f>IF(BB$4=Assumptions!$J$175,Assumptions!$J$181,0)</f>
        <v>0</v>
      </c>
      <c r="BC14" s="26">
        <f>IF(BC$4=Assumptions!$J$175,Assumptions!$J$181,0)</f>
        <v>0</v>
      </c>
      <c r="BD14" s="26">
        <f>IF(BD$4=Assumptions!$J$175,Assumptions!$J$181,0)</f>
        <v>0</v>
      </c>
      <c r="BE14" s="26">
        <f>IF(BE$4=Assumptions!$J$175,Assumptions!$J$181,0)</f>
        <v>0</v>
      </c>
      <c r="BF14" s="26">
        <f>IF(BF$4=Assumptions!$J$175,Assumptions!$J$181,0)</f>
        <v>0</v>
      </c>
      <c r="BG14" s="26">
        <f>IF(BG$4=Assumptions!$J$175,Assumptions!$J$181,0)</f>
        <v>0</v>
      </c>
      <c r="BH14" s="26">
        <f>IF(BH$4=Assumptions!$J$175,Assumptions!$J$181,0)</f>
        <v>0</v>
      </c>
      <c r="BI14" s="26">
        <f>IF(BI$4=Assumptions!$J$175,Assumptions!$J$181,0)</f>
        <v>0</v>
      </c>
      <c r="BJ14" s="26">
        <f>IF(BJ$4=Assumptions!$J$175,Assumptions!$J$181,0)</f>
        <v>0</v>
      </c>
      <c r="BK14" s="26">
        <f>IF(BK$4=Assumptions!$J$175,Assumptions!$J$181,0)</f>
        <v>0</v>
      </c>
      <c r="BL14" s="26">
        <f>IF(BL$4=Assumptions!$J$175,Assumptions!$J$181,0)</f>
        <v>0</v>
      </c>
      <c r="BM14" s="26">
        <f>IF(BM$4=Assumptions!$J$175,Assumptions!$J$181,0)</f>
        <v>0</v>
      </c>
      <c r="BN14" s="26">
        <f>IF(BN$4=Assumptions!$J$175,Assumptions!$J$181,0)</f>
        <v>0</v>
      </c>
      <c r="BO14" s="26">
        <f>IF(BO$4=Assumptions!$J$175,Assumptions!$J$181,0)</f>
        <v>0</v>
      </c>
      <c r="BP14" s="26">
        <f>IF(BP$4=Assumptions!$J$175,Assumptions!$J$181,0)</f>
        <v>0</v>
      </c>
      <c r="BQ14" s="26">
        <f>IF(BQ$4=Assumptions!$J$175,Assumptions!$J$181,0)</f>
        <v>0</v>
      </c>
      <c r="BR14" s="26">
        <f>IF(BR$4=Assumptions!$J$175,Assumptions!$J$181,0)</f>
        <v>0</v>
      </c>
      <c r="BS14" s="26">
        <f>IF(BS$4=Assumptions!$J$175,Assumptions!$J$181,0)</f>
        <v>0</v>
      </c>
      <c r="BT14" s="26">
        <f>IF(BT$4=Assumptions!$J$175,Assumptions!$J$181,0)</f>
        <v>0</v>
      </c>
      <c r="BU14" s="26">
        <f>IF(BU$4=Assumptions!$J$175,Assumptions!$J$181,0)</f>
        <v>0</v>
      </c>
      <c r="BV14" s="26">
        <f>IF(BV$4=Assumptions!$J$175,Assumptions!$J$181,0)</f>
        <v>0</v>
      </c>
      <c r="BW14" s="26">
        <f>IF(BW$4=Assumptions!$J$175,Assumptions!$J$181,0)</f>
        <v>0</v>
      </c>
      <c r="BX14" s="26">
        <f>IF(BX$4=Assumptions!$J$175,Assumptions!$J$181,0)</f>
        <v>0</v>
      </c>
      <c r="BY14" s="26">
        <f>IF(BY$4=Assumptions!$J$175,Assumptions!$J$181,0)</f>
        <v>0</v>
      </c>
      <c r="BZ14" s="26">
        <f>IF(BZ$4=Assumptions!$J$175,Assumptions!$J$181,0)</f>
        <v>0</v>
      </c>
      <c r="CA14" s="26">
        <f>IF(CA$4=Assumptions!$J$175,Assumptions!$J$181,0)</f>
        <v>0</v>
      </c>
      <c r="CB14" s="26">
        <f>IF(CB$4=Assumptions!$J$175,Assumptions!$J$181,0)</f>
        <v>0</v>
      </c>
      <c r="CC14" s="26">
        <f>IF(CC$4=Assumptions!$J$175,Assumptions!$J$181,0)</f>
        <v>0</v>
      </c>
      <c r="CD14" s="26">
        <f>IF(CD$4=Assumptions!$J$175,Assumptions!$J$181,0)</f>
        <v>0</v>
      </c>
      <c r="CE14" s="26">
        <f>IF(CE$4=Assumptions!$J$175,Assumptions!$J$181,0)</f>
        <v>0</v>
      </c>
      <c r="CF14" s="26">
        <f>IF(CF$4=Assumptions!$J$175,Assumptions!$J$181,0)</f>
        <v>0</v>
      </c>
      <c r="CG14" s="26">
        <f>IF(CG$4=Assumptions!$J$175,Assumptions!$J$181,0)</f>
        <v>0</v>
      </c>
      <c r="CH14" s="26">
        <f>IF(CH$4=Assumptions!$J$175,Assumptions!$J$181,0)</f>
        <v>0</v>
      </c>
      <c r="CI14" s="26">
        <f>IF(CI$4=Assumptions!$J$175,Assumptions!$J$181,0)</f>
        <v>0</v>
      </c>
      <c r="CJ14" s="26">
        <f>IF(CJ$4=Assumptions!$J$175,Assumptions!$J$181,0)</f>
        <v>0</v>
      </c>
      <c r="CK14" s="26">
        <f>IF(CK$4=Assumptions!$J$175,Assumptions!$J$181,0)</f>
        <v>0</v>
      </c>
      <c r="CL14" s="26">
        <f>IF(CL$4=Assumptions!$J$175,Assumptions!$J$181,0)</f>
        <v>0</v>
      </c>
      <c r="CM14" s="26">
        <f>IF(CM$4=Assumptions!$J$175,Assumptions!$J$181,0)</f>
        <v>0</v>
      </c>
      <c r="CN14" s="26">
        <f>IF(CN$4=Assumptions!$J$175,Assumptions!$J$181,0)</f>
        <v>0</v>
      </c>
      <c r="CO14" s="26">
        <f>IF(CO$4=Assumptions!$J$175,Assumptions!$J$181,0)</f>
        <v>0</v>
      </c>
      <c r="CP14" s="26">
        <f>IF(CP$4=Assumptions!$J$175,Assumptions!$J$181,0)</f>
        <v>0</v>
      </c>
      <c r="CQ14" s="26">
        <f>IF(CQ$4=Assumptions!$J$175,Assumptions!$J$181,0)</f>
        <v>0</v>
      </c>
      <c r="CR14" s="26">
        <f>IF(CR$4=Assumptions!$J$175,Assumptions!$J$181,0)</f>
        <v>0</v>
      </c>
      <c r="CS14" s="26">
        <f>IF(CS$4=Assumptions!$J$175,Assumptions!$J$181,0)</f>
        <v>0</v>
      </c>
      <c r="CT14" s="26">
        <f>IF(CT$4=Assumptions!$J$175,Assumptions!$J$181,0)</f>
        <v>0</v>
      </c>
      <c r="CU14" s="26">
        <f>IF(CU$4=Assumptions!$J$175,Assumptions!$J$181,0)</f>
        <v>0</v>
      </c>
      <c r="CV14" s="26">
        <f>IF(CV$4=Assumptions!$J$175,Assumptions!$J$181,0)</f>
        <v>0</v>
      </c>
      <c r="CW14" s="26">
        <f>IF(CW$4=Assumptions!$J$175,Assumptions!$J$181,0)</f>
        <v>0</v>
      </c>
      <c r="CX14" s="26">
        <f>IF(CX$4=Assumptions!$J$175,Assumptions!$J$181,0)</f>
        <v>0</v>
      </c>
      <c r="CY14" s="26">
        <f>IF(CY$4=Assumptions!$J$175,Assumptions!$J$181,0)</f>
        <v>0</v>
      </c>
      <c r="CZ14" s="26">
        <f>IF(CZ$4=Assumptions!$J$175,Assumptions!$J$181,0)</f>
        <v>0</v>
      </c>
      <c r="DA14" s="26">
        <f>IF(DA$4=Assumptions!$J$175,Assumptions!$J$181,0)</f>
        <v>0</v>
      </c>
      <c r="DB14" s="26">
        <f>IF(DB$4=Assumptions!$J$175,Assumptions!$J$181,0)</f>
        <v>0</v>
      </c>
      <c r="DC14" s="26">
        <f>IF(DC$4=Assumptions!$J$175,Assumptions!$J$181,0)</f>
        <v>0</v>
      </c>
      <c r="DD14" s="26">
        <f>IF(DD$4=Assumptions!$J$175,Assumptions!$J$181,0)</f>
        <v>0</v>
      </c>
      <c r="DE14" s="26">
        <f>IF(DE$4=Assumptions!$J$175,Assumptions!$J$181,0)</f>
        <v>0</v>
      </c>
      <c r="DF14" s="26">
        <f>IF(DF$4=Assumptions!$J$175,Assumptions!$J$181,0)</f>
        <v>0</v>
      </c>
      <c r="DG14" s="26">
        <f>IF(DG$4=Assumptions!$J$175,Assumptions!$J$181,0)</f>
        <v>0</v>
      </c>
      <c r="DH14" s="26">
        <f>IF(DH$4=Assumptions!$J$175,Assumptions!$J$181,0)</f>
        <v>0</v>
      </c>
      <c r="DI14" s="26">
        <f>IF(DI$4=Assumptions!$J$175,Assumptions!$J$181,0)</f>
        <v>0</v>
      </c>
      <c r="DJ14" s="26">
        <f>IF(DJ$4=Assumptions!$J$175,Assumptions!$J$181,0)</f>
        <v>0</v>
      </c>
      <c r="DK14" s="26">
        <f>IF(DK$4=Assumptions!$J$175,Assumptions!$J$181,0)</f>
        <v>0</v>
      </c>
      <c r="DL14" s="26">
        <f>IF(DL$4=Assumptions!$J$175,Assumptions!$J$181,0)</f>
        <v>0</v>
      </c>
      <c r="DM14" s="26">
        <f>IF(DM$4=Assumptions!$J$175,Assumptions!$J$181,0)</f>
        <v>0</v>
      </c>
      <c r="DN14" s="26">
        <f>IF(DN$4=Assumptions!$J$175,Assumptions!$J$181,0)</f>
        <v>0</v>
      </c>
      <c r="DO14" s="26">
        <f>IF(DO$4=Assumptions!$J$175,Assumptions!$J$181,0)</f>
        <v>0</v>
      </c>
      <c r="DP14" s="26">
        <f>IF(DP$4=Assumptions!$J$175,Assumptions!$J$181,0)</f>
        <v>0</v>
      </c>
      <c r="DQ14" s="26">
        <f>IF(DQ$4=Assumptions!$J$175,Assumptions!$J$181,0)</f>
        <v>0</v>
      </c>
      <c r="DR14" s="26">
        <f>IF(DR$4=Assumptions!$J$175,Assumptions!$J$181,0)</f>
        <v>0</v>
      </c>
      <c r="DS14" s="26">
        <f>IF(DS$4=Assumptions!$J$175,Assumptions!$J$181,0)</f>
        <v>0</v>
      </c>
      <c r="DT14" s="26">
        <f>IF(DT$4=Assumptions!$J$175,Assumptions!$J$181,0)</f>
        <v>0</v>
      </c>
      <c r="DU14" s="26">
        <f>IF(DU$4=Assumptions!$J$175,Assumptions!$J$181,0)</f>
        <v>0</v>
      </c>
      <c r="DV14" s="26">
        <f>IF(DV$4=Assumptions!$J$175,Assumptions!$J$181,0)</f>
        <v>0</v>
      </c>
      <c r="DW14" s="26">
        <f>IF(DW$4=Assumptions!$J$175,Assumptions!$J$181,0)</f>
        <v>0</v>
      </c>
      <c r="DX14" s="26">
        <f>IF(DX$4=Assumptions!$J$175,Assumptions!$J$181,0)</f>
        <v>0</v>
      </c>
      <c r="DY14" s="26">
        <f>IF(DY$4=Assumptions!$J$175,Assumptions!$J$181,0)</f>
        <v>0</v>
      </c>
      <c r="DZ14" s="26">
        <f>IF(DZ$4=Assumptions!$J$175,Assumptions!$J$181,0)</f>
        <v>0</v>
      </c>
      <c r="EA14" s="26">
        <f>IF(EA$4=Assumptions!$J$175,Assumptions!$J$181,0)</f>
        <v>0</v>
      </c>
      <c r="EB14" s="26">
        <f>IF(EB$4=Assumptions!$J$175,Assumptions!$J$181,0)</f>
        <v>0</v>
      </c>
      <c r="EC14" s="26">
        <f>IF(EC$4=Assumptions!$J$175,Assumptions!$J$181,0)</f>
        <v>0</v>
      </c>
      <c r="ED14" s="26">
        <f>IF(ED$4=Assumptions!$J$175,Assumptions!$J$181,0)</f>
        <v>0</v>
      </c>
      <c r="EE14" s="26">
        <f>IF(EE$4=Assumptions!$J$175,Assumptions!$J$181,0)</f>
        <v>0</v>
      </c>
      <c r="EF14" s="26">
        <f>IF(EF$4=Assumptions!$J$175,Assumptions!$J$181,0)</f>
        <v>0</v>
      </c>
      <c r="EG14" s="26">
        <f>IF(EG$4=Assumptions!$J$175,Assumptions!$J$181,0)</f>
        <v>0</v>
      </c>
      <c r="EH14" s="26">
        <f>IF(EH$4=Assumptions!$J$175,Assumptions!$J$181,0)</f>
        <v>0</v>
      </c>
      <c r="EI14" s="26">
        <f>IF(EI$4=Assumptions!$J$175,Assumptions!$J$181,0)</f>
        <v>0</v>
      </c>
      <c r="EM14" s="1" t="s">
        <v>178</v>
      </c>
    </row>
    <row r="15" spans="2:143" x14ac:dyDescent="0.45"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M15" s="1" t="s">
        <v>178</v>
      </c>
    </row>
    <row r="16" spans="2:143" x14ac:dyDescent="0.45">
      <c r="D16" s="1" t="s">
        <v>13</v>
      </c>
      <c r="G16" s="24">
        <f>IF(G4=Assumptions!$E$175,Assumptions!$E$178,0)</f>
        <v>0</v>
      </c>
      <c r="H16" s="24">
        <f>IF(H4=Assumptions!$E$175,Assumptions!$E$178,0)</f>
        <v>0</v>
      </c>
      <c r="I16" s="24">
        <f>IF(I4=Assumptions!$E$175,Assumptions!$E$178,0)</f>
        <v>0</v>
      </c>
      <c r="J16" s="24">
        <f>IF(J4=Assumptions!$E$175,Assumptions!$E$178,0)</f>
        <v>0</v>
      </c>
      <c r="K16" s="24">
        <f>IF(K4=Assumptions!$E$175,Assumptions!$E$178,0)</f>
        <v>0</v>
      </c>
      <c r="L16" s="24">
        <f>IF(L4=Assumptions!$E$175,Assumptions!$E$178,0)</f>
        <v>0</v>
      </c>
      <c r="M16" s="24">
        <f>IF(M4=Assumptions!$E$175,Assumptions!$E$178,0)</f>
        <v>0</v>
      </c>
      <c r="N16" s="24">
        <f>IF(N4=Assumptions!$E$175,Assumptions!$E$178,0)</f>
        <v>0</v>
      </c>
      <c r="O16" s="24">
        <f>IF(O4=Assumptions!$E$175,Assumptions!$E$178,0)</f>
        <v>0</v>
      </c>
      <c r="P16" s="24">
        <f>IF(P4=Assumptions!$E$175,Assumptions!$E$178,0)</f>
        <v>0</v>
      </c>
      <c r="Q16" s="24">
        <f>IF(Q4=Assumptions!$E$175,Assumptions!$E$178,0)</f>
        <v>0</v>
      </c>
      <c r="R16" s="24">
        <f>IF(R4=Assumptions!$E$175,Assumptions!$E$178,0)</f>
        <v>0</v>
      </c>
      <c r="S16" s="24">
        <f>IF(S4=Assumptions!$E$175,Assumptions!$E$178,0)</f>
        <v>0</v>
      </c>
      <c r="T16" s="24">
        <f>IF(T4=Assumptions!$E$175,Assumptions!$E$178,0)</f>
        <v>0</v>
      </c>
      <c r="U16" s="24">
        <f>IF(U4=Assumptions!$E$175,Assumptions!$E$178,0)</f>
        <v>0</v>
      </c>
      <c r="V16" s="24">
        <f>IF(V4=Assumptions!$E$175,Assumptions!$E$178,0)</f>
        <v>0</v>
      </c>
      <c r="W16" s="24">
        <f>IF(W4=Assumptions!$E$175,Assumptions!$E$178,0)</f>
        <v>0</v>
      </c>
      <c r="X16" s="24">
        <f>IF(X4=Assumptions!$E$175,Assumptions!$E$178,0)</f>
        <v>0</v>
      </c>
      <c r="Y16" s="24">
        <f>IF(Y4=Assumptions!$E$175,Assumptions!$E$178,0)</f>
        <v>0</v>
      </c>
      <c r="Z16" s="24">
        <f>IF(Z4=Assumptions!$E$175,Assumptions!$E$178,0)</f>
        <v>0</v>
      </c>
      <c r="AA16" s="24">
        <f>IF(AA4=Assumptions!$E$175,Assumptions!$E$178,0)</f>
        <v>0</v>
      </c>
      <c r="AB16" s="24">
        <f>IF(AB4=Assumptions!$E$175,Assumptions!$E$178,0)</f>
        <v>0</v>
      </c>
      <c r="AC16" s="24">
        <f>IF(AC4=Assumptions!$E$175,Assumptions!$E$178,0)</f>
        <v>0</v>
      </c>
      <c r="AD16" s="24">
        <f>IF(AD4=Assumptions!$E$175,Assumptions!$E$178,0)</f>
        <v>0</v>
      </c>
      <c r="AE16" s="24">
        <f>IF(AE4=Assumptions!$E$175,Assumptions!$E$178,0)</f>
        <v>0</v>
      </c>
      <c r="AF16" s="24">
        <f>IF(AF4=Assumptions!$E$175,Assumptions!$E$178,0)</f>
        <v>0</v>
      </c>
      <c r="AG16" s="24">
        <f>IF(AG4=Assumptions!$E$175,Assumptions!$E$178,0)</f>
        <v>0</v>
      </c>
      <c r="AH16" s="24">
        <f>IF(AH4=Assumptions!$E$175,Assumptions!$E$178,0)</f>
        <v>0</v>
      </c>
      <c r="AI16" s="24">
        <f>IF(AI4=Assumptions!$E$175,Assumptions!$E$178,0)</f>
        <v>0</v>
      </c>
      <c r="AJ16" s="24">
        <f>IF(AJ4=Assumptions!$E$175,Assumptions!$E$178,0)</f>
        <v>0</v>
      </c>
      <c r="AK16" s="24">
        <f>IF(AK4=Assumptions!$E$175,Assumptions!$E$178,0)</f>
        <v>0</v>
      </c>
      <c r="AL16" s="24">
        <f>IF(AL4=Assumptions!$E$175,Assumptions!$E$178,0)</f>
        <v>0</v>
      </c>
      <c r="AM16" s="24">
        <f>IF(AM4=Assumptions!$E$175,Assumptions!$E$178,0)</f>
        <v>0</v>
      </c>
      <c r="AN16" s="24">
        <f>IF(AN4=Assumptions!$E$175,Assumptions!$E$178,0)</f>
        <v>0</v>
      </c>
      <c r="AO16" s="24">
        <f>IF(AO4=Assumptions!$E$175,Assumptions!$E$178,0)</f>
        <v>0</v>
      </c>
      <c r="AP16" s="24">
        <f>IF(AP4=Assumptions!$E$175,Assumptions!$E$178,0)</f>
        <v>0</v>
      </c>
      <c r="AQ16" s="24">
        <f>IF(AQ4=Assumptions!$E$175,Assumptions!$E$178,0)</f>
        <v>0</v>
      </c>
      <c r="AR16" s="24">
        <f>IF(AR4=Assumptions!$E$175,Assumptions!$E$178,0)</f>
        <v>0</v>
      </c>
      <c r="AS16" s="24">
        <f>IF(AS4=Assumptions!$E$175,Assumptions!$E$178,0)</f>
        <v>0</v>
      </c>
      <c r="AT16" s="24">
        <f>IF(AT4=Assumptions!$E$175,Assumptions!$E$178,0)</f>
        <v>0</v>
      </c>
      <c r="AU16" s="24">
        <f>IF(AU4=Assumptions!$E$175,Assumptions!$E$178,0)</f>
        <v>0</v>
      </c>
      <c r="AV16" s="24">
        <f>IF(AV4=Assumptions!$E$175,Assumptions!$E$178,0)</f>
        <v>0</v>
      </c>
      <c r="AW16" s="24">
        <f>IF(AW4=Assumptions!$E$175,Assumptions!$E$178,0)</f>
        <v>0</v>
      </c>
      <c r="AX16" s="24">
        <f>IF(AX4=Assumptions!$E$175,Assumptions!$E$178,0)</f>
        <v>0</v>
      </c>
      <c r="AY16" s="24">
        <f>IF(AY4=Assumptions!$E$175,Assumptions!$E$178,0)</f>
        <v>0</v>
      </c>
      <c r="AZ16" s="24">
        <f>IF(AZ4=Assumptions!$E$175,Assumptions!$E$178,0)</f>
        <v>0</v>
      </c>
      <c r="BA16" s="24">
        <f>IF(BA4=Assumptions!$E$175,Assumptions!$E$178,0)</f>
        <v>0</v>
      </c>
      <c r="BB16" s="24">
        <f>IF(BB4=Assumptions!$E$175,Assumptions!$E$178,0)</f>
        <v>0</v>
      </c>
      <c r="BC16" s="24">
        <f>IF(BC4=Assumptions!$E$175,Assumptions!$E$178,0)</f>
        <v>0</v>
      </c>
      <c r="BD16" s="24">
        <f>IF(BD4=Assumptions!$E$175,Assumptions!$E$178,0)</f>
        <v>0</v>
      </c>
      <c r="BE16" s="24">
        <f>IF(BE4=Assumptions!$E$175,Assumptions!$E$178,0)</f>
        <v>0</v>
      </c>
      <c r="BF16" s="24">
        <f>IF(BF4=Assumptions!$E$175,Assumptions!$E$178,0)</f>
        <v>0</v>
      </c>
      <c r="BG16" s="24">
        <f>IF(BG4=Assumptions!$E$175,Assumptions!$E$178,0)</f>
        <v>0</v>
      </c>
      <c r="BH16" s="24">
        <f>IF(BH4=Assumptions!$E$175,Assumptions!$E$178,0)</f>
        <v>0</v>
      </c>
      <c r="BI16" s="24">
        <f>IF(BI4=Assumptions!$E$175,Assumptions!$E$178,0)</f>
        <v>0</v>
      </c>
      <c r="BJ16" s="24">
        <f>IF(BJ4=Assumptions!$E$175,Assumptions!$E$178,0)</f>
        <v>0</v>
      </c>
      <c r="BK16" s="24">
        <f>IF(BK4=Assumptions!$E$175,Assumptions!$E$178,0)</f>
        <v>0</v>
      </c>
      <c r="BL16" s="24">
        <f>IF(BL4=Assumptions!$E$175,Assumptions!$E$178,0)</f>
        <v>0</v>
      </c>
      <c r="BM16" s="24">
        <f>IF(BM4=Assumptions!$E$175,Assumptions!$E$178,0)</f>
        <v>0</v>
      </c>
      <c r="BN16" s="24">
        <f>IF(BN4=Assumptions!$E$175,Assumptions!$E$178,0)</f>
        <v>0</v>
      </c>
      <c r="BO16" s="24">
        <f>IF(BO4=Assumptions!$E$175,Assumptions!$E$178,0)</f>
        <v>27141420.975725617</v>
      </c>
      <c r="BP16" s="24">
        <f>IF(BP4=Assumptions!$E$175,Assumptions!$E$178,0)</f>
        <v>0</v>
      </c>
      <c r="BQ16" s="24">
        <f>IF(BQ4=Assumptions!$E$175,Assumptions!$E$178,0)</f>
        <v>0</v>
      </c>
      <c r="BR16" s="24">
        <f>IF(BR4=Assumptions!$E$175,Assumptions!$E$178,0)</f>
        <v>0</v>
      </c>
      <c r="BS16" s="24">
        <f>IF(BS4=Assumptions!$E$175,Assumptions!$E$178,0)</f>
        <v>0</v>
      </c>
      <c r="BT16" s="24">
        <f>IF(BT4=Assumptions!$E$175,Assumptions!$E$178,0)</f>
        <v>0</v>
      </c>
      <c r="BU16" s="24">
        <f>IF(BU4=Assumptions!$E$175,Assumptions!$E$178,0)</f>
        <v>0</v>
      </c>
      <c r="BV16" s="24">
        <f>IF(BV4=Assumptions!$E$175,Assumptions!$E$178,0)</f>
        <v>0</v>
      </c>
      <c r="BW16" s="24">
        <f>IF(BW4=Assumptions!$E$175,Assumptions!$E$178,0)</f>
        <v>0</v>
      </c>
      <c r="BX16" s="24">
        <f>IF(BX4=Assumptions!$E$175,Assumptions!$E$178,0)</f>
        <v>0</v>
      </c>
      <c r="BY16" s="24">
        <f>IF(BY4=Assumptions!$E$175,Assumptions!$E$178,0)</f>
        <v>0</v>
      </c>
      <c r="BZ16" s="24">
        <f>IF(BZ4=Assumptions!$E$175,Assumptions!$E$178,0)</f>
        <v>0</v>
      </c>
      <c r="CA16" s="24">
        <f>IF(CA4=Assumptions!$E$175,Assumptions!$E$178,0)</f>
        <v>0</v>
      </c>
      <c r="CB16" s="24">
        <f>IF(CB4=Assumptions!$E$175,Assumptions!$E$178,0)</f>
        <v>0</v>
      </c>
      <c r="CC16" s="24">
        <f>IF(CC4=Assumptions!$E$175,Assumptions!$E$178,0)</f>
        <v>0</v>
      </c>
      <c r="CD16" s="24">
        <f>IF(CD4=Assumptions!$E$175,Assumptions!$E$178,0)</f>
        <v>0</v>
      </c>
      <c r="CE16" s="24">
        <f>IF(CE4=Assumptions!$E$175,Assumptions!$E$178,0)</f>
        <v>0</v>
      </c>
      <c r="CF16" s="24">
        <f>IF(CF4=Assumptions!$E$175,Assumptions!$E$178,0)</f>
        <v>0</v>
      </c>
      <c r="CG16" s="24">
        <f>IF(CG4=Assumptions!$E$175,Assumptions!$E$178,0)</f>
        <v>0</v>
      </c>
      <c r="CH16" s="24">
        <f>IF(CH4=Assumptions!$E$175,Assumptions!$E$178,0)</f>
        <v>0</v>
      </c>
      <c r="CI16" s="24">
        <f>IF(CI4=Assumptions!$E$175,Assumptions!$E$178,0)</f>
        <v>0</v>
      </c>
      <c r="CJ16" s="24">
        <f>IF(CJ4=Assumptions!$E$175,Assumptions!$E$178,0)</f>
        <v>0</v>
      </c>
      <c r="CK16" s="24">
        <f>IF(CK4=Assumptions!$E$175,Assumptions!$E$178,0)</f>
        <v>0</v>
      </c>
      <c r="CL16" s="24">
        <f>IF(CL4=Assumptions!$E$175,Assumptions!$E$178,0)</f>
        <v>0</v>
      </c>
      <c r="CM16" s="24">
        <f>IF(CM4=Assumptions!$E$175,Assumptions!$E$178,0)</f>
        <v>0</v>
      </c>
      <c r="CN16" s="24">
        <f>IF(CN4=Assumptions!$E$175,Assumptions!$E$178,0)</f>
        <v>0</v>
      </c>
      <c r="CO16" s="24">
        <f>IF(CO4=Assumptions!$E$175,Assumptions!$E$178,0)</f>
        <v>0</v>
      </c>
      <c r="CP16" s="24">
        <f>IF(CP4=Assumptions!$E$175,Assumptions!$E$178,0)</f>
        <v>0</v>
      </c>
      <c r="CQ16" s="24">
        <f>IF(CQ4=Assumptions!$E$175,Assumptions!$E$178,0)</f>
        <v>0</v>
      </c>
      <c r="CR16" s="24">
        <f>IF(CR4=Assumptions!$E$175,Assumptions!$E$178,0)</f>
        <v>0</v>
      </c>
      <c r="CS16" s="24">
        <f>IF(CS4=Assumptions!$E$175,Assumptions!$E$178,0)</f>
        <v>0</v>
      </c>
      <c r="CT16" s="24">
        <f>IF(CT4=Assumptions!$E$175,Assumptions!$E$178,0)</f>
        <v>0</v>
      </c>
      <c r="CU16" s="24">
        <f>IF(CU4=Assumptions!$E$175,Assumptions!$E$178,0)</f>
        <v>0</v>
      </c>
      <c r="CV16" s="24">
        <f>IF(CV4=Assumptions!$E$175,Assumptions!$E$178,0)</f>
        <v>0</v>
      </c>
      <c r="CW16" s="24">
        <f>IF(CW4=Assumptions!$E$175,Assumptions!$E$178,0)</f>
        <v>0</v>
      </c>
      <c r="CX16" s="24">
        <f>IF(CX4=Assumptions!$E$175,Assumptions!$E$178,0)</f>
        <v>0</v>
      </c>
      <c r="CY16" s="24">
        <f>IF(CY4=Assumptions!$E$175,Assumptions!$E$178,0)</f>
        <v>0</v>
      </c>
      <c r="CZ16" s="24">
        <f>IF(CZ4=Assumptions!$E$175,Assumptions!$E$178,0)</f>
        <v>0</v>
      </c>
      <c r="DA16" s="24">
        <f>IF(DA4=Assumptions!$E$175,Assumptions!$E$178,0)</f>
        <v>0</v>
      </c>
      <c r="DB16" s="24">
        <f>IF(DB4=Assumptions!$E$175,Assumptions!$E$178,0)</f>
        <v>0</v>
      </c>
      <c r="DC16" s="24">
        <f>IF(DC4=Assumptions!$E$175,Assumptions!$E$178,0)</f>
        <v>0</v>
      </c>
      <c r="DD16" s="24">
        <f>IF(DD4=Assumptions!$E$175,Assumptions!$E$178,0)</f>
        <v>0</v>
      </c>
      <c r="DE16" s="24">
        <f>IF(DE4=Assumptions!$E$175,Assumptions!$E$178,0)</f>
        <v>0</v>
      </c>
      <c r="DF16" s="24">
        <f>IF(DF4=Assumptions!$E$175,Assumptions!$E$178,0)</f>
        <v>0</v>
      </c>
      <c r="DG16" s="24">
        <f>IF(DG4=Assumptions!$E$175,Assumptions!$E$178,0)</f>
        <v>0</v>
      </c>
      <c r="DH16" s="24">
        <f>IF(DH4=Assumptions!$E$175,Assumptions!$E$178,0)</f>
        <v>0</v>
      </c>
      <c r="DI16" s="24">
        <f>IF(DI4=Assumptions!$E$175,Assumptions!$E$178,0)</f>
        <v>0</v>
      </c>
      <c r="DJ16" s="24">
        <f>IF(DJ4=Assumptions!$E$175,Assumptions!$E$178,0)</f>
        <v>0</v>
      </c>
      <c r="DK16" s="24">
        <f>IF(DK4=Assumptions!$E$175,Assumptions!$E$178,0)</f>
        <v>0</v>
      </c>
      <c r="DL16" s="24">
        <f>IF(DL4=Assumptions!$E$175,Assumptions!$E$178,0)</f>
        <v>0</v>
      </c>
      <c r="DM16" s="24">
        <f>IF(DM4=Assumptions!$E$175,Assumptions!$E$178,0)</f>
        <v>0</v>
      </c>
      <c r="DN16" s="24">
        <f>IF(DN4=Assumptions!$E$175,Assumptions!$E$178,0)</f>
        <v>0</v>
      </c>
      <c r="DO16" s="24">
        <f>IF(DO4=Assumptions!$E$175,Assumptions!$E$178,0)</f>
        <v>0</v>
      </c>
      <c r="DP16" s="24">
        <f>IF(DP4=Assumptions!$E$175,Assumptions!$E$178,0)</f>
        <v>0</v>
      </c>
      <c r="DQ16" s="24">
        <f>IF(DQ4=Assumptions!$E$175,Assumptions!$E$178,0)</f>
        <v>0</v>
      </c>
      <c r="DR16" s="24">
        <f>IF(DR4=Assumptions!$E$175,Assumptions!$E$178,0)</f>
        <v>0</v>
      </c>
      <c r="DS16" s="24">
        <f>IF(DS4=Assumptions!$E$175,Assumptions!$E$178,0)</f>
        <v>0</v>
      </c>
      <c r="DT16" s="24">
        <f>IF(DT4=Assumptions!$E$175,Assumptions!$E$178,0)</f>
        <v>0</v>
      </c>
      <c r="DU16" s="24">
        <f>IF(DU4=Assumptions!$E$175,Assumptions!$E$178,0)</f>
        <v>0</v>
      </c>
      <c r="DV16" s="24">
        <f>IF(DV4=Assumptions!$E$175,Assumptions!$E$178,0)</f>
        <v>0</v>
      </c>
      <c r="DW16" s="24">
        <f>IF(DW4=Assumptions!$E$175,Assumptions!$E$178,0)</f>
        <v>0</v>
      </c>
      <c r="DX16" s="24">
        <f>IF(DX4=Assumptions!$E$175,Assumptions!$E$178,0)</f>
        <v>0</v>
      </c>
      <c r="DY16" s="24">
        <f>IF(DY4=Assumptions!$E$175,Assumptions!$E$178,0)</f>
        <v>0</v>
      </c>
      <c r="DZ16" s="24">
        <f>IF(DZ4=Assumptions!$E$175,Assumptions!$E$178,0)</f>
        <v>0</v>
      </c>
      <c r="EA16" s="24">
        <f>IF(EA4=Assumptions!$E$175,Assumptions!$E$178,0)</f>
        <v>0</v>
      </c>
      <c r="EB16" s="24">
        <f>IF(EB4=Assumptions!$E$175,Assumptions!$E$178,0)</f>
        <v>0</v>
      </c>
      <c r="EC16" s="24">
        <f>IF(EC4=Assumptions!$E$175,Assumptions!$E$178,0)</f>
        <v>0</v>
      </c>
      <c r="ED16" s="24">
        <f>IF(ED4=Assumptions!$E$175,Assumptions!$E$178,0)</f>
        <v>0</v>
      </c>
      <c r="EE16" s="24">
        <f>IF(EE4=Assumptions!$E$175,Assumptions!$E$178,0)</f>
        <v>0</v>
      </c>
      <c r="EF16" s="24">
        <f>IF(EF4=Assumptions!$E$175,Assumptions!$E$178,0)</f>
        <v>0</v>
      </c>
      <c r="EG16" s="24">
        <f>IF(EG4=Assumptions!$E$175,Assumptions!$E$178,0)</f>
        <v>0</v>
      </c>
      <c r="EH16" s="24">
        <f>IF(EH4=Assumptions!$E$175,Assumptions!$E$178,0)</f>
        <v>0</v>
      </c>
      <c r="EI16" s="24">
        <f>IF(EI4=Assumptions!$E$175,Assumptions!$E$178,0)</f>
        <v>0</v>
      </c>
      <c r="EM16" s="1" t="s">
        <v>178</v>
      </c>
    </row>
    <row r="17" spans="4:143" x14ac:dyDescent="0.45">
      <c r="D17" s="1" t="s">
        <v>10</v>
      </c>
      <c r="G17" s="24">
        <f>IF(G4=Assumptions!$E$175,Assumptions!$E$180,0)</f>
        <v>0</v>
      </c>
      <c r="H17" s="24">
        <f>IF(H4=Assumptions!$E$175,Assumptions!$E$180,0)</f>
        <v>0</v>
      </c>
      <c r="I17" s="24">
        <f>IF(I4=Assumptions!$E$175,Assumptions!$E$180,0)</f>
        <v>0</v>
      </c>
      <c r="J17" s="24">
        <f>IF(J4=Assumptions!$E$175,Assumptions!$E$180,0)</f>
        <v>0</v>
      </c>
      <c r="K17" s="24">
        <f>IF(K4=Assumptions!$E$175,Assumptions!$E$180,0)</f>
        <v>0</v>
      </c>
      <c r="L17" s="24">
        <f>IF(L4=Assumptions!$E$175,Assumptions!$E$180,0)</f>
        <v>0</v>
      </c>
      <c r="M17" s="24">
        <f>IF(M4=Assumptions!$E$175,Assumptions!$E$180,0)</f>
        <v>0</v>
      </c>
      <c r="N17" s="24">
        <f>IF(N4=Assumptions!$E$175,Assumptions!$E$180,0)</f>
        <v>0</v>
      </c>
      <c r="O17" s="24">
        <f>IF(O4=Assumptions!$E$175,Assumptions!$E$180,0)</f>
        <v>0</v>
      </c>
      <c r="P17" s="24">
        <f>IF(P4=Assumptions!$E$175,Assumptions!$E$180,0)</f>
        <v>0</v>
      </c>
      <c r="Q17" s="24">
        <f>IF(Q4=Assumptions!$E$175,Assumptions!$E$180,0)</f>
        <v>0</v>
      </c>
      <c r="R17" s="24">
        <f>IF(R4=Assumptions!$E$175,Assumptions!$E$180,0)</f>
        <v>0</v>
      </c>
      <c r="S17" s="24">
        <f>IF(S4=Assumptions!$E$175,Assumptions!$E$180,0)</f>
        <v>0</v>
      </c>
      <c r="T17" s="24">
        <f>IF(T4=Assumptions!$E$175,Assumptions!$E$180,0)</f>
        <v>0</v>
      </c>
      <c r="U17" s="24">
        <f>IF(U4=Assumptions!$E$175,Assumptions!$E$180,0)</f>
        <v>0</v>
      </c>
      <c r="V17" s="24">
        <f>IF(V4=Assumptions!$E$175,Assumptions!$E$180,0)</f>
        <v>0</v>
      </c>
      <c r="W17" s="24">
        <f>IF(W4=Assumptions!$E$175,Assumptions!$E$180,0)</f>
        <v>0</v>
      </c>
      <c r="X17" s="24">
        <f>IF(X4=Assumptions!$E$175,Assumptions!$E$180,0)</f>
        <v>0</v>
      </c>
      <c r="Y17" s="24">
        <f>IF(Y4=Assumptions!$E$175,Assumptions!$E$180,0)</f>
        <v>0</v>
      </c>
      <c r="Z17" s="24">
        <f>IF(Z4=Assumptions!$E$175,Assumptions!$E$180,0)</f>
        <v>0</v>
      </c>
      <c r="AA17" s="24">
        <f>IF(AA4=Assumptions!$E$175,Assumptions!$E$180,0)</f>
        <v>0</v>
      </c>
      <c r="AB17" s="24">
        <f>IF(AB4=Assumptions!$E$175,Assumptions!$E$180,0)</f>
        <v>0</v>
      </c>
      <c r="AC17" s="24">
        <f>IF(AC4=Assumptions!$E$175,Assumptions!$E$180,0)</f>
        <v>0</v>
      </c>
      <c r="AD17" s="24">
        <f>IF(AD4=Assumptions!$E$175,Assumptions!$E$180,0)</f>
        <v>0</v>
      </c>
      <c r="AE17" s="24">
        <f>IF(AE4=Assumptions!$E$175,Assumptions!$E$180,0)</f>
        <v>0</v>
      </c>
      <c r="AF17" s="24">
        <f>IF(AF4=Assumptions!$E$175,Assumptions!$E$180,0)</f>
        <v>0</v>
      </c>
      <c r="AG17" s="24">
        <f>IF(AG4=Assumptions!$E$175,Assumptions!$E$180,0)</f>
        <v>0</v>
      </c>
      <c r="AH17" s="24">
        <f>IF(AH4=Assumptions!$E$175,Assumptions!$E$180,0)</f>
        <v>0</v>
      </c>
      <c r="AI17" s="24">
        <f>IF(AI4=Assumptions!$E$175,Assumptions!$E$180,0)</f>
        <v>0</v>
      </c>
      <c r="AJ17" s="24">
        <f>IF(AJ4=Assumptions!$E$175,Assumptions!$E$180,0)</f>
        <v>0</v>
      </c>
      <c r="AK17" s="24">
        <f>IF(AK4=Assumptions!$E$175,Assumptions!$E$180,0)</f>
        <v>0</v>
      </c>
      <c r="AL17" s="24">
        <f>IF(AL4=Assumptions!$E$175,Assumptions!$E$180,0)</f>
        <v>0</v>
      </c>
      <c r="AM17" s="24">
        <f>IF(AM4=Assumptions!$E$175,Assumptions!$E$180,0)</f>
        <v>0</v>
      </c>
      <c r="AN17" s="24">
        <f>IF(AN4=Assumptions!$E$175,Assumptions!$E$180,0)</f>
        <v>0</v>
      </c>
      <c r="AO17" s="24">
        <f>IF(AO4=Assumptions!$E$175,Assumptions!$E$180,0)</f>
        <v>0</v>
      </c>
      <c r="AP17" s="24">
        <f>IF(AP4=Assumptions!$E$175,Assumptions!$E$180,0)</f>
        <v>0</v>
      </c>
      <c r="AQ17" s="24">
        <f>IF(AQ4=Assumptions!$E$175,Assumptions!$E$180,0)</f>
        <v>0</v>
      </c>
      <c r="AR17" s="24">
        <f>IF(AR4=Assumptions!$E$175,Assumptions!$E$180,0)</f>
        <v>0</v>
      </c>
      <c r="AS17" s="24">
        <f>IF(AS4=Assumptions!$E$175,Assumptions!$E$180,0)</f>
        <v>0</v>
      </c>
      <c r="AT17" s="24">
        <f>IF(AT4=Assumptions!$E$175,Assumptions!$E$180,0)</f>
        <v>0</v>
      </c>
      <c r="AU17" s="24">
        <f>IF(AU4=Assumptions!$E$175,Assumptions!$E$180,0)</f>
        <v>0</v>
      </c>
      <c r="AV17" s="24">
        <f>IF(AV4=Assumptions!$E$175,Assumptions!$E$180,0)</f>
        <v>0</v>
      </c>
      <c r="AW17" s="24">
        <f>IF(AW4=Assumptions!$E$175,Assumptions!$E$180,0)</f>
        <v>0</v>
      </c>
      <c r="AX17" s="24">
        <f>IF(AX4=Assumptions!$E$175,Assumptions!$E$180,0)</f>
        <v>0</v>
      </c>
      <c r="AY17" s="24">
        <f>IF(AY4=Assumptions!$E$175,Assumptions!$E$180,0)</f>
        <v>0</v>
      </c>
      <c r="AZ17" s="24">
        <f>IF(AZ4=Assumptions!$E$175,Assumptions!$E$180,0)</f>
        <v>0</v>
      </c>
      <c r="BA17" s="24">
        <f>IF(BA4=Assumptions!$E$175,Assumptions!$E$180,0)</f>
        <v>0</v>
      </c>
      <c r="BB17" s="24">
        <f>IF(BB4=Assumptions!$E$175,Assumptions!$E$180,0)</f>
        <v>0</v>
      </c>
      <c r="BC17" s="24">
        <f>IF(BC4=Assumptions!$E$175,Assumptions!$E$180,0)</f>
        <v>0</v>
      </c>
      <c r="BD17" s="24">
        <f>IF(BD4=Assumptions!$E$175,Assumptions!$E$180,0)</f>
        <v>0</v>
      </c>
      <c r="BE17" s="24">
        <f>IF(BE4=Assumptions!$E$175,Assumptions!$E$180,0)</f>
        <v>0</v>
      </c>
      <c r="BF17" s="24">
        <f>IF(BF4=Assumptions!$E$175,Assumptions!$E$180,0)</f>
        <v>0</v>
      </c>
      <c r="BG17" s="24">
        <f>IF(BG4=Assumptions!$E$175,Assumptions!$E$180,0)</f>
        <v>0</v>
      </c>
      <c r="BH17" s="24">
        <f>IF(BH4=Assumptions!$E$175,Assumptions!$E$180,0)</f>
        <v>0</v>
      </c>
      <c r="BI17" s="24">
        <f>IF(BI4=Assumptions!$E$175,Assumptions!$E$180,0)</f>
        <v>0</v>
      </c>
      <c r="BJ17" s="24">
        <f>IF(BJ4=Assumptions!$E$175,Assumptions!$E$180,0)</f>
        <v>0</v>
      </c>
      <c r="BK17" s="24">
        <f>IF(BK4=Assumptions!$E$175,Assumptions!$E$180,0)</f>
        <v>0</v>
      </c>
      <c r="BL17" s="24">
        <f>IF(BL4=Assumptions!$E$175,Assumptions!$E$180,0)</f>
        <v>0</v>
      </c>
      <c r="BM17" s="24">
        <f>IF(BM4=Assumptions!$E$175,Assumptions!$E$180,0)</f>
        <v>0</v>
      </c>
      <c r="BN17" s="24">
        <f>IF(BN4=Assumptions!$E$175,Assumptions!$E$180,0)</f>
        <v>0</v>
      </c>
      <c r="BO17" s="24">
        <f>IF(BO4=Assumptions!$E$175,Assumptions!$E$180,0)</f>
        <v>-814242.6292717685</v>
      </c>
      <c r="BP17" s="24">
        <f>IF(BP4=Assumptions!$E$175,Assumptions!$E$180,0)</f>
        <v>0</v>
      </c>
      <c r="BQ17" s="24">
        <f>IF(BQ4=Assumptions!$E$175,Assumptions!$E$180,0)</f>
        <v>0</v>
      </c>
      <c r="BR17" s="24">
        <f>IF(BR4=Assumptions!$E$175,Assumptions!$E$180,0)</f>
        <v>0</v>
      </c>
      <c r="BS17" s="24">
        <f>IF(BS4=Assumptions!$E$175,Assumptions!$E$180,0)</f>
        <v>0</v>
      </c>
      <c r="BT17" s="24">
        <f>IF(BT4=Assumptions!$E$175,Assumptions!$E$180,0)</f>
        <v>0</v>
      </c>
      <c r="BU17" s="24">
        <f>IF(BU4=Assumptions!$E$175,Assumptions!$E$180,0)</f>
        <v>0</v>
      </c>
      <c r="BV17" s="24">
        <f>IF(BV4=Assumptions!$E$175,Assumptions!$E$180,0)</f>
        <v>0</v>
      </c>
      <c r="BW17" s="24">
        <f>IF(BW4=Assumptions!$E$175,Assumptions!$E$180,0)</f>
        <v>0</v>
      </c>
      <c r="BX17" s="24">
        <f>IF(BX4=Assumptions!$E$175,Assumptions!$E$180,0)</f>
        <v>0</v>
      </c>
      <c r="BY17" s="24">
        <f>IF(BY4=Assumptions!$E$175,Assumptions!$E$180,0)</f>
        <v>0</v>
      </c>
      <c r="BZ17" s="24">
        <f>IF(BZ4=Assumptions!$E$175,Assumptions!$E$180,0)</f>
        <v>0</v>
      </c>
      <c r="CA17" s="24">
        <f>IF(CA4=Assumptions!$E$175,Assumptions!$E$180,0)</f>
        <v>0</v>
      </c>
      <c r="CB17" s="24">
        <f>IF(CB4=Assumptions!$E$175,Assumptions!$E$180,0)</f>
        <v>0</v>
      </c>
      <c r="CC17" s="24">
        <f>IF(CC4=Assumptions!$E$175,Assumptions!$E$180,0)</f>
        <v>0</v>
      </c>
      <c r="CD17" s="24">
        <f>IF(CD4=Assumptions!$E$175,Assumptions!$E$180,0)</f>
        <v>0</v>
      </c>
      <c r="CE17" s="24">
        <f>IF(CE4=Assumptions!$E$175,Assumptions!$E$180,0)</f>
        <v>0</v>
      </c>
      <c r="CF17" s="24">
        <f>IF(CF4=Assumptions!$E$175,Assumptions!$E$180,0)</f>
        <v>0</v>
      </c>
      <c r="CG17" s="24">
        <f>IF(CG4=Assumptions!$E$175,Assumptions!$E$180,0)</f>
        <v>0</v>
      </c>
      <c r="CH17" s="24">
        <f>IF(CH4=Assumptions!$E$175,Assumptions!$E$180,0)</f>
        <v>0</v>
      </c>
      <c r="CI17" s="24">
        <f>IF(CI4=Assumptions!$E$175,Assumptions!$E$180,0)</f>
        <v>0</v>
      </c>
      <c r="CJ17" s="24">
        <f>IF(CJ4=Assumptions!$E$175,Assumptions!$E$180,0)</f>
        <v>0</v>
      </c>
      <c r="CK17" s="24">
        <f>IF(CK4=Assumptions!$E$175,Assumptions!$E$180,0)</f>
        <v>0</v>
      </c>
      <c r="CL17" s="24">
        <f>IF(CL4=Assumptions!$E$175,Assumptions!$E$180,0)</f>
        <v>0</v>
      </c>
      <c r="CM17" s="24">
        <f>IF(CM4=Assumptions!$E$175,Assumptions!$E$180,0)</f>
        <v>0</v>
      </c>
      <c r="CN17" s="24">
        <f>IF(CN4=Assumptions!$E$175,Assumptions!$E$180,0)</f>
        <v>0</v>
      </c>
      <c r="CO17" s="24">
        <f>IF(CO4=Assumptions!$E$175,Assumptions!$E$180,0)</f>
        <v>0</v>
      </c>
      <c r="CP17" s="24">
        <f>IF(CP4=Assumptions!$E$175,Assumptions!$E$180,0)</f>
        <v>0</v>
      </c>
      <c r="CQ17" s="24">
        <f>IF(CQ4=Assumptions!$E$175,Assumptions!$E$180,0)</f>
        <v>0</v>
      </c>
      <c r="CR17" s="24">
        <f>IF(CR4=Assumptions!$E$175,Assumptions!$E$180,0)</f>
        <v>0</v>
      </c>
      <c r="CS17" s="24">
        <f>IF(CS4=Assumptions!$E$175,Assumptions!$E$180,0)</f>
        <v>0</v>
      </c>
      <c r="CT17" s="24">
        <f>IF(CT4=Assumptions!$E$175,Assumptions!$E$180,0)</f>
        <v>0</v>
      </c>
      <c r="CU17" s="24">
        <f>IF(CU4=Assumptions!$E$175,Assumptions!$E$180,0)</f>
        <v>0</v>
      </c>
      <c r="CV17" s="24">
        <f>IF(CV4=Assumptions!$E$175,Assumptions!$E$180,0)</f>
        <v>0</v>
      </c>
      <c r="CW17" s="24">
        <f>IF(CW4=Assumptions!$E$175,Assumptions!$E$180,0)</f>
        <v>0</v>
      </c>
      <c r="CX17" s="24">
        <f>IF(CX4=Assumptions!$E$175,Assumptions!$E$180,0)</f>
        <v>0</v>
      </c>
      <c r="CY17" s="24">
        <f>IF(CY4=Assumptions!$E$175,Assumptions!$E$180,0)</f>
        <v>0</v>
      </c>
      <c r="CZ17" s="24">
        <f>IF(CZ4=Assumptions!$E$175,Assumptions!$E$180,0)</f>
        <v>0</v>
      </c>
      <c r="DA17" s="24">
        <f>IF(DA4=Assumptions!$E$175,Assumptions!$E$180,0)</f>
        <v>0</v>
      </c>
      <c r="DB17" s="24">
        <f>IF(DB4=Assumptions!$E$175,Assumptions!$E$180,0)</f>
        <v>0</v>
      </c>
      <c r="DC17" s="24">
        <f>IF(DC4=Assumptions!$E$175,Assumptions!$E$180,0)</f>
        <v>0</v>
      </c>
      <c r="DD17" s="24">
        <f>IF(DD4=Assumptions!$E$175,Assumptions!$E$180,0)</f>
        <v>0</v>
      </c>
      <c r="DE17" s="24">
        <f>IF(DE4=Assumptions!$E$175,Assumptions!$E$180,0)</f>
        <v>0</v>
      </c>
      <c r="DF17" s="24">
        <f>IF(DF4=Assumptions!$E$175,Assumptions!$E$180,0)</f>
        <v>0</v>
      </c>
      <c r="DG17" s="24">
        <f>IF(DG4=Assumptions!$E$175,Assumptions!$E$180,0)</f>
        <v>0</v>
      </c>
      <c r="DH17" s="24">
        <f>IF(DH4=Assumptions!$E$175,Assumptions!$E$180,0)</f>
        <v>0</v>
      </c>
      <c r="DI17" s="24">
        <f>IF(DI4=Assumptions!$E$175,Assumptions!$E$180,0)</f>
        <v>0</v>
      </c>
      <c r="DJ17" s="24">
        <f>IF(DJ4=Assumptions!$E$175,Assumptions!$E$180,0)</f>
        <v>0</v>
      </c>
      <c r="DK17" s="24">
        <f>IF(DK4=Assumptions!$E$175,Assumptions!$E$180,0)</f>
        <v>0</v>
      </c>
      <c r="DL17" s="24">
        <f>IF(DL4=Assumptions!$E$175,Assumptions!$E$180,0)</f>
        <v>0</v>
      </c>
      <c r="DM17" s="24">
        <f>IF(DM4=Assumptions!$E$175,Assumptions!$E$180,0)</f>
        <v>0</v>
      </c>
      <c r="DN17" s="24">
        <f>IF(DN4=Assumptions!$E$175,Assumptions!$E$180,0)</f>
        <v>0</v>
      </c>
      <c r="DO17" s="24">
        <f>IF(DO4=Assumptions!$E$175,Assumptions!$E$180,0)</f>
        <v>0</v>
      </c>
      <c r="DP17" s="24">
        <f>IF(DP4=Assumptions!$E$175,Assumptions!$E$180,0)</f>
        <v>0</v>
      </c>
      <c r="DQ17" s="24">
        <f>IF(DQ4=Assumptions!$E$175,Assumptions!$E$180,0)</f>
        <v>0</v>
      </c>
      <c r="DR17" s="24">
        <f>IF(DR4=Assumptions!$E$175,Assumptions!$E$180,0)</f>
        <v>0</v>
      </c>
      <c r="DS17" s="24">
        <f>IF(DS4=Assumptions!$E$175,Assumptions!$E$180,0)</f>
        <v>0</v>
      </c>
      <c r="DT17" s="24">
        <f>IF(DT4=Assumptions!$E$175,Assumptions!$E$180,0)</f>
        <v>0</v>
      </c>
      <c r="DU17" s="24">
        <f>IF(DU4=Assumptions!$E$175,Assumptions!$E$180,0)</f>
        <v>0</v>
      </c>
      <c r="DV17" s="24">
        <f>IF(DV4=Assumptions!$E$175,Assumptions!$E$180,0)</f>
        <v>0</v>
      </c>
      <c r="DW17" s="24">
        <f>IF(DW4=Assumptions!$E$175,Assumptions!$E$180,0)</f>
        <v>0</v>
      </c>
      <c r="DX17" s="24">
        <f>IF(DX4=Assumptions!$E$175,Assumptions!$E$180,0)</f>
        <v>0</v>
      </c>
      <c r="DY17" s="24">
        <f>IF(DY4=Assumptions!$E$175,Assumptions!$E$180,0)</f>
        <v>0</v>
      </c>
      <c r="DZ17" s="24">
        <f>IF(DZ4=Assumptions!$E$175,Assumptions!$E$180,0)</f>
        <v>0</v>
      </c>
      <c r="EA17" s="24">
        <f>IF(EA4=Assumptions!$E$175,Assumptions!$E$180,0)</f>
        <v>0</v>
      </c>
      <c r="EB17" s="24">
        <f>IF(EB4=Assumptions!$E$175,Assumptions!$E$180,0)</f>
        <v>0</v>
      </c>
      <c r="EC17" s="24">
        <f>IF(EC4=Assumptions!$E$175,Assumptions!$E$180,0)</f>
        <v>0</v>
      </c>
      <c r="ED17" s="24">
        <f>IF(ED4=Assumptions!$E$175,Assumptions!$E$180,0)</f>
        <v>0</v>
      </c>
      <c r="EE17" s="24">
        <f>IF(EE4=Assumptions!$E$175,Assumptions!$E$180,0)</f>
        <v>0</v>
      </c>
      <c r="EF17" s="24">
        <f>IF(EF4=Assumptions!$E$175,Assumptions!$E$180,0)</f>
        <v>0</v>
      </c>
      <c r="EG17" s="24">
        <f>IF(EG4=Assumptions!$E$175,Assumptions!$E$180,0)</f>
        <v>0</v>
      </c>
      <c r="EH17" s="24">
        <f>IF(EH4=Assumptions!$E$175,Assumptions!$E$180,0)</f>
        <v>0</v>
      </c>
      <c r="EI17" s="24">
        <f>IF(EI4=Assumptions!$E$175,Assumptions!$E$180,0)</f>
        <v>0</v>
      </c>
      <c r="EM17" s="1" t="s">
        <v>178</v>
      </c>
    </row>
    <row r="18" spans="4:143" s="8" customFormat="1" x14ac:dyDescent="0.45">
      <c r="D18" s="4" t="s">
        <v>14</v>
      </c>
      <c r="E18" s="4"/>
      <c r="F18" s="4"/>
      <c r="G18" s="26">
        <f>IF(G4=Assumptions!$E$175,Assumptions!$E$181,0)</f>
        <v>0</v>
      </c>
      <c r="H18" s="26">
        <f>IF(H4=Assumptions!$E$175,Assumptions!$E$181,0)</f>
        <v>0</v>
      </c>
      <c r="I18" s="26">
        <f>IF(I4=Assumptions!$E$175,Assumptions!$E$181,0)</f>
        <v>0</v>
      </c>
      <c r="J18" s="26">
        <f>IF(J4=Assumptions!$E$175,Assumptions!$E$181,0)</f>
        <v>0</v>
      </c>
      <c r="K18" s="26">
        <f>IF(K4=Assumptions!$E$175,Assumptions!$E$181,0)</f>
        <v>0</v>
      </c>
      <c r="L18" s="26">
        <f>IF(L4=Assumptions!$E$175,Assumptions!$E$181,0)</f>
        <v>0</v>
      </c>
      <c r="M18" s="26">
        <f>IF(M4=Assumptions!$E$175,Assumptions!$E$181,0)</f>
        <v>0</v>
      </c>
      <c r="N18" s="26">
        <f>IF(N4=Assumptions!$E$175,Assumptions!$E$181,0)</f>
        <v>0</v>
      </c>
      <c r="O18" s="26">
        <f>IF(O4=Assumptions!$E$175,Assumptions!$E$181,0)</f>
        <v>0</v>
      </c>
      <c r="P18" s="26">
        <f>IF(P4=Assumptions!$E$175,Assumptions!$E$181,0)</f>
        <v>0</v>
      </c>
      <c r="Q18" s="26">
        <f>IF(Q4=Assumptions!$E$175,Assumptions!$E$181,0)</f>
        <v>0</v>
      </c>
      <c r="R18" s="26">
        <f>IF(R4=Assumptions!$E$175,Assumptions!$E$181,0)</f>
        <v>0</v>
      </c>
      <c r="S18" s="26">
        <f>IF(S4=Assumptions!$E$175,Assumptions!$E$181,0)</f>
        <v>0</v>
      </c>
      <c r="T18" s="26">
        <f>IF(T4=Assumptions!$E$175,Assumptions!$E$181,0)</f>
        <v>0</v>
      </c>
      <c r="U18" s="26">
        <f>IF(U4=Assumptions!$E$175,Assumptions!$E$181,0)</f>
        <v>0</v>
      </c>
      <c r="V18" s="26">
        <f>IF(V4=Assumptions!$E$175,Assumptions!$E$181,0)</f>
        <v>0</v>
      </c>
      <c r="W18" s="26">
        <f>IF(W4=Assumptions!$E$175,Assumptions!$E$181,0)</f>
        <v>0</v>
      </c>
      <c r="X18" s="26">
        <f>IF(X4=Assumptions!$E$175,Assumptions!$E$181,0)</f>
        <v>0</v>
      </c>
      <c r="Y18" s="26">
        <f>IF(Y4=Assumptions!$E$175,Assumptions!$E$181,0)</f>
        <v>0</v>
      </c>
      <c r="Z18" s="26">
        <f>IF(Z4=Assumptions!$E$175,Assumptions!$E$181,0)</f>
        <v>0</v>
      </c>
      <c r="AA18" s="26">
        <f>IF(AA4=Assumptions!$E$175,Assumptions!$E$181,0)</f>
        <v>0</v>
      </c>
      <c r="AB18" s="26">
        <f>IF(AB4=Assumptions!$E$175,Assumptions!$E$181,0)</f>
        <v>0</v>
      </c>
      <c r="AC18" s="26">
        <f>IF(AC4=Assumptions!$E$175,Assumptions!$E$181,0)</f>
        <v>0</v>
      </c>
      <c r="AD18" s="26">
        <f>IF(AD4=Assumptions!$E$175,Assumptions!$E$181,0)</f>
        <v>0</v>
      </c>
      <c r="AE18" s="26">
        <f>IF(AE4=Assumptions!$E$175,Assumptions!$E$181,0)</f>
        <v>0</v>
      </c>
      <c r="AF18" s="26">
        <f>IF(AF4=Assumptions!$E$175,Assumptions!$E$181,0)</f>
        <v>0</v>
      </c>
      <c r="AG18" s="26">
        <f>IF(AG4=Assumptions!$E$175,Assumptions!$E$181,0)</f>
        <v>0</v>
      </c>
      <c r="AH18" s="26">
        <f>IF(AH4=Assumptions!$E$175,Assumptions!$E$181,0)</f>
        <v>0</v>
      </c>
      <c r="AI18" s="26">
        <f>IF(AI4=Assumptions!$E$175,Assumptions!$E$181,0)</f>
        <v>0</v>
      </c>
      <c r="AJ18" s="26">
        <f>IF(AJ4=Assumptions!$E$175,Assumptions!$E$181,0)</f>
        <v>0</v>
      </c>
      <c r="AK18" s="26">
        <f>IF(AK4=Assumptions!$E$175,Assumptions!$E$181,0)</f>
        <v>0</v>
      </c>
      <c r="AL18" s="26">
        <f>IF(AL4=Assumptions!$E$175,Assumptions!$E$181,0)</f>
        <v>0</v>
      </c>
      <c r="AM18" s="26">
        <f>IF(AM4=Assumptions!$E$175,Assumptions!$E$181,0)</f>
        <v>0</v>
      </c>
      <c r="AN18" s="26">
        <f>IF(AN4=Assumptions!$E$175,Assumptions!$E$181,0)</f>
        <v>0</v>
      </c>
      <c r="AO18" s="26">
        <f>IF(AO4=Assumptions!$E$175,Assumptions!$E$181,0)</f>
        <v>0</v>
      </c>
      <c r="AP18" s="26">
        <f>IF(AP4=Assumptions!$E$175,Assumptions!$E$181,0)</f>
        <v>0</v>
      </c>
      <c r="AQ18" s="26">
        <f>IF(AQ4=Assumptions!$E$175,Assumptions!$E$181,0)</f>
        <v>0</v>
      </c>
      <c r="AR18" s="26">
        <f>IF(AR4=Assumptions!$E$175,Assumptions!$E$181,0)</f>
        <v>0</v>
      </c>
      <c r="AS18" s="26">
        <f>IF(AS4=Assumptions!$E$175,Assumptions!$E$181,0)</f>
        <v>0</v>
      </c>
      <c r="AT18" s="26">
        <f>IF(AT4=Assumptions!$E$175,Assumptions!$E$181,0)</f>
        <v>0</v>
      </c>
      <c r="AU18" s="26">
        <f>IF(AU4=Assumptions!$E$175,Assumptions!$E$181,0)</f>
        <v>0</v>
      </c>
      <c r="AV18" s="26">
        <f>IF(AV4=Assumptions!$E$175,Assumptions!$E$181,0)</f>
        <v>0</v>
      </c>
      <c r="AW18" s="26">
        <f>IF(AW4=Assumptions!$E$175,Assumptions!$E$181,0)</f>
        <v>0</v>
      </c>
      <c r="AX18" s="26">
        <f>IF(AX4=Assumptions!$E$175,Assumptions!$E$181,0)</f>
        <v>0</v>
      </c>
      <c r="AY18" s="26">
        <f>IF(AY4=Assumptions!$E$175,Assumptions!$E$181,0)</f>
        <v>0</v>
      </c>
      <c r="AZ18" s="26">
        <f>IF(AZ4=Assumptions!$E$175,Assumptions!$E$181,0)</f>
        <v>0</v>
      </c>
      <c r="BA18" s="26">
        <f>IF(BA4=Assumptions!$E$175,Assumptions!$E$181,0)</f>
        <v>0</v>
      </c>
      <c r="BB18" s="26">
        <f>IF(BB4=Assumptions!$E$175,Assumptions!$E$181,0)</f>
        <v>0</v>
      </c>
      <c r="BC18" s="26">
        <f>IF(BC4=Assumptions!$E$175,Assumptions!$E$181,0)</f>
        <v>0</v>
      </c>
      <c r="BD18" s="26">
        <f>IF(BD4=Assumptions!$E$175,Assumptions!$E$181,0)</f>
        <v>0</v>
      </c>
      <c r="BE18" s="26">
        <f>IF(BE4=Assumptions!$E$175,Assumptions!$E$181,0)</f>
        <v>0</v>
      </c>
      <c r="BF18" s="26">
        <f>IF(BF4=Assumptions!$E$175,Assumptions!$E$181,0)</f>
        <v>0</v>
      </c>
      <c r="BG18" s="26">
        <f>IF(BG4=Assumptions!$E$175,Assumptions!$E$181,0)</f>
        <v>0</v>
      </c>
      <c r="BH18" s="26">
        <f>IF(BH4=Assumptions!$E$175,Assumptions!$E$181,0)</f>
        <v>0</v>
      </c>
      <c r="BI18" s="26">
        <f>IF(BI4=Assumptions!$E$175,Assumptions!$E$181,0)</f>
        <v>0</v>
      </c>
      <c r="BJ18" s="26">
        <f>IF(BJ4=Assumptions!$E$175,Assumptions!$E$181,0)</f>
        <v>0</v>
      </c>
      <c r="BK18" s="26">
        <f>IF(BK4=Assumptions!$E$175,Assumptions!$E$181,0)</f>
        <v>0</v>
      </c>
      <c r="BL18" s="26">
        <f>IF(BL4=Assumptions!$E$175,Assumptions!$E$181,0)</f>
        <v>0</v>
      </c>
      <c r="BM18" s="26">
        <f>IF(BM4=Assumptions!$E$175,Assumptions!$E$181,0)</f>
        <v>0</v>
      </c>
      <c r="BN18" s="26">
        <f>IF(BN4=Assumptions!$E$175,Assumptions!$E$181,0)</f>
        <v>0</v>
      </c>
      <c r="BO18" s="26">
        <f>IF(BO4=Assumptions!$E$175,Assumptions!$E$181,0)</f>
        <v>26327178.346453849</v>
      </c>
      <c r="BP18" s="26">
        <f>IF(BP4=Assumptions!$E$175,Assumptions!$E$181,0)</f>
        <v>0</v>
      </c>
      <c r="BQ18" s="26">
        <f>IF(BQ4=Assumptions!$E$175,Assumptions!$E$181,0)</f>
        <v>0</v>
      </c>
      <c r="BR18" s="26">
        <f>IF(BR4=Assumptions!$E$175,Assumptions!$E$181,0)</f>
        <v>0</v>
      </c>
      <c r="BS18" s="26">
        <f>IF(BS4=Assumptions!$E$175,Assumptions!$E$181,0)</f>
        <v>0</v>
      </c>
      <c r="BT18" s="26">
        <f>IF(BT4=Assumptions!$E$175,Assumptions!$E$181,0)</f>
        <v>0</v>
      </c>
      <c r="BU18" s="26">
        <f>IF(BU4=Assumptions!$E$175,Assumptions!$E$181,0)</f>
        <v>0</v>
      </c>
      <c r="BV18" s="26">
        <f>IF(BV4=Assumptions!$E$175,Assumptions!$E$181,0)</f>
        <v>0</v>
      </c>
      <c r="BW18" s="26">
        <f>IF(BW4=Assumptions!$E$175,Assumptions!$E$181,0)</f>
        <v>0</v>
      </c>
      <c r="BX18" s="26">
        <f>IF(BX4=Assumptions!$E$175,Assumptions!$E$181,0)</f>
        <v>0</v>
      </c>
      <c r="BY18" s="26">
        <f>IF(BY4=Assumptions!$E$175,Assumptions!$E$181,0)</f>
        <v>0</v>
      </c>
      <c r="BZ18" s="26">
        <f>IF(BZ4=Assumptions!$E$175,Assumptions!$E$181,0)</f>
        <v>0</v>
      </c>
      <c r="CA18" s="26">
        <f>IF(CA4=Assumptions!$E$175,Assumptions!$E$181,0)</f>
        <v>0</v>
      </c>
      <c r="CB18" s="26">
        <f>IF(CB4=Assumptions!$E$175,Assumptions!$E$181,0)</f>
        <v>0</v>
      </c>
      <c r="CC18" s="26">
        <f>IF(CC4=Assumptions!$E$175,Assumptions!$E$181,0)</f>
        <v>0</v>
      </c>
      <c r="CD18" s="26">
        <f>IF(CD4=Assumptions!$E$175,Assumptions!$E$181,0)</f>
        <v>0</v>
      </c>
      <c r="CE18" s="26">
        <f>IF(CE4=Assumptions!$E$175,Assumptions!$E$181,0)</f>
        <v>0</v>
      </c>
      <c r="CF18" s="26">
        <f>IF(CF4=Assumptions!$E$175,Assumptions!$E$181,0)</f>
        <v>0</v>
      </c>
      <c r="CG18" s="26">
        <f>IF(CG4=Assumptions!$E$175,Assumptions!$E$181,0)</f>
        <v>0</v>
      </c>
      <c r="CH18" s="26">
        <f>IF(CH4=Assumptions!$E$175,Assumptions!$E$181,0)</f>
        <v>0</v>
      </c>
      <c r="CI18" s="26">
        <f>IF(CI4=Assumptions!$E$175,Assumptions!$E$181,0)</f>
        <v>0</v>
      </c>
      <c r="CJ18" s="26">
        <f>IF(CJ4=Assumptions!$E$175,Assumptions!$E$181,0)</f>
        <v>0</v>
      </c>
      <c r="CK18" s="26">
        <f>IF(CK4=Assumptions!$E$175,Assumptions!$E$181,0)</f>
        <v>0</v>
      </c>
      <c r="CL18" s="26">
        <f>IF(CL4=Assumptions!$E$175,Assumptions!$E$181,0)</f>
        <v>0</v>
      </c>
      <c r="CM18" s="26">
        <f>IF(CM4=Assumptions!$E$175,Assumptions!$E$181,0)</f>
        <v>0</v>
      </c>
      <c r="CN18" s="26">
        <f>IF(CN4=Assumptions!$E$175,Assumptions!$E$181,0)</f>
        <v>0</v>
      </c>
      <c r="CO18" s="26">
        <f>IF(CO4=Assumptions!$E$175,Assumptions!$E$181,0)</f>
        <v>0</v>
      </c>
      <c r="CP18" s="26">
        <f>IF(CP4=Assumptions!$E$175,Assumptions!$E$181,0)</f>
        <v>0</v>
      </c>
      <c r="CQ18" s="26">
        <f>IF(CQ4=Assumptions!$E$175,Assumptions!$E$181,0)</f>
        <v>0</v>
      </c>
      <c r="CR18" s="26">
        <f>IF(CR4=Assumptions!$E$175,Assumptions!$E$181,0)</f>
        <v>0</v>
      </c>
      <c r="CS18" s="26">
        <f>IF(CS4=Assumptions!$E$175,Assumptions!$E$181,0)</f>
        <v>0</v>
      </c>
      <c r="CT18" s="26">
        <f>IF(CT4=Assumptions!$E$175,Assumptions!$E$181,0)</f>
        <v>0</v>
      </c>
      <c r="CU18" s="26">
        <f>IF(CU4=Assumptions!$E$175,Assumptions!$E$181,0)</f>
        <v>0</v>
      </c>
      <c r="CV18" s="26">
        <f>IF(CV4=Assumptions!$E$175,Assumptions!$E$181,0)</f>
        <v>0</v>
      </c>
      <c r="CW18" s="26">
        <f>IF(CW4=Assumptions!$E$175,Assumptions!$E$181,0)</f>
        <v>0</v>
      </c>
      <c r="CX18" s="26">
        <f>IF(CX4=Assumptions!$E$175,Assumptions!$E$181,0)</f>
        <v>0</v>
      </c>
      <c r="CY18" s="26">
        <f>IF(CY4=Assumptions!$E$175,Assumptions!$E$181,0)</f>
        <v>0</v>
      </c>
      <c r="CZ18" s="26">
        <f>IF(CZ4=Assumptions!$E$175,Assumptions!$E$181,0)</f>
        <v>0</v>
      </c>
      <c r="DA18" s="26">
        <f>IF(DA4=Assumptions!$E$175,Assumptions!$E$181,0)</f>
        <v>0</v>
      </c>
      <c r="DB18" s="26">
        <f>IF(DB4=Assumptions!$E$175,Assumptions!$E$181,0)</f>
        <v>0</v>
      </c>
      <c r="DC18" s="26">
        <f>IF(DC4=Assumptions!$E$175,Assumptions!$E$181,0)</f>
        <v>0</v>
      </c>
      <c r="DD18" s="26">
        <f>IF(DD4=Assumptions!$E$175,Assumptions!$E$181,0)</f>
        <v>0</v>
      </c>
      <c r="DE18" s="26">
        <f>IF(DE4=Assumptions!$E$175,Assumptions!$E$181,0)</f>
        <v>0</v>
      </c>
      <c r="DF18" s="26">
        <f>IF(DF4=Assumptions!$E$175,Assumptions!$E$181,0)</f>
        <v>0</v>
      </c>
      <c r="DG18" s="26">
        <f>IF(DG4=Assumptions!$E$175,Assumptions!$E$181,0)</f>
        <v>0</v>
      </c>
      <c r="DH18" s="26">
        <f>IF(DH4=Assumptions!$E$175,Assumptions!$E$181,0)</f>
        <v>0</v>
      </c>
      <c r="DI18" s="26">
        <f>IF(DI4=Assumptions!$E$175,Assumptions!$E$181,0)</f>
        <v>0</v>
      </c>
      <c r="DJ18" s="26">
        <f>IF(DJ4=Assumptions!$E$175,Assumptions!$E$181,0)</f>
        <v>0</v>
      </c>
      <c r="DK18" s="26">
        <f>IF(DK4=Assumptions!$E$175,Assumptions!$E$181,0)</f>
        <v>0</v>
      </c>
      <c r="DL18" s="26">
        <f>IF(DL4=Assumptions!$E$175,Assumptions!$E$181,0)</f>
        <v>0</v>
      </c>
      <c r="DM18" s="26">
        <f>IF(DM4=Assumptions!$E$175,Assumptions!$E$181,0)</f>
        <v>0</v>
      </c>
      <c r="DN18" s="26">
        <f>IF(DN4=Assumptions!$E$175,Assumptions!$E$181,0)</f>
        <v>0</v>
      </c>
      <c r="DO18" s="26">
        <f>IF(DO4=Assumptions!$E$175,Assumptions!$E$181,0)</f>
        <v>0</v>
      </c>
      <c r="DP18" s="26">
        <f>IF(DP4=Assumptions!$E$175,Assumptions!$E$181,0)</f>
        <v>0</v>
      </c>
      <c r="DQ18" s="26">
        <f>IF(DQ4=Assumptions!$E$175,Assumptions!$E$181,0)</f>
        <v>0</v>
      </c>
      <c r="DR18" s="26">
        <f>IF(DR4=Assumptions!$E$175,Assumptions!$E$181,0)</f>
        <v>0</v>
      </c>
      <c r="DS18" s="26">
        <f>IF(DS4=Assumptions!$E$175,Assumptions!$E$181,0)</f>
        <v>0</v>
      </c>
      <c r="DT18" s="26">
        <f>IF(DT4=Assumptions!$E$175,Assumptions!$E$181,0)</f>
        <v>0</v>
      </c>
      <c r="DU18" s="26">
        <f>IF(DU4=Assumptions!$E$175,Assumptions!$E$181,0)</f>
        <v>0</v>
      </c>
      <c r="DV18" s="26">
        <f>IF(DV4=Assumptions!$E$175,Assumptions!$E$181,0)</f>
        <v>0</v>
      </c>
      <c r="DW18" s="26">
        <f>IF(DW4=Assumptions!$E$175,Assumptions!$E$181,0)</f>
        <v>0</v>
      </c>
      <c r="DX18" s="26">
        <f>IF(DX4=Assumptions!$E$175,Assumptions!$E$181,0)</f>
        <v>0</v>
      </c>
      <c r="DY18" s="26">
        <f>IF(DY4=Assumptions!$E$175,Assumptions!$E$181,0)</f>
        <v>0</v>
      </c>
      <c r="DZ18" s="26">
        <f>IF(DZ4=Assumptions!$E$175,Assumptions!$E$181,0)</f>
        <v>0</v>
      </c>
      <c r="EA18" s="26">
        <f>IF(EA4=Assumptions!$E$175,Assumptions!$E$181,0)</f>
        <v>0</v>
      </c>
      <c r="EB18" s="26">
        <f>IF(EB4=Assumptions!$E$175,Assumptions!$E$181,0)</f>
        <v>0</v>
      </c>
      <c r="EC18" s="26">
        <f>IF(EC4=Assumptions!$E$175,Assumptions!$E$181,0)</f>
        <v>0</v>
      </c>
      <c r="ED18" s="26">
        <f>IF(ED4=Assumptions!$E$175,Assumptions!$E$181,0)</f>
        <v>0</v>
      </c>
      <c r="EE18" s="26">
        <f>IF(EE4=Assumptions!$E$175,Assumptions!$E$181,0)</f>
        <v>0</v>
      </c>
      <c r="EF18" s="26">
        <f>IF(EF4=Assumptions!$E$175,Assumptions!$E$181,0)</f>
        <v>0</v>
      </c>
      <c r="EG18" s="26">
        <f>IF(EG4=Assumptions!$E$175,Assumptions!$E$181,0)</f>
        <v>0</v>
      </c>
      <c r="EH18" s="26">
        <f>IF(EH4=Assumptions!$E$175,Assumptions!$E$181,0)</f>
        <v>0</v>
      </c>
      <c r="EI18" s="26">
        <f>IF(EI4=Assumptions!$E$175,Assumptions!$E$181,0)</f>
        <v>0</v>
      </c>
      <c r="EM18" s="1" t="s">
        <v>178</v>
      </c>
    </row>
    <row r="19" spans="4:143" x14ac:dyDescent="0.45"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M19" s="1" t="s">
        <v>178</v>
      </c>
    </row>
    <row r="20" spans="4:143" x14ac:dyDescent="0.45">
      <c r="D20" s="1" t="s">
        <v>16</v>
      </c>
      <c r="G20" s="24" cm="1">
        <f t="array" ref="G20">IFERROR(INDEX('NOI Walk'!$E$58:$EF$58,,MATCH(Model!G$4,'NOI Walk'!$E$15:$EF$15,0)),0)</f>
        <v>0</v>
      </c>
      <c r="H20" s="24" cm="1">
        <f t="array" ref="H20">IFERROR(INDEX('NOI Walk'!$E$58:$EF$58,,MATCH(Model!H$4,'NOI Walk'!$E$15:$EF$15,0)),0)</f>
        <v>0</v>
      </c>
      <c r="I20" s="24" cm="1">
        <f t="array" ref="I20">IFERROR(INDEX('NOI Walk'!$E$58:$EF$58,,MATCH(Model!I$4,'NOI Walk'!$E$15:$EF$15,0)),0)</f>
        <v>0</v>
      </c>
      <c r="J20" s="24" cm="1">
        <f t="array" ref="J20">IFERROR(INDEX('NOI Walk'!$E$58:$EF$58,,MATCH(Model!J$4,'NOI Walk'!$E$15:$EF$15,0)),0)</f>
        <v>0</v>
      </c>
      <c r="K20" s="24" cm="1">
        <f t="array" ref="K20">IFERROR(INDEX('NOI Walk'!$E$58:$EF$58,,MATCH(Model!K$4,'NOI Walk'!$E$15:$EF$15,0)),0)</f>
        <v>0</v>
      </c>
      <c r="L20" s="24" cm="1">
        <f t="array" ref="L20">IFERROR(INDEX('NOI Walk'!$E$58:$EF$58,,MATCH(Model!L$4,'NOI Walk'!$E$15:$EF$15,0)),0)</f>
        <v>0</v>
      </c>
      <c r="M20" s="24" cm="1">
        <f t="array" ref="M20">IFERROR(INDEX('NOI Walk'!$E$58:$EF$58,,MATCH(Model!M$4,'NOI Walk'!$E$15:$EF$15,0)),0)</f>
        <v>0</v>
      </c>
      <c r="N20" s="24" cm="1">
        <f t="array" ref="N20">IFERROR(INDEX('NOI Walk'!$E$58:$EF$58,,MATCH(Model!N$4,'NOI Walk'!$E$15:$EF$15,0)),0)</f>
        <v>0</v>
      </c>
      <c r="O20" s="24" cm="1">
        <f t="array" ref="O20">IFERROR(INDEX('NOI Walk'!$E$58:$EF$58,,MATCH(Model!O$4,'NOI Walk'!$E$15:$EF$15,0)),0)</f>
        <v>0</v>
      </c>
      <c r="P20" s="24" cm="1">
        <f t="array" ref="P20">IFERROR(INDEX('NOI Walk'!$E$58:$EF$58,,MATCH(Model!P$4,'NOI Walk'!$E$15:$EF$15,0)),0)</f>
        <v>0</v>
      </c>
      <c r="Q20" s="24" cm="1">
        <f t="array" ref="Q20">IFERROR(INDEX('NOI Walk'!$E$58:$EF$58,,MATCH(Model!Q$4,'NOI Walk'!$E$15:$EF$15,0)),0)</f>
        <v>0</v>
      </c>
      <c r="R20" s="24" cm="1">
        <f t="array" ref="R20">IFERROR(INDEX('NOI Walk'!$E$58:$EF$58,,MATCH(Model!R$4,'NOI Walk'!$E$15:$EF$15,0)),0)</f>
        <v>0</v>
      </c>
      <c r="S20" s="24" cm="1">
        <f t="array" ref="S20">IFERROR(INDEX('NOI Walk'!$E$58:$EF$58,,MATCH(Model!S$4,'NOI Walk'!$E$15:$EF$15,0)),0)</f>
        <v>0</v>
      </c>
      <c r="T20" s="24" cm="1">
        <f t="array" ref="T20">IFERROR(INDEX('NOI Walk'!$E$58:$EF$58,,MATCH(Model!T$4,'NOI Walk'!$E$15:$EF$15,0)),0)</f>
        <v>0</v>
      </c>
      <c r="U20" s="24" cm="1">
        <f t="array" ref="U20">IFERROR(INDEX('NOI Walk'!$E$58:$EF$58,,MATCH(Model!U$4,'NOI Walk'!$E$15:$EF$15,0)),0)</f>
        <v>0</v>
      </c>
      <c r="V20" s="24" cm="1">
        <f t="array" ref="V20">IFERROR(INDEX('NOI Walk'!$E$58:$EF$58,,MATCH(Model!V$4,'NOI Walk'!$E$15:$EF$15,0)),0)</f>
        <v>0</v>
      </c>
      <c r="W20" s="24" cm="1">
        <f t="array" ref="W20">IFERROR(INDEX('NOI Walk'!$E$58:$EF$58,,MATCH(Model!W$4,'NOI Walk'!$E$15:$EF$15,0)),0)</f>
        <v>0</v>
      </c>
      <c r="X20" s="24" cm="1">
        <f t="array" ref="X20">IFERROR(INDEX('NOI Walk'!$E$58:$EF$58,,MATCH(Model!X$4,'NOI Walk'!$E$15:$EF$15,0)),0)</f>
        <v>0</v>
      </c>
      <c r="Y20" s="24" cm="1">
        <f t="array" ref="Y20">IFERROR(INDEX('NOI Walk'!$E$58:$EF$58,,MATCH(Model!Y$4,'NOI Walk'!$E$15:$EF$15,0)),0)</f>
        <v>0</v>
      </c>
      <c r="Z20" s="24" cm="1">
        <f t="array" ref="Z20">IFERROR(INDEX('NOI Walk'!$E$58:$EF$58,,MATCH(Model!Z$4,'NOI Walk'!$E$15:$EF$15,0)),0)</f>
        <v>0</v>
      </c>
      <c r="AA20" s="24" cm="1">
        <f t="array" ref="AA20">IFERROR(INDEX('NOI Walk'!$E$58:$EF$58,,MATCH(Model!AA$4,'NOI Walk'!$E$15:$EF$15,0)),0)</f>
        <v>0</v>
      </c>
      <c r="AB20" s="24" cm="1">
        <f t="array" ref="AB20">IFERROR(INDEX('NOI Walk'!$E$58:$EF$58,,MATCH(Model!AB$4,'NOI Walk'!$E$15:$EF$15,0)),0)</f>
        <v>0</v>
      </c>
      <c r="AC20" s="24" cm="1">
        <f t="array" ref="AC20">IFERROR(INDEX('NOI Walk'!$E$58:$EF$58,,MATCH(Model!AC$4,'NOI Walk'!$E$15:$EF$15,0)),0)</f>
        <v>0</v>
      </c>
      <c r="AD20" s="24" cm="1">
        <f t="array" ref="AD20">IFERROR(INDEX('NOI Walk'!$E$58:$EF$58,,MATCH(Model!AD$4,'NOI Walk'!$E$15:$EF$15,0)),0)</f>
        <v>0</v>
      </c>
      <c r="AE20" s="24" cm="1">
        <f t="array" ref="AE20">IFERROR(INDEX('NOI Walk'!$E$58:$EF$58,,MATCH(Model!AE$4,'NOI Walk'!$E$15:$EF$15,0)),0)</f>
        <v>0</v>
      </c>
      <c r="AF20" s="24" cm="1">
        <f t="array" ref="AF20">IFERROR(INDEX('NOI Walk'!$E$58:$EF$58,,MATCH(Model!AF$4,'NOI Walk'!$E$15:$EF$15,0)),0)</f>
        <v>0</v>
      </c>
      <c r="AG20" s="24" cm="1">
        <f t="array" ref="AG20">IFERROR(INDEX('NOI Walk'!$E$58:$EF$58,,MATCH(Model!AG$4,'NOI Walk'!$E$15:$EF$15,0)),0)</f>
        <v>0</v>
      </c>
      <c r="AH20" s="24" cm="1">
        <f t="array" ref="AH20">IFERROR(INDEX('NOI Walk'!$E$58:$EF$58,,MATCH(Model!AH$4,'NOI Walk'!$E$15:$EF$15,0)),0)</f>
        <v>0</v>
      </c>
      <c r="AI20" s="24" cm="1">
        <f t="array" ref="AI20">IFERROR(INDEX('NOI Walk'!$E$58:$EF$58,,MATCH(Model!AI$4,'NOI Walk'!$E$15:$EF$15,0)),0)</f>
        <v>0</v>
      </c>
      <c r="AJ20" s="24" cm="1">
        <f t="array" ref="AJ20">IFERROR(INDEX('NOI Walk'!$E$58:$EF$58,,MATCH(Model!AJ$4,'NOI Walk'!$E$15:$EF$15,0)),0)</f>
        <v>0</v>
      </c>
      <c r="AK20" s="24" cm="1">
        <f t="array" ref="AK20">IFERROR(INDEX('NOI Walk'!$E$58:$EF$58,,MATCH(Model!AK$4,'NOI Walk'!$E$15:$EF$15,0)),0)</f>
        <v>0</v>
      </c>
      <c r="AL20" s="24" cm="1">
        <f t="array" ref="AL20">IFERROR(INDEX('NOI Walk'!$E$58:$EF$58,,MATCH(Model!AL$4,'NOI Walk'!$E$15:$EF$15,0)),0)</f>
        <v>0</v>
      </c>
      <c r="AM20" s="24" cm="1">
        <f t="array" ref="AM20">IFERROR(INDEX('NOI Walk'!$E$58:$EF$58,,MATCH(Model!AM$4,'NOI Walk'!$E$15:$EF$15,0)),0)</f>
        <v>0</v>
      </c>
      <c r="AN20" s="24" cm="1">
        <f t="array" ref="AN20">IFERROR(INDEX('NOI Walk'!$E$58:$EF$58,,MATCH(Model!AN$4,'NOI Walk'!$E$15:$EF$15,0)),0)</f>
        <v>0</v>
      </c>
      <c r="AO20" s="24" cm="1">
        <f t="array" ref="AO20">IFERROR(INDEX('NOI Walk'!$E$58:$EF$58,,MATCH(Model!AO$4,'NOI Walk'!$E$15:$EF$15,0)),0)</f>
        <v>0</v>
      </c>
      <c r="AP20" s="24" cm="1">
        <f t="array" ref="AP20">IFERROR(INDEX('NOI Walk'!$E$58:$EF$58,,MATCH(Model!AP$4,'NOI Walk'!$E$15:$EF$15,0)),0)</f>
        <v>0</v>
      </c>
      <c r="AQ20" s="24" cm="1">
        <f t="array" ref="AQ20">IFERROR(INDEX('NOI Walk'!$E$58:$EF$58,,MATCH(Model!AQ$4,'NOI Walk'!$E$15:$EF$15,0)),0)</f>
        <v>0</v>
      </c>
      <c r="AR20" s="24" cm="1">
        <f t="array" ref="AR20">IFERROR(INDEX('NOI Walk'!$E$58:$EF$58,,MATCH(Model!AR$4,'NOI Walk'!$E$15:$EF$15,0)),0)</f>
        <v>0</v>
      </c>
      <c r="AS20" s="24" cm="1">
        <f t="array" ref="AS20">IFERROR(INDEX('NOI Walk'!$E$58:$EF$58,,MATCH(Model!AS$4,'NOI Walk'!$E$15:$EF$15,0)),0)</f>
        <v>0</v>
      </c>
      <c r="AT20" s="24" cm="1">
        <f t="array" ref="AT20">IFERROR(INDEX('NOI Walk'!$E$58:$EF$58,,MATCH(Model!AT$4,'NOI Walk'!$E$15:$EF$15,0)),0)</f>
        <v>0</v>
      </c>
      <c r="AU20" s="24" cm="1">
        <f t="array" ref="AU20">IFERROR(INDEX('NOI Walk'!$E$58:$EF$58,,MATCH(Model!AU$4,'NOI Walk'!$E$15:$EF$15,0)),0)</f>
        <v>0</v>
      </c>
      <c r="AV20" s="24" cm="1">
        <f t="array" ref="AV20">IFERROR(INDEX('NOI Walk'!$E$58:$EF$58,,MATCH(Model!AV$4,'NOI Walk'!$E$15:$EF$15,0)),0)</f>
        <v>0</v>
      </c>
      <c r="AW20" s="24" cm="1">
        <f t="array" ref="AW20">IFERROR(INDEX('NOI Walk'!$E$58:$EF$58,,MATCH(Model!AW$4,'NOI Walk'!$E$15:$EF$15,0)),0)</f>
        <v>0</v>
      </c>
      <c r="AX20" s="24" cm="1">
        <f t="array" ref="AX20">IFERROR(INDEX('NOI Walk'!$E$58:$EF$58,,MATCH(Model!AX$4,'NOI Walk'!$E$15:$EF$15,0)),0)</f>
        <v>0</v>
      </c>
      <c r="AY20" s="24" cm="1">
        <f t="array" ref="AY20">IFERROR(INDEX('NOI Walk'!$E$58:$EF$58,,MATCH(Model!AY$4,'NOI Walk'!$E$15:$EF$15,0)),0)</f>
        <v>0</v>
      </c>
      <c r="AZ20" s="24" cm="1">
        <f t="array" ref="AZ20">IFERROR(INDEX('NOI Walk'!$E$58:$EF$58,,MATCH(Model!AZ$4,'NOI Walk'!$E$15:$EF$15,0)),0)</f>
        <v>0</v>
      </c>
      <c r="BA20" s="24" cm="1">
        <f t="array" ref="BA20">IFERROR(INDEX('NOI Walk'!$E$58:$EF$58,,MATCH(Model!BA$4,'NOI Walk'!$E$15:$EF$15,0)),0)</f>
        <v>0</v>
      </c>
      <c r="BB20" s="24" cm="1">
        <f t="array" ref="BB20">IFERROR(INDEX('NOI Walk'!$E$58:$EF$58,,MATCH(Model!BB$4,'NOI Walk'!$E$15:$EF$15,0)),0)</f>
        <v>0</v>
      </c>
      <c r="BC20" s="24" cm="1">
        <f t="array" ref="BC20">IFERROR(INDEX('NOI Walk'!$E$58:$EF$58,,MATCH(Model!BC$4,'NOI Walk'!$E$15:$EF$15,0)),0)</f>
        <v>0</v>
      </c>
      <c r="BD20" s="24" cm="1">
        <f t="array" ref="BD20">IFERROR(INDEX('NOI Walk'!$E$58:$EF$58,,MATCH(Model!BD$4,'NOI Walk'!$E$15:$EF$15,0)),0)</f>
        <v>0</v>
      </c>
      <c r="BE20" s="24" cm="1">
        <f t="array" ref="BE20">IFERROR(INDEX('NOI Walk'!$E$58:$EF$58,,MATCH(Model!BE$4,'NOI Walk'!$E$15:$EF$15,0)),0)</f>
        <v>0</v>
      </c>
      <c r="BF20" s="24" cm="1">
        <f t="array" ref="BF20">IFERROR(INDEX('NOI Walk'!$E$58:$EF$58,,MATCH(Model!BF$4,'NOI Walk'!$E$15:$EF$15,0)),0)</f>
        <v>0</v>
      </c>
      <c r="BG20" s="24" cm="1">
        <f t="array" ref="BG20">IFERROR(INDEX('NOI Walk'!$E$58:$EF$58,,MATCH(Model!BG$4,'NOI Walk'!$E$15:$EF$15,0)),0)</f>
        <v>0</v>
      </c>
      <c r="BH20" s="24" cm="1">
        <f t="array" ref="BH20">IFERROR(INDEX('NOI Walk'!$E$58:$EF$58,,MATCH(Model!BH$4,'NOI Walk'!$E$15:$EF$15,0)),0)</f>
        <v>0</v>
      </c>
      <c r="BI20" s="24" cm="1">
        <f t="array" ref="BI20">IFERROR(INDEX('NOI Walk'!$E$58:$EF$58,,MATCH(Model!BI$4,'NOI Walk'!$E$15:$EF$15,0)),0)</f>
        <v>0</v>
      </c>
      <c r="BJ20" s="24" cm="1">
        <f t="array" ref="BJ20">IFERROR(INDEX('NOI Walk'!$E$58:$EF$58,,MATCH(Model!BJ$4,'NOI Walk'!$E$15:$EF$15,0)),0)</f>
        <v>0</v>
      </c>
      <c r="BK20" s="24" cm="1">
        <f t="array" ref="BK20">IFERROR(INDEX('NOI Walk'!$E$58:$EF$58,,MATCH(Model!BK$4,'NOI Walk'!$E$15:$EF$15,0)),0)</f>
        <v>0</v>
      </c>
      <c r="BL20" s="24" cm="1">
        <f t="array" ref="BL20">IFERROR(INDEX('NOI Walk'!$E$58:$EF$58,,MATCH(Model!BL$4,'NOI Walk'!$E$15:$EF$15,0)),0)</f>
        <v>0</v>
      </c>
      <c r="BM20" s="24" cm="1">
        <f t="array" ref="BM20">IFERROR(INDEX('NOI Walk'!$E$58:$EF$58,,MATCH(Model!BM$4,'NOI Walk'!$E$15:$EF$15,0)),0)</f>
        <v>0</v>
      </c>
      <c r="BN20" s="24" cm="1">
        <f t="array" ref="BN20">IFERROR(INDEX('NOI Walk'!$E$58:$EF$58,,MATCH(Model!BN$4,'NOI Walk'!$E$15:$EF$15,0)),0)</f>
        <v>0</v>
      </c>
      <c r="BO20" s="24" cm="1">
        <f t="array" ref="BO20">IFERROR(INDEX('NOI Walk'!$E$58:$EF$58,,MATCH(Model!BO$4,'NOI Walk'!$E$15:$EF$15,0)),0)</f>
        <v>0</v>
      </c>
      <c r="BP20" s="24" cm="1">
        <f t="array" ref="BP20">IFERROR(INDEX('NOI Walk'!$E$58:$EF$58,,MATCH(Model!BP$4,'NOI Walk'!$E$15:$EF$15,0)),0)</f>
        <v>0</v>
      </c>
      <c r="BQ20" s="24" cm="1">
        <f t="array" ref="BQ20">IFERROR(INDEX('NOI Walk'!$E$58:$EF$58,,MATCH(Model!BQ$4,'NOI Walk'!$E$15:$EF$15,0)),0)</f>
        <v>0</v>
      </c>
      <c r="BR20" s="24" cm="1">
        <f t="array" ref="BR20">IFERROR(INDEX('NOI Walk'!$E$58:$EF$58,,MATCH(Model!BR$4,'NOI Walk'!$E$15:$EF$15,0)),0)</f>
        <v>0</v>
      </c>
      <c r="BS20" s="24" cm="1">
        <f t="array" ref="BS20">IFERROR(INDEX('NOI Walk'!$E$58:$EF$58,,MATCH(Model!BS$4,'NOI Walk'!$E$15:$EF$15,0)),0)</f>
        <v>0</v>
      </c>
      <c r="BT20" s="24" cm="1">
        <f t="array" ref="BT20">IFERROR(INDEX('NOI Walk'!$E$58:$EF$58,,MATCH(Model!BT$4,'NOI Walk'!$E$15:$EF$15,0)),0)</f>
        <v>0</v>
      </c>
      <c r="BU20" s="24" cm="1">
        <f t="array" ref="BU20">IFERROR(INDEX('NOI Walk'!$E$58:$EF$58,,MATCH(Model!BU$4,'NOI Walk'!$E$15:$EF$15,0)),0)</f>
        <v>0</v>
      </c>
      <c r="BV20" s="24" cm="1">
        <f t="array" ref="BV20">IFERROR(INDEX('NOI Walk'!$E$58:$EF$58,,MATCH(Model!BV$4,'NOI Walk'!$E$15:$EF$15,0)),0)</f>
        <v>0</v>
      </c>
      <c r="BW20" s="24" cm="1">
        <f t="array" ref="BW20">IFERROR(INDEX('NOI Walk'!$E$58:$EF$58,,MATCH(Model!BW$4,'NOI Walk'!$E$15:$EF$15,0)),0)</f>
        <v>0</v>
      </c>
      <c r="BX20" s="24" cm="1">
        <f t="array" ref="BX20">IFERROR(INDEX('NOI Walk'!$E$58:$EF$58,,MATCH(Model!BX$4,'NOI Walk'!$E$15:$EF$15,0)),0)</f>
        <v>0</v>
      </c>
      <c r="BY20" s="24" cm="1">
        <f t="array" ref="BY20">IFERROR(INDEX('NOI Walk'!$E$58:$EF$58,,MATCH(Model!BY$4,'NOI Walk'!$E$15:$EF$15,0)),0)</f>
        <v>0</v>
      </c>
      <c r="BZ20" s="24" cm="1">
        <f t="array" ref="BZ20">IFERROR(INDEX('NOI Walk'!$E$58:$EF$58,,MATCH(Model!BZ$4,'NOI Walk'!$E$15:$EF$15,0)),0)</f>
        <v>0</v>
      </c>
      <c r="CA20" s="24" cm="1">
        <f t="array" ref="CA20">IFERROR(INDEX('NOI Walk'!$E$58:$EF$58,,MATCH(Model!CA$4,'NOI Walk'!$E$15:$EF$15,0)),0)</f>
        <v>0</v>
      </c>
      <c r="CB20" s="24" cm="1">
        <f t="array" ref="CB20">IFERROR(INDEX('NOI Walk'!$E$58:$EF$58,,MATCH(Model!CB$4,'NOI Walk'!$E$15:$EF$15,0)),0)</f>
        <v>0</v>
      </c>
      <c r="CC20" s="24" cm="1">
        <f t="array" ref="CC20">IFERROR(INDEX('NOI Walk'!$E$58:$EF$58,,MATCH(Model!CC$4,'NOI Walk'!$E$15:$EF$15,0)),0)</f>
        <v>0</v>
      </c>
      <c r="CD20" s="24" cm="1">
        <f t="array" ref="CD20">IFERROR(INDEX('NOI Walk'!$E$58:$EF$58,,MATCH(Model!CD$4,'NOI Walk'!$E$15:$EF$15,0)),0)</f>
        <v>0</v>
      </c>
      <c r="CE20" s="24" cm="1">
        <f t="array" ref="CE20">IFERROR(INDEX('NOI Walk'!$E$58:$EF$58,,MATCH(Model!CE$4,'NOI Walk'!$E$15:$EF$15,0)),0)</f>
        <v>0</v>
      </c>
      <c r="CF20" s="24" cm="1">
        <f t="array" ref="CF20">IFERROR(INDEX('NOI Walk'!$E$58:$EF$58,,MATCH(Model!CF$4,'NOI Walk'!$E$15:$EF$15,0)),0)</f>
        <v>0</v>
      </c>
      <c r="CG20" s="24" cm="1">
        <f t="array" ref="CG20">IFERROR(INDEX('NOI Walk'!$E$58:$EF$58,,MATCH(Model!CG$4,'NOI Walk'!$E$15:$EF$15,0)),0)</f>
        <v>0</v>
      </c>
      <c r="CH20" s="24" cm="1">
        <f t="array" ref="CH20">IFERROR(INDEX('NOI Walk'!$E$58:$EF$58,,MATCH(Model!CH$4,'NOI Walk'!$E$15:$EF$15,0)),0)</f>
        <v>0</v>
      </c>
      <c r="CI20" s="24" cm="1">
        <f t="array" ref="CI20">IFERROR(INDEX('NOI Walk'!$E$58:$EF$58,,MATCH(Model!CI$4,'NOI Walk'!$E$15:$EF$15,0)),0)</f>
        <v>0</v>
      </c>
      <c r="CJ20" s="24" cm="1">
        <f t="array" ref="CJ20">IFERROR(INDEX('NOI Walk'!$E$58:$EF$58,,MATCH(Model!CJ$4,'NOI Walk'!$E$15:$EF$15,0)),0)</f>
        <v>0</v>
      </c>
      <c r="CK20" s="24" cm="1">
        <f t="array" ref="CK20">IFERROR(INDEX('NOI Walk'!$E$58:$EF$58,,MATCH(Model!CK$4,'NOI Walk'!$E$15:$EF$15,0)),0)</f>
        <v>0</v>
      </c>
      <c r="CL20" s="24" cm="1">
        <f t="array" ref="CL20">IFERROR(INDEX('NOI Walk'!$E$58:$EF$58,,MATCH(Model!CL$4,'NOI Walk'!$E$15:$EF$15,0)),0)</f>
        <v>0</v>
      </c>
      <c r="CM20" s="24" cm="1">
        <f t="array" ref="CM20">IFERROR(INDEX('NOI Walk'!$E$58:$EF$58,,MATCH(Model!CM$4,'NOI Walk'!$E$15:$EF$15,0)),0)</f>
        <v>0</v>
      </c>
      <c r="CN20" s="24" cm="1">
        <f t="array" ref="CN20">IFERROR(INDEX('NOI Walk'!$E$58:$EF$58,,MATCH(Model!CN$4,'NOI Walk'!$E$15:$EF$15,0)),0)</f>
        <v>0</v>
      </c>
      <c r="CO20" s="24" cm="1">
        <f t="array" ref="CO20">IFERROR(INDEX('NOI Walk'!$E$58:$EF$58,,MATCH(Model!CO$4,'NOI Walk'!$E$15:$EF$15,0)),0)</f>
        <v>0</v>
      </c>
      <c r="CP20" s="24" cm="1">
        <f t="array" ref="CP20">IFERROR(INDEX('NOI Walk'!$E$58:$EF$58,,MATCH(Model!CP$4,'NOI Walk'!$E$15:$EF$15,0)),0)</f>
        <v>0</v>
      </c>
      <c r="CQ20" s="24" cm="1">
        <f t="array" ref="CQ20">IFERROR(INDEX('NOI Walk'!$E$58:$EF$58,,MATCH(Model!CQ$4,'NOI Walk'!$E$15:$EF$15,0)),0)</f>
        <v>0</v>
      </c>
      <c r="CR20" s="24" cm="1">
        <f t="array" ref="CR20">IFERROR(INDEX('NOI Walk'!$E$58:$EF$58,,MATCH(Model!CR$4,'NOI Walk'!$E$15:$EF$15,0)),0)</f>
        <v>0</v>
      </c>
      <c r="CS20" s="24" cm="1">
        <f t="array" ref="CS20">IFERROR(INDEX('NOI Walk'!$E$58:$EF$58,,MATCH(Model!CS$4,'NOI Walk'!$E$15:$EF$15,0)),0)</f>
        <v>0</v>
      </c>
      <c r="CT20" s="24" cm="1">
        <f t="array" ref="CT20">IFERROR(INDEX('NOI Walk'!$E$58:$EF$58,,MATCH(Model!CT$4,'NOI Walk'!$E$15:$EF$15,0)),0)</f>
        <v>0</v>
      </c>
      <c r="CU20" s="24" cm="1">
        <f t="array" ref="CU20">IFERROR(INDEX('NOI Walk'!$E$58:$EF$58,,MATCH(Model!CU$4,'NOI Walk'!$E$15:$EF$15,0)),0)</f>
        <v>0</v>
      </c>
      <c r="CV20" s="24" cm="1">
        <f t="array" ref="CV20">IFERROR(INDEX('NOI Walk'!$E$58:$EF$58,,MATCH(Model!CV$4,'NOI Walk'!$E$15:$EF$15,0)),0)</f>
        <v>0</v>
      </c>
      <c r="CW20" s="24" cm="1">
        <f t="array" ref="CW20">IFERROR(INDEX('NOI Walk'!$E$58:$EF$58,,MATCH(Model!CW$4,'NOI Walk'!$E$15:$EF$15,0)),0)</f>
        <v>0</v>
      </c>
      <c r="CX20" s="24" cm="1">
        <f t="array" ref="CX20">IFERROR(INDEX('NOI Walk'!$E$58:$EF$58,,MATCH(Model!CX$4,'NOI Walk'!$E$15:$EF$15,0)),0)</f>
        <v>0</v>
      </c>
      <c r="CY20" s="24" cm="1">
        <f t="array" ref="CY20">IFERROR(INDEX('NOI Walk'!$E$58:$EF$58,,MATCH(Model!CY$4,'NOI Walk'!$E$15:$EF$15,0)),0)</f>
        <v>0</v>
      </c>
      <c r="CZ20" s="24" cm="1">
        <f t="array" ref="CZ20">IFERROR(INDEX('NOI Walk'!$E$58:$EF$58,,MATCH(Model!CZ$4,'NOI Walk'!$E$15:$EF$15,0)),0)</f>
        <v>0</v>
      </c>
      <c r="DA20" s="24" cm="1">
        <f t="array" ref="DA20">IFERROR(INDEX('NOI Walk'!$E$58:$EF$58,,MATCH(Model!DA$4,'NOI Walk'!$E$15:$EF$15,0)),0)</f>
        <v>0</v>
      </c>
      <c r="DB20" s="24" cm="1">
        <f t="array" ref="DB20">IFERROR(INDEX('NOI Walk'!$E$58:$EF$58,,MATCH(Model!DB$4,'NOI Walk'!$E$15:$EF$15,0)),0)</f>
        <v>0</v>
      </c>
      <c r="DC20" s="24" cm="1">
        <f t="array" ref="DC20">IFERROR(INDEX('NOI Walk'!$E$58:$EF$58,,MATCH(Model!DC$4,'NOI Walk'!$E$15:$EF$15,0)),0)</f>
        <v>0</v>
      </c>
      <c r="DD20" s="24" cm="1">
        <f t="array" ref="DD20">IFERROR(INDEX('NOI Walk'!$E$58:$EF$58,,MATCH(Model!DD$4,'NOI Walk'!$E$15:$EF$15,0)),0)</f>
        <v>0</v>
      </c>
      <c r="DE20" s="24" cm="1">
        <f t="array" ref="DE20">IFERROR(INDEX('NOI Walk'!$E$58:$EF$58,,MATCH(Model!DE$4,'NOI Walk'!$E$15:$EF$15,0)),0)</f>
        <v>0</v>
      </c>
      <c r="DF20" s="24" cm="1">
        <f t="array" ref="DF20">IFERROR(INDEX('NOI Walk'!$E$58:$EF$58,,MATCH(Model!DF$4,'NOI Walk'!$E$15:$EF$15,0)),0)</f>
        <v>0</v>
      </c>
      <c r="DG20" s="24" cm="1">
        <f t="array" ref="DG20">IFERROR(INDEX('NOI Walk'!$E$58:$EF$58,,MATCH(Model!DG$4,'NOI Walk'!$E$15:$EF$15,0)),0)</f>
        <v>0</v>
      </c>
      <c r="DH20" s="24" cm="1">
        <f t="array" ref="DH20">IFERROR(INDEX('NOI Walk'!$E$58:$EF$58,,MATCH(Model!DH$4,'NOI Walk'!$E$15:$EF$15,0)),0)</f>
        <v>0</v>
      </c>
      <c r="DI20" s="24" cm="1">
        <f t="array" ref="DI20">IFERROR(INDEX('NOI Walk'!$E$58:$EF$58,,MATCH(Model!DI$4,'NOI Walk'!$E$15:$EF$15,0)),0)</f>
        <v>0</v>
      </c>
      <c r="DJ20" s="24" cm="1">
        <f t="array" ref="DJ20">IFERROR(INDEX('NOI Walk'!$E$58:$EF$58,,MATCH(Model!DJ$4,'NOI Walk'!$E$15:$EF$15,0)),0)</f>
        <v>0</v>
      </c>
      <c r="DK20" s="24" cm="1">
        <f t="array" ref="DK20">IFERROR(INDEX('NOI Walk'!$E$58:$EF$58,,MATCH(Model!DK$4,'NOI Walk'!$E$15:$EF$15,0)),0)</f>
        <v>0</v>
      </c>
      <c r="DL20" s="24" cm="1">
        <f t="array" ref="DL20">IFERROR(INDEX('NOI Walk'!$E$58:$EF$58,,MATCH(Model!DL$4,'NOI Walk'!$E$15:$EF$15,0)),0)</f>
        <v>0</v>
      </c>
      <c r="DM20" s="24" cm="1">
        <f t="array" ref="DM20">IFERROR(INDEX('NOI Walk'!$E$58:$EF$58,,MATCH(Model!DM$4,'NOI Walk'!$E$15:$EF$15,0)),0)</f>
        <v>0</v>
      </c>
      <c r="DN20" s="24" cm="1">
        <f t="array" ref="DN20">IFERROR(INDEX('NOI Walk'!$E$58:$EF$58,,MATCH(Model!DN$4,'NOI Walk'!$E$15:$EF$15,0)),0)</f>
        <v>0</v>
      </c>
      <c r="DO20" s="24" cm="1">
        <f t="array" ref="DO20">IFERROR(INDEX('NOI Walk'!$E$58:$EF$58,,MATCH(Model!DO$4,'NOI Walk'!$E$15:$EF$15,0)),0)</f>
        <v>0</v>
      </c>
      <c r="DP20" s="24" cm="1">
        <f t="array" ref="DP20">IFERROR(INDEX('NOI Walk'!$E$58:$EF$58,,MATCH(Model!DP$4,'NOI Walk'!$E$15:$EF$15,0)),0)</f>
        <v>0</v>
      </c>
      <c r="DQ20" s="24" cm="1">
        <f t="array" ref="DQ20">IFERROR(INDEX('NOI Walk'!$E$58:$EF$58,,MATCH(Model!DQ$4,'NOI Walk'!$E$15:$EF$15,0)),0)</f>
        <v>0</v>
      </c>
      <c r="DR20" s="24" cm="1">
        <f t="array" ref="DR20">IFERROR(INDEX('NOI Walk'!$E$58:$EF$58,,MATCH(Model!DR$4,'NOI Walk'!$E$15:$EF$15,0)),0)</f>
        <v>0</v>
      </c>
      <c r="DS20" s="24" cm="1">
        <f t="array" ref="DS20">IFERROR(INDEX('NOI Walk'!$E$58:$EF$58,,MATCH(Model!DS$4,'NOI Walk'!$E$15:$EF$15,0)),0)</f>
        <v>0</v>
      </c>
      <c r="DT20" s="24" cm="1">
        <f t="array" ref="DT20">IFERROR(INDEX('NOI Walk'!$E$58:$EF$58,,MATCH(Model!DT$4,'NOI Walk'!$E$15:$EF$15,0)),0)</f>
        <v>0</v>
      </c>
      <c r="DU20" s="24" cm="1">
        <f t="array" ref="DU20">IFERROR(INDEX('NOI Walk'!$E$58:$EF$58,,MATCH(Model!DU$4,'NOI Walk'!$E$15:$EF$15,0)),0)</f>
        <v>0</v>
      </c>
      <c r="DV20" s="24" cm="1">
        <f t="array" ref="DV20">IFERROR(INDEX('NOI Walk'!$E$58:$EF$58,,MATCH(Model!DV$4,'NOI Walk'!$E$15:$EF$15,0)),0)</f>
        <v>0</v>
      </c>
      <c r="DW20" s="24" cm="1">
        <f t="array" ref="DW20">IFERROR(INDEX('NOI Walk'!$E$58:$EF$58,,MATCH(Model!DW$4,'NOI Walk'!$E$15:$EF$15,0)),0)</f>
        <v>0</v>
      </c>
      <c r="DX20" s="24" cm="1">
        <f t="array" ref="DX20">IFERROR(INDEX('NOI Walk'!$E$58:$EF$58,,MATCH(Model!DX$4,'NOI Walk'!$E$15:$EF$15,0)),0)</f>
        <v>0</v>
      </c>
      <c r="DY20" s="24" cm="1">
        <f t="array" ref="DY20">IFERROR(INDEX('NOI Walk'!$E$58:$EF$58,,MATCH(Model!DY$4,'NOI Walk'!$E$15:$EF$15,0)),0)</f>
        <v>0</v>
      </c>
      <c r="DZ20" s="24" cm="1">
        <f t="array" ref="DZ20">IFERROR(INDEX('NOI Walk'!$E$58:$EF$58,,MATCH(Model!DZ$4,'NOI Walk'!$E$15:$EF$15,0)),0)</f>
        <v>0</v>
      </c>
      <c r="EA20" s="24" cm="1">
        <f t="array" ref="EA20">IFERROR(INDEX('NOI Walk'!$E$58:$EF$58,,MATCH(Model!EA$4,'NOI Walk'!$E$15:$EF$15,0)),0)</f>
        <v>0</v>
      </c>
      <c r="EB20" s="24" cm="1">
        <f t="array" ref="EB20">IFERROR(INDEX('NOI Walk'!$E$58:$EF$58,,MATCH(Model!EB$4,'NOI Walk'!$E$15:$EF$15,0)),0)</f>
        <v>0</v>
      </c>
      <c r="EC20" s="24" cm="1">
        <f t="array" ref="EC20">IFERROR(INDEX('NOI Walk'!$E$58:$EF$58,,MATCH(Model!EC$4,'NOI Walk'!$E$15:$EF$15,0)),0)</f>
        <v>0</v>
      </c>
      <c r="ED20" s="24" cm="1">
        <f t="array" ref="ED20">IFERROR(INDEX('NOI Walk'!$E$58:$EF$58,,MATCH(Model!ED$4,'NOI Walk'!$E$15:$EF$15,0)),0)</f>
        <v>0</v>
      </c>
      <c r="EE20" s="24" cm="1">
        <f t="array" ref="EE20">IFERROR(INDEX('NOI Walk'!$E$58:$EF$58,,MATCH(Model!EE$4,'NOI Walk'!$E$15:$EF$15,0)),0)</f>
        <v>0</v>
      </c>
      <c r="EF20" s="24" cm="1">
        <f t="array" ref="EF20">IFERROR(INDEX('NOI Walk'!$E$58:$EF$58,,MATCH(Model!EF$4,'NOI Walk'!$E$15:$EF$15,0)),0)</f>
        <v>0</v>
      </c>
      <c r="EG20" s="24" cm="1">
        <f t="array" ref="EG20">IFERROR(INDEX('NOI Walk'!$E$58:$EF$58,,MATCH(Model!EG$4,'NOI Walk'!$E$15:$EF$15,0)),0)</f>
        <v>0</v>
      </c>
      <c r="EH20" s="24" cm="1">
        <f t="array" ref="EH20">IFERROR(INDEX('NOI Walk'!$E$58:$EF$58,,MATCH(Model!EH$4,'NOI Walk'!$E$15:$EF$15,0)),0)</f>
        <v>0</v>
      </c>
      <c r="EI20" s="24" cm="1">
        <f t="array" ref="EI20">IFERROR(INDEX('NOI Walk'!$E$58:$EF$58,,MATCH(Model!EI$4,'NOI Walk'!$E$15:$EF$15,0)),0)</f>
        <v>0</v>
      </c>
      <c r="EM20" s="1" t="s">
        <v>178</v>
      </c>
    </row>
    <row r="21" spans="4:143" x14ac:dyDescent="0.45">
      <c r="D21" s="1" t="s">
        <v>136</v>
      </c>
      <c r="G21" s="24" cm="1">
        <f t="array" ref="G21">-IFERROR(INDEX('NOI Walk'!$E$62:$EF$62,,MATCH(Model!G$4,'NOI Walk'!$E$15:$EF$15,0)),0)</f>
        <v>0</v>
      </c>
      <c r="H21" s="24" cm="1">
        <f t="array" ref="H21">-IFERROR(INDEX('NOI Walk'!$E$62:$EF$62,,MATCH(Model!H$4,'NOI Walk'!$E$15:$EF$15,0)),0)</f>
        <v>0</v>
      </c>
      <c r="I21" s="24" cm="1">
        <f t="array" ref="I21">-IFERROR(INDEX('NOI Walk'!$E$62:$EF$62,,MATCH(Model!I$4,'NOI Walk'!$E$15:$EF$15,0)),0)</f>
        <v>0</v>
      </c>
      <c r="J21" s="24" cm="1">
        <f t="array" ref="J21">-IFERROR(INDEX('NOI Walk'!$E$62:$EF$62,,MATCH(Model!J$4,'NOI Walk'!$E$15:$EF$15,0)),0)</f>
        <v>0</v>
      </c>
      <c r="K21" s="24" cm="1">
        <f t="array" ref="K21">-IFERROR(INDEX('NOI Walk'!$E$62:$EF$62,,MATCH(Model!K$4,'NOI Walk'!$E$15:$EF$15,0)),0)</f>
        <v>0</v>
      </c>
      <c r="L21" s="24" cm="1">
        <f t="array" ref="L21">-IFERROR(INDEX('NOI Walk'!$E$62:$EF$62,,MATCH(Model!L$4,'NOI Walk'!$E$15:$EF$15,0)),0)</f>
        <v>0</v>
      </c>
      <c r="M21" s="24" cm="1">
        <f t="array" ref="M21">-IFERROR(INDEX('NOI Walk'!$E$62:$EF$62,,MATCH(Model!M$4,'NOI Walk'!$E$15:$EF$15,0)),0)</f>
        <v>0</v>
      </c>
      <c r="N21" s="24" cm="1">
        <f t="array" ref="N21">-IFERROR(INDEX('NOI Walk'!$E$62:$EF$62,,MATCH(Model!N$4,'NOI Walk'!$E$15:$EF$15,0)),0)</f>
        <v>0</v>
      </c>
      <c r="O21" s="24" cm="1">
        <f t="array" ref="O21">-IFERROR(INDEX('NOI Walk'!$E$62:$EF$62,,MATCH(Model!O$4,'NOI Walk'!$E$15:$EF$15,0)),0)</f>
        <v>0</v>
      </c>
      <c r="P21" s="24" cm="1">
        <f t="array" ref="P21">-IFERROR(INDEX('NOI Walk'!$E$62:$EF$62,,MATCH(Model!P$4,'NOI Walk'!$E$15:$EF$15,0)),0)</f>
        <v>0</v>
      </c>
      <c r="Q21" s="24" cm="1">
        <f t="array" ref="Q21">-IFERROR(INDEX('NOI Walk'!$E$62:$EF$62,,MATCH(Model!Q$4,'NOI Walk'!$E$15:$EF$15,0)),0)</f>
        <v>0</v>
      </c>
      <c r="R21" s="24" cm="1">
        <f t="array" ref="R21">-IFERROR(INDEX('NOI Walk'!$E$62:$EF$62,,MATCH(Model!R$4,'NOI Walk'!$E$15:$EF$15,0)),0)</f>
        <v>0</v>
      </c>
      <c r="S21" s="24" cm="1">
        <f t="array" ref="S21">-IFERROR(INDEX('NOI Walk'!$E$62:$EF$62,,MATCH(Model!S$4,'NOI Walk'!$E$15:$EF$15,0)),0)</f>
        <v>0</v>
      </c>
      <c r="T21" s="24" cm="1">
        <f t="array" ref="T21">-IFERROR(INDEX('NOI Walk'!$E$62:$EF$62,,MATCH(Model!T$4,'NOI Walk'!$E$15:$EF$15,0)),0)</f>
        <v>0</v>
      </c>
      <c r="U21" s="24" cm="1">
        <f t="array" ref="U21">-IFERROR(INDEX('NOI Walk'!$E$62:$EF$62,,MATCH(Model!U$4,'NOI Walk'!$E$15:$EF$15,0)),0)</f>
        <v>0</v>
      </c>
      <c r="V21" s="24" cm="1">
        <f t="array" ref="V21">-IFERROR(INDEX('NOI Walk'!$E$62:$EF$62,,MATCH(Model!V$4,'NOI Walk'!$E$15:$EF$15,0)),0)</f>
        <v>0</v>
      </c>
      <c r="W21" s="24" cm="1">
        <f t="array" ref="W21">-IFERROR(INDEX('NOI Walk'!$E$62:$EF$62,,MATCH(Model!W$4,'NOI Walk'!$E$15:$EF$15,0)),0)</f>
        <v>0</v>
      </c>
      <c r="X21" s="24" cm="1">
        <f t="array" ref="X21">-IFERROR(INDEX('NOI Walk'!$E$62:$EF$62,,MATCH(Model!X$4,'NOI Walk'!$E$15:$EF$15,0)),0)</f>
        <v>0</v>
      </c>
      <c r="Y21" s="24" cm="1">
        <f t="array" ref="Y21">-IFERROR(INDEX('NOI Walk'!$E$62:$EF$62,,MATCH(Model!Y$4,'NOI Walk'!$E$15:$EF$15,0)),0)</f>
        <v>0</v>
      </c>
      <c r="Z21" s="24" cm="1">
        <f t="array" ref="Z21">-IFERROR(INDEX('NOI Walk'!$E$62:$EF$62,,MATCH(Model!Z$4,'NOI Walk'!$E$15:$EF$15,0)),0)</f>
        <v>0</v>
      </c>
      <c r="AA21" s="24" cm="1">
        <f t="array" ref="AA21">-IFERROR(INDEX('NOI Walk'!$E$62:$EF$62,,MATCH(Model!AA$4,'NOI Walk'!$E$15:$EF$15,0)),0)</f>
        <v>0</v>
      </c>
      <c r="AB21" s="24" cm="1">
        <f t="array" ref="AB21">-IFERROR(INDEX('NOI Walk'!$E$62:$EF$62,,MATCH(Model!AB$4,'NOI Walk'!$E$15:$EF$15,0)),0)</f>
        <v>0</v>
      </c>
      <c r="AC21" s="24" cm="1">
        <f t="array" ref="AC21">-IFERROR(INDEX('NOI Walk'!$E$62:$EF$62,,MATCH(Model!AC$4,'NOI Walk'!$E$15:$EF$15,0)),0)</f>
        <v>0</v>
      </c>
      <c r="AD21" s="24" cm="1">
        <f t="array" ref="AD21">-IFERROR(INDEX('NOI Walk'!$E$62:$EF$62,,MATCH(Model!AD$4,'NOI Walk'!$E$15:$EF$15,0)),0)</f>
        <v>0</v>
      </c>
      <c r="AE21" s="24" cm="1">
        <f t="array" ref="AE21">-IFERROR(INDEX('NOI Walk'!$E$62:$EF$62,,MATCH(Model!AE$4,'NOI Walk'!$E$15:$EF$15,0)),0)</f>
        <v>0</v>
      </c>
      <c r="AF21" s="24" cm="1">
        <f t="array" ref="AF21">-IFERROR(INDEX('NOI Walk'!$E$62:$EF$62,,MATCH(Model!AF$4,'NOI Walk'!$E$15:$EF$15,0)),0)</f>
        <v>0</v>
      </c>
      <c r="AG21" s="24" cm="1">
        <f t="array" ref="AG21">-IFERROR(INDEX('NOI Walk'!$E$62:$EF$62,,MATCH(Model!AG$4,'NOI Walk'!$E$15:$EF$15,0)),0)</f>
        <v>0</v>
      </c>
      <c r="AH21" s="24" cm="1">
        <f t="array" ref="AH21">-IFERROR(INDEX('NOI Walk'!$E$62:$EF$62,,MATCH(Model!AH$4,'NOI Walk'!$E$15:$EF$15,0)),0)</f>
        <v>0</v>
      </c>
      <c r="AI21" s="24" cm="1">
        <f t="array" ref="AI21">-IFERROR(INDEX('NOI Walk'!$E$62:$EF$62,,MATCH(Model!AI$4,'NOI Walk'!$E$15:$EF$15,0)),0)</f>
        <v>0</v>
      </c>
      <c r="AJ21" s="24" cm="1">
        <f t="array" ref="AJ21">-IFERROR(INDEX('NOI Walk'!$E$62:$EF$62,,MATCH(Model!AJ$4,'NOI Walk'!$E$15:$EF$15,0)),0)</f>
        <v>0</v>
      </c>
      <c r="AK21" s="24" cm="1">
        <f t="array" ref="AK21">-IFERROR(INDEX('NOI Walk'!$E$62:$EF$62,,MATCH(Model!AK$4,'NOI Walk'!$E$15:$EF$15,0)),0)</f>
        <v>0</v>
      </c>
      <c r="AL21" s="24" cm="1">
        <f t="array" ref="AL21">-IFERROR(INDEX('NOI Walk'!$E$62:$EF$62,,MATCH(Model!AL$4,'NOI Walk'!$E$15:$EF$15,0)),0)</f>
        <v>0</v>
      </c>
      <c r="AM21" s="24" cm="1">
        <f t="array" ref="AM21">-IFERROR(INDEX('NOI Walk'!$E$62:$EF$62,,MATCH(Model!AM$4,'NOI Walk'!$E$15:$EF$15,0)),0)</f>
        <v>0</v>
      </c>
      <c r="AN21" s="24" cm="1">
        <f t="array" ref="AN21">-IFERROR(INDEX('NOI Walk'!$E$62:$EF$62,,MATCH(Model!AN$4,'NOI Walk'!$E$15:$EF$15,0)),0)</f>
        <v>0</v>
      </c>
      <c r="AO21" s="24" cm="1">
        <f t="array" ref="AO21">-IFERROR(INDEX('NOI Walk'!$E$62:$EF$62,,MATCH(Model!AO$4,'NOI Walk'!$E$15:$EF$15,0)),0)</f>
        <v>0</v>
      </c>
      <c r="AP21" s="24" cm="1">
        <f t="array" ref="AP21">-IFERROR(INDEX('NOI Walk'!$E$62:$EF$62,,MATCH(Model!AP$4,'NOI Walk'!$E$15:$EF$15,0)),0)</f>
        <v>0</v>
      </c>
      <c r="AQ21" s="24" cm="1">
        <f t="array" ref="AQ21">-IFERROR(INDEX('NOI Walk'!$E$62:$EF$62,,MATCH(Model!AQ$4,'NOI Walk'!$E$15:$EF$15,0)),0)</f>
        <v>0</v>
      </c>
      <c r="AR21" s="24" cm="1">
        <f t="array" ref="AR21">-IFERROR(INDEX('NOI Walk'!$E$62:$EF$62,,MATCH(Model!AR$4,'NOI Walk'!$E$15:$EF$15,0)),0)</f>
        <v>0</v>
      </c>
      <c r="AS21" s="24" cm="1">
        <f t="array" ref="AS21">-IFERROR(INDEX('NOI Walk'!$E$62:$EF$62,,MATCH(Model!AS$4,'NOI Walk'!$E$15:$EF$15,0)),0)</f>
        <v>0</v>
      </c>
      <c r="AT21" s="24" cm="1">
        <f t="array" ref="AT21">-IFERROR(INDEX('NOI Walk'!$E$62:$EF$62,,MATCH(Model!AT$4,'NOI Walk'!$E$15:$EF$15,0)),0)</f>
        <v>0</v>
      </c>
      <c r="AU21" s="24" cm="1">
        <f t="array" ref="AU21">-IFERROR(INDEX('NOI Walk'!$E$62:$EF$62,,MATCH(Model!AU$4,'NOI Walk'!$E$15:$EF$15,0)),0)</f>
        <v>0</v>
      </c>
      <c r="AV21" s="24" cm="1">
        <f t="array" ref="AV21">-IFERROR(INDEX('NOI Walk'!$E$62:$EF$62,,MATCH(Model!AV$4,'NOI Walk'!$E$15:$EF$15,0)),0)</f>
        <v>0</v>
      </c>
      <c r="AW21" s="24" cm="1">
        <f t="array" ref="AW21">-IFERROR(INDEX('NOI Walk'!$E$62:$EF$62,,MATCH(Model!AW$4,'NOI Walk'!$E$15:$EF$15,0)),0)</f>
        <v>0</v>
      </c>
      <c r="AX21" s="24" cm="1">
        <f t="array" ref="AX21">-IFERROR(INDEX('NOI Walk'!$E$62:$EF$62,,MATCH(Model!AX$4,'NOI Walk'!$E$15:$EF$15,0)),0)</f>
        <v>0</v>
      </c>
      <c r="AY21" s="24" cm="1">
        <f t="array" ref="AY21">-IFERROR(INDEX('NOI Walk'!$E$62:$EF$62,,MATCH(Model!AY$4,'NOI Walk'!$E$15:$EF$15,0)),0)</f>
        <v>0</v>
      </c>
      <c r="AZ21" s="24" cm="1">
        <f t="array" ref="AZ21">-IFERROR(INDEX('NOI Walk'!$E$62:$EF$62,,MATCH(Model!AZ$4,'NOI Walk'!$E$15:$EF$15,0)),0)</f>
        <v>0</v>
      </c>
      <c r="BA21" s="24" cm="1">
        <f t="array" ref="BA21">-IFERROR(INDEX('NOI Walk'!$E$62:$EF$62,,MATCH(Model!BA$4,'NOI Walk'!$E$15:$EF$15,0)),0)</f>
        <v>0</v>
      </c>
      <c r="BB21" s="24" cm="1">
        <f t="array" ref="BB21">-IFERROR(INDEX('NOI Walk'!$E$62:$EF$62,,MATCH(Model!BB$4,'NOI Walk'!$E$15:$EF$15,0)),0)</f>
        <v>0</v>
      </c>
      <c r="BC21" s="24" cm="1">
        <f t="array" ref="BC21">-IFERROR(INDEX('NOI Walk'!$E$62:$EF$62,,MATCH(Model!BC$4,'NOI Walk'!$E$15:$EF$15,0)),0)</f>
        <v>0</v>
      </c>
      <c r="BD21" s="24" cm="1">
        <f t="array" ref="BD21">-IFERROR(INDEX('NOI Walk'!$E$62:$EF$62,,MATCH(Model!BD$4,'NOI Walk'!$E$15:$EF$15,0)),0)</f>
        <v>0</v>
      </c>
      <c r="BE21" s="24" cm="1">
        <f t="array" ref="BE21">-IFERROR(INDEX('NOI Walk'!$E$62:$EF$62,,MATCH(Model!BE$4,'NOI Walk'!$E$15:$EF$15,0)),0)</f>
        <v>0</v>
      </c>
      <c r="BF21" s="24" cm="1">
        <f t="array" ref="BF21">-IFERROR(INDEX('NOI Walk'!$E$62:$EF$62,,MATCH(Model!BF$4,'NOI Walk'!$E$15:$EF$15,0)),0)</f>
        <v>0</v>
      </c>
      <c r="BG21" s="24" cm="1">
        <f t="array" ref="BG21">-IFERROR(INDEX('NOI Walk'!$E$62:$EF$62,,MATCH(Model!BG$4,'NOI Walk'!$E$15:$EF$15,0)),0)</f>
        <v>0</v>
      </c>
      <c r="BH21" s="24" cm="1">
        <f t="array" ref="BH21">-IFERROR(INDEX('NOI Walk'!$E$62:$EF$62,,MATCH(Model!BH$4,'NOI Walk'!$E$15:$EF$15,0)),0)</f>
        <v>0</v>
      </c>
      <c r="BI21" s="24" cm="1">
        <f t="array" ref="BI21">-IFERROR(INDEX('NOI Walk'!$E$62:$EF$62,,MATCH(Model!BI$4,'NOI Walk'!$E$15:$EF$15,0)),0)</f>
        <v>0</v>
      </c>
      <c r="BJ21" s="24" cm="1">
        <f t="array" ref="BJ21">-IFERROR(INDEX('NOI Walk'!$E$62:$EF$62,,MATCH(Model!BJ$4,'NOI Walk'!$E$15:$EF$15,0)),0)</f>
        <v>0</v>
      </c>
      <c r="BK21" s="24" cm="1">
        <f t="array" ref="BK21">-IFERROR(INDEX('NOI Walk'!$E$62:$EF$62,,MATCH(Model!BK$4,'NOI Walk'!$E$15:$EF$15,0)),0)</f>
        <v>0</v>
      </c>
      <c r="BL21" s="24" cm="1">
        <f t="array" ref="BL21">-IFERROR(INDEX('NOI Walk'!$E$62:$EF$62,,MATCH(Model!BL$4,'NOI Walk'!$E$15:$EF$15,0)),0)</f>
        <v>0</v>
      </c>
      <c r="BM21" s="24" cm="1">
        <f t="array" ref="BM21">-IFERROR(INDEX('NOI Walk'!$E$62:$EF$62,,MATCH(Model!BM$4,'NOI Walk'!$E$15:$EF$15,0)),0)</f>
        <v>0</v>
      </c>
      <c r="BN21" s="24" cm="1">
        <f t="array" ref="BN21">-IFERROR(INDEX('NOI Walk'!$E$62:$EF$62,,MATCH(Model!BN$4,'NOI Walk'!$E$15:$EF$15,0)),0)</f>
        <v>0</v>
      </c>
      <c r="BO21" s="24" cm="1">
        <f t="array" ref="BO21">-IFERROR(INDEX('NOI Walk'!$E$62:$EF$62,,MATCH(Model!BO$4,'NOI Walk'!$E$15:$EF$15,0)),0)</f>
        <v>0</v>
      </c>
      <c r="BP21" s="24" cm="1">
        <f t="array" ref="BP21">-IFERROR(INDEX('NOI Walk'!$E$62:$EF$62,,MATCH(Model!BP$4,'NOI Walk'!$E$15:$EF$15,0)),0)</f>
        <v>0</v>
      </c>
      <c r="BQ21" s="24" cm="1">
        <f t="array" ref="BQ21">-IFERROR(INDEX('NOI Walk'!$E$62:$EF$62,,MATCH(Model!BQ$4,'NOI Walk'!$E$15:$EF$15,0)),0)</f>
        <v>0</v>
      </c>
      <c r="BR21" s="24" cm="1">
        <f t="array" ref="BR21">-IFERROR(INDEX('NOI Walk'!$E$62:$EF$62,,MATCH(Model!BR$4,'NOI Walk'!$E$15:$EF$15,0)),0)</f>
        <v>0</v>
      </c>
      <c r="BS21" s="24" cm="1">
        <f t="array" ref="BS21">-IFERROR(INDEX('NOI Walk'!$E$62:$EF$62,,MATCH(Model!BS$4,'NOI Walk'!$E$15:$EF$15,0)),0)</f>
        <v>0</v>
      </c>
      <c r="BT21" s="24" cm="1">
        <f t="array" ref="BT21">-IFERROR(INDEX('NOI Walk'!$E$62:$EF$62,,MATCH(Model!BT$4,'NOI Walk'!$E$15:$EF$15,0)),0)</f>
        <v>0</v>
      </c>
      <c r="BU21" s="24" cm="1">
        <f t="array" ref="BU21">-IFERROR(INDEX('NOI Walk'!$E$62:$EF$62,,MATCH(Model!BU$4,'NOI Walk'!$E$15:$EF$15,0)),0)</f>
        <v>0</v>
      </c>
      <c r="BV21" s="24" cm="1">
        <f t="array" ref="BV21">-IFERROR(INDEX('NOI Walk'!$E$62:$EF$62,,MATCH(Model!BV$4,'NOI Walk'!$E$15:$EF$15,0)),0)</f>
        <v>0</v>
      </c>
      <c r="BW21" s="24" cm="1">
        <f t="array" ref="BW21">-IFERROR(INDEX('NOI Walk'!$E$62:$EF$62,,MATCH(Model!BW$4,'NOI Walk'!$E$15:$EF$15,0)),0)</f>
        <v>0</v>
      </c>
      <c r="BX21" s="24" cm="1">
        <f t="array" ref="BX21">-IFERROR(INDEX('NOI Walk'!$E$62:$EF$62,,MATCH(Model!BX$4,'NOI Walk'!$E$15:$EF$15,0)),0)</f>
        <v>0</v>
      </c>
      <c r="BY21" s="24" cm="1">
        <f t="array" ref="BY21">-IFERROR(INDEX('NOI Walk'!$E$62:$EF$62,,MATCH(Model!BY$4,'NOI Walk'!$E$15:$EF$15,0)),0)</f>
        <v>0</v>
      </c>
      <c r="BZ21" s="24" cm="1">
        <f t="array" ref="BZ21">-IFERROR(INDEX('NOI Walk'!$E$62:$EF$62,,MATCH(Model!BZ$4,'NOI Walk'!$E$15:$EF$15,0)),0)</f>
        <v>0</v>
      </c>
      <c r="CA21" s="24" cm="1">
        <f t="array" ref="CA21">-IFERROR(INDEX('NOI Walk'!$E$62:$EF$62,,MATCH(Model!CA$4,'NOI Walk'!$E$15:$EF$15,0)),0)</f>
        <v>0</v>
      </c>
      <c r="CB21" s="24" cm="1">
        <f t="array" ref="CB21">-IFERROR(INDEX('NOI Walk'!$E$62:$EF$62,,MATCH(Model!CB$4,'NOI Walk'!$E$15:$EF$15,0)),0)</f>
        <v>0</v>
      </c>
      <c r="CC21" s="24" cm="1">
        <f t="array" ref="CC21">-IFERROR(INDEX('NOI Walk'!$E$62:$EF$62,,MATCH(Model!CC$4,'NOI Walk'!$E$15:$EF$15,0)),0)</f>
        <v>0</v>
      </c>
      <c r="CD21" s="24" cm="1">
        <f t="array" ref="CD21">-IFERROR(INDEX('NOI Walk'!$E$62:$EF$62,,MATCH(Model!CD$4,'NOI Walk'!$E$15:$EF$15,0)),0)</f>
        <v>0</v>
      </c>
      <c r="CE21" s="24" cm="1">
        <f t="array" ref="CE21">-IFERROR(INDEX('NOI Walk'!$E$62:$EF$62,,MATCH(Model!CE$4,'NOI Walk'!$E$15:$EF$15,0)),0)</f>
        <v>0</v>
      </c>
      <c r="CF21" s="24" cm="1">
        <f t="array" ref="CF21">-IFERROR(INDEX('NOI Walk'!$E$62:$EF$62,,MATCH(Model!CF$4,'NOI Walk'!$E$15:$EF$15,0)),0)</f>
        <v>0</v>
      </c>
      <c r="CG21" s="24" cm="1">
        <f t="array" ref="CG21">-IFERROR(INDEX('NOI Walk'!$E$62:$EF$62,,MATCH(Model!CG$4,'NOI Walk'!$E$15:$EF$15,0)),0)</f>
        <v>0</v>
      </c>
      <c r="CH21" s="24" cm="1">
        <f t="array" ref="CH21">-IFERROR(INDEX('NOI Walk'!$E$62:$EF$62,,MATCH(Model!CH$4,'NOI Walk'!$E$15:$EF$15,0)),0)</f>
        <v>0</v>
      </c>
      <c r="CI21" s="24" cm="1">
        <f t="array" ref="CI21">-IFERROR(INDEX('NOI Walk'!$E$62:$EF$62,,MATCH(Model!CI$4,'NOI Walk'!$E$15:$EF$15,0)),0)</f>
        <v>0</v>
      </c>
      <c r="CJ21" s="24" cm="1">
        <f t="array" ref="CJ21">-IFERROR(INDEX('NOI Walk'!$E$62:$EF$62,,MATCH(Model!CJ$4,'NOI Walk'!$E$15:$EF$15,0)),0)</f>
        <v>0</v>
      </c>
      <c r="CK21" s="24" cm="1">
        <f t="array" ref="CK21">-IFERROR(INDEX('NOI Walk'!$E$62:$EF$62,,MATCH(Model!CK$4,'NOI Walk'!$E$15:$EF$15,0)),0)</f>
        <v>0</v>
      </c>
      <c r="CL21" s="24" cm="1">
        <f t="array" ref="CL21">-IFERROR(INDEX('NOI Walk'!$E$62:$EF$62,,MATCH(Model!CL$4,'NOI Walk'!$E$15:$EF$15,0)),0)</f>
        <v>0</v>
      </c>
      <c r="CM21" s="24" cm="1">
        <f t="array" ref="CM21">-IFERROR(INDEX('NOI Walk'!$E$62:$EF$62,,MATCH(Model!CM$4,'NOI Walk'!$E$15:$EF$15,0)),0)</f>
        <v>0</v>
      </c>
      <c r="CN21" s="24" cm="1">
        <f t="array" ref="CN21">-IFERROR(INDEX('NOI Walk'!$E$62:$EF$62,,MATCH(Model!CN$4,'NOI Walk'!$E$15:$EF$15,0)),0)</f>
        <v>0</v>
      </c>
      <c r="CO21" s="24" cm="1">
        <f t="array" ref="CO21">-IFERROR(INDEX('NOI Walk'!$E$62:$EF$62,,MATCH(Model!CO$4,'NOI Walk'!$E$15:$EF$15,0)),0)</f>
        <v>0</v>
      </c>
      <c r="CP21" s="24" cm="1">
        <f t="array" ref="CP21">-IFERROR(INDEX('NOI Walk'!$E$62:$EF$62,,MATCH(Model!CP$4,'NOI Walk'!$E$15:$EF$15,0)),0)</f>
        <v>0</v>
      </c>
      <c r="CQ21" s="24" cm="1">
        <f t="array" ref="CQ21">-IFERROR(INDEX('NOI Walk'!$E$62:$EF$62,,MATCH(Model!CQ$4,'NOI Walk'!$E$15:$EF$15,0)),0)</f>
        <v>0</v>
      </c>
      <c r="CR21" s="24" cm="1">
        <f t="array" ref="CR21">-IFERROR(INDEX('NOI Walk'!$E$62:$EF$62,,MATCH(Model!CR$4,'NOI Walk'!$E$15:$EF$15,0)),0)</f>
        <v>0</v>
      </c>
      <c r="CS21" s="24" cm="1">
        <f t="array" ref="CS21">-IFERROR(INDEX('NOI Walk'!$E$62:$EF$62,,MATCH(Model!CS$4,'NOI Walk'!$E$15:$EF$15,0)),0)</f>
        <v>0</v>
      </c>
      <c r="CT21" s="24" cm="1">
        <f t="array" ref="CT21">-IFERROR(INDEX('NOI Walk'!$E$62:$EF$62,,MATCH(Model!CT$4,'NOI Walk'!$E$15:$EF$15,0)),0)</f>
        <v>0</v>
      </c>
      <c r="CU21" s="24" cm="1">
        <f t="array" ref="CU21">-IFERROR(INDEX('NOI Walk'!$E$62:$EF$62,,MATCH(Model!CU$4,'NOI Walk'!$E$15:$EF$15,0)),0)</f>
        <v>0</v>
      </c>
      <c r="CV21" s="24" cm="1">
        <f t="array" ref="CV21">-IFERROR(INDEX('NOI Walk'!$E$62:$EF$62,,MATCH(Model!CV$4,'NOI Walk'!$E$15:$EF$15,0)),0)</f>
        <v>0</v>
      </c>
      <c r="CW21" s="24" cm="1">
        <f t="array" ref="CW21">-IFERROR(INDEX('NOI Walk'!$E$62:$EF$62,,MATCH(Model!CW$4,'NOI Walk'!$E$15:$EF$15,0)),0)</f>
        <v>0</v>
      </c>
      <c r="CX21" s="24" cm="1">
        <f t="array" ref="CX21">-IFERROR(INDEX('NOI Walk'!$E$62:$EF$62,,MATCH(Model!CX$4,'NOI Walk'!$E$15:$EF$15,0)),0)</f>
        <v>0</v>
      </c>
      <c r="CY21" s="24" cm="1">
        <f t="array" ref="CY21">-IFERROR(INDEX('NOI Walk'!$E$62:$EF$62,,MATCH(Model!CY$4,'NOI Walk'!$E$15:$EF$15,0)),0)</f>
        <v>0</v>
      </c>
      <c r="CZ21" s="24" cm="1">
        <f t="array" ref="CZ21">-IFERROR(INDEX('NOI Walk'!$E$62:$EF$62,,MATCH(Model!CZ$4,'NOI Walk'!$E$15:$EF$15,0)),0)</f>
        <v>0</v>
      </c>
      <c r="DA21" s="24" cm="1">
        <f t="array" ref="DA21">-IFERROR(INDEX('NOI Walk'!$E$62:$EF$62,,MATCH(Model!DA$4,'NOI Walk'!$E$15:$EF$15,0)),0)</f>
        <v>0</v>
      </c>
      <c r="DB21" s="24" cm="1">
        <f t="array" ref="DB21">-IFERROR(INDEX('NOI Walk'!$E$62:$EF$62,,MATCH(Model!DB$4,'NOI Walk'!$E$15:$EF$15,0)),0)</f>
        <v>0</v>
      </c>
      <c r="DC21" s="24" cm="1">
        <f t="array" ref="DC21">-IFERROR(INDEX('NOI Walk'!$E$62:$EF$62,,MATCH(Model!DC$4,'NOI Walk'!$E$15:$EF$15,0)),0)</f>
        <v>0</v>
      </c>
      <c r="DD21" s="24" cm="1">
        <f t="array" ref="DD21">-IFERROR(INDEX('NOI Walk'!$E$62:$EF$62,,MATCH(Model!DD$4,'NOI Walk'!$E$15:$EF$15,0)),0)</f>
        <v>0</v>
      </c>
      <c r="DE21" s="24" cm="1">
        <f t="array" ref="DE21">-IFERROR(INDEX('NOI Walk'!$E$62:$EF$62,,MATCH(Model!DE$4,'NOI Walk'!$E$15:$EF$15,0)),0)</f>
        <v>0</v>
      </c>
      <c r="DF21" s="24" cm="1">
        <f t="array" ref="DF21">-IFERROR(INDEX('NOI Walk'!$E$62:$EF$62,,MATCH(Model!DF$4,'NOI Walk'!$E$15:$EF$15,0)),0)</f>
        <v>0</v>
      </c>
      <c r="DG21" s="24" cm="1">
        <f t="array" ref="DG21">-IFERROR(INDEX('NOI Walk'!$E$62:$EF$62,,MATCH(Model!DG$4,'NOI Walk'!$E$15:$EF$15,0)),0)</f>
        <v>0</v>
      </c>
      <c r="DH21" s="24" cm="1">
        <f t="array" ref="DH21">-IFERROR(INDEX('NOI Walk'!$E$62:$EF$62,,MATCH(Model!DH$4,'NOI Walk'!$E$15:$EF$15,0)),0)</f>
        <v>0</v>
      </c>
      <c r="DI21" s="24" cm="1">
        <f t="array" ref="DI21">-IFERROR(INDEX('NOI Walk'!$E$62:$EF$62,,MATCH(Model!DI$4,'NOI Walk'!$E$15:$EF$15,0)),0)</f>
        <v>0</v>
      </c>
      <c r="DJ21" s="24" cm="1">
        <f t="array" ref="DJ21">-IFERROR(INDEX('NOI Walk'!$E$62:$EF$62,,MATCH(Model!DJ$4,'NOI Walk'!$E$15:$EF$15,0)),0)</f>
        <v>0</v>
      </c>
      <c r="DK21" s="24" cm="1">
        <f t="array" ref="DK21">-IFERROR(INDEX('NOI Walk'!$E$62:$EF$62,,MATCH(Model!DK$4,'NOI Walk'!$E$15:$EF$15,0)),0)</f>
        <v>0</v>
      </c>
      <c r="DL21" s="24" cm="1">
        <f t="array" ref="DL21">-IFERROR(INDEX('NOI Walk'!$E$62:$EF$62,,MATCH(Model!DL$4,'NOI Walk'!$E$15:$EF$15,0)),0)</f>
        <v>0</v>
      </c>
      <c r="DM21" s="24" cm="1">
        <f t="array" ref="DM21">-IFERROR(INDEX('NOI Walk'!$E$62:$EF$62,,MATCH(Model!DM$4,'NOI Walk'!$E$15:$EF$15,0)),0)</f>
        <v>0</v>
      </c>
      <c r="DN21" s="24" cm="1">
        <f t="array" ref="DN21">-IFERROR(INDEX('NOI Walk'!$E$62:$EF$62,,MATCH(Model!DN$4,'NOI Walk'!$E$15:$EF$15,0)),0)</f>
        <v>0</v>
      </c>
      <c r="DO21" s="24" cm="1">
        <f t="array" ref="DO21">-IFERROR(INDEX('NOI Walk'!$E$62:$EF$62,,MATCH(Model!DO$4,'NOI Walk'!$E$15:$EF$15,0)),0)</f>
        <v>0</v>
      </c>
      <c r="DP21" s="24" cm="1">
        <f t="array" ref="DP21">-IFERROR(INDEX('NOI Walk'!$E$62:$EF$62,,MATCH(Model!DP$4,'NOI Walk'!$E$15:$EF$15,0)),0)</f>
        <v>0</v>
      </c>
      <c r="DQ21" s="24" cm="1">
        <f t="array" ref="DQ21">-IFERROR(INDEX('NOI Walk'!$E$62:$EF$62,,MATCH(Model!DQ$4,'NOI Walk'!$E$15:$EF$15,0)),0)</f>
        <v>0</v>
      </c>
      <c r="DR21" s="24" cm="1">
        <f t="array" ref="DR21">-IFERROR(INDEX('NOI Walk'!$E$62:$EF$62,,MATCH(Model!DR$4,'NOI Walk'!$E$15:$EF$15,0)),0)</f>
        <v>0</v>
      </c>
      <c r="DS21" s="24" cm="1">
        <f t="array" ref="DS21">-IFERROR(INDEX('NOI Walk'!$E$62:$EF$62,,MATCH(Model!DS$4,'NOI Walk'!$E$15:$EF$15,0)),0)</f>
        <v>0</v>
      </c>
      <c r="DT21" s="24" cm="1">
        <f t="array" ref="DT21">-IFERROR(INDEX('NOI Walk'!$E$62:$EF$62,,MATCH(Model!DT$4,'NOI Walk'!$E$15:$EF$15,0)),0)</f>
        <v>0</v>
      </c>
      <c r="DU21" s="24" cm="1">
        <f t="array" ref="DU21">-IFERROR(INDEX('NOI Walk'!$E$62:$EF$62,,MATCH(Model!DU$4,'NOI Walk'!$E$15:$EF$15,0)),0)</f>
        <v>0</v>
      </c>
      <c r="DV21" s="24" cm="1">
        <f t="array" ref="DV21">-IFERROR(INDEX('NOI Walk'!$E$62:$EF$62,,MATCH(Model!DV$4,'NOI Walk'!$E$15:$EF$15,0)),0)</f>
        <v>0</v>
      </c>
      <c r="DW21" s="24" cm="1">
        <f t="array" ref="DW21">-IFERROR(INDEX('NOI Walk'!$E$62:$EF$62,,MATCH(Model!DW$4,'NOI Walk'!$E$15:$EF$15,0)),0)</f>
        <v>0</v>
      </c>
      <c r="DX21" s="24" cm="1">
        <f t="array" ref="DX21">-IFERROR(INDEX('NOI Walk'!$E$62:$EF$62,,MATCH(Model!DX$4,'NOI Walk'!$E$15:$EF$15,0)),0)</f>
        <v>0</v>
      </c>
      <c r="DY21" s="24" cm="1">
        <f t="array" ref="DY21">-IFERROR(INDEX('NOI Walk'!$E$62:$EF$62,,MATCH(Model!DY$4,'NOI Walk'!$E$15:$EF$15,0)),0)</f>
        <v>0</v>
      </c>
      <c r="DZ21" s="24" cm="1">
        <f t="array" ref="DZ21">-IFERROR(INDEX('NOI Walk'!$E$62:$EF$62,,MATCH(Model!DZ$4,'NOI Walk'!$E$15:$EF$15,0)),0)</f>
        <v>0</v>
      </c>
      <c r="EA21" s="24" cm="1">
        <f t="array" ref="EA21">-IFERROR(INDEX('NOI Walk'!$E$62:$EF$62,,MATCH(Model!EA$4,'NOI Walk'!$E$15:$EF$15,0)),0)</f>
        <v>0</v>
      </c>
      <c r="EB21" s="24" cm="1">
        <f t="array" ref="EB21">-IFERROR(INDEX('NOI Walk'!$E$62:$EF$62,,MATCH(Model!EB$4,'NOI Walk'!$E$15:$EF$15,0)),0)</f>
        <v>0</v>
      </c>
      <c r="EC21" s="24" cm="1">
        <f t="array" ref="EC21">-IFERROR(INDEX('NOI Walk'!$E$62:$EF$62,,MATCH(Model!EC$4,'NOI Walk'!$E$15:$EF$15,0)),0)</f>
        <v>0</v>
      </c>
      <c r="ED21" s="24" cm="1">
        <f t="array" ref="ED21">-IFERROR(INDEX('NOI Walk'!$E$62:$EF$62,,MATCH(Model!ED$4,'NOI Walk'!$E$15:$EF$15,0)),0)</f>
        <v>0</v>
      </c>
      <c r="EE21" s="24" cm="1">
        <f t="array" ref="EE21">-IFERROR(INDEX('NOI Walk'!$E$62:$EF$62,,MATCH(Model!EE$4,'NOI Walk'!$E$15:$EF$15,0)),0)</f>
        <v>0</v>
      </c>
      <c r="EF21" s="24" cm="1">
        <f t="array" ref="EF21">-IFERROR(INDEX('NOI Walk'!$E$62:$EF$62,,MATCH(Model!EF$4,'NOI Walk'!$E$15:$EF$15,0)),0)</f>
        <v>0</v>
      </c>
      <c r="EG21" s="24" cm="1">
        <f t="array" ref="EG21">-IFERROR(INDEX('NOI Walk'!$E$62:$EF$62,,MATCH(Model!EG$4,'NOI Walk'!$E$15:$EF$15,0)),0)</f>
        <v>0</v>
      </c>
      <c r="EH21" s="24" cm="1">
        <f t="array" ref="EH21">-IFERROR(INDEX('NOI Walk'!$E$62:$EF$62,,MATCH(Model!EH$4,'NOI Walk'!$E$15:$EF$15,0)),0)</f>
        <v>0</v>
      </c>
      <c r="EI21" s="24" cm="1">
        <f t="array" ref="EI21">-IFERROR(INDEX('NOI Walk'!$E$62:$EF$62,,MATCH(Model!EI$4,'NOI Walk'!$E$15:$EF$15,0)),0)</f>
        <v>0</v>
      </c>
      <c r="EM21" s="1" t="s">
        <v>178</v>
      </c>
    </row>
    <row r="22" spans="4:143" s="8" customFormat="1" x14ac:dyDescent="0.45">
      <c r="D22" s="4" t="s">
        <v>137</v>
      </c>
      <c r="E22" s="4"/>
      <c r="F22" s="4"/>
      <c r="G22" s="26">
        <f>SUM(G20:G21)</f>
        <v>0</v>
      </c>
      <c r="H22" s="26">
        <f t="shared" ref="H22:AU22" si="17">SUM(H20:H21)</f>
        <v>0</v>
      </c>
      <c r="I22" s="26">
        <f t="shared" si="17"/>
        <v>0</v>
      </c>
      <c r="J22" s="26">
        <f t="shared" si="17"/>
        <v>0</v>
      </c>
      <c r="K22" s="26">
        <f t="shared" si="17"/>
        <v>0</v>
      </c>
      <c r="L22" s="26">
        <f t="shared" si="17"/>
        <v>0</v>
      </c>
      <c r="M22" s="26">
        <f t="shared" si="17"/>
        <v>0</v>
      </c>
      <c r="N22" s="26">
        <f t="shared" si="17"/>
        <v>0</v>
      </c>
      <c r="O22" s="26">
        <f t="shared" si="17"/>
        <v>0</v>
      </c>
      <c r="P22" s="26">
        <f t="shared" si="17"/>
        <v>0</v>
      </c>
      <c r="Q22" s="26">
        <f t="shared" si="17"/>
        <v>0</v>
      </c>
      <c r="R22" s="26">
        <f t="shared" si="17"/>
        <v>0</v>
      </c>
      <c r="S22" s="26">
        <f t="shared" si="17"/>
        <v>0</v>
      </c>
      <c r="T22" s="26">
        <f t="shared" si="17"/>
        <v>0</v>
      </c>
      <c r="U22" s="26">
        <f t="shared" si="17"/>
        <v>0</v>
      </c>
      <c r="V22" s="26">
        <f t="shared" si="17"/>
        <v>0</v>
      </c>
      <c r="W22" s="26">
        <f t="shared" si="17"/>
        <v>0</v>
      </c>
      <c r="X22" s="26">
        <f t="shared" si="17"/>
        <v>0</v>
      </c>
      <c r="Y22" s="26">
        <f t="shared" si="17"/>
        <v>0</v>
      </c>
      <c r="Z22" s="26">
        <f t="shared" si="17"/>
        <v>0</v>
      </c>
      <c r="AA22" s="26">
        <f t="shared" si="17"/>
        <v>0</v>
      </c>
      <c r="AB22" s="26">
        <f t="shared" si="17"/>
        <v>0</v>
      </c>
      <c r="AC22" s="26">
        <f t="shared" si="17"/>
        <v>0</v>
      </c>
      <c r="AD22" s="26">
        <f t="shared" si="17"/>
        <v>0</v>
      </c>
      <c r="AE22" s="26">
        <f t="shared" si="17"/>
        <v>0</v>
      </c>
      <c r="AF22" s="26">
        <f t="shared" si="17"/>
        <v>0</v>
      </c>
      <c r="AG22" s="26">
        <f t="shared" si="17"/>
        <v>0</v>
      </c>
      <c r="AH22" s="26">
        <f t="shared" si="17"/>
        <v>0</v>
      </c>
      <c r="AI22" s="26">
        <f t="shared" si="17"/>
        <v>0</v>
      </c>
      <c r="AJ22" s="26">
        <f t="shared" si="17"/>
        <v>0</v>
      </c>
      <c r="AK22" s="26">
        <f t="shared" si="17"/>
        <v>0</v>
      </c>
      <c r="AL22" s="26">
        <f t="shared" si="17"/>
        <v>0</v>
      </c>
      <c r="AM22" s="26">
        <f t="shared" si="17"/>
        <v>0</v>
      </c>
      <c r="AN22" s="26">
        <f t="shared" si="17"/>
        <v>0</v>
      </c>
      <c r="AO22" s="26">
        <f t="shared" si="17"/>
        <v>0</v>
      </c>
      <c r="AP22" s="26">
        <f t="shared" si="17"/>
        <v>0</v>
      </c>
      <c r="AQ22" s="26">
        <f t="shared" si="17"/>
        <v>0</v>
      </c>
      <c r="AR22" s="26">
        <f t="shared" si="17"/>
        <v>0</v>
      </c>
      <c r="AS22" s="26">
        <f t="shared" si="17"/>
        <v>0</v>
      </c>
      <c r="AT22" s="26">
        <f t="shared" si="17"/>
        <v>0</v>
      </c>
      <c r="AU22" s="26">
        <f t="shared" si="17"/>
        <v>0</v>
      </c>
      <c r="AV22" s="26">
        <f t="shared" ref="AV22:CA22" si="18">SUM(AV20:AV21)</f>
        <v>0</v>
      </c>
      <c r="AW22" s="26">
        <f t="shared" si="18"/>
        <v>0</v>
      </c>
      <c r="AX22" s="26">
        <f t="shared" si="18"/>
        <v>0</v>
      </c>
      <c r="AY22" s="26">
        <f t="shared" si="18"/>
        <v>0</v>
      </c>
      <c r="AZ22" s="26">
        <f t="shared" si="18"/>
        <v>0</v>
      </c>
      <c r="BA22" s="26">
        <f t="shared" si="18"/>
        <v>0</v>
      </c>
      <c r="BB22" s="26">
        <f t="shared" si="18"/>
        <v>0</v>
      </c>
      <c r="BC22" s="26">
        <f t="shared" si="18"/>
        <v>0</v>
      </c>
      <c r="BD22" s="26">
        <f t="shared" si="18"/>
        <v>0</v>
      </c>
      <c r="BE22" s="26">
        <f t="shared" si="18"/>
        <v>0</v>
      </c>
      <c r="BF22" s="26">
        <f t="shared" si="18"/>
        <v>0</v>
      </c>
      <c r="BG22" s="26">
        <f t="shared" si="18"/>
        <v>0</v>
      </c>
      <c r="BH22" s="26">
        <f t="shared" si="18"/>
        <v>0</v>
      </c>
      <c r="BI22" s="26">
        <f t="shared" si="18"/>
        <v>0</v>
      </c>
      <c r="BJ22" s="26">
        <f t="shared" si="18"/>
        <v>0</v>
      </c>
      <c r="BK22" s="26">
        <f t="shared" si="18"/>
        <v>0</v>
      </c>
      <c r="BL22" s="26">
        <f t="shared" si="18"/>
        <v>0</v>
      </c>
      <c r="BM22" s="26">
        <f t="shared" si="18"/>
        <v>0</v>
      </c>
      <c r="BN22" s="26">
        <f t="shared" si="18"/>
        <v>0</v>
      </c>
      <c r="BO22" s="26">
        <f t="shared" si="18"/>
        <v>0</v>
      </c>
      <c r="BP22" s="26">
        <f t="shared" si="18"/>
        <v>0</v>
      </c>
      <c r="BQ22" s="26">
        <f t="shared" si="18"/>
        <v>0</v>
      </c>
      <c r="BR22" s="26">
        <f t="shared" si="18"/>
        <v>0</v>
      </c>
      <c r="BS22" s="26">
        <f t="shared" si="18"/>
        <v>0</v>
      </c>
      <c r="BT22" s="26">
        <f t="shared" si="18"/>
        <v>0</v>
      </c>
      <c r="BU22" s="26">
        <f t="shared" si="18"/>
        <v>0</v>
      </c>
      <c r="BV22" s="26">
        <f t="shared" si="18"/>
        <v>0</v>
      </c>
      <c r="BW22" s="26">
        <f t="shared" si="18"/>
        <v>0</v>
      </c>
      <c r="BX22" s="26">
        <f t="shared" si="18"/>
        <v>0</v>
      </c>
      <c r="BY22" s="26">
        <f t="shared" si="18"/>
        <v>0</v>
      </c>
      <c r="BZ22" s="26">
        <f t="shared" si="18"/>
        <v>0</v>
      </c>
      <c r="CA22" s="26">
        <f t="shared" si="18"/>
        <v>0</v>
      </c>
      <c r="CB22" s="26">
        <f t="shared" ref="CB22:CU22" si="19">SUM(CB20:CB21)</f>
        <v>0</v>
      </c>
      <c r="CC22" s="26">
        <f t="shared" si="19"/>
        <v>0</v>
      </c>
      <c r="CD22" s="26">
        <f t="shared" si="19"/>
        <v>0</v>
      </c>
      <c r="CE22" s="26">
        <f t="shared" si="19"/>
        <v>0</v>
      </c>
      <c r="CF22" s="26">
        <f t="shared" si="19"/>
        <v>0</v>
      </c>
      <c r="CG22" s="26">
        <f t="shared" si="19"/>
        <v>0</v>
      </c>
      <c r="CH22" s="26">
        <f t="shared" si="19"/>
        <v>0</v>
      </c>
      <c r="CI22" s="26">
        <f t="shared" si="19"/>
        <v>0</v>
      </c>
      <c r="CJ22" s="26">
        <f t="shared" si="19"/>
        <v>0</v>
      </c>
      <c r="CK22" s="26">
        <f t="shared" si="19"/>
        <v>0</v>
      </c>
      <c r="CL22" s="26">
        <f t="shared" si="19"/>
        <v>0</v>
      </c>
      <c r="CM22" s="26">
        <f t="shared" si="19"/>
        <v>0</v>
      </c>
      <c r="CN22" s="26">
        <f t="shared" si="19"/>
        <v>0</v>
      </c>
      <c r="CO22" s="26">
        <f t="shared" si="19"/>
        <v>0</v>
      </c>
      <c r="CP22" s="26">
        <f t="shared" si="19"/>
        <v>0</v>
      </c>
      <c r="CQ22" s="26">
        <f t="shared" si="19"/>
        <v>0</v>
      </c>
      <c r="CR22" s="26">
        <f t="shared" si="19"/>
        <v>0</v>
      </c>
      <c r="CS22" s="26">
        <f t="shared" si="19"/>
        <v>0</v>
      </c>
      <c r="CT22" s="26">
        <f t="shared" si="19"/>
        <v>0</v>
      </c>
      <c r="CU22" s="26">
        <f t="shared" si="19"/>
        <v>0</v>
      </c>
      <c r="CV22" s="26">
        <f t="shared" ref="CV22:EI22" si="20">SUM(CV20:CV21)</f>
        <v>0</v>
      </c>
      <c r="CW22" s="26">
        <f t="shared" si="20"/>
        <v>0</v>
      </c>
      <c r="CX22" s="26">
        <f t="shared" si="20"/>
        <v>0</v>
      </c>
      <c r="CY22" s="26">
        <f t="shared" si="20"/>
        <v>0</v>
      </c>
      <c r="CZ22" s="26">
        <f t="shared" si="20"/>
        <v>0</v>
      </c>
      <c r="DA22" s="26">
        <f t="shared" si="20"/>
        <v>0</v>
      </c>
      <c r="DB22" s="26">
        <f t="shared" si="20"/>
        <v>0</v>
      </c>
      <c r="DC22" s="26">
        <f t="shared" si="20"/>
        <v>0</v>
      </c>
      <c r="DD22" s="26">
        <f t="shared" si="20"/>
        <v>0</v>
      </c>
      <c r="DE22" s="26">
        <f t="shared" si="20"/>
        <v>0</v>
      </c>
      <c r="DF22" s="26">
        <f t="shared" si="20"/>
        <v>0</v>
      </c>
      <c r="DG22" s="26">
        <f t="shared" si="20"/>
        <v>0</v>
      </c>
      <c r="DH22" s="26">
        <f t="shared" si="20"/>
        <v>0</v>
      </c>
      <c r="DI22" s="26">
        <f t="shared" si="20"/>
        <v>0</v>
      </c>
      <c r="DJ22" s="26">
        <f t="shared" si="20"/>
        <v>0</v>
      </c>
      <c r="DK22" s="26">
        <f t="shared" si="20"/>
        <v>0</v>
      </c>
      <c r="DL22" s="26">
        <f t="shared" si="20"/>
        <v>0</v>
      </c>
      <c r="DM22" s="26">
        <f t="shared" si="20"/>
        <v>0</v>
      </c>
      <c r="DN22" s="26">
        <f t="shared" si="20"/>
        <v>0</v>
      </c>
      <c r="DO22" s="26">
        <f t="shared" si="20"/>
        <v>0</v>
      </c>
      <c r="DP22" s="26">
        <f t="shared" si="20"/>
        <v>0</v>
      </c>
      <c r="DQ22" s="26">
        <f t="shared" si="20"/>
        <v>0</v>
      </c>
      <c r="DR22" s="26">
        <f t="shared" si="20"/>
        <v>0</v>
      </c>
      <c r="DS22" s="26">
        <f t="shared" si="20"/>
        <v>0</v>
      </c>
      <c r="DT22" s="26">
        <f t="shared" si="20"/>
        <v>0</v>
      </c>
      <c r="DU22" s="26">
        <f t="shared" si="20"/>
        <v>0</v>
      </c>
      <c r="DV22" s="26">
        <f t="shared" si="20"/>
        <v>0</v>
      </c>
      <c r="DW22" s="26">
        <f t="shared" si="20"/>
        <v>0</v>
      </c>
      <c r="DX22" s="26">
        <f t="shared" si="20"/>
        <v>0</v>
      </c>
      <c r="DY22" s="26">
        <f t="shared" si="20"/>
        <v>0</v>
      </c>
      <c r="DZ22" s="26">
        <f t="shared" si="20"/>
        <v>0</v>
      </c>
      <c r="EA22" s="26">
        <f t="shared" si="20"/>
        <v>0</v>
      </c>
      <c r="EB22" s="26">
        <f t="shared" si="20"/>
        <v>0</v>
      </c>
      <c r="EC22" s="26">
        <f t="shared" si="20"/>
        <v>0</v>
      </c>
      <c r="ED22" s="26">
        <f t="shared" si="20"/>
        <v>0</v>
      </c>
      <c r="EE22" s="26">
        <f t="shared" si="20"/>
        <v>0</v>
      </c>
      <c r="EF22" s="26">
        <f t="shared" si="20"/>
        <v>0</v>
      </c>
      <c r="EG22" s="26">
        <f t="shared" si="20"/>
        <v>0</v>
      </c>
      <c r="EH22" s="26">
        <f t="shared" si="20"/>
        <v>0</v>
      </c>
      <c r="EI22" s="26">
        <f t="shared" si="20"/>
        <v>0</v>
      </c>
      <c r="EM22" s="1" t="s">
        <v>178</v>
      </c>
    </row>
    <row r="23" spans="4:143" x14ac:dyDescent="0.45"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M23" s="1" t="s">
        <v>178</v>
      </c>
    </row>
    <row r="24" spans="4:143" x14ac:dyDescent="0.45">
      <c r="D24" s="1" t="s">
        <v>15</v>
      </c>
      <c r="G24" s="24" cm="1">
        <f t="array" ref="G24">IFERROR(INDEX('NOI Walk'!$E$51:$EF$51,,MATCH(Model!G$4,'NOI Walk'!$E$15:$EF$15,0)),0)</f>
        <v>0</v>
      </c>
      <c r="H24" s="24" cm="1">
        <f t="array" ref="H24">IFERROR(INDEX('NOI Walk'!$E$51:$EF$51,,MATCH(Model!H$4,'NOI Walk'!$E$15:$EF$15,0)),0)</f>
        <v>70898.852101133351</v>
      </c>
      <c r="I24" s="24" cm="1">
        <f t="array" ref="I24">IFERROR(INDEX('NOI Walk'!$E$51:$EF$51,,MATCH(Model!I$4,'NOI Walk'!$E$15:$EF$15,0)),0)</f>
        <v>66624.241696063415</v>
      </c>
      <c r="J24" s="24" cm="1">
        <f t="array" ref="J24">IFERROR(INDEX('NOI Walk'!$E$51:$EF$51,,MATCH(Model!J$4,'NOI Walk'!$E$15:$EF$15,0)),0)</f>
        <v>66780.797040430727</v>
      </c>
      <c r="K24" s="24" cm="1">
        <f t="array" ref="K24">IFERROR(INDEX('NOI Walk'!$E$51:$EF$51,,MATCH(Model!K$4,'NOI Walk'!$E$15:$EF$15,0)),0)</f>
        <v>64365.759047674874</v>
      </c>
      <c r="L24" s="24" cm="1">
        <f t="array" ref="L24">IFERROR(INDEX('NOI Walk'!$E$51:$EF$51,,MATCH(Model!L$4,'NOI Walk'!$E$15:$EF$15,0)),0)</f>
        <v>60566.878903878955</v>
      </c>
      <c r="M24" s="24" cm="1">
        <f t="array" ref="M24">IFERROR(INDEX('NOI Walk'!$E$51:$EF$51,,MATCH(Model!M$4,'NOI Walk'!$E$15:$EF$15,0)),0)</f>
        <v>64755.397164595946</v>
      </c>
      <c r="N24" s="24" cm="1">
        <f t="array" ref="N24">IFERROR(INDEX('NOI Walk'!$E$51:$EF$51,,MATCH(Model!N$4,'NOI Walk'!$E$15:$EF$15,0)),0)</f>
        <v>60694.10566367807</v>
      </c>
      <c r="O24" s="24" cm="1">
        <f t="array" ref="O24">IFERROR(INDEX('NOI Walk'!$E$51:$EF$51,,MATCH(Model!O$4,'NOI Walk'!$E$15:$EF$15,0)),0)</f>
        <v>62790.043241625324</v>
      </c>
      <c r="P24" s="24" cm="1">
        <f t="array" ref="P24">IFERROR(INDEX('NOI Walk'!$E$51:$EF$51,,MATCH(Model!P$4,'NOI Walk'!$E$15:$EF$15,0)),0)</f>
        <v>64924.126157415303</v>
      </c>
      <c r="Q24" s="24" cm="1">
        <f t="array" ref="Q24">IFERROR(INDEX('NOI Walk'!$E$51:$EF$51,,MATCH(Model!Q$4,'NOI Walk'!$E$15:$EF$15,0)),0)</f>
        <v>64771.051952323985</v>
      </c>
      <c r="R24" s="24" cm="1">
        <f t="array" ref="R24">IFERROR(INDEX('NOI Walk'!$E$51:$EF$51,,MATCH(Model!R$4,'NOI Walk'!$E$15:$EF$15,0)),0)</f>
        <v>67033.211632870109</v>
      </c>
      <c r="S24" s="24" cm="1">
        <f t="array" ref="S24">IFERROR(INDEX('NOI Walk'!$E$51:$EF$51,,MATCH(Model!S$4,'NOI Walk'!$E$15:$EF$15,0)),0)</f>
        <v>75741.5890752798</v>
      </c>
      <c r="T24" s="24" cm="1">
        <f t="array" ref="T24">IFERROR(INDEX('NOI Walk'!$E$51:$EF$51,,MATCH(Model!T$4,'NOI Walk'!$E$15:$EF$15,0)),0)</f>
        <v>79304.386432713232</v>
      </c>
      <c r="U24" s="24" cm="1">
        <f t="array" ref="U24">IFERROR(INDEX('NOI Walk'!$E$51:$EF$51,,MATCH(Model!U$4,'NOI Walk'!$E$15:$EF$15,0)),0)</f>
        <v>82798.877646420646</v>
      </c>
      <c r="V24" s="24" cm="1">
        <f t="array" ref="V24">IFERROR(INDEX('NOI Walk'!$E$51:$EF$51,,MATCH(Model!V$4,'NOI Walk'!$E$15:$EF$15,0)),0)</f>
        <v>85697.055242989969</v>
      </c>
      <c r="W24" s="24" cm="1">
        <f t="array" ref="W24">IFERROR(INDEX('NOI Walk'!$E$51:$EF$51,,MATCH(Model!W$4,'NOI Walk'!$E$15:$EF$15,0)),0)</f>
        <v>87694.367476909203</v>
      </c>
      <c r="X24" s="24" cm="1">
        <f t="array" ref="X24">IFERROR(INDEX('NOI Walk'!$E$51:$EF$51,,MATCH(Model!X$4,'NOI Walk'!$E$15:$EF$15,0)),0)</f>
        <v>87630.283247327054</v>
      </c>
      <c r="Y24" s="24" cm="1">
        <f t="array" ref="Y24">IFERROR(INDEX('NOI Walk'!$E$51:$EF$51,,MATCH(Model!Y$4,'NOI Walk'!$E$15:$EF$15,0)),0)</f>
        <v>87160.573610625201</v>
      </c>
      <c r="Z24" s="24" cm="1">
        <f t="array" ref="Z24">IFERROR(INDEX('NOI Walk'!$E$51:$EF$51,,MATCH(Model!Z$4,'NOI Walk'!$E$15:$EF$15,0)),0)</f>
        <v>87549.569213349707</v>
      </c>
      <c r="AA24" s="24" cm="1">
        <f t="array" ref="AA24">IFERROR(INDEX('NOI Walk'!$E$51:$EF$51,,MATCH(Model!AA$4,'NOI Walk'!$E$15:$EF$15,0)),0)</f>
        <v>87575.637940618937</v>
      </c>
      <c r="AB24" s="24" cm="1">
        <f t="array" ref="AB24">IFERROR(INDEX('NOI Walk'!$E$51:$EF$51,,MATCH(Model!AB$4,'NOI Walk'!$E$15:$EF$15,0)),0)</f>
        <v>91214.125858413638</v>
      </c>
      <c r="AC24" s="24" cm="1">
        <f t="array" ref="AC24">IFERROR(INDEX('NOI Walk'!$E$51:$EF$51,,MATCH(Model!AC$4,'NOI Walk'!$E$15:$EF$15,0)),0)</f>
        <v>96678.045216041472</v>
      </c>
      <c r="AD24" s="24" cm="1">
        <f t="array" ref="AD24">IFERROR(INDEX('NOI Walk'!$E$51:$EF$51,,MATCH(Model!AD$4,'NOI Walk'!$E$15:$EF$15,0)),0)</f>
        <v>100891.97916537875</v>
      </c>
      <c r="AE24" s="24" cm="1">
        <f t="array" ref="AE24">IFERROR(INDEX('NOI Walk'!$E$51:$EF$51,,MATCH(Model!AE$4,'NOI Walk'!$E$15:$EF$15,0)),0)</f>
        <v>103048.30713080701</v>
      </c>
      <c r="AF24" s="24" cm="1">
        <f t="array" ref="AF24">IFERROR(INDEX('NOI Walk'!$E$51:$EF$51,,MATCH(Model!AF$4,'NOI Walk'!$E$15:$EF$15,0)),0)</f>
        <v>102872.82825438357</v>
      </c>
      <c r="AG24" s="24" cm="1">
        <f t="array" ref="AG24">IFERROR(INDEX('NOI Walk'!$E$51:$EF$51,,MATCH(Model!AG$4,'NOI Walk'!$E$15:$EF$15,0)),0)</f>
        <v>100525.48976473516</v>
      </c>
      <c r="AH24" s="24" cm="1">
        <f t="array" ref="AH24">IFERROR(INDEX('NOI Walk'!$E$51:$EF$51,,MATCH(Model!AH$4,'NOI Walk'!$E$15:$EF$15,0)),0)</f>
        <v>101479.19956588963</v>
      </c>
      <c r="AI24" s="24" cm="1">
        <f t="array" ref="AI24">IFERROR(INDEX('NOI Walk'!$E$51:$EF$51,,MATCH(Model!AI$4,'NOI Walk'!$E$15:$EF$15,0)),0)</f>
        <v>108600.24945338651</v>
      </c>
      <c r="AJ24" s="24" cm="1">
        <f t="array" ref="AJ24">IFERROR(INDEX('NOI Walk'!$E$51:$EF$51,,MATCH(Model!AJ$4,'NOI Walk'!$E$15:$EF$15,0)),0)</f>
        <v>115750.04276127359</v>
      </c>
      <c r="AK24" s="24" cm="1">
        <f t="array" ref="AK24">IFERROR(INDEX('NOI Walk'!$E$51:$EF$51,,MATCH(Model!AK$4,'NOI Walk'!$E$15:$EF$15,0)),0)</f>
        <v>122928.66745627378</v>
      </c>
      <c r="AL24" s="24" cm="1">
        <f t="array" ref="AL24">IFERROR(INDEX('NOI Walk'!$E$51:$EF$51,,MATCH(Model!AL$4,'NOI Walk'!$E$15:$EF$15,0)),0)</f>
        <v>125389.80364861686</v>
      </c>
      <c r="AM24" s="24" cm="1">
        <f t="array" ref="AM24">IFERROR(INDEX('NOI Walk'!$E$51:$EF$51,,MATCH(Model!AM$4,'NOI Walk'!$E$15:$EF$15,0)),0)</f>
        <v>125660.91923217033</v>
      </c>
      <c r="AN24" s="24" cm="1">
        <f t="array" ref="AN24">IFERROR(INDEX('NOI Walk'!$E$51:$EF$51,,MATCH(Model!AN$4,'NOI Walk'!$E$15:$EF$15,0)),0)</f>
        <v>125932.61384543875</v>
      </c>
      <c r="AO24" s="24" cm="1">
        <f t="array" ref="AO24">IFERROR(INDEX('NOI Walk'!$E$51:$EF$51,,MATCH(Model!AO$4,'NOI Walk'!$E$15:$EF$15,0)),0)</f>
        <v>126204.88872083425</v>
      </c>
      <c r="AP24" s="24" cm="1">
        <f t="array" ref="AP24">IFERROR(INDEX('NOI Walk'!$E$51:$EF$51,,MATCH(Model!AP$4,'NOI Walk'!$E$15:$EF$15,0)),0)</f>
        <v>126477.74509337672</v>
      </c>
      <c r="AQ24" s="24" cm="1">
        <f t="array" ref="AQ24">IFERROR(INDEX('NOI Walk'!$E$51:$EF$51,,MATCH(Model!AQ$4,'NOI Walk'!$E$15:$EF$15,0)),0)</f>
        <v>126751.18420069841</v>
      </c>
      <c r="AR24" s="24" cm="1">
        <f t="array" ref="AR24">IFERROR(INDEX('NOI Walk'!$E$51:$EF$51,,MATCH(Model!AR$4,'NOI Walk'!$E$15:$EF$15,0)),0)</f>
        <v>127025.20728304848</v>
      </c>
      <c r="AS24" s="24" cm="1">
        <f t="array" ref="AS24">IFERROR(INDEX('NOI Walk'!$E$51:$EF$51,,MATCH(Model!AS$4,'NOI Walk'!$E$15:$EF$15,0)),0)</f>
        <v>127299.81558329999</v>
      </c>
      <c r="AT24" s="24" cm="1">
        <f t="array" ref="AT24">IFERROR(INDEX('NOI Walk'!$E$51:$EF$51,,MATCH(Model!AT$4,'NOI Walk'!$E$15:$EF$15,0)),0)</f>
        <v>127575.01034695299</v>
      </c>
      <c r="AU24" s="24" cm="1">
        <f t="array" ref="AU24">IFERROR(INDEX('NOI Walk'!$E$51:$EF$51,,MATCH(Model!AU$4,'NOI Walk'!$E$15:$EF$15,0)),0)</f>
        <v>127850.79282214353</v>
      </c>
      <c r="AV24" s="24" cm="1">
        <f t="array" ref="AV24">IFERROR(INDEX('NOI Walk'!$E$51:$EF$51,,MATCH(Model!AV$4,'NOI Walk'!$E$15:$EF$15,0)),0)</f>
        <v>128127.16425964623</v>
      </c>
      <c r="AW24" s="24" cm="1">
        <f t="array" ref="AW24">IFERROR(INDEX('NOI Walk'!$E$51:$EF$51,,MATCH(Model!AW$4,'NOI Walk'!$E$15:$EF$15,0)),0)</f>
        <v>128404.12591288064</v>
      </c>
      <c r="AX24" s="24" cm="1">
        <f t="array" ref="AX24">IFERROR(INDEX('NOI Walk'!$E$51:$EF$51,,MATCH(Model!AX$4,'NOI Walk'!$E$15:$EF$15,0)),0)</f>
        <v>128681.67903791826</v>
      </c>
      <c r="AY24" s="24" cm="1">
        <f t="array" ref="AY24">IFERROR(INDEX('NOI Walk'!$E$51:$EF$51,,MATCH(Model!AY$4,'NOI Walk'!$E$15:$EF$15,0)),0)</f>
        <v>128959.82489348511</v>
      </c>
      <c r="AZ24" s="24" cm="1">
        <f t="array" ref="AZ24">IFERROR(INDEX('NOI Walk'!$E$51:$EF$51,,MATCH(Model!AZ$4,'NOI Walk'!$E$15:$EF$15,0)),0)</f>
        <v>129238.5647409712</v>
      </c>
      <c r="BA24" s="24" cm="1">
        <f t="array" ref="BA24">IFERROR(INDEX('NOI Walk'!$E$51:$EF$51,,MATCH(Model!BA$4,'NOI Walk'!$E$15:$EF$15,0)),0)</f>
        <v>129517.89984443312</v>
      </c>
      <c r="BB24" s="24" cm="1">
        <f t="array" ref="BB24">IFERROR(INDEX('NOI Walk'!$E$51:$EF$51,,MATCH(Model!BB$4,'NOI Walk'!$E$15:$EF$15,0)),0)</f>
        <v>129797.83147059998</v>
      </c>
      <c r="BC24" s="24" cm="1">
        <f t="array" ref="BC24">IFERROR(INDEX('NOI Walk'!$E$51:$EF$51,,MATCH(Model!BC$4,'NOI Walk'!$E$15:$EF$15,0)),0)</f>
        <v>130078.3608888801</v>
      </c>
      <c r="BD24" s="24" cm="1">
        <f t="array" ref="BD24">IFERROR(INDEX('NOI Walk'!$E$51:$EF$51,,MATCH(Model!BD$4,'NOI Walk'!$E$15:$EF$15,0)),0)</f>
        <v>130359.48937136706</v>
      </c>
      <c r="BE24" s="24" cm="1">
        <f t="array" ref="BE24">IFERROR(INDEX('NOI Walk'!$E$51:$EF$51,,MATCH(Model!BE$4,'NOI Walk'!$E$15:$EF$15,0)),0)</f>
        <v>130641.21819284333</v>
      </c>
      <c r="BF24" s="24" cm="1">
        <f t="array" ref="BF24">IFERROR(INDEX('NOI Walk'!$E$51:$EF$51,,MATCH(Model!BF$4,'NOI Walk'!$E$15:$EF$15,0)),0)</f>
        <v>130923.54863078747</v>
      </c>
      <c r="BG24" s="24" cm="1">
        <f t="array" ref="BG24">IFERROR(INDEX('NOI Walk'!$E$51:$EF$51,,MATCH(Model!BG$4,'NOI Walk'!$E$15:$EF$15,0)),0)</f>
        <v>131206.48196537976</v>
      </c>
      <c r="BH24" s="24" cm="1">
        <f t="array" ref="BH24">IFERROR(INDEX('NOI Walk'!$E$51:$EF$51,,MATCH(Model!BH$4,'NOI Walk'!$E$15:$EF$15,0)),0)</f>
        <v>131490.01947950717</v>
      </c>
      <c r="BI24" s="24" cm="1">
        <f t="array" ref="BI24">IFERROR(INDEX('NOI Walk'!$E$51:$EF$51,,MATCH(Model!BI$4,'NOI Walk'!$E$15:$EF$15,0)),0)</f>
        <v>131774.16245876916</v>
      </c>
      <c r="BJ24" s="24" cm="1">
        <f t="array" ref="BJ24">IFERROR(INDEX('NOI Walk'!$E$51:$EF$51,,MATCH(Model!BJ$4,'NOI Walk'!$E$15:$EF$15,0)),0)</f>
        <v>132058.91219148441</v>
      </c>
      <c r="BK24" s="24" cm="1">
        <f t="array" ref="BK24">IFERROR(INDEX('NOI Walk'!$E$51:$EF$51,,MATCH(Model!BK$4,'NOI Walk'!$E$15:$EF$15,0)),0)</f>
        <v>132344.26996869486</v>
      </c>
      <c r="BL24" s="24" cm="1">
        <f t="array" ref="BL24">IFERROR(INDEX('NOI Walk'!$E$51:$EF$51,,MATCH(Model!BL$4,'NOI Walk'!$E$15:$EF$15,0)),0)</f>
        <v>132630.23708417304</v>
      </c>
      <c r="BM24" s="24" cm="1">
        <f t="array" ref="BM24">IFERROR(INDEX('NOI Walk'!$E$51:$EF$51,,MATCH(Model!BM$4,'NOI Walk'!$E$15:$EF$15,0)),0)</f>
        <v>132916.81483442744</v>
      </c>
      <c r="BN24" s="24" cm="1">
        <f t="array" ref="BN24">IFERROR(INDEX('NOI Walk'!$E$51:$EF$51,,MATCH(Model!BN$4,'NOI Walk'!$E$15:$EF$15,0)),0)</f>
        <v>133204.00451870653</v>
      </c>
      <c r="BO24" s="24" cm="1">
        <f t="array" ref="BO24">IFERROR(INDEX('NOI Walk'!$E$51:$EF$51,,MATCH(Model!BO$4,'NOI Walk'!$E$15:$EF$15,0)),0)</f>
        <v>133491.80743900751</v>
      </c>
      <c r="BP24" s="24" cm="1">
        <f t="array" ref="BP24">IFERROR(INDEX('NOI Walk'!$E$51:$EF$51,,MATCH(Model!BP$4,'NOI Walk'!$E$15:$EF$15,0)),0)</f>
        <v>133780.22490007998</v>
      </c>
      <c r="BQ24" s="24" cm="1">
        <f t="array" ref="BQ24">IFERROR(INDEX('NOI Walk'!$E$51:$EF$51,,MATCH(Model!BQ$4,'NOI Walk'!$E$15:$EF$15,0)),0)</f>
        <v>134069.25820943143</v>
      </c>
      <c r="BR24" s="24" cm="1">
        <f t="array" ref="BR24">IFERROR(INDEX('NOI Walk'!$E$51:$EF$51,,MATCH(Model!BR$4,'NOI Walk'!$E$15:$EF$15,0)),0)</f>
        <v>134358.90867733522</v>
      </c>
      <c r="BS24" s="24" cm="1">
        <f t="array" ref="BS24">IFERROR(INDEX('NOI Walk'!$E$51:$EF$51,,MATCH(Model!BS$4,'NOI Walk'!$E$15:$EF$15,0)),0)</f>
        <v>134649.17761683423</v>
      </c>
      <c r="BT24" s="24" cm="1">
        <f t="array" ref="BT24">IFERROR(INDEX('NOI Walk'!$E$51:$EF$51,,MATCH(Model!BT$4,'NOI Walk'!$E$15:$EF$15,0)),0)</f>
        <v>134940.06634374781</v>
      </c>
      <c r="BU24" s="24" cm="1">
        <f t="array" ref="BU24">IFERROR(INDEX('NOI Walk'!$E$51:$EF$51,,MATCH(Model!BU$4,'NOI Walk'!$E$15:$EF$15,0)),0)</f>
        <v>135231.5761766776</v>
      </c>
      <c r="BV24" s="24" cm="1">
        <f t="array" ref="BV24">IFERROR(INDEX('NOI Walk'!$E$51:$EF$51,,MATCH(Model!BV$4,'NOI Walk'!$E$15:$EF$15,0)),0)</f>
        <v>135523.70843701289</v>
      </c>
      <c r="BW24" s="24" cm="1">
        <f t="array" ref="BW24">IFERROR(INDEX('NOI Walk'!$E$51:$EF$51,,MATCH(Model!BW$4,'NOI Walk'!$E$15:$EF$15,0)),0)</f>
        <v>135816.46444893599</v>
      </c>
      <c r="BX24" s="24" cm="1">
        <f t="array" ref="BX24">IFERROR(INDEX('NOI Walk'!$E$51:$EF$51,,MATCH(Model!BX$4,'NOI Walk'!$E$15:$EF$15,0)),0)</f>
        <v>136109.84553942998</v>
      </c>
      <c r="BY24" s="24" cm="1">
        <f t="array" ref="BY24">IFERROR(INDEX('NOI Walk'!$E$51:$EF$51,,MATCH(Model!BY$4,'NOI Walk'!$E$15:$EF$15,0)),0)</f>
        <v>136403.85303828228</v>
      </c>
      <c r="BZ24" s="24" cm="1">
        <f t="array" ref="BZ24">IFERROR(INDEX('NOI Walk'!$E$51:$EF$51,,MATCH(Model!BZ$4,'NOI Walk'!$E$15:$EF$15,0)),0)</f>
        <v>136698.48827809351</v>
      </c>
      <c r="CA24" s="24" cm="1">
        <f t="array" ref="CA24">IFERROR(INDEX('NOI Walk'!$E$51:$EF$51,,MATCH(Model!CA$4,'NOI Walk'!$E$15:$EF$15,0)),0)</f>
        <v>136993.75259427927</v>
      </c>
      <c r="CB24" s="24" cm="1">
        <f t="array" ref="CB24">IFERROR(INDEX('NOI Walk'!$E$51:$EF$51,,MATCH(Model!CB$4,'NOI Walk'!$E$15:$EF$15,0)),0)</f>
        <v>137289.64732508059</v>
      </c>
      <c r="CC24" s="24" cm="1">
        <f t="array" ref="CC24">IFERROR(INDEX('NOI Walk'!$E$51:$EF$51,,MATCH(Model!CC$4,'NOI Walk'!$E$15:$EF$15,0)),0)</f>
        <v>137586.173811566</v>
      </c>
      <c r="CD24" s="24" cm="1">
        <f t="array" ref="CD24">IFERROR(INDEX('NOI Walk'!$E$51:$EF$51,,MATCH(Model!CD$4,'NOI Walk'!$E$15:$EF$15,0)),0)</f>
        <v>137883.33339763989</v>
      </c>
      <c r="CE24" s="24" cm="1">
        <f t="array" ref="CE24">IFERROR(INDEX('NOI Walk'!$E$51:$EF$51,,MATCH(Model!CE$4,'NOI Walk'!$E$15:$EF$15,0)),0)</f>
        <v>138181.12743004825</v>
      </c>
      <c r="CF24" s="24" cm="1">
        <f t="array" ref="CF24">IFERROR(INDEX('NOI Walk'!$E$51:$EF$51,,MATCH(Model!CF$4,'NOI Walk'!$E$15:$EF$15,0)),0)</f>
        <v>138479.55725838299</v>
      </c>
      <c r="CG24" s="24" cm="1">
        <f t="array" ref="CG24">IFERROR(INDEX('NOI Walk'!$E$51:$EF$51,,MATCH(Model!CG$4,'NOI Walk'!$E$15:$EF$15,0)),0)</f>
        <v>138778.62423508981</v>
      </c>
      <c r="CH24" s="24" cm="1">
        <f t="array" ref="CH24">IFERROR(INDEX('NOI Walk'!$E$51:$EF$51,,MATCH(Model!CH$4,'NOI Walk'!$E$15:$EF$15,0)),0)</f>
        <v>139078.32971547343</v>
      </c>
      <c r="CI24" s="24" cm="1">
        <f t="array" ref="CI24">IFERROR(INDEX('NOI Walk'!$E$51:$EF$51,,MATCH(Model!CI$4,'NOI Walk'!$E$15:$EF$15,0)),0)</f>
        <v>139378.67505770334</v>
      </c>
      <c r="CJ24" s="24" cm="1">
        <f t="array" ref="CJ24">IFERROR(INDEX('NOI Walk'!$E$51:$EF$51,,MATCH(Model!CJ$4,'NOI Walk'!$E$15:$EF$15,0)),0)</f>
        <v>139679.66162282019</v>
      </c>
      <c r="CK24" s="24" cm="1">
        <f t="array" ref="CK24">IFERROR(INDEX('NOI Walk'!$E$51:$EF$51,,MATCH(Model!CK$4,'NOI Walk'!$E$15:$EF$15,0)),0)</f>
        <v>139981.2907747429</v>
      </c>
      <c r="CL24" s="24" cm="1">
        <f t="array" ref="CL24">IFERROR(INDEX('NOI Walk'!$E$51:$EF$51,,MATCH(Model!CL$4,'NOI Walk'!$E$15:$EF$15,0)),0)</f>
        <v>140283.56388027128</v>
      </c>
      <c r="CM24" s="24" cm="1">
        <f t="array" ref="CM24">IFERROR(INDEX('NOI Walk'!$E$51:$EF$51,,MATCH(Model!CM$4,'NOI Walk'!$E$15:$EF$15,0)),0)</f>
        <v>140586.48230909617</v>
      </c>
      <c r="CN24" s="24" cm="1">
        <f t="array" ref="CN24">IFERROR(INDEX('NOI Walk'!$E$51:$EF$51,,MATCH(Model!CN$4,'NOI Walk'!$E$15:$EF$15,0)),0)</f>
        <v>140890.04743380335</v>
      </c>
      <c r="CO24" s="24" cm="1">
        <f t="array" ref="CO24">IFERROR(INDEX('NOI Walk'!$E$51:$EF$51,,MATCH(Model!CO$4,'NOI Walk'!$E$15:$EF$15,0)),0)</f>
        <v>141194.26062987963</v>
      </c>
      <c r="CP24" s="24" cm="1">
        <f t="array" ref="CP24">IFERROR(INDEX('NOI Walk'!$E$51:$EF$51,,MATCH(Model!CP$4,'NOI Walk'!$E$15:$EF$15,0)),0)</f>
        <v>141499.12327572025</v>
      </c>
      <c r="CQ24" s="24" cm="1">
        <f t="array" ref="CQ24">IFERROR(INDEX('NOI Walk'!$E$51:$EF$51,,MATCH(Model!CQ$4,'NOI Walk'!$E$15:$EF$15,0)),0)</f>
        <v>141804.63675263221</v>
      </c>
      <c r="CR24" s="24" cm="1">
        <f t="array" ref="CR24">IFERROR(INDEX('NOI Walk'!$E$51:$EF$51,,MATCH(Model!CR$4,'NOI Walk'!$E$15:$EF$15,0)),0)</f>
        <v>142110.8024448448</v>
      </c>
      <c r="CS24" s="24" cm="1">
        <f t="array" ref="CS24">IFERROR(INDEX('NOI Walk'!$E$51:$EF$51,,MATCH(Model!CS$4,'NOI Walk'!$E$15:$EF$15,0)),0)</f>
        <v>142417.62173951085</v>
      </c>
      <c r="CT24" s="24" cm="1">
        <f t="array" ref="CT24">IFERROR(INDEX('NOI Walk'!$E$51:$EF$51,,MATCH(Model!CT$4,'NOI Walk'!$E$15:$EF$15,0)),0)</f>
        <v>142725.09602671693</v>
      </c>
      <c r="CU24" s="24" cm="1">
        <f t="array" ref="CU24">IFERROR(INDEX('NOI Walk'!$E$51:$EF$51,,MATCH(Model!CU$4,'NOI Walk'!$E$15:$EF$15,0)),0)</f>
        <v>143033.22669948643</v>
      </c>
      <c r="CV24" s="24" cm="1">
        <f t="array" ref="CV24">IFERROR(INDEX('NOI Walk'!$E$51:$EF$51,,MATCH(Model!CV$4,'NOI Walk'!$E$15:$EF$15,0)),0)</f>
        <v>143342.0151537889</v>
      </c>
      <c r="CW24" s="24" cm="1">
        <f t="array" ref="CW24">IFERROR(INDEX('NOI Walk'!$E$51:$EF$51,,MATCH(Model!CW$4,'NOI Walk'!$E$15:$EF$15,0)),0)</f>
        <v>143651.46278854247</v>
      </c>
      <c r="CX24" s="24" cm="1">
        <f t="array" ref="CX24">IFERROR(INDEX('NOI Walk'!$E$51:$EF$51,,MATCH(Model!CX$4,'NOI Walk'!$E$15:$EF$15,0)),0)</f>
        <v>143961.57100562335</v>
      </c>
      <c r="CY24" s="24" cm="1">
        <f t="array" ref="CY24">IFERROR(INDEX('NOI Walk'!$E$51:$EF$51,,MATCH(Model!CY$4,'NOI Walk'!$E$15:$EF$15,0)),0)</f>
        <v>144272.34120987038</v>
      </c>
      <c r="CZ24" s="24" cm="1">
        <f t="array" ref="CZ24">IFERROR(INDEX('NOI Walk'!$E$51:$EF$51,,MATCH(Model!CZ$4,'NOI Walk'!$E$15:$EF$15,0)),0)</f>
        <v>144583.77480909211</v>
      </c>
      <c r="DA24" s="24" cm="1">
        <f t="array" ref="DA24">IFERROR(INDEX('NOI Walk'!$E$51:$EF$51,,MATCH(Model!DA$4,'NOI Walk'!$E$15:$EF$15,0)),0)</f>
        <v>144895.87321407124</v>
      </c>
      <c r="DB24" s="24" cm="1">
        <f t="array" ref="DB24">IFERROR(INDEX('NOI Walk'!$E$51:$EF$51,,MATCH(Model!DB$4,'NOI Walk'!$E$15:$EF$15,0)),0)</f>
        <v>145208.63783857442</v>
      </c>
      <c r="DC24" s="24" cm="1">
        <f t="array" ref="DC24">IFERROR(INDEX('NOI Walk'!$E$51:$EF$51,,MATCH(Model!DC$4,'NOI Walk'!$E$15:$EF$15,0)),0)</f>
        <v>145522.07009935356</v>
      </c>
      <c r="DD24" s="24" cm="1">
        <f t="array" ref="DD24">IFERROR(INDEX('NOI Walk'!$E$51:$EF$51,,MATCH(Model!DD$4,'NOI Walk'!$E$15:$EF$15,0)),0)</f>
        <v>145836.1714161571</v>
      </c>
      <c r="DE24" s="24" cm="1">
        <f t="array" ref="DE24">IFERROR(INDEX('NOI Walk'!$E$51:$EF$51,,MATCH(Model!DE$4,'NOI Walk'!$E$15:$EF$15,0)),0)</f>
        <v>146150.9432117329</v>
      </c>
      <c r="DF24" s="24" cm="1">
        <f t="array" ref="DF24">IFERROR(INDEX('NOI Walk'!$E$51:$EF$51,,MATCH(Model!DF$4,'NOI Walk'!$E$15:$EF$15,0)),0)</f>
        <v>146466.38691183674</v>
      </c>
      <c r="DG24" s="24" cm="1">
        <f t="array" ref="DG24">IFERROR(INDEX('NOI Walk'!$E$51:$EF$51,,MATCH(Model!DG$4,'NOI Walk'!$E$15:$EF$15,0)),0)</f>
        <v>146782.50394523627</v>
      </c>
      <c r="DH24" s="24" cm="1">
        <f t="array" ref="DH24">IFERROR(INDEX('NOI Walk'!$E$51:$EF$51,,MATCH(Model!DH$4,'NOI Walk'!$E$15:$EF$15,0)),0)</f>
        <v>147099.29574371889</v>
      </c>
      <c r="DI24" s="24" cm="1">
        <f t="array" ref="DI24">IFERROR(INDEX('NOI Walk'!$E$51:$EF$51,,MATCH(Model!DI$4,'NOI Walk'!$E$15:$EF$15,0)),0)</f>
        <v>147416.76374209987</v>
      </c>
      <c r="DJ24" s="24" cm="1">
        <f t="array" ref="DJ24">IFERROR(INDEX('NOI Walk'!$E$51:$EF$51,,MATCH(Model!DJ$4,'NOI Walk'!$E$15:$EF$15,0)),0)</f>
        <v>147734.90937822388</v>
      </c>
      <c r="DK24" s="24" cm="1">
        <f t="array" ref="DK24">IFERROR(INDEX('NOI Walk'!$E$51:$EF$51,,MATCH(Model!DK$4,'NOI Walk'!$E$15:$EF$15,0)),0)</f>
        <v>148053.73409297602</v>
      </c>
      <c r="DL24" s="24" cm="1">
        <f t="array" ref="DL24">IFERROR(INDEX('NOI Walk'!$E$51:$EF$51,,MATCH(Model!DL$4,'NOI Walk'!$E$15:$EF$15,0)),0)</f>
        <v>148373.23933028645</v>
      </c>
      <c r="DM24" s="24" cm="1">
        <f t="array" ref="DM24">IFERROR(INDEX('NOI Walk'!$E$51:$EF$51,,MATCH(Model!DM$4,'NOI Walk'!$E$15:$EF$15,0)),0)</f>
        <v>148693.42653713579</v>
      </c>
      <c r="DN24" s="24" cm="1">
        <f t="array" ref="DN24">IFERROR(INDEX('NOI Walk'!$E$51:$EF$51,,MATCH(Model!DN$4,'NOI Walk'!$E$15:$EF$15,0)),0)</f>
        <v>149014.29716356369</v>
      </c>
      <c r="DO24" s="24" cm="1">
        <f t="array" ref="DO24">IFERROR(INDEX('NOI Walk'!$E$51:$EF$51,,MATCH(Model!DO$4,'NOI Walk'!$E$15:$EF$15,0)),0)</f>
        <v>149335.85266267176</v>
      </c>
      <c r="DP24" s="24" cm="1">
        <f t="array" ref="DP24">IFERROR(INDEX('NOI Walk'!$E$51:$EF$51,,MATCH(Model!DP$4,'NOI Walk'!$E$15:$EF$15,0)),0)</f>
        <v>149658.09449063614</v>
      </c>
      <c r="DQ24" s="24" cm="1">
        <f t="array" ref="DQ24">IFERROR(INDEX('NOI Walk'!$E$51:$EF$51,,MATCH(Model!DQ$4,'NOI Walk'!$E$15:$EF$15,0)),0)</f>
        <v>149981.02410670632</v>
      </c>
      <c r="DR24" s="24" cm="1">
        <f t="array" ref="DR24">IFERROR(INDEX('NOI Walk'!$E$51:$EF$51,,MATCH(Model!DR$4,'NOI Walk'!$E$15:$EF$15,0)),0)</f>
        <v>150304.64297321765</v>
      </c>
      <c r="DS24" s="24" cm="1">
        <f t="array" ref="DS24">IFERROR(INDEX('NOI Walk'!$E$51:$EF$51,,MATCH(Model!DS$4,'NOI Walk'!$E$15:$EF$15,0)),0)</f>
        <v>150628.95255559497</v>
      </c>
      <c r="DT24" s="24" cm="1">
        <f t="array" ref="DT24">IFERROR(INDEX('NOI Walk'!$E$51:$EF$51,,MATCH(Model!DT$4,'NOI Walk'!$E$15:$EF$15,0)),0)</f>
        <v>150953.95432235996</v>
      </c>
      <c r="DU24" s="24" cm="1">
        <f t="array" ref="DU24">IFERROR(INDEX('NOI Walk'!$E$51:$EF$51,,MATCH(Model!DU$4,'NOI Walk'!$E$15:$EF$15,0)),0)</f>
        <v>151279.6497451379</v>
      </c>
      <c r="DV24" s="24" cm="1">
        <f t="array" ref="DV24">IFERROR(INDEX('NOI Walk'!$E$51:$EF$51,,MATCH(Model!DV$4,'NOI Walk'!$E$15:$EF$15,0)),0)</f>
        <v>151606.04029866174</v>
      </c>
      <c r="DW24" s="24" cm="1">
        <f t="array" ref="DW24">IFERROR(INDEX('NOI Walk'!$E$51:$EF$51,,MATCH(Model!DW$4,'NOI Walk'!$E$15:$EF$15,0)),0)</f>
        <v>151933.12746078247</v>
      </c>
      <c r="DX24" s="24" cm="1">
        <f t="array" ref="DX24">IFERROR(INDEX('NOI Walk'!$E$51:$EF$51,,MATCH(Model!DX$4,'NOI Walk'!$E$15:$EF$15,0)),0)</f>
        <v>152260.91271247424</v>
      </c>
      <c r="DY24" s="24" cm="1">
        <f t="array" ref="DY24">IFERROR(INDEX('NOI Walk'!$E$51:$EF$51,,MATCH(Model!DY$4,'NOI Walk'!$E$15:$EF$15,0)),0)</f>
        <v>152589.39753783878</v>
      </c>
      <c r="DZ24" s="24" cm="1">
        <f t="array" ref="DZ24">IFERROR(INDEX('NOI Walk'!$E$51:$EF$51,,MATCH(Model!DZ$4,'NOI Walk'!$E$15:$EF$15,0)),0)</f>
        <v>152918.58342411433</v>
      </c>
      <c r="EA24" s="24" cm="1">
        <f t="array" ref="EA24">IFERROR(INDEX('NOI Walk'!$E$51:$EF$51,,MATCH(Model!EA$4,'NOI Walk'!$E$15:$EF$15,0)),0)</f>
        <v>153248.47186168254</v>
      </c>
      <c r="EB24" s="24" cm="1">
        <f t="array" ref="EB24">IFERROR(INDEX('NOI Walk'!$E$51:$EF$51,,MATCH(Model!EB$4,'NOI Walk'!$E$15:$EF$15,0)),0)</f>
        <v>153579.06434407359</v>
      </c>
      <c r="EC24" s="24" cm="1">
        <f t="array" ref="EC24">IFERROR(INDEX('NOI Walk'!$E$51:$EF$51,,MATCH(Model!EC$4,'NOI Walk'!$E$15:$EF$15,0)),0)</f>
        <v>153910.36236797197</v>
      </c>
      <c r="ED24" s="24" cm="1">
        <f t="array" ref="ED24">IFERROR(INDEX('NOI Walk'!$E$51:$EF$51,,MATCH(Model!ED$4,'NOI Walk'!$E$15:$EF$15,0)),0)</f>
        <v>154242.36743322693</v>
      </c>
      <c r="EE24" s="24" cm="1">
        <f t="array" ref="EE24">IFERROR(INDEX('NOI Walk'!$E$51:$EF$51,,MATCH(Model!EE$4,'NOI Walk'!$E$15:$EF$15,0)),0)</f>
        <v>154575.0810428551</v>
      </c>
      <c r="EF24" s="24" cm="1">
        <f t="array" ref="EF24">IFERROR(INDEX('NOI Walk'!$E$51:$EF$51,,MATCH(Model!EF$4,'NOI Walk'!$E$15:$EF$15,0)),0)</f>
        <v>154908.50470305016</v>
      </c>
      <c r="EG24" s="24" cm="1">
        <f t="array" ref="EG24">IFERROR(INDEX('NOI Walk'!$E$51:$EF$51,,MATCH(Model!EG$4,'NOI Walk'!$E$15:$EF$15,0)),0)</f>
        <v>155242.63992318523</v>
      </c>
      <c r="EH24" s="24" cm="1">
        <f t="array" ref="EH24">IFERROR(INDEX('NOI Walk'!$E$51:$EF$51,,MATCH(Model!EH$4,'NOI Walk'!$E$15:$EF$15,0)),0)</f>
        <v>155577.48821582622</v>
      </c>
      <c r="EI24" s="24" cm="1">
        <f t="array" ref="EI24">IFERROR(INDEX('NOI Walk'!$E$51:$EF$51,,MATCH(Model!EI$4,'NOI Walk'!$E$15:$EF$15,0)),0)</f>
        <v>155913.05109673156</v>
      </c>
      <c r="EM24" s="1" t="s">
        <v>178</v>
      </c>
    </row>
    <row r="25" spans="4:143" x14ac:dyDescent="0.45">
      <c r="D25" s="1" t="s">
        <v>132</v>
      </c>
      <c r="G25" s="24" cm="1">
        <f t="array" ref="G25">-IFERROR(INDEX('NOI Walk'!$E$56:$EF$56,,MATCH(Model!G$4,'NOI Walk'!$E$15:$EF$15,0)),0)</f>
        <v>0</v>
      </c>
      <c r="H25" s="24" cm="1">
        <f t="array" ref="H25">-IFERROR(INDEX('NOI Walk'!$E$56:$EF$56,,MATCH(Model!H$4,'NOI Walk'!$E$15:$EF$15,0)),0)</f>
        <v>-1253.3006574000003</v>
      </c>
      <c r="I25" s="24" cm="1">
        <f t="array" ref="I25">-IFERROR(INDEX('NOI Walk'!$E$56:$EF$56,,MATCH(Model!I$4,'NOI Walk'!$E$15:$EF$15,0)),0)</f>
        <v>-1207.2563196992248</v>
      </c>
      <c r="J25" s="24" cm="1">
        <f t="array" ref="J25">-IFERROR(INDEX('NOI Walk'!$E$56:$EF$56,,MATCH(Model!J$4,'NOI Walk'!$E$15:$EF$15,0)),0)</f>
        <v>-1209.7376397668393</v>
      </c>
      <c r="K25" s="24" cm="1">
        <f t="array" ref="K25">-IFERROR(INDEX('NOI Walk'!$E$56:$EF$56,,MATCH(Model!K$4,'NOI Walk'!$E$15:$EF$15,0)),0)</f>
        <v>-1183.8049154761375</v>
      </c>
      <c r="L25" s="24" cm="1">
        <f t="array" ref="L25">-IFERROR(INDEX('NOI Walk'!$E$56:$EF$56,,MATCH(Model!L$4,'NOI Walk'!$E$15:$EF$15,0)),0)</f>
        <v>-1142.6471817918132</v>
      </c>
      <c r="M25" s="24" cm="1">
        <f t="array" ref="M25">-IFERROR(INDEX('NOI Walk'!$E$56:$EF$56,,MATCH(Model!M$4,'NOI Walk'!$E$15:$EF$15,0)),0)</f>
        <v>-1187.6468119174556</v>
      </c>
      <c r="N25" s="24" cm="1">
        <f t="array" ref="N25">-IFERROR(INDEX('NOI Walk'!$E$56:$EF$56,,MATCH(Model!N$4,'NOI Walk'!$E$15:$EF$15,0)),0)</f>
        <v>-1143.7739699498975</v>
      </c>
      <c r="O25" s="24" cm="1">
        <f t="array" ref="O25">-IFERROR(INDEX('NOI Walk'!$E$56:$EF$56,,MATCH(Model!O$4,'NOI Walk'!$E$15:$EF$15,0)),0)</f>
        <v>-1166.2450097469734</v>
      </c>
      <c r="P25" s="24" cm="1">
        <f t="array" ref="P25">-IFERROR(INDEX('NOI Walk'!$E$56:$EF$56,,MATCH(Model!P$4,'NOI Walk'!$E$15:$EF$15,0)),0)</f>
        <v>-1189.1107395094789</v>
      </c>
      <c r="Q25" s="24" cm="1">
        <f t="array" ref="Q25">-IFERROR(INDEX('NOI Walk'!$E$56:$EF$56,,MATCH(Model!Q$4,'NOI Walk'!$E$15:$EF$15,0)),0)</f>
        <v>-1187.4373012778053</v>
      </c>
      <c r="R25" s="24" cm="1">
        <f t="array" ref="R25">-IFERROR(INDEX('NOI Walk'!$E$56:$EF$56,,MATCH(Model!R$4,'NOI Walk'!$E$15:$EF$15,0)),0)</f>
        <v>-1211.6246925939445</v>
      </c>
      <c r="S25" s="24" cm="1">
        <f t="array" ref="S25">-IFERROR(INDEX('NOI Walk'!$E$56:$EF$56,,MATCH(Model!S$4,'NOI Walk'!$E$15:$EF$15,0)),0)</f>
        <v>-1302.2693807209987</v>
      </c>
      <c r="T25" s="24" cm="1">
        <f t="array" ref="T25">-IFERROR(INDEX('NOI Walk'!$E$56:$EF$56,,MATCH(Model!T$4,'NOI Walk'!$E$15:$EF$15,0)),0)</f>
        <v>-1340.8347839095802</v>
      </c>
      <c r="U25" s="24" cm="1">
        <f t="array" ref="U25">-IFERROR(INDEX('NOI Walk'!$E$56:$EF$56,,MATCH(Model!U$4,'NOI Walk'!$E$15:$EF$15,0)),0)</f>
        <v>-1378.700670082698</v>
      </c>
      <c r="V25" s="24" cm="1">
        <f t="array" ref="V25">-IFERROR(INDEX('NOI Walk'!$E$56:$EF$56,,MATCH(Model!V$4,'NOI Walk'!$E$15:$EF$15,0)),0)</f>
        <v>-1410.4236736938683</v>
      </c>
      <c r="W25" s="24" cm="1">
        <f t="array" ref="W25">-IFERROR(INDEX('NOI Walk'!$E$56:$EF$56,,MATCH(Model!W$4,'NOI Walk'!$E$15:$EF$15,0)),0)</f>
        <v>-1431.8927695951891</v>
      </c>
      <c r="X25" s="24" cm="1">
        <f t="array" ref="X25">-IFERROR(INDEX('NOI Walk'!$E$56:$EF$56,,MATCH(Model!X$4,'NOI Walk'!$E$15:$EF$15,0)),0)</f>
        <v>-1431.1388735109074</v>
      </c>
      <c r="Y25" s="24" cm="1">
        <f t="array" ref="Y25">-IFERROR(INDEX('NOI Walk'!$E$56:$EF$56,,MATCH(Model!Y$4,'NOI Walk'!$E$15:$EF$15,0)),0)</f>
        <v>-1426.2014952323825</v>
      </c>
      <c r="Z25" s="24" cm="1">
        <f t="array" ref="Z25">-IFERROR(INDEX('NOI Walk'!$E$56:$EF$56,,MATCH(Model!Z$4,'NOI Walk'!$E$15:$EF$15,0)),0)</f>
        <v>-1430.1149656577068</v>
      </c>
      <c r="AA25" s="24" cm="1">
        <f t="array" ref="AA25">-IFERROR(INDEX('NOI Walk'!$E$56:$EF$56,,MATCH(Model!AA$4,'NOI Walk'!$E$15:$EF$15,0)),0)</f>
        <v>-1430.2851335944549</v>
      </c>
      <c r="AB25" s="24" cm="1">
        <f t="array" ref="AB25">-IFERROR(INDEX('NOI Walk'!$E$56:$EF$56,,MATCH(Model!AB$4,'NOI Walk'!$E$15:$EF$15,0)),0)</f>
        <v>-1469.6538391614872</v>
      </c>
      <c r="AC25" s="24" cm="1">
        <f t="array" ref="AC25">-IFERROR(INDEX('NOI Walk'!$E$56:$EF$56,,MATCH(Model!AC$4,'NOI Walk'!$E$15:$EF$15,0)),0)</f>
        <v>-1528.8272362526807</v>
      </c>
      <c r="AD25" s="24" cm="1">
        <f t="array" ref="AD25">-IFERROR(INDEX('NOI Walk'!$E$56:$EF$56,,MATCH(Model!AD$4,'NOI Walk'!$E$15:$EF$15,0)),0)</f>
        <v>-1574.1394807703969</v>
      </c>
      <c r="AE25" s="24" cm="1">
        <f t="array" ref="AE25">-IFERROR(INDEX('NOI Walk'!$E$56:$EF$56,,MATCH(Model!AE$4,'NOI Walk'!$E$15:$EF$15,0)),0)</f>
        <v>-1597.2596926213644</v>
      </c>
      <c r="AF25" s="24" cm="1">
        <f t="array" ref="AF25">-IFERROR(INDEX('NOI Walk'!$E$56:$EF$56,,MATCH(Model!AF$4,'NOI Walk'!$E$15:$EF$15,0)),0)</f>
        <v>-1595.356147721307</v>
      </c>
      <c r="AG25" s="24" cm="1">
        <f t="array" ref="AG25">-IFERROR(INDEX('NOI Walk'!$E$56:$EF$56,,MATCH(Model!AG$4,'NOI Walk'!$E$15:$EF$15,0)),0)</f>
        <v>-1570.0728590721451</v>
      </c>
      <c r="AH25" s="24" cm="1">
        <f t="array" ref="AH25">-IFERROR(INDEX('NOI Walk'!$E$56:$EF$56,,MATCH(Model!AH$4,'NOI Walk'!$E$15:$EF$15,0)),0)</f>
        <v>-1580.7944648841374</v>
      </c>
      <c r="AI25" s="24" cm="1">
        <f t="array" ref="AI25">-IFERROR(INDEX('NOI Walk'!$E$56:$EF$56,,MATCH(Model!AI$4,'NOI Walk'!$E$15:$EF$15,0)),0)</f>
        <v>-1658.0711764932223</v>
      </c>
      <c r="AJ25" s="24" cm="1">
        <f t="array" ref="AJ25">-IFERROR(INDEX('NOI Walk'!$E$56:$EF$56,,MATCH(Model!AJ$4,'NOI Walk'!$E$15:$EF$15,0)),0)</f>
        <v>-1735.6556063967873</v>
      </c>
      <c r="AK25" s="24" cm="1">
        <f t="array" ref="AK25">-IFERROR(INDEX('NOI Walk'!$E$56:$EF$56,,MATCH(Model!AK$4,'NOI Walk'!$E$15:$EF$15,0)),0)</f>
        <v>-1813.5486887166574</v>
      </c>
      <c r="AL25" s="24" cm="1">
        <f t="array" ref="AL25">-IFERROR(INDEX('NOI Walk'!$E$56:$EF$56,,MATCH(Model!AL$4,'NOI Walk'!$E$15:$EF$15,0)),0)</f>
        <v>-1841.8234224218272</v>
      </c>
      <c r="AM25" s="24" cm="1">
        <f t="array" ref="AM25">-IFERROR(INDEX('NOI Walk'!$E$56:$EF$56,,MATCH(Model!AM$4,'NOI Walk'!$E$15:$EF$15,0)),0)</f>
        <v>-1845.5336701616618</v>
      </c>
      <c r="AN25" s="24" cm="1">
        <f t="array" ref="AN25">-IFERROR(INDEX('NOI Walk'!$E$56:$EF$56,,MATCH(Model!AN$4,'NOI Walk'!$E$15:$EF$15,0)),0)</f>
        <v>-1849.2514126828746</v>
      </c>
      <c r="AO25" s="24" cm="1">
        <f t="array" ref="AO25">-IFERROR(INDEX('NOI Walk'!$E$56:$EF$56,,MATCH(Model!AO$4,'NOI Walk'!$E$15:$EF$15,0)),0)</f>
        <v>-1852.9766652330827</v>
      </c>
      <c r="AP25" s="24" cm="1">
        <f t="array" ref="AP25">-IFERROR(INDEX('NOI Walk'!$E$56:$EF$56,,MATCH(Model!AP$4,'NOI Walk'!$E$15:$EF$15,0)),0)</f>
        <v>-1856.7094430910252</v>
      </c>
      <c r="AQ25" s="24" cm="1">
        <f t="array" ref="AQ25">-IFERROR(INDEX('NOI Walk'!$E$56:$EF$56,,MATCH(Model!AQ$4,'NOI Walk'!$E$15:$EF$15,0)),0)</f>
        <v>-1860.4497615666173</v>
      </c>
      <c r="AR25" s="24" cm="1">
        <f t="array" ref="AR25">-IFERROR(INDEX('NOI Walk'!$E$56:$EF$56,,MATCH(Model!AR$4,'NOI Walk'!$E$15:$EF$15,0)),0)</f>
        <v>-1864.197636001004</v>
      </c>
      <c r="AS25" s="24" cm="1">
        <f t="array" ref="AS25">-IFERROR(INDEX('NOI Walk'!$E$56:$EF$56,,MATCH(Model!AS$4,'NOI Walk'!$E$15:$EF$15,0)),0)</f>
        <v>-1867.9530817666389</v>
      </c>
      <c r="AT25" s="24" cm="1">
        <f t="array" ref="AT25">-IFERROR(INDEX('NOI Walk'!$E$56:$EF$56,,MATCH(Model!AT$4,'NOI Walk'!$E$15:$EF$15,0)),0)</f>
        <v>-1871.716114267324</v>
      </c>
      <c r="AU25" s="24" cm="1">
        <f t="array" ref="AU25">-IFERROR(INDEX('NOI Walk'!$E$56:$EF$56,,MATCH(Model!AU$4,'NOI Walk'!$E$15:$EF$15,0)),0)</f>
        <v>-1875.4867489383084</v>
      </c>
      <c r="AV25" s="24" cm="1">
        <f t="array" ref="AV25">-IFERROR(INDEX('NOI Walk'!$E$56:$EF$56,,MATCH(Model!AV$4,'NOI Walk'!$E$15:$EF$15,0)),0)</f>
        <v>-1879.2650012463241</v>
      </c>
      <c r="AW25" s="24" cm="1">
        <f t="array" ref="AW25">-IFERROR(INDEX('NOI Walk'!$E$56:$EF$56,,MATCH(Model!AW$4,'NOI Walk'!$E$15:$EF$15,0)),0)</f>
        <v>-1883.0508866896557</v>
      </c>
      <c r="AX25" s="24" cm="1">
        <f t="array" ref="AX25">-IFERROR(INDEX('NOI Walk'!$E$56:$EF$56,,MATCH(Model!AX$4,'NOI Walk'!$E$15:$EF$15,0)),0)</f>
        <v>-1886.8444207982225</v>
      </c>
      <c r="AY25" s="24" cm="1">
        <f t="array" ref="AY25">-IFERROR(INDEX('NOI Walk'!$E$56:$EF$56,,MATCH(Model!AY$4,'NOI Walk'!$E$15:$EF$15,0)),0)</f>
        <v>-1890.645619133611</v>
      </c>
      <c r="AZ25" s="24" cm="1">
        <f t="array" ref="AZ25">-IFERROR(INDEX('NOI Walk'!$E$56:$EF$56,,MATCH(Model!AZ$4,'NOI Walk'!$E$15:$EF$15,0)),0)</f>
        <v>-1894.4544972891804</v>
      </c>
      <c r="BA25" s="24" cm="1">
        <f t="array" ref="BA25">-IFERROR(INDEX('NOI Walk'!$E$56:$EF$56,,MATCH(Model!BA$4,'NOI Walk'!$E$15:$EF$15,0)),0)</f>
        <v>-1898.271070890095</v>
      </c>
      <c r="BB25" s="24" cm="1">
        <f t="array" ref="BB25">-IFERROR(INDEX('NOI Walk'!$E$56:$EF$56,,MATCH(Model!BB$4,'NOI Walk'!$E$15:$EF$15,0)),0)</f>
        <v>-1902.0953555933945</v>
      </c>
      <c r="BC25" s="24" cm="1">
        <f t="array" ref="BC25">-IFERROR(INDEX('NOI Walk'!$E$56:$EF$56,,MATCH(Model!BC$4,'NOI Walk'!$E$15:$EF$15,0)),0)</f>
        <v>-1905.9273670880686</v>
      </c>
      <c r="BD25" s="24" cm="1">
        <f t="array" ref="BD25">-IFERROR(INDEX('NOI Walk'!$E$56:$EF$56,,MATCH(Model!BD$4,'NOI Walk'!$E$15:$EF$15,0)),0)</f>
        <v>-1909.7671210951278</v>
      </c>
      <c r="BE25" s="24" cm="1">
        <f t="array" ref="BE25">-IFERROR(INDEX('NOI Walk'!$E$56:$EF$56,,MATCH(Model!BE$4,'NOI Walk'!$E$15:$EF$15,0)),0)</f>
        <v>-1913.614633367647</v>
      </c>
      <c r="BF25" s="24" cm="1">
        <f t="array" ref="BF25">-IFERROR(INDEX('NOI Walk'!$E$56:$EF$56,,MATCH(Model!BF$4,'NOI Walk'!$E$15:$EF$15,0)),0)</f>
        <v>-1917.469919690848</v>
      </c>
      <c r="BG25" s="24" cm="1">
        <f t="array" ref="BG25">-IFERROR(INDEX('NOI Walk'!$E$56:$EF$56,,MATCH(Model!BG$4,'NOI Walk'!$E$15:$EF$15,0)),0)</f>
        <v>-1921.3329958821644</v>
      </c>
      <c r="BH25" s="24" cm="1">
        <f t="array" ref="BH25">-IFERROR(INDEX('NOI Walk'!$E$56:$EF$56,,MATCH(Model!BH$4,'NOI Walk'!$E$15:$EF$15,0)),0)</f>
        <v>-1925.203877791299</v>
      </c>
      <c r="BI25" s="24" cm="1">
        <f t="array" ref="BI25">-IFERROR(INDEX('NOI Walk'!$E$56:$EF$56,,MATCH(Model!BI$4,'NOI Walk'!$E$15:$EF$15,0)),0)</f>
        <v>-1929.0825813002928</v>
      </c>
      <c r="BJ25" s="24" cm="1">
        <f t="array" ref="BJ25">-IFERROR(INDEX('NOI Walk'!$E$56:$EF$56,,MATCH(Model!BJ$4,'NOI Walk'!$E$15:$EF$15,0)),0)</f>
        <v>-1932.9691223236007</v>
      </c>
      <c r="BK25" s="24" cm="1">
        <f t="array" ref="BK25">-IFERROR(INDEX('NOI Walk'!$E$56:$EF$56,,MATCH(Model!BK$4,'NOI Walk'!$E$15:$EF$15,0)),0)</f>
        <v>-1936.8635168081398</v>
      </c>
      <c r="BL25" s="24" cm="1">
        <f t="array" ref="BL25">-IFERROR(INDEX('NOI Walk'!$E$56:$EF$56,,MATCH(Model!BL$4,'NOI Walk'!$E$15:$EF$15,0)),0)</f>
        <v>-1940.7657807333735</v>
      </c>
      <c r="BM25" s="24" cm="1">
        <f t="array" ref="BM25">-IFERROR(INDEX('NOI Walk'!$E$56:$EF$56,,MATCH(Model!BM$4,'NOI Walk'!$E$15:$EF$15,0)),0)</f>
        <v>-1944.6759301113736</v>
      </c>
      <c r="BN25" s="24" cm="1">
        <f t="array" ref="BN25">-IFERROR(INDEX('NOI Walk'!$E$56:$EF$56,,MATCH(Model!BN$4,'NOI Walk'!$E$15:$EF$15,0)),0)</f>
        <v>-1948.5939809868687</v>
      </c>
      <c r="BO25" s="24" cm="1">
        <f t="array" ref="BO25">-IFERROR(INDEX('NOI Walk'!$E$56:$EF$56,,MATCH(Model!BO$4,'NOI Walk'!$E$15:$EF$15,0)),0)</f>
        <v>-1952.5199494373435</v>
      </c>
      <c r="BP25" s="24" cm="1">
        <f t="array" ref="BP25">-IFERROR(INDEX('NOI Walk'!$E$56:$EF$56,,MATCH(Model!BP$4,'NOI Walk'!$E$15:$EF$15,0)),0)</f>
        <v>-1956.4538515730806</v>
      </c>
      <c r="BQ25" s="24" cm="1">
        <f t="array" ref="BQ25">-IFERROR(INDEX('NOI Walk'!$E$56:$EF$56,,MATCH(Model!BQ$4,'NOI Walk'!$E$15:$EF$15,0)),0)</f>
        <v>-1960.3957035372277</v>
      </c>
      <c r="BR25" s="24" cm="1">
        <f t="array" ref="BR25">-IFERROR(INDEX('NOI Walk'!$E$56:$EF$56,,MATCH(Model!BR$4,'NOI Walk'!$E$15:$EF$15,0)),0)</f>
        <v>-1964.3455215058868</v>
      </c>
      <c r="BS25" s="24" cm="1">
        <f t="array" ref="BS25">-IFERROR(INDEX('NOI Walk'!$E$56:$EF$56,,MATCH(Model!BS$4,'NOI Walk'!$E$15:$EF$15,0)),0)</f>
        <v>-1968.3033216881574</v>
      </c>
      <c r="BT25" s="24" cm="1">
        <f t="array" ref="BT25">-IFERROR(INDEX('NOI Walk'!$E$56:$EF$56,,MATCH(Model!BT$4,'NOI Walk'!$E$15:$EF$15,0)),0)</f>
        <v>-1972.269120326217</v>
      </c>
      <c r="BU25" s="24" cm="1">
        <f t="array" ref="BU25">-IFERROR(INDEX('NOI Walk'!$E$56:$EF$56,,MATCH(Model!BU$4,'NOI Walk'!$E$15:$EF$15,0)),0)</f>
        <v>-1976.2429336953885</v>
      </c>
      <c r="BV25" s="24" cm="1">
        <f t="array" ref="BV25">-IFERROR(INDEX('NOI Walk'!$E$56:$EF$56,,MATCH(Model!BV$4,'NOI Walk'!$E$15:$EF$15,0)),0)</f>
        <v>-1980.224778104202</v>
      </c>
      <c r="BW25" s="24" cm="1">
        <f t="array" ref="BW25">-IFERROR(INDEX('NOI Walk'!$E$56:$EF$56,,MATCH(Model!BW$4,'NOI Walk'!$E$15:$EF$15,0)),0)</f>
        <v>-1984.2146698944589</v>
      </c>
      <c r="BX25" s="24" cm="1">
        <f t="array" ref="BX25">-IFERROR(INDEX('NOI Walk'!$E$56:$EF$56,,MATCH(Model!BX$4,'NOI Walk'!$E$15:$EF$15,0)),0)</f>
        <v>-1988.2126254413183</v>
      </c>
      <c r="BY25" s="24" cm="1">
        <f t="array" ref="BY25">-IFERROR(INDEX('NOI Walk'!$E$56:$EF$56,,MATCH(Model!BY$4,'NOI Walk'!$E$15:$EF$15,0)),0)</f>
        <v>-1992.2186611533418</v>
      </c>
      <c r="BZ25" s="24" cm="1">
        <f t="array" ref="BZ25">-IFERROR(INDEX('NOI Walk'!$E$56:$EF$56,,MATCH(Model!BZ$4,'NOI Walk'!$E$15:$EF$15,0)),0)</f>
        <v>-1996.2327934725915</v>
      </c>
      <c r="CA25" s="24" cm="1">
        <f t="array" ref="CA25">-IFERROR(INDEX('NOI Walk'!$E$56:$EF$56,,MATCH(Model!CA$4,'NOI Walk'!$E$15:$EF$15,0)),0)</f>
        <v>-2000.255038874657</v>
      </c>
      <c r="CB25" s="24" cm="1">
        <f t="array" ref="CB25">-IFERROR(INDEX('NOI Walk'!$E$56:$EF$56,,MATCH(Model!CB$4,'NOI Walk'!$E$15:$EF$15,0)),0)</f>
        <v>-2004.2854138687696</v>
      </c>
      <c r="CC25" s="24" cm="1">
        <f t="array" ref="CC25">-IFERROR(INDEX('NOI Walk'!$E$56:$EF$56,,MATCH(Model!CC$4,'NOI Walk'!$E$15:$EF$15,0)),0)</f>
        <v>-2008.3239349978321</v>
      </c>
      <c r="CD25" s="24" cm="1">
        <f t="array" ref="CD25">-IFERROR(INDEX('NOI Walk'!$E$56:$EF$56,,MATCH(Model!CD$4,'NOI Walk'!$E$15:$EF$15,0)),0)</f>
        <v>-2012.3706188385115</v>
      </c>
      <c r="CE25" s="24" cm="1">
        <f t="array" ref="CE25">-IFERROR(INDEX('NOI Walk'!$E$56:$EF$56,,MATCH(Model!CE$4,'NOI Walk'!$E$15:$EF$15,0)),0)</f>
        <v>-2016.4254820013075</v>
      </c>
      <c r="CF25" s="24" cm="1">
        <f t="array" ref="CF25">-IFERROR(INDEX('NOI Walk'!$E$56:$EF$56,,MATCH(Model!CF$4,'NOI Walk'!$E$15:$EF$15,0)),0)</f>
        <v>-2020.488541130602</v>
      </c>
      <c r="CG25" s="24" cm="1">
        <f t="array" ref="CG25">-IFERROR(INDEX('NOI Walk'!$E$56:$EF$56,,MATCH(Model!CG$4,'NOI Walk'!$E$15:$EF$15,0)),0)</f>
        <v>-2024.5598129047492</v>
      </c>
      <c r="CH25" s="24" cm="1">
        <f t="array" ref="CH25">-IFERROR(INDEX('NOI Walk'!$E$56:$EF$56,,MATCH(Model!CH$4,'NOI Walk'!$E$15:$EF$15,0)),0)</f>
        <v>-2028.6393140361383</v>
      </c>
      <c r="CI25" s="24" cm="1">
        <f t="array" ref="CI25">-IFERROR(INDEX('NOI Walk'!$E$56:$EF$56,,MATCH(Model!CI$4,'NOI Walk'!$E$15:$EF$15,0)),0)</f>
        <v>-2032.727061271258</v>
      </c>
      <c r="CJ25" s="24" cm="1">
        <f t="array" ref="CJ25">-IFERROR(INDEX('NOI Walk'!$E$56:$EF$56,,MATCH(Model!CJ$4,'NOI Walk'!$E$15:$EF$15,0)),0)</f>
        <v>-2036.8230713907726</v>
      </c>
      <c r="CK25" s="24" cm="1">
        <f t="array" ref="CK25">-IFERROR(INDEX('NOI Walk'!$E$56:$EF$56,,MATCH(Model!CK$4,'NOI Walk'!$E$15:$EF$15,0)),0)</f>
        <v>-2040.927361209599</v>
      </c>
      <c r="CL25" s="24" cm="1">
        <f t="array" ref="CL25">-IFERROR(INDEX('NOI Walk'!$E$56:$EF$56,,MATCH(Model!CL$4,'NOI Walk'!$E$15:$EF$15,0)),0)</f>
        <v>-2045.0399475769466</v>
      </c>
      <c r="CM25" s="24" cm="1">
        <f t="array" ref="CM25">-IFERROR(INDEX('NOI Walk'!$E$56:$EF$56,,MATCH(Model!CM$4,'NOI Walk'!$E$15:$EF$15,0)),0)</f>
        <v>-2049.1608473764245</v>
      </c>
      <c r="CN25" s="24" cm="1">
        <f t="array" ref="CN25">-IFERROR(INDEX('NOI Walk'!$E$56:$EF$56,,MATCH(Model!CN$4,'NOI Walk'!$E$15:$EF$15,0)),0)</f>
        <v>-2053.2900775260937</v>
      </c>
      <c r="CO25" s="24" cm="1">
        <f t="array" ref="CO25">-IFERROR(INDEX('NOI Walk'!$E$56:$EF$56,,MATCH(Model!CO$4,'NOI Walk'!$E$15:$EF$15,0)),0)</f>
        <v>-2057.4276549785332</v>
      </c>
      <c r="CP25" s="24" cm="1">
        <f t="array" ref="CP25">-IFERROR(INDEX('NOI Walk'!$E$56:$EF$56,,MATCH(Model!CP$4,'NOI Walk'!$E$15:$EF$15,0)),0)</f>
        <v>-2061.5735967209284</v>
      </c>
      <c r="CQ25" s="24" cm="1">
        <f t="array" ref="CQ25">-IFERROR(INDEX('NOI Walk'!$E$56:$EF$56,,MATCH(Model!CQ$4,'NOI Walk'!$E$15:$EF$15,0)),0)</f>
        <v>-2065.7279197751109</v>
      </c>
      <c r="CR25" s="24" cm="1">
        <f t="array" ref="CR25">-IFERROR(INDEX('NOI Walk'!$E$56:$EF$56,,MATCH(Model!CR$4,'NOI Walk'!$E$15:$EF$15,0)),0)</f>
        <v>-2069.8906411976727</v>
      </c>
      <c r="CS25" s="24" cm="1">
        <f t="array" ref="CS25">-IFERROR(INDEX('NOI Walk'!$E$56:$EF$56,,MATCH(Model!CS$4,'NOI Walk'!$E$15:$EF$15,0)),0)</f>
        <v>-2074.0617780799917</v>
      </c>
      <c r="CT25" s="24" cm="1">
        <f t="array" ref="CT25">-IFERROR(INDEX('NOI Walk'!$E$56:$EF$56,,MATCH(Model!CT$4,'NOI Walk'!$E$15:$EF$15,0)),0)</f>
        <v>-2078.2413475483404</v>
      </c>
      <c r="CU25" s="24" cm="1">
        <f t="array" ref="CU25">-IFERROR(INDEX('NOI Walk'!$E$56:$EF$56,,MATCH(Model!CU$4,'NOI Walk'!$E$15:$EF$15,0)),0)</f>
        <v>-2082.4293667639276</v>
      </c>
      <c r="CV25" s="24" cm="1">
        <f t="array" ref="CV25">-IFERROR(INDEX('NOI Walk'!$E$56:$EF$56,,MATCH(Model!CV$4,'NOI Walk'!$E$15:$EF$15,0)),0)</f>
        <v>-2086.6258529230017</v>
      </c>
      <c r="CW25" s="24" cm="1">
        <f t="array" ref="CW25">-IFERROR(INDEX('NOI Walk'!$E$56:$EF$56,,MATCH(Model!CW$4,'NOI Walk'!$E$15:$EF$15,0)),0)</f>
        <v>-2090.8308232568825</v>
      </c>
      <c r="CX25" s="24" cm="1">
        <f t="array" ref="CX25">-IFERROR(INDEX('NOI Walk'!$E$56:$EF$56,,MATCH(Model!CX$4,'NOI Walk'!$E$15:$EF$15,0)),0)</f>
        <v>-2095.0442950320703</v>
      </c>
      <c r="CY25" s="24" cm="1">
        <f t="array" ref="CY25">-IFERROR(INDEX('NOI Walk'!$E$56:$EF$56,,MATCH(Model!CY$4,'NOI Walk'!$E$15:$EF$15,0)),0)</f>
        <v>-2099.2662855502954</v>
      </c>
      <c r="CZ25" s="24" cm="1">
        <f t="array" ref="CZ25">-IFERROR(INDEX('NOI Walk'!$E$56:$EF$56,,MATCH(Model!CZ$4,'NOI Walk'!$E$15:$EF$15,0)),0)</f>
        <v>-2103.496812148604</v>
      </c>
      <c r="DA25" s="24" cm="1">
        <f t="array" ref="DA25">-IFERROR(INDEX('NOI Walk'!$E$56:$EF$56,,MATCH(Model!DA$4,'NOI Walk'!$E$15:$EF$15,0)),0)</f>
        <v>-2107.7358921994078</v>
      </c>
      <c r="DB25" s="24" cm="1">
        <f t="array" ref="DB25">-IFERROR(INDEX('NOI Walk'!$E$56:$EF$56,,MATCH(Model!DB$4,'NOI Walk'!$E$15:$EF$15,0)),0)</f>
        <v>-2111.9835431105967</v>
      </c>
      <c r="DC25" s="24" cm="1">
        <f t="array" ref="DC25">-IFERROR(INDEX('NOI Walk'!$E$56:$EF$56,,MATCH(Model!DC$4,'NOI Walk'!$E$15:$EF$15,0)),0)</f>
        <v>-2116.239782325556</v>
      </c>
      <c r="DD25" s="24" cm="1">
        <f t="array" ref="DD25">-IFERROR(INDEX('NOI Walk'!$E$56:$EF$56,,MATCH(Model!DD$4,'NOI Walk'!$E$15:$EF$15,0)),0)</f>
        <v>-2120.5046273232942</v>
      </c>
      <c r="DE25" s="24" cm="1">
        <f t="array" ref="DE25">-IFERROR(INDEX('NOI Walk'!$E$56:$EF$56,,MATCH(Model!DE$4,'NOI Walk'!$E$15:$EF$15,0)),0)</f>
        <v>-2124.7780956184779</v>
      </c>
      <c r="DF25" s="24" cm="1">
        <f t="array" ref="DF25">-IFERROR(INDEX('NOI Walk'!$E$56:$EF$56,,MATCH(Model!DF$4,'NOI Walk'!$E$15:$EF$15,0)),0)</f>
        <v>-2129.0602047615289</v>
      </c>
      <c r="DG25" s="24" cm="1">
        <f t="array" ref="DG25">-IFERROR(INDEX('NOI Walk'!$E$56:$EF$56,,MATCH(Model!DG$4,'NOI Walk'!$E$15:$EF$15,0)),0)</f>
        <v>-2133.3509723386719</v>
      </c>
      <c r="DH25" s="24" cm="1">
        <f t="array" ref="DH25">-IFERROR(INDEX('NOI Walk'!$E$56:$EF$56,,MATCH(Model!DH$4,'NOI Walk'!$E$15:$EF$15,0)),0)</f>
        <v>-2137.6504159720262</v>
      </c>
      <c r="DI25" s="24" cm="1">
        <f t="array" ref="DI25">-IFERROR(INDEX('NOI Walk'!$E$56:$EF$56,,MATCH(Model!DI$4,'NOI Walk'!$E$15:$EF$15,0)),0)</f>
        <v>-2141.9585533196919</v>
      </c>
      <c r="DJ25" s="24" cm="1">
        <f t="array" ref="DJ25">-IFERROR(INDEX('NOI Walk'!$E$56:$EF$56,,MATCH(Model!DJ$4,'NOI Walk'!$E$15:$EF$15,0)),0)</f>
        <v>-2146.2754020757798</v>
      </c>
      <c r="DK25" s="24" cm="1">
        <f t="array" ref="DK25">-IFERROR(INDEX('NOI Walk'!$E$56:$EF$56,,MATCH(Model!DK$4,'NOI Walk'!$E$15:$EF$15,0)),0)</f>
        <v>-2150.6009799705289</v>
      </c>
      <c r="DL25" s="24" cm="1">
        <f t="array" ref="DL25">-IFERROR(INDEX('NOI Walk'!$E$56:$EF$56,,MATCH(Model!DL$4,'NOI Walk'!$E$15:$EF$15,0)),0)</f>
        <v>-2154.9353047703644</v>
      </c>
      <c r="DM25" s="24" cm="1">
        <f t="array" ref="DM25">-IFERROR(INDEX('NOI Walk'!$E$56:$EF$56,,MATCH(Model!DM$4,'NOI Walk'!$E$15:$EF$15,0)),0)</f>
        <v>-2159.2783942779597</v>
      </c>
      <c r="DN25" s="24" cm="1">
        <f t="array" ref="DN25">-IFERROR(INDEX('NOI Walk'!$E$56:$EF$56,,MATCH(Model!DN$4,'NOI Walk'!$E$15:$EF$15,0)),0)</f>
        <v>-2163.630266332334</v>
      </c>
      <c r="DO25" s="24" cm="1">
        <f t="array" ref="DO25">-IFERROR(INDEX('NOI Walk'!$E$56:$EF$56,,MATCH(Model!DO$4,'NOI Walk'!$E$15:$EF$15,0)),0)</f>
        <v>-2167.9909388088895</v>
      </c>
      <c r="DP25" s="24" cm="1">
        <f t="array" ref="DP25">-IFERROR(INDEX('NOI Walk'!$E$56:$EF$56,,MATCH(Model!DP$4,'NOI Walk'!$E$15:$EF$15,0)),0)</f>
        <v>-2172.3604296195494</v>
      </c>
      <c r="DQ25" s="24" cm="1">
        <f t="array" ref="DQ25">-IFERROR(INDEX('NOI Walk'!$E$56:$EF$56,,MATCH(Model!DQ$4,'NOI Walk'!$E$15:$EF$15,0)),0)</f>
        <v>-2176.7387567127553</v>
      </c>
      <c r="DR25" s="24" cm="1">
        <f t="array" ref="DR25">-IFERROR(INDEX('NOI Walk'!$E$56:$EF$56,,MATCH(Model!DR$4,'NOI Walk'!$E$15:$EF$15,0)),0)</f>
        <v>-2181.1259380736005</v>
      </c>
      <c r="DS25" s="24" cm="1">
        <f t="array" ref="DS25">-IFERROR(INDEX('NOI Walk'!$E$56:$EF$56,,MATCH(Model!DS$4,'NOI Walk'!$E$15:$EF$15,0)),0)</f>
        <v>-2185.5219917238815</v>
      </c>
      <c r="DT25" s="24" cm="1">
        <f t="array" ref="DT25">-IFERROR(INDEX('NOI Walk'!$E$56:$EF$56,,MATCH(Model!DT$4,'NOI Walk'!$E$15:$EF$15,0)),0)</f>
        <v>-2189.9269357221738</v>
      </c>
      <c r="DU25" s="24" cm="1">
        <f t="array" ref="DU25">-IFERROR(INDEX('NOI Walk'!$E$56:$EF$56,,MATCH(Model!DU$4,'NOI Walk'!$E$15:$EF$15,0)),0)</f>
        <v>-2194.3407881639173</v>
      </c>
      <c r="DV25" s="24" cm="1">
        <f t="array" ref="DV25">-IFERROR(INDEX('NOI Walk'!$E$56:$EF$56,,MATCH(Model!DV$4,'NOI Walk'!$E$15:$EF$15,0)),0)</f>
        <v>-2198.763567181461</v>
      </c>
      <c r="DW25" s="24" cm="1">
        <f t="array" ref="DW25">-IFERROR(INDEX('NOI Walk'!$E$56:$EF$56,,MATCH(Model!DW$4,'NOI Walk'!$E$15:$EF$15,0)),0)</f>
        <v>-2203.1952909441825</v>
      </c>
      <c r="DX25" s="24" cm="1">
        <f t="array" ref="DX25">-IFERROR(INDEX('NOI Walk'!$E$56:$EF$56,,MATCH(Model!DX$4,'NOI Walk'!$E$15:$EF$15,0)),0)</f>
        <v>-2207.6359776585446</v>
      </c>
      <c r="DY25" s="24" cm="1">
        <f t="array" ref="DY25">-IFERROR(INDEX('NOI Walk'!$E$56:$EF$56,,MATCH(Model!DY$4,'NOI Walk'!$E$15:$EF$15,0)),0)</f>
        <v>-2212.0856455681514</v>
      </c>
      <c r="DZ25" s="24" cm="1">
        <f t="array" ref="DZ25">-IFERROR(INDEX('NOI Walk'!$E$56:$EF$56,,MATCH(Model!DZ$4,'NOI Walk'!$E$15:$EF$15,0)),0)</f>
        <v>-2216.5443129538494</v>
      </c>
      <c r="EA25" s="24" cm="1">
        <f t="array" ref="EA25">-IFERROR(INDEX('NOI Walk'!$E$56:$EF$56,,MATCH(Model!EA$4,'NOI Walk'!$E$15:$EF$15,0)),0)</f>
        <v>-2221.0119981338034</v>
      </c>
      <c r="EB25" s="24" cm="1">
        <f t="array" ref="EB25">-IFERROR(INDEX('NOI Walk'!$E$56:$EF$56,,MATCH(Model!EB$4,'NOI Walk'!$E$15:$EF$15,0)),0)</f>
        <v>-2225.4887194635617</v>
      </c>
      <c r="EC25" s="24" cm="1">
        <f t="array" ref="EC25">-IFERROR(INDEX('NOI Walk'!$E$56:$EF$56,,MATCH(Model!EC$4,'NOI Walk'!$E$15:$EF$15,0)),0)</f>
        <v>-2229.9744953361205</v>
      </c>
      <c r="ED25" s="24" cm="1">
        <f t="array" ref="ED25">-IFERROR(INDEX('NOI Walk'!$E$56:$EF$56,,MATCH(Model!ED$4,'NOI Walk'!$E$15:$EF$15,0)),0)</f>
        <v>-2234.4693441820414</v>
      </c>
      <c r="EE25" s="24" cm="1">
        <f t="array" ref="EE25">-IFERROR(INDEX('NOI Walk'!$E$56:$EF$56,,MATCH(Model!EE$4,'NOI Walk'!$E$15:$EF$15,0)),0)</f>
        <v>-2238.9732844694877</v>
      </c>
      <c r="EF25" s="24" cm="1">
        <f t="array" ref="EF25">-IFERROR(INDEX('NOI Walk'!$E$56:$EF$56,,MATCH(Model!EF$4,'NOI Walk'!$E$15:$EF$15,0)),0)</f>
        <v>-2243.4863347043279</v>
      </c>
      <c r="EG25" s="24" cm="1">
        <f t="array" ref="EG25">-IFERROR(INDEX('NOI Walk'!$E$56:$EF$56,,MATCH(Model!EG$4,'NOI Walk'!$E$15:$EF$15,0)),0)</f>
        <v>-2248.0085134301753</v>
      </c>
      <c r="EH25" s="24" cm="1">
        <f t="array" ref="EH25">-IFERROR(INDEX('NOI Walk'!$E$56:$EF$56,,MATCH(Model!EH$4,'NOI Walk'!$E$15:$EF$15,0)),0)</f>
        <v>-2252.5398392285279</v>
      </c>
      <c r="EI25" s="24" cm="1">
        <f t="array" ref="EI25">-IFERROR(INDEX('NOI Walk'!$E$56:$EF$56,,MATCH(Model!EI$4,'NOI Walk'!$E$15:$EF$15,0)),0)</f>
        <v>-2257.080330718778</v>
      </c>
      <c r="EM25" s="1" t="s">
        <v>178</v>
      </c>
    </row>
    <row r="26" spans="4:143" s="8" customFormat="1" x14ac:dyDescent="0.45">
      <c r="D26" s="4" t="s">
        <v>133</v>
      </c>
      <c r="E26" s="4"/>
      <c r="F26" s="4"/>
      <c r="G26" s="26">
        <f>SUM(G24:G25)</f>
        <v>0</v>
      </c>
      <c r="H26" s="26">
        <f t="shared" ref="H26:BS26" si="21">SUM(H24:H25)</f>
        <v>69645.551443733348</v>
      </c>
      <c r="I26" s="26">
        <f t="shared" si="21"/>
        <v>65416.985376364188</v>
      </c>
      <c r="J26" s="26">
        <f t="shared" si="21"/>
        <v>65571.059400663886</v>
      </c>
      <c r="K26" s="26">
        <f t="shared" si="21"/>
        <v>63181.954132198734</v>
      </c>
      <c r="L26" s="26">
        <f t="shared" si="21"/>
        <v>59424.231722087141</v>
      </c>
      <c r="M26" s="26">
        <f t="shared" si="21"/>
        <v>63567.750352678493</v>
      </c>
      <c r="N26" s="26">
        <f t="shared" si="21"/>
        <v>59550.331693728171</v>
      </c>
      <c r="O26" s="26">
        <f t="shared" si="21"/>
        <v>61623.798231878354</v>
      </c>
      <c r="P26" s="26">
        <f t="shared" si="21"/>
        <v>63735.015417905823</v>
      </c>
      <c r="Q26" s="26">
        <f t="shared" si="21"/>
        <v>63583.614651046177</v>
      </c>
      <c r="R26" s="26">
        <f t="shared" si="21"/>
        <v>65821.58694027616</v>
      </c>
      <c r="S26" s="26">
        <f t="shared" si="21"/>
        <v>74439.319694558799</v>
      </c>
      <c r="T26" s="26">
        <f t="shared" si="21"/>
        <v>77963.551648803652</v>
      </c>
      <c r="U26" s="26">
        <f t="shared" si="21"/>
        <v>81420.176976337942</v>
      </c>
      <c r="V26" s="26">
        <f t="shared" si="21"/>
        <v>84286.631569296107</v>
      </c>
      <c r="W26" s="26">
        <f t="shared" si="21"/>
        <v>86262.474707314017</v>
      </c>
      <c r="X26" s="26">
        <f t="shared" si="21"/>
        <v>86199.144373816147</v>
      </c>
      <c r="Y26" s="26">
        <f t="shared" si="21"/>
        <v>85734.37211539282</v>
      </c>
      <c r="Z26" s="26">
        <f t="shared" si="21"/>
        <v>86119.454247692003</v>
      </c>
      <c r="AA26" s="26">
        <f t="shared" si="21"/>
        <v>86145.352807024479</v>
      </c>
      <c r="AB26" s="26">
        <f t="shared" si="21"/>
        <v>89744.472019252149</v>
      </c>
      <c r="AC26" s="26">
        <f t="shared" si="21"/>
        <v>95149.217979788795</v>
      </c>
      <c r="AD26" s="26">
        <f t="shared" si="21"/>
        <v>99317.839684608363</v>
      </c>
      <c r="AE26" s="26">
        <f t="shared" si="21"/>
        <v>101451.04743818565</v>
      </c>
      <c r="AF26" s="26">
        <f t="shared" si="21"/>
        <v>101277.47210666226</v>
      </c>
      <c r="AG26" s="26">
        <f t="shared" si="21"/>
        <v>98955.41690566302</v>
      </c>
      <c r="AH26" s="26">
        <f t="shared" si="21"/>
        <v>99898.405101005497</v>
      </c>
      <c r="AI26" s="26">
        <f t="shared" si="21"/>
        <v>106942.17827689329</v>
      </c>
      <c r="AJ26" s="26">
        <f t="shared" si="21"/>
        <v>114014.38715487681</v>
      </c>
      <c r="AK26" s="26">
        <f t="shared" si="21"/>
        <v>121115.11876755711</v>
      </c>
      <c r="AL26" s="26">
        <f t="shared" si="21"/>
        <v>123547.98022619502</v>
      </c>
      <c r="AM26" s="26">
        <f t="shared" si="21"/>
        <v>123815.38556200867</v>
      </c>
      <c r="AN26" s="26">
        <f t="shared" si="21"/>
        <v>124083.36243275588</v>
      </c>
      <c r="AO26" s="26">
        <f t="shared" si="21"/>
        <v>124351.91205560116</v>
      </c>
      <c r="AP26" s="26">
        <f t="shared" si="21"/>
        <v>124621.0356502857</v>
      </c>
      <c r="AQ26" s="26">
        <f t="shared" si="21"/>
        <v>124890.73443913179</v>
      </c>
      <c r="AR26" s="26">
        <f t="shared" si="21"/>
        <v>125161.00964704748</v>
      </c>
      <c r="AS26" s="26">
        <f t="shared" si="21"/>
        <v>125431.86250153335</v>
      </c>
      <c r="AT26" s="26">
        <f t="shared" si="21"/>
        <v>125703.29423268566</v>
      </c>
      <c r="AU26" s="26">
        <f t="shared" si="21"/>
        <v>125975.30607320523</v>
      </c>
      <c r="AV26" s="26">
        <f t="shared" si="21"/>
        <v>126247.89925839991</v>
      </c>
      <c r="AW26" s="26">
        <f t="shared" si="21"/>
        <v>126521.07502619099</v>
      </c>
      <c r="AX26" s="26">
        <f t="shared" si="21"/>
        <v>126794.83461712004</v>
      </c>
      <c r="AY26" s="26">
        <f t="shared" si="21"/>
        <v>127069.17927435151</v>
      </c>
      <c r="AZ26" s="26">
        <f t="shared" si="21"/>
        <v>127344.11024368202</v>
      </c>
      <c r="BA26" s="26">
        <f t="shared" si="21"/>
        <v>127619.62877354302</v>
      </c>
      <c r="BB26" s="26">
        <f t="shared" si="21"/>
        <v>127895.73611500658</v>
      </c>
      <c r="BC26" s="26">
        <f t="shared" si="21"/>
        <v>128172.43352179203</v>
      </c>
      <c r="BD26" s="26">
        <f t="shared" si="21"/>
        <v>128449.72225027194</v>
      </c>
      <c r="BE26" s="26">
        <f t="shared" si="21"/>
        <v>128727.60355947568</v>
      </c>
      <c r="BF26" s="26">
        <f t="shared" si="21"/>
        <v>129006.07871109662</v>
      </c>
      <c r="BG26" s="26">
        <f t="shared" si="21"/>
        <v>129285.14896949759</v>
      </c>
      <c r="BH26" s="26">
        <f t="shared" si="21"/>
        <v>129564.81560171588</v>
      </c>
      <c r="BI26" s="26">
        <f t="shared" si="21"/>
        <v>129845.07987746887</v>
      </c>
      <c r="BJ26" s="26">
        <f t="shared" si="21"/>
        <v>130125.94306916081</v>
      </c>
      <c r="BK26" s="26">
        <f t="shared" si="21"/>
        <v>130407.40645188672</v>
      </c>
      <c r="BL26" s="26">
        <f t="shared" si="21"/>
        <v>130689.47130343967</v>
      </c>
      <c r="BM26" s="26">
        <f t="shared" si="21"/>
        <v>130972.13890431606</v>
      </c>
      <c r="BN26" s="26">
        <f t="shared" si="21"/>
        <v>131255.41053771967</v>
      </c>
      <c r="BO26" s="26">
        <f t="shared" si="21"/>
        <v>131539.28748957015</v>
      </c>
      <c r="BP26" s="26">
        <f t="shared" si="21"/>
        <v>131823.7710485069</v>
      </c>
      <c r="BQ26" s="26">
        <f t="shared" si="21"/>
        <v>132108.86250589421</v>
      </c>
      <c r="BR26" s="26">
        <f t="shared" si="21"/>
        <v>132394.56315582932</v>
      </c>
      <c r="BS26" s="26">
        <f t="shared" si="21"/>
        <v>132680.87429514609</v>
      </c>
      <c r="BT26" s="26">
        <f t="shared" ref="BT26:CV26" si="22">SUM(BT24:BT25)</f>
        <v>132967.7972234216</v>
      </c>
      <c r="BU26" s="26">
        <f t="shared" si="22"/>
        <v>133255.33324298222</v>
      </c>
      <c r="BV26" s="26">
        <f t="shared" si="22"/>
        <v>133543.48365890869</v>
      </c>
      <c r="BW26" s="26">
        <f t="shared" si="22"/>
        <v>133832.24977904154</v>
      </c>
      <c r="BX26" s="26">
        <f t="shared" si="22"/>
        <v>134121.63291398867</v>
      </c>
      <c r="BY26" s="26">
        <f t="shared" si="22"/>
        <v>134411.63437712894</v>
      </c>
      <c r="BZ26" s="26">
        <f t="shared" si="22"/>
        <v>134702.25548462092</v>
      </c>
      <c r="CA26" s="26">
        <f t="shared" si="22"/>
        <v>134993.49755540461</v>
      </c>
      <c r="CB26" s="26">
        <f t="shared" si="22"/>
        <v>135285.3619112118</v>
      </c>
      <c r="CC26" s="26">
        <f t="shared" si="22"/>
        <v>135577.84987656816</v>
      </c>
      <c r="CD26" s="26">
        <f t="shared" si="22"/>
        <v>135870.96277880136</v>
      </c>
      <c r="CE26" s="26">
        <f t="shared" si="22"/>
        <v>136164.70194804695</v>
      </c>
      <c r="CF26" s="26">
        <f t="shared" si="22"/>
        <v>136459.0687172524</v>
      </c>
      <c r="CG26" s="26">
        <f t="shared" si="22"/>
        <v>136754.06442218507</v>
      </c>
      <c r="CH26" s="26">
        <f t="shared" si="22"/>
        <v>137049.69040143728</v>
      </c>
      <c r="CI26" s="26">
        <f t="shared" si="22"/>
        <v>137345.94799643208</v>
      </c>
      <c r="CJ26" s="26">
        <f t="shared" si="22"/>
        <v>137642.83855142942</v>
      </c>
      <c r="CK26" s="26">
        <f t="shared" si="22"/>
        <v>137940.36341353331</v>
      </c>
      <c r="CL26" s="26">
        <f t="shared" si="22"/>
        <v>138238.52393269434</v>
      </c>
      <c r="CM26" s="26">
        <f t="shared" si="22"/>
        <v>138537.32146171975</v>
      </c>
      <c r="CN26" s="26">
        <f t="shared" si="22"/>
        <v>138836.75735627726</v>
      </c>
      <c r="CO26" s="26">
        <f t="shared" si="22"/>
        <v>139136.8329749011</v>
      </c>
      <c r="CP26" s="26">
        <f t="shared" si="22"/>
        <v>139437.54967899932</v>
      </c>
      <c r="CQ26" s="26">
        <f t="shared" si="22"/>
        <v>139738.90883285709</v>
      </c>
      <c r="CR26" s="26">
        <f t="shared" si="22"/>
        <v>140040.91180364712</v>
      </c>
      <c r="CS26" s="26">
        <f t="shared" si="22"/>
        <v>140343.55996143087</v>
      </c>
      <c r="CT26" s="26">
        <f t="shared" si="22"/>
        <v>140646.85467916858</v>
      </c>
      <c r="CU26" s="26">
        <f t="shared" si="22"/>
        <v>140950.79733272252</v>
      </c>
      <c r="CV26" s="26">
        <f t="shared" si="22"/>
        <v>141255.38930086591</v>
      </c>
      <c r="CW26" s="26">
        <f t="shared" ref="CW26:EI26" si="23">SUM(CW24:CW25)</f>
        <v>141560.63196528557</v>
      </c>
      <c r="CX26" s="26">
        <f t="shared" si="23"/>
        <v>141866.52671059128</v>
      </c>
      <c r="CY26" s="26">
        <f t="shared" si="23"/>
        <v>142173.0749243201</v>
      </c>
      <c r="CZ26" s="26">
        <f t="shared" si="23"/>
        <v>142480.27799694351</v>
      </c>
      <c r="DA26" s="26">
        <f t="shared" si="23"/>
        <v>142788.13732187182</v>
      </c>
      <c r="DB26" s="26">
        <f t="shared" si="23"/>
        <v>143096.65429546381</v>
      </c>
      <c r="DC26" s="26">
        <f t="shared" si="23"/>
        <v>143405.83031702801</v>
      </c>
      <c r="DD26" s="26">
        <f t="shared" si="23"/>
        <v>143715.6667888338</v>
      </c>
      <c r="DE26" s="26">
        <f t="shared" si="23"/>
        <v>144026.16511611443</v>
      </c>
      <c r="DF26" s="26">
        <f t="shared" si="23"/>
        <v>144337.3267070752</v>
      </c>
      <c r="DG26" s="26">
        <f t="shared" si="23"/>
        <v>144649.1529728976</v>
      </c>
      <c r="DH26" s="26">
        <f t="shared" si="23"/>
        <v>144961.64532774687</v>
      </c>
      <c r="DI26" s="26">
        <f t="shared" si="23"/>
        <v>145274.80518878018</v>
      </c>
      <c r="DJ26" s="26">
        <f t="shared" si="23"/>
        <v>145588.63397614809</v>
      </c>
      <c r="DK26" s="26">
        <f t="shared" si="23"/>
        <v>145903.13311300549</v>
      </c>
      <c r="DL26" s="26">
        <f t="shared" si="23"/>
        <v>146218.30402551609</v>
      </c>
      <c r="DM26" s="26">
        <f t="shared" si="23"/>
        <v>146534.14814285783</v>
      </c>
      <c r="DN26" s="26">
        <f t="shared" si="23"/>
        <v>146850.66689723136</v>
      </c>
      <c r="DO26" s="26">
        <f t="shared" si="23"/>
        <v>147167.86172386288</v>
      </c>
      <c r="DP26" s="26">
        <f t="shared" si="23"/>
        <v>147485.73406101658</v>
      </c>
      <c r="DQ26" s="26">
        <f t="shared" si="23"/>
        <v>147804.28534999356</v>
      </c>
      <c r="DR26" s="26">
        <f t="shared" si="23"/>
        <v>148123.51703514406</v>
      </c>
      <c r="DS26" s="26">
        <f t="shared" si="23"/>
        <v>148443.43056387108</v>
      </c>
      <c r="DT26" s="26">
        <f t="shared" si="23"/>
        <v>148764.02738663778</v>
      </c>
      <c r="DU26" s="26">
        <f t="shared" si="23"/>
        <v>149085.30895697398</v>
      </c>
      <c r="DV26" s="26">
        <f t="shared" si="23"/>
        <v>149407.27673148029</v>
      </c>
      <c r="DW26" s="26">
        <f t="shared" si="23"/>
        <v>149729.93216983828</v>
      </c>
      <c r="DX26" s="26">
        <f t="shared" si="23"/>
        <v>150053.27673481571</v>
      </c>
      <c r="DY26" s="26">
        <f t="shared" si="23"/>
        <v>150377.31189227063</v>
      </c>
      <c r="DZ26" s="26">
        <f t="shared" si="23"/>
        <v>150702.03911116047</v>
      </c>
      <c r="EA26" s="26">
        <f t="shared" si="23"/>
        <v>151027.45986354875</v>
      </c>
      <c r="EB26" s="26">
        <f t="shared" si="23"/>
        <v>151353.57562461004</v>
      </c>
      <c r="EC26" s="26">
        <f t="shared" si="23"/>
        <v>151680.38787263585</v>
      </c>
      <c r="ED26" s="26">
        <f t="shared" si="23"/>
        <v>152007.8980890449</v>
      </c>
      <c r="EE26" s="26">
        <f t="shared" si="23"/>
        <v>152336.10775838562</v>
      </c>
      <c r="EF26" s="26">
        <f t="shared" si="23"/>
        <v>152665.01836834583</v>
      </c>
      <c r="EG26" s="26">
        <f t="shared" si="23"/>
        <v>152994.63140975506</v>
      </c>
      <c r="EH26" s="26">
        <f t="shared" si="23"/>
        <v>153324.94837659769</v>
      </c>
      <c r="EI26" s="26">
        <f t="shared" si="23"/>
        <v>153655.97076601279</v>
      </c>
      <c r="EM26" s="1" t="s">
        <v>178</v>
      </c>
    </row>
    <row r="27" spans="4:143" x14ac:dyDescent="0.45"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M27" s="1" t="s">
        <v>178</v>
      </c>
    </row>
    <row r="28" spans="4:143" s="8" customFormat="1" x14ac:dyDescent="0.45">
      <c r="D28" s="132" t="s">
        <v>27</v>
      </c>
      <c r="E28" s="133"/>
      <c r="F28" s="195"/>
      <c r="G28" s="134">
        <f>IF(G4&gt;Assumptions!$E$175,0,SUM(G26,G22,G10,G18,G14))</f>
        <v>-15770556.275336709</v>
      </c>
      <c r="H28" s="134">
        <f>IF(H4&gt;Assumptions!$E$175,0,SUM(H26,H22,H10,H18,H14))</f>
        <v>62633.372601464507</v>
      </c>
      <c r="I28" s="134">
        <f>IF(I4&gt;Assumptions!$E$175,0,SUM(I26,I22,I10,I18,I14))</f>
        <v>42187.415229747516</v>
      </c>
      <c r="J28" s="134">
        <f>IF(J4&gt;Assumptions!$E$175,0,SUM(J26,J22,J10,J18,J14))</f>
        <v>42341.489254047214</v>
      </c>
      <c r="K28" s="134">
        <f>IF(K4&gt;Assumptions!$E$175,0,SUM(K26,K22,K10,K18,K14))</f>
        <v>39952.383985582062</v>
      </c>
      <c r="L28" s="134">
        <f>IF(L4&gt;Assumptions!$E$175,0,SUM(L26,L22,L10,L18,L14))</f>
        <v>-25055.338424529524</v>
      </c>
      <c r="M28" s="134">
        <f>IF(M4&gt;Assumptions!$E$175,0,SUM(M26,M22,M10,M18,M14))</f>
        <v>9088.1802060618211</v>
      </c>
      <c r="N28" s="134">
        <f>IF(N4&gt;Assumptions!$E$175,0,SUM(N26,N22,N10,N18,N14))</f>
        <v>36320.761547111499</v>
      </c>
      <c r="O28" s="134">
        <f>IF(O4&gt;Assumptions!$E$175,0,SUM(O26,O22,O10,O18,O14))</f>
        <v>38394.228085261682</v>
      </c>
      <c r="P28" s="134">
        <f>IF(P4&gt;Assumptions!$E$175,0,SUM(P26,P22,P10,P18,P14))</f>
        <v>40505.445271289151</v>
      </c>
      <c r="Q28" s="134">
        <f>IF(Q4&gt;Assumptions!$E$175,0,SUM(Q26,Q22,Q10,Q18,Q14))</f>
        <v>20354.044504429512</v>
      </c>
      <c r="R28" s="134">
        <f>IF(R4&gt;Assumptions!$E$175,0,SUM(R26,R22,R10,R18,R14))</f>
        <v>42592.016793659488</v>
      </c>
      <c r="S28" s="134">
        <f>IF(S4&gt;Assumptions!$E$175,0,SUM(S26,S22,S10,S18,S14))</f>
        <v>52209.749547942127</v>
      </c>
      <c r="T28" s="134">
        <f>IF(T4&gt;Assumptions!$E$175,0,SUM(T26,T22,T10,T18,T14))</f>
        <v>55733.98150218698</v>
      </c>
      <c r="U28" s="134">
        <f>IF(U4&gt;Assumptions!$E$175,0,SUM(U26,U22,U10,U18,U14))</f>
        <v>59190.60682972127</v>
      </c>
      <c r="V28" s="134">
        <f>IF(V4&gt;Assumptions!$E$175,0,SUM(V26,V22,V10,V18,V14))</f>
        <v>62057.061422679435</v>
      </c>
      <c r="W28" s="134">
        <f>IF(W4&gt;Assumptions!$E$175,0,SUM(W26,W22,W10,W18,W14))</f>
        <v>64032.904560697345</v>
      </c>
      <c r="X28" s="134">
        <f>IF(X4&gt;Assumptions!$E$175,0,SUM(X26,X22,X10,X18,X14))</f>
        <v>63969.574227199475</v>
      </c>
      <c r="Y28" s="134">
        <f>IF(Y4&gt;Assumptions!$E$175,0,SUM(Y26,Y22,Y10,Y18,Y14))</f>
        <v>63504.801968776148</v>
      </c>
      <c r="Z28" s="134">
        <f>IF(Z4&gt;Assumptions!$E$175,0,SUM(Z26,Z22,Z10,Z18,Z14))</f>
        <v>63889.884101075331</v>
      </c>
      <c r="AA28" s="134">
        <f>IF(AA4&gt;Assumptions!$E$175,0,SUM(AA26,AA22,AA10,AA18,AA14))</f>
        <v>63915.782660407807</v>
      </c>
      <c r="AB28" s="134">
        <f>IF(AB4&gt;Assumptions!$E$175,0,SUM(AB26,AB22,AB10,AB18,AB14))</f>
        <v>67514.90187263547</v>
      </c>
      <c r="AC28" s="134">
        <f>IF(AC4&gt;Assumptions!$E$175,0,SUM(AC26,AC22,AC10,AC18,AC14))</f>
        <v>72919.647833172115</v>
      </c>
      <c r="AD28" s="134">
        <f>IF(AD4&gt;Assumptions!$E$175,0,SUM(AD26,AD22,AD10,AD18,AD14))</f>
        <v>77088.269537991699</v>
      </c>
      <c r="AE28" s="134">
        <f>IF(AE4&gt;Assumptions!$E$175,0,SUM(AE26,AE22,AE10,AE18,AE14))</f>
        <v>24971.477291568983</v>
      </c>
      <c r="AF28" s="134">
        <f>IF(AF4&gt;Assumptions!$E$175,0,SUM(AF26,AF22,AF10,AF18,AF14))</f>
        <v>94265.293264393418</v>
      </c>
      <c r="AG28" s="134">
        <f>IF(AG4&gt;Assumptions!$E$175,0,SUM(AG26,AG22,AG10,AG18,AG14))</f>
        <v>91943.238063394179</v>
      </c>
      <c r="AH28" s="134">
        <f>IF(AH4&gt;Assumptions!$E$175,0,SUM(AH26,AH22,AH10,AH18,AH14))</f>
        <v>92886.226258736657</v>
      </c>
      <c r="AI28" s="134">
        <f>IF(AI4&gt;Assumptions!$E$175,0,SUM(AI26,AI22,AI10,AI18,AI14))</f>
        <v>99929.999434624449</v>
      </c>
      <c r="AJ28" s="134">
        <f>IF(AJ4&gt;Assumptions!$E$175,0,SUM(AJ26,AJ22,AJ10,AJ18,AJ14))</f>
        <v>107002.20831260797</v>
      </c>
      <c r="AK28" s="134">
        <f>IF(AK4&gt;Assumptions!$E$175,0,SUM(AK26,AK22,AK10,AK18,AK14))</f>
        <v>114102.93992528827</v>
      </c>
      <c r="AL28" s="134">
        <f>IF(AL4&gt;Assumptions!$E$175,0,SUM(AL26,AL22,AL10,AL18,AL14))</f>
        <v>116535.80138392618</v>
      </c>
      <c r="AM28" s="134">
        <f>IF(AM4&gt;Assumptions!$E$175,0,SUM(AM26,AM22,AM10,AM18,AM14))</f>
        <v>116803.20671973983</v>
      </c>
      <c r="AN28" s="134">
        <f>IF(AN4&gt;Assumptions!$E$175,0,SUM(AN26,AN22,AN10,AN18,AN14))</f>
        <v>81966.43826662653</v>
      </c>
      <c r="AO28" s="134">
        <f>IF(AO4&gt;Assumptions!$E$175,0,SUM(AO26,AO22,AO10,AO18,AO14))</f>
        <v>124351.91205560116</v>
      </c>
      <c r="AP28" s="134">
        <f>IF(AP4&gt;Assumptions!$E$175,0,SUM(AP26,AP22,AP10,AP18,AP14))</f>
        <v>124621.0356502857</v>
      </c>
      <c r="AQ28" s="134">
        <f>IF(AQ4&gt;Assumptions!$E$175,0,SUM(AQ26,AQ22,AQ10,AQ18,AQ14))</f>
        <v>124890.73443913179</v>
      </c>
      <c r="AR28" s="134">
        <f>IF(AR4&gt;Assumptions!$E$175,0,SUM(AR26,AR22,AR10,AR18,AR14))</f>
        <v>125161.00964704748</v>
      </c>
      <c r="AS28" s="134">
        <f>IF(AS4&gt;Assumptions!$E$175,0,SUM(AS26,AS22,AS10,AS18,AS14))</f>
        <v>125431.86250153335</v>
      </c>
      <c r="AT28" s="134">
        <f>IF(AT4&gt;Assumptions!$E$175,0,SUM(AT26,AT22,AT10,AT18,AT14))</f>
        <v>125703.29423268566</v>
      </c>
      <c r="AU28" s="134">
        <f>IF(AU4&gt;Assumptions!$E$175,0,SUM(AU26,AU22,AU10,AU18,AU14))</f>
        <v>125975.30607320523</v>
      </c>
      <c r="AV28" s="134">
        <f>IF(AV4&gt;Assumptions!$E$175,0,SUM(AV26,AV22,AV10,AV18,AV14))</f>
        <v>126247.89925839991</v>
      </c>
      <c r="AW28" s="134">
        <f>IF(AW4&gt;Assumptions!$E$175,0,SUM(AW26,AW22,AW10,AW18,AW14))</f>
        <v>126521.07502619099</v>
      </c>
      <c r="AX28" s="134">
        <f>IF(AX4&gt;Assumptions!$E$175,0,SUM(AX26,AX22,AX10,AX18,AX14))</f>
        <v>126794.83461712004</v>
      </c>
      <c r="AY28" s="134">
        <f>IF(AY4&gt;Assumptions!$E$175,0,SUM(AY26,AY22,AY10,AY18,AY14))</f>
        <v>127069.17927435151</v>
      </c>
      <c r="AZ28" s="134">
        <f>IF(AZ4&gt;Assumptions!$E$175,0,SUM(AZ26,AZ22,AZ10,AZ18,AZ14))</f>
        <v>127344.11024368202</v>
      </c>
      <c r="BA28" s="134">
        <f>IF(BA4&gt;Assumptions!$E$175,0,SUM(BA26,BA22,BA10,BA18,BA14))</f>
        <v>127619.62877354302</v>
      </c>
      <c r="BB28" s="134">
        <f>IF(BB4&gt;Assumptions!$E$175,0,SUM(BB26,BB22,BB10,BB18,BB14))</f>
        <v>127895.73611500658</v>
      </c>
      <c r="BC28" s="134">
        <f>IF(BC4&gt;Assumptions!$E$175,0,SUM(BC26,BC22,BC10,BC18,BC14))</f>
        <v>128172.43352179203</v>
      </c>
      <c r="BD28" s="134">
        <f>IF(BD4&gt;Assumptions!$E$175,0,SUM(BD26,BD22,BD10,BD18,BD14))</f>
        <v>128449.72225027194</v>
      </c>
      <c r="BE28" s="134">
        <f>IF(BE4&gt;Assumptions!$E$175,0,SUM(BE26,BE22,BE10,BE18,BE14))</f>
        <v>128727.60355947568</v>
      </c>
      <c r="BF28" s="134">
        <f>IF(BF4&gt;Assumptions!$E$175,0,SUM(BF26,BF22,BF10,BF18,BF14))</f>
        <v>129006.07871109662</v>
      </c>
      <c r="BG28" s="134">
        <f>IF(BG4&gt;Assumptions!$E$175,0,SUM(BG26,BG22,BG10,BG18,BG14))</f>
        <v>129285.14896949759</v>
      </c>
      <c r="BH28" s="134">
        <f>IF(BH4&gt;Assumptions!$E$175,0,SUM(BH26,BH22,BH10,BH18,BH14))</f>
        <v>129564.81560171588</v>
      </c>
      <c r="BI28" s="134">
        <f>IF(BI4&gt;Assumptions!$E$175,0,SUM(BI26,BI22,BI10,BI18,BI14))</f>
        <v>129845.07987746887</v>
      </c>
      <c r="BJ28" s="134">
        <f>IF(BJ4&gt;Assumptions!$E$175,0,SUM(BJ26,BJ22,BJ10,BJ18,BJ14))</f>
        <v>130125.94306916081</v>
      </c>
      <c r="BK28" s="134">
        <f>IF(BK4&gt;Assumptions!$E$175,0,SUM(BK26,BK22,BK10,BK18,BK14))</f>
        <v>130407.40645188672</v>
      </c>
      <c r="BL28" s="134">
        <f>IF(BL4&gt;Assumptions!$E$175,0,SUM(BL26,BL22,BL10,BL18,BL14))</f>
        <v>130689.47130343967</v>
      </c>
      <c r="BM28" s="134">
        <f>IF(BM4&gt;Assumptions!$E$175,0,SUM(BM26,BM22,BM10,BM18,BM14))</f>
        <v>130972.13890431606</v>
      </c>
      <c r="BN28" s="134">
        <f>IF(BN4&gt;Assumptions!$E$175,0,SUM(BN26,BN22,BN10,BN18,BN14))</f>
        <v>131255.41053771967</v>
      </c>
      <c r="BO28" s="134">
        <f>IF(BO4&gt;Assumptions!$E$175,0,SUM(BO26,BO22,BO10,BO18,BO14))</f>
        <v>26458717.63394342</v>
      </c>
      <c r="BP28" s="134">
        <f>IF(BP4&gt;Assumptions!$E$175,0,SUM(BP26,BP22,BP10,BP18,BP14))</f>
        <v>0</v>
      </c>
      <c r="BQ28" s="134">
        <f>IF(BQ4&gt;Assumptions!$E$175,0,SUM(BQ26,BQ22,BQ10,BQ18,BQ14))</f>
        <v>0</v>
      </c>
      <c r="BR28" s="134">
        <f>IF(BR4&gt;Assumptions!$E$175,0,SUM(BR26,BR22,BR10,BR18,BR14))</f>
        <v>0</v>
      </c>
      <c r="BS28" s="134">
        <f>IF(BS4&gt;Assumptions!$E$175,0,SUM(BS26,BS22,BS10,BS18,BS14))</f>
        <v>0</v>
      </c>
      <c r="BT28" s="134">
        <f>IF(BT4&gt;Assumptions!$E$175,0,SUM(BT26,BT22,BT10,BT18,BT14))</f>
        <v>0</v>
      </c>
      <c r="BU28" s="134">
        <f>IF(BU4&gt;Assumptions!$E$175,0,SUM(BU26,BU22,BU10,BU18,BU14))</f>
        <v>0</v>
      </c>
      <c r="BV28" s="134">
        <f>IF(BV4&gt;Assumptions!$E$175,0,SUM(BV26,BV22,BV10,BV18,BV14))</f>
        <v>0</v>
      </c>
      <c r="BW28" s="134">
        <f>IF(BW4&gt;Assumptions!$E$175,0,SUM(BW26,BW22,BW10,BW18,BW14))</f>
        <v>0</v>
      </c>
      <c r="BX28" s="134">
        <f>IF(BX4&gt;Assumptions!$E$175,0,SUM(BX26,BX22,BX10,BX18,BX14))</f>
        <v>0</v>
      </c>
      <c r="BY28" s="134">
        <f>IF(BY4&gt;Assumptions!$E$175,0,SUM(BY26,BY22,BY10,BY18,BY14))</f>
        <v>0</v>
      </c>
      <c r="BZ28" s="134">
        <f>IF(BZ4&gt;Assumptions!$E$175,0,SUM(BZ26,BZ22,BZ10,BZ18,BZ14))</f>
        <v>0</v>
      </c>
      <c r="CA28" s="134">
        <f>IF(CA4&gt;Assumptions!$E$175,0,SUM(CA26,CA22,CA10,CA18,CA14))</f>
        <v>0</v>
      </c>
      <c r="CB28" s="134">
        <f>IF(CB4&gt;Assumptions!$E$175,0,SUM(CB26,CB22,CB10,CB18,CB14))</f>
        <v>0</v>
      </c>
      <c r="CC28" s="134">
        <f>IF(CC4&gt;Assumptions!$E$175,0,SUM(CC26,CC22,CC10,CC18,CC14))</f>
        <v>0</v>
      </c>
      <c r="CD28" s="134">
        <f>IF(CD4&gt;Assumptions!$E$175,0,SUM(CD26,CD22,CD10,CD18,CD14))</f>
        <v>0</v>
      </c>
      <c r="CE28" s="134">
        <f>IF(CE4&gt;Assumptions!$E$175,0,SUM(CE26,CE22,CE10,CE18,CE14))</f>
        <v>0</v>
      </c>
      <c r="CF28" s="134">
        <f>IF(CF4&gt;Assumptions!$E$175,0,SUM(CF26,CF22,CF10,CF18,CF14))</f>
        <v>0</v>
      </c>
      <c r="CG28" s="134">
        <f>IF(CG4&gt;Assumptions!$E$175,0,SUM(CG26,CG22,CG10,CG18,CG14))</f>
        <v>0</v>
      </c>
      <c r="CH28" s="134">
        <f>IF(CH4&gt;Assumptions!$E$175,0,SUM(CH26,CH22,CH10,CH18,CH14))</f>
        <v>0</v>
      </c>
      <c r="CI28" s="134">
        <f>IF(CI4&gt;Assumptions!$E$175,0,SUM(CI26,CI22,CI10,CI18,CI14))</f>
        <v>0</v>
      </c>
      <c r="CJ28" s="134">
        <f>IF(CJ4&gt;Assumptions!$E$175,0,SUM(CJ26,CJ22,CJ10,CJ18,CJ14))</f>
        <v>0</v>
      </c>
      <c r="CK28" s="134">
        <f>IF(CK4&gt;Assumptions!$E$175,0,SUM(CK26,CK22,CK10,CK18,CK14))</f>
        <v>0</v>
      </c>
      <c r="CL28" s="134">
        <f>IF(CL4&gt;Assumptions!$E$175,0,SUM(CL26,CL22,CL10,CL18,CL14))</f>
        <v>0</v>
      </c>
      <c r="CM28" s="134">
        <f>IF(CM4&gt;Assumptions!$E$175,0,SUM(CM26,CM22,CM10,CM18,CM14))</f>
        <v>0</v>
      </c>
      <c r="CN28" s="134">
        <f>IF(CN4&gt;Assumptions!$E$175,0,SUM(CN26,CN22,CN10,CN18,CN14))</f>
        <v>0</v>
      </c>
      <c r="CO28" s="134">
        <f>IF(CO4&gt;Assumptions!$E$175,0,SUM(CO26,CO22,CO10,CO18,CO14))</f>
        <v>0</v>
      </c>
      <c r="CP28" s="134">
        <f>IF(CP4&gt;Assumptions!$E$175,0,SUM(CP26,CP22,CP10,CP18,CP14))</f>
        <v>0</v>
      </c>
      <c r="CQ28" s="134">
        <f>IF(CQ4&gt;Assumptions!$E$175,0,SUM(CQ26,CQ22,CQ10,CQ18,CQ14))</f>
        <v>0</v>
      </c>
      <c r="CR28" s="134">
        <f>IF(CR4&gt;Assumptions!$E$175,0,SUM(CR26,CR22,CR10,CR18,CR14))</f>
        <v>0</v>
      </c>
      <c r="CS28" s="134">
        <f>IF(CS4&gt;Assumptions!$E$175,0,SUM(CS26,CS22,CS10,CS18,CS14))</f>
        <v>0</v>
      </c>
      <c r="CT28" s="134">
        <f>IF(CT4&gt;Assumptions!$E$175,0,SUM(CT26,CT22,CT10,CT18,CT14))</f>
        <v>0</v>
      </c>
      <c r="CU28" s="134">
        <f>IF(CU4&gt;Assumptions!$E$175,0,SUM(CU26,CU22,CU10,CU18,CU14))</f>
        <v>0</v>
      </c>
      <c r="CV28" s="134">
        <f>IF(CV4&gt;Assumptions!$E$175,0,SUM(CV26,CV22,CV10,CV18,CV14))</f>
        <v>0</v>
      </c>
      <c r="CW28" s="134">
        <f>IF(CW4&gt;Assumptions!$E$175,0,SUM(CW26,CW22,CW10,CW18,CW14))</f>
        <v>0</v>
      </c>
      <c r="CX28" s="134">
        <f>IF(CX4&gt;Assumptions!$E$175,0,SUM(CX26,CX22,CX10,CX18,CX14))</f>
        <v>0</v>
      </c>
      <c r="CY28" s="134">
        <f>IF(CY4&gt;Assumptions!$E$175,0,SUM(CY26,CY22,CY10,CY18,CY14))</f>
        <v>0</v>
      </c>
      <c r="CZ28" s="134">
        <f>IF(CZ4&gt;Assumptions!$E$175,0,SUM(CZ26,CZ22,CZ10,CZ18,CZ14))</f>
        <v>0</v>
      </c>
      <c r="DA28" s="134">
        <f>IF(DA4&gt;Assumptions!$E$175,0,SUM(DA26,DA22,DA10,DA18,DA14))</f>
        <v>0</v>
      </c>
      <c r="DB28" s="134">
        <f>IF(DB4&gt;Assumptions!$E$175,0,SUM(DB26,DB22,DB10,DB18,DB14))</f>
        <v>0</v>
      </c>
      <c r="DC28" s="134">
        <f>IF(DC4&gt;Assumptions!$E$175,0,SUM(DC26,DC22,DC10,DC18,DC14))</f>
        <v>0</v>
      </c>
      <c r="DD28" s="134">
        <f>IF(DD4&gt;Assumptions!$E$175,0,SUM(DD26,DD22,DD10,DD18,DD14))</f>
        <v>0</v>
      </c>
      <c r="DE28" s="134">
        <f>IF(DE4&gt;Assumptions!$E$175,0,SUM(DE26,DE22,DE10,DE18,DE14))</f>
        <v>0</v>
      </c>
      <c r="DF28" s="134">
        <f>IF(DF4&gt;Assumptions!$E$175,0,SUM(DF26,DF22,DF10,DF18,DF14))</f>
        <v>0</v>
      </c>
      <c r="DG28" s="134">
        <f>IF(DG4&gt;Assumptions!$E$175,0,SUM(DG26,DG22,DG10,DG18,DG14))</f>
        <v>0</v>
      </c>
      <c r="DH28" s="134">
        <f>IF(DH4&gt;Assumptions!$E$175,0,SUM(DH26,DH22,DH10,DH18,DH14))</f>
        <v>0</v>
      </c>
      <c r="DI28" s="134">
        <f>IF(DI4&gt;Assumptions!$E$175,0,SUM(DI26,DI22,DI10,DI18,DI14))</f>
        <v>0</v>
      </c>
      <c r="DJ28" s="134">
        <f>IF(DJ4&gt;Assumptions!$E$175,0,SUM(DJ26,DJ22,DJ10,DJ18,DJ14))</f>
        <v>0</v>
      </c>
      <c r="DK28" s="134">
        <f>IF(DK4&gt;Assumptions!$E$175,0,SUM(DK26,DK22,DK10,DK18,DK14))</f>
        <v>0</v>
      </c>
      <c r="DL28" s="134">
        <f>IF(DL4&gt;Assumptions!$E$175,0,SUM(DL26,DL22,DL10,DL18,DL14))</f>
        <v>0</v>
      </c>
      <c r="DM28" s="134">
        <f>IF(DM4&gt;Assumptions!$E$175,0,SUM(DM26,DM22,DM10,DM18,DM14))</f>
        <v>0</v>
      </c>
      <c r="DN28" s="134">
        <f>IF(DN4&gt;Assumptions!$E$175,0,SUM(DN26,DN22,DN10,DN18,DN14))</f>
        <v>0</v>
      </c>
      <c r="DO28" s="134">
        <f>IF(DO4&gt;Assumptions!$E$175,0,SUM(DO26,DO22,DO10,DO18,DO14))</f>
        <v>0</v>
      </c>
      <c r="DP28" s="134">
        <f>IF(DP4&gt;Assumptions!$E$175,0,SUM(DP26,DP22,DP10,DP18,DP14))</f>
        <v>0</v>
      </c>
      <c r="DQ28" s="134">
        <f>IF(DQ4&gt;Assumptions!$E$175,0,SUM(DQ26,DQ22,DQ10,DQ18,DQ14))</f>
        <v>0</v>
      </c>
      <c r="DR28" s="134">
        <f>IF(DR4&gt;Assumptions!$E$175,0,SUM(DR26,DR22,DR10,DR18,DR14))</f>
        <v>0</v>
      </c>
      <c r="DS28" s="134">
        <f>IF(DS4&gt;Assumptions!$E$175,0,SUM(DS26,DS22,DS10,DS18,DS14))</f>
        <v>0</v>
      </c>
      <c r="DT28" s="134">
        <f>IF(DT4&gt;Assumptions!$E$175,0,SUM(DT26,DT22,DT10,DT18,DT14))</f>
        <v>0</v>
      </c>
      <c r="DU28" s="134">
        <f>IF(DU4&gt;Assumptions!$E$175,0,SUM(DU26,DU22,DU10,DU18,DU14))</f>
        <v>0</v>
      </c>
      <c r="DV28" s="134">
        <f>IF(DV4&gt;Assumptions!$E$175,0,SUM(DV26,DV22,DV10,DV18,DV14))</f>
        <v>0</v>
      </c>
      <c r="DW28" s="134">
        <f>IF(DW4&gt;Assumptions!$E$175,0,SUM(DW26,DW22,DW10,DW18,DW14))</f>
        <v>0</v>
      </c>
      <c r="DX28" s="134">
        <f>IF(DX4&gt;Assumptions!$E$175,0,SUM(DX26,DX22,DX10,DX18,DX14))</f>
        <v>0</v>
      </c>
      <c r="DY28" s="134">
        <f>IF(DY4&gt;Assumptions!$E$175,0,SUM(DY26,DY22,DY10,DY18,DY14))</f>
        <v>0</v>
      </c>
      <c r="DZ28" s="134">
        <f>IF(DZ4&gt;Assumptions!$E$175,0,SUM(DZ26,DZ22,DZ10,DZ18,DZ14))</f>
        <v>0</v>
      </c>
      <c r="EA28" s="134">
        <f>IF(EA4&gt;Assumptions!$E$175,0,SUM(EA26,EA22,EA10,EA18,EA14))</f>
        <v>0</v>
      </c>
      <c r="EB28" s="134">
        <f>IF(EB4&gt;Assumptions!$E$175,0,SUM(EB26,EB22,EB10,EB18,EB14))</f>
        <v>0</v>
      </c>
      <c r="EC28" s="134">
        <f>IF(EC4&gt;Assumptions!$E$175,0,SUM(EC26,EC22,EC10,EC18,EC14))</f>
        <v>0</v>
      </c>
      <c r="ED28" s="134">
        <f>IF(ED4&gt;Assumptions!$E$175,0,SUM(ED26,ED22,ED10,ED18,ED14))</f>
        <v>0</v>
      </c>
      <c r="EE28" s="134">
        <f>IF(EE4&gt;Assumptions!$E$175,0,SUM(EE26,EE22,EE10,EE18,EE14))</f>
        <v>0</v>
      </c>
      <c r="EF28" s="134">
        <f>IF(EF4&gt;Assumptions!$E$175,0,SUM(EF26,EF22,EF10,EF18,EF14))</f>
        <v>0</v>
      </c>
      <c r="EG28" s="134">
        <f>IF(EG4&gt;Assumptions!$E$175,0,SUM(EG26,EG22,EG10,EG18,EG14))</f>
        <v>0</v>
      </c>
      <c r="EH28" s="134">
        <f>IF(EH4&gt;Assumptions!$E$175,0,SUM(EH26,EH22,EH10,EH18,EH14))</f>
        <v>0</v>
      </c>
      <c r="EI28" s="134">
        <f>IF(EI4&gt;Assumptions!$E$175,0,SUM(EI26,EI22,EI10,EI18,EI14))</f>
        <v>0</v>
      </c>
      <c r="EM28" s="1" t="s">
        <v>178</v>
      </c>
    </row>
    <row r="29" spans="4:143" x14ac:dyDescent="0.45">
      <c r="D29" s="129" t="s">
        <v>141</v>
      </c>
      <c r="F29" s="130">
        <f>SUM(G29:EI29)</f>
        <v>-16563812.922455439</v>
      </c>
      <c r="G29" s="24">
        <f>+MIN(G10,0)</f>
        <v>-15770556.275336709</v>
      </c>
      <c r="H29" s="24">
        <f>+MIN(H10,0)</f>
        <v>-7012.1788422688423</v>
      </c>
      <c r="I29" s="24">
        <f>+MIN(I10,0)</f>
        <v>-23229.570146616672</v>
      </c>
      <c r="J29" s="24">
        <f>+MIN(J10,0)</f>
        <v>-23229.570146616672</v>
      </c>
      <c r="K29" s="24">
        <f>+MIN(K10,0)</f>
        <v>-23229.570146616672</v>
      </c>
      <c r="L29" s="24">
        <f>+MIN(L10,0)</f>
        <v>-84479.570146616665</v>
      </c>
      <c r="M29" s="24">
        <f>+MIN(M10,0)</f>
        <v>-54479.570146616672</v>
      </c>
      <c r="N29" s="24">
        <f>+MIN(N10,0)</f>
        <v>-23229.570146616672</v>
      </c>
      <c r="O29" s="24">
        <f>+MIN(O10,0)</f>
        <v>-23229.570146616672</v>
      </c>
      <c r="P29" s="24">
        <f>+MIN(P10,0)</f>
        <v>-23229.570146616672</v>
      </c>
      <c r="Q29" s="24">
        <f>+MIN(Q10,0)</f>
        <v>-43229.570146616665</v>
      </c>
      <c r="R29" s="24">
        <f>+MIN(R10,0)</f>
        <v>-23229.570146616672</v>
      </c>
      <c r="S29" s="24">
        <f>+MIN(S10,0)</f>
        <v>-22229.570146616672</v>
      </c>
      <c r="T29" s="24">
        <f>+MIN(T10,0)</f>
        <v>-22229.570146616672</v>
      </c>
      <c r="U29" s="24">
        <f>+MIN(U10,0)</f>
        <v>-22229.570146616672</v>
      </c>
      <c r="V29" s="24">
        <f>+MIN(V10,0)</f>
        <v>-22229.570146616672</v>
      </c>
      <c r="W29" s="24">
        <f>+MIN(W10,0)</f>
        <v>-22229.570146616672</v>
      </c>
      <c r="X29" s="24">
        <f>+MIN(X10,0)</f>
        <v>-22229.570146616672</v>
      </c>
      <c r="Y29" s="24">
        <f>+MIN(Y10,0)</f>
        <v>-22229.570146616672</v>
      </c>
      <c r="Z29" s="24">
        <f>+MIN(Z10,0)</f>
        <v>-22229.570146616672</v>
      </c>
      <c r="AA29" s="24">
        <f>+MIN(AA10,0)</f>
        <v>-22229.570146616672</v>
      </c>
      <c r="AB29" s="24">
        <f>+MIN(AB10,0)</f>
        <v>-22229.570146616672</v>
      </c>
      <c r="AC29" s="24">
        <f>+MIN(AC10,0)</f>
        <v>-22229.570146616672</v>
      </c>
      <c r="AD29" s="24">
        <f>+MIN(AD10,0)</f>
        <v>-22229.570146616672</v>
      </c>
      <c r="AE29" s="24">
        <f>+MIN(AE10,0)</f>
        <v>-76479.570146616665</v>
      </c>
      <c r="AF29" s="24">
        <f>+MIN(AF10,0)</f>
        <v>-7012.1788422688423</v>
      </c>
      <c r="AG29" s="24">
        <f>+MIN(AG10,0)</f>
        <v>-7012.1788422688423</v>
      </c>
      <c r="AH29" s="24">
        <f>+MIN(AH10,0)</f>
        <v>-7012.1788422688423</v>
      </c>
      <c r="AI29" s="24">
        <f>+MIN(AI10,0)</f>
        <v>-7012.1788422688423</v>
      </c>
      <c r="AJ29" s="24">
        <f>+MIN(AJ10,0)</f>
        <v>-7012.1788422688423</v>
      </c>
      <c r="AK29" s="24">
        <f>+MIN(AK10,0)</f>
        <v>-7012.1788422688423</v>
      </c>
      <c r="AL29" s="24">
        <f>+MIN(AL10,0)</f>
        <v>-7012.1788422688423</v>
      </c>
      <c r="AM29" s="24">
        <f>+MIN(AM10,0)</f>
        <v>-7012.1788422688423</v>
      </c>
      <c r="AN29" s="24">
        <f>+MIN(AN10,0)</f>
        <v>-42116.924166129356</v>
      </c>
      <c r="AO29" s="24">
        <f>+MIN(AO10,0)</f>
        <v>0</v>
      </c>
      <c r="AP29" s="24">
        <f>+MIN(AP10,0)</f>
        <v>0</v>
      </c>
      <c r="AQ29" s="24">
        <f>+MIN(AQ10,0)</f>
        <v>0</v>
      </c>
      <c r="AR29" s="24">
        <f>+MIN(AR10,0)</f>
        <v>0</v>
      </c>
      <c r="AS29" s="24">
        <f>+MIN(AS10,0)</f>
        <v>0</v>
      </c>
      <c r="AT29" s="24">
        <f>+MIN(AT10,0)</f>
        <v>0</v>
      </c>
      <c r="AU29" s="24">
        <f>+MIN(AU10,0)</f>
        <v>0</v>
      </c>
      <c r="AV29" s="24">
        <f>+MIN(AV10,0)</f>
        <v>0</v>
      </c>
      <c r="AW29" s="24">
        <f>+MIN(AW10,0)</f>
        <v>0</v>
      </c>
      <c r="AX29" s="24">
        <f>+MIN(AX10,0)</f>
        <v>0</v>
      </c>
      <c r="AY29" s="24">
        <f>+MIN(AY10,0)</f>
        <v>0</v>
      </c>
      <c r="AZ29" s="24">
        <f>+MIN(AZ10,0)</f>
        <v>0</v>
      </c>
      <c r="BA29" s="24">
        <f>+MIN(BA10,0)</f>
        <v>0</v>
      </c>
      <c r="BB29" s="24">
        <f>+MIN(BB10,0)</f>
        <v>0</v>
      </c>
      <c r="BC29" s="24">
        <f>+MIN(BC10,0)</f>
        <v>0</v>
      </c>
      <c r="BD29" s="24">
        <f>+MIN(BD10,0)</f>
        <v>0</v>
      </c>
      <c r="BE29" s="24">
        <f>+MIN(BE10,0)</f>
        <v>0</v>
      </c>
      <c r="BF29" s="24">
        <f>+MIN(BF10,0)</f>
        <v>0</v>
      </c>
      <c r="BG29" s="24">
        <f>+MIN(BG10,0)</f>
        <v>0</v>
      </c>
      <c r="BH29" s="24">
        <f>+MIN(BH10,0)</f>
        <v>0</v>
      </c>
      <c r="BI29" s="24">
        <f>+MIN(BI10,0)</f>
        <v>0</v>
      </c>
      <c r="BJ29" s="24">
        <f>+MIN(BJ10,0)</f>
        <v>0</v>
      </c>
      <c r="BK29" s="24">
        <f>+MIN(BK10,0)</f>
        <v>0</v>
      </c>
      <c r="BL29" s="24">
        <f>+MIN(BL10,0)</f>
        <v>0</v>
      </c>
      <c r="BM29" s="24">
        <f>+MIN(BM10,0)</f>
        <v>0</v>
      </c>
      <c r="BN29" s="24">
        <f>+MIN(BN10,0)</f>
        <v>0</v>
      </c>
      <c r="BO29" s="24">
        <f>+MIN(BO10,0)</f>
        <v>0</v>
      </c>
      <c r="BP29" s="24">
        <f>+MIN(BP10,0)</f>
        <v>0</v>
      </c>
      <c r="BQ29" s="24">
        <f>+MIN(BQ10,0)</f>
        <v>0</v>
      </c>
      <c r="BR29" s="24">
        <f>+MIN(BR10,0)</f>
        <v>0</v>
      </c>
      <c r="BS29" s="24">
        <f>+MIN(BS10,0)</f>
        <v>0</v>
      </c>
      <c r="BT29" s="24">
        <f>+MIN(BT10,0)</f>
        <v>0</v>
      </c>
      <c r="BU29" s="24">
        <f>+MIN(BU10,0)</f>
        <v>0</v>
      </c>
      <c r="BV29" s="24">
        <f>+MIN(BV10,0)</f>
        <v>0</v>
      </c>
      <c r="BW29" s="24">
        <f>+MIN(BW10,0)</f>
        <v>0</v>
      </c>
      <c r="BX29" s="24">
        <f>+MIN(BX10,0)</f>
        <v>0</v>
      </c>
      <c r="BY29" s="24">
        <f>+MIN(BY10,0)</f>
        <v>0</v>
      </c>
      <c r="BZ29" s="24">
        <f>+MIN(BZ10,0)</f>
        <v>0</v>
      </c>
      <c r="CA29" s="24">
        <f>+MIN(CA10,0)</f>
        <v>0</v>
      </c>
      <c r="CB29" s="24">
        <f>+MIN(CB10,0)</f>
        <v>0</v>
      </c>
      <c r="CC29" s="24">
        <f>+MIN(CC10,0)</f>
        <v>0</v>
      </c>
      <c r="CD29" s="24">
        <f>+MIN(CD10,0)</f>
        <v>0</v>
      </c>
      <c r="CE29" s="24">
        <f>+MIN(CE10,0)</f>
        <v>0</v>
      </c>
      <c r="CF29" s="24">
        <f>+MIN(CF10,0)</f>
        <v>0</v>
      </c>
      <c r="CG29" s="24">
        <f>+MIN(CG10,0)</f>
        <v>0</v>
      </c>
      <c r="CH29" s="24">
        <f>+MIN(CH10,0)</f>
        <v>0</v>
      </c>
      <c r="CI29" s="24">
        <f>+MIN(CI10,0)</f>
        <v>0</v>
      </c>
      <c r="CJ29" s="24">
        <f>+MIN(CJ10,0)</f>
        <v>0</v>
      </c>
      <c r="CK29" s="24">
        <f>+MIN(CK10,0)</f>
        <v>0</v>
      </c>
      <c r="CL29" s="24">
        <f>+MIN(CL10,0)</f>
        <v>0</v>
      </c>
      <c r="CM29" s="24">
        <f>+MIN(CM10,0)</f>
        <v>0</v>
      </c>
      <c r="CN29" s="24">
        <f>+MIN(CN10,0)</f>
        <v>0</v>
      </c>
      <c r="CO29" s="24">
        <f>+MIN(CO10,0)</f>
        <v>0</v>
      </c>
      <c r="CP29" s="24">
        <f>+MIN(CP10,0)</f>
        <v>0</v>
      </c>
      <c r="CQ29" s="24">
        <f>+MIN(CQ10,0)</f>
        <v>0</v>
      </c>
      <c r="CR29" s="24">
        <f>+MIN(CR10,0)</f>
        <v>0</v>
      </c>
      <c r="CS29" s="24">
        <f>+MIN(CS10,0)</f>
        <v>0</v>
      </c>
      <c r="CT29" s="24">
        <f>+MIN(CT10,0)</f>
        <v>0</v>
      </c>
      <c r="CU29" s="24">
        <f>+MIN(CU10,0)</f>
        <v>0</v>
      </c>
      <c r="CV29" s="24">
        <f>+MIN(CV10,0)</f>
        <v>0</v>
      </c>
      <c r="CW29" s="24">
        <f>+MIN(CW10,0)</f>
        <v>0</v>
      </c>
      <c r="CX29" s="24">
        <f>+MIN(CX10,0)</f>
        <v>0</v>
      </c>
      <c r="CY29" s="24">
        <f>+MIN(CY10,0)</f>
        <v>0</v>
      </c>
      <c r="CZ29" s="24">
        <f>+MIN(CZ10,0)</f>
        <v>0</v>
      </c>
      <c r="DA29" s="24">
        <f>+MIN(DA10,0)</f>
        <v>0</v>
      </c>
      <c r="DB29" s="24">
        <f>+MIN(DB10,0)</f>
        <v>0</v>
      </c>
      <c r="DC29" s="24">
        <f>+MIN(DC10,0)</f>
        <v>0</v>
      </c>
      <c r="DD29" s="24">
        <f>+MIN(DD10,0)</f>
        <v>0</v>
      </c>
      <c r="DE29" s="24">
        <f>+MIN(DE10,0)</f>
        <v>0</v>
      </c>
      <c r="DF29" s="24">
        <f>+MIN(DF10,0)</f>
        <v>0</v>
      </c>
      <c r="DG29" s="24">
        <f>+MIN(DG10,0)</f>
        <v>0</v>
      </c>
      <c r="DH29" s="24">
        <f>+MIN(DH10,0)</f>
        <v>0</v>
      </c>
      <c r="DI29" s="24">
        <f>+MIN(DI10,0)</f>
        <v>0</v>
      </c>
      <c r="DJ29" s="24">
        <f>+MIN(DJ10,0)</f>
        <v>0</v>
      </c>
      <c r="DK29" s="24">
        <f>+MIN(DK10,0)</f>
        <v>0</v>
      </c>
      <c r="DL29" s="24">
        <f>+MIN(DL10,0)</f>
        <v>0</v>
      </c>
      <c r="DM29" s="24">
        <f>+MIN(DM10,0)</f>
        <v>0</v>
      </c>
      <c r="DN29" s="24">
        <f>+MIN(DN10,0)</f>
        <v>0</v>
      </c>
      <c r="DO29" s="24">
        <f>+MIN(DO10,0)</f>
        <v>0</v>
      </c>
      <c r="DP29" s="24">
        <f>+MIN(DP10,0)</f>
        <v>0</v>
      </c>
      <c r="DQ29" s="24">
        <f>+MIN(DQ10,0)</f>
        <v>0</v>
      </c>
      <c r="DR29" s="24">
        <f>+MIN(DR10,0)</f>
        <v>0</v>
      </c>
      <c r="DS29" s="24">
        <f>+MIN(DS10,0)</f>
        <v>0</v>
      </c>
      <c r="DT29" s="24">
        <f>+MIN(DT10,0)</f>
        <v>0</v>
      </c>
      <c r="DU29" s="24">
        <f>+MIN(DU10,0)</f>
        <v>0</v>
      </c>
      <c r="DV29" s="24">
        <f>+MIN(DV10,0)</f>
        <v>0</v>
      </c>
      <c r="DW29" s="24">
        <f>+MIN(DW10,0)</f>
        <v>0</v>
      </c>
      <c r="DX29" s="24">
        <f>+MIN(DX10,0)</f>
        <v>0</v>
      </c>
      <c r="DY29" s="24">
        <f>+MIN(DY10,0)</f>
        <v>0</v>
      </c>
      <c r="DZ29" s="24">
        <f>+MIN(DZ10,0)</f>
        <v>0</v>
      </c>
      <c r="EA29" s="24">
        <f>+MIN(EA10,0)</f>
        <v>0</v>
      </c>
      <c r="EB29" s="24">
        <f>+MIN(EB10,0)</f>
        <v>0</v>
      </c>
      <c r="EC29" s="24">
        <f>+MIN(EC10,0)</f>
        <v>0</v>
      </c>
      <c r="ED29" s="24">
        <f>+MIN(ED10,0)</f>
        <v>0</v>
      </c>
      <c r="EE29" s="24">
        <f>+MIN(EE10,0)</f>
        <v>0</v>
      </c>
      <c r="EF29" s="24">
        <f>+MIN(EF10,0)</f>
        <v>0</v>
      </c>
      <c r="EG29" s="24">
        <f>+MIN(EG10,0)</f>
        <v>0</v>
      </c>
      <c r="EH29" s="24">
        <f>+MIN(EH10,0)</f>
        <v>0</v>
      </c>
      <c r="EI29" s="24">
        <f>+MIN(EI10,0)</f>
        <v>0</v>
      </c>
      <c r="EM29" s="1" t="s">
        <v>178</v>
      </c>
    </row>
    <row r="30" spans="4:143" x14ac:dyDescent="0.45">
      <c r="D30" s="129" t="s">
        <v>142</v>
      </c>
      <c r="F30" s="130">
        <f ca="1">+SUM(G28:OFFSET(G28,,Assumptions!$E$175))</f>
        <v>16066038.223311845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M30" s="1" t="s">
        <v>178</v>
      </c>
    </row>
    <row r="31" spans="4:143" x14ac:dyDescent="0.45">
      <c r="D31" s="129" t="s">
        <v>143</v>
      </c>
      <c r="F31" s="156">
        <f>XIRR(G28:EI28,$G$2:$EI$2)</f>
        <v>0.16472445130348209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53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M31" s="1" t="s">
        <v>178</v>
      </c>
    </row>
    <row r="32" spans="4:143" x14ac:dyDescent="0.45">
      <c r="D32" s="131" t="s">
        <v>144</v>
      </c>
      <c r="E32" s="2"/>
      <c r="F32" s="157">
        <f ca="1">-(F30-G29)/G29</f>
        <v>2.0187363047197793</v>
      </c>
      <c r="H32" s="24"/>
      <c r="I32" s="24"/>
      <c r="J32" s="24"/>
      <c r="K32" s="24"/>
      <c r="L32" s="24"/>
      <c r="M32" s="24"/>
      <c r="N32" s="24"/>
      <c r="O32" s="24"/>
      <c r="P32" s="24"/>
      <c r="Q32" s="53"/>
      <c r="R32" s="53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M32" s="1" t="s">
        <v>178</v>
      </c>
    </row>
    <row r="33" spans="2:143" x14ac:dyDescent="0.45"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M33" s="1" t="s">
        <v>178</v>
      </c>
    </row>
    <row r="34" spans="2:143" x14ac:dyDescent="0.45">
      <c r="D34" s="1" t="s">
        <v>247</v>
      </c>
      <c r="G34" s="24">
        <f>-G5-G9</f>
        <v>-14970000</v>
      </c>
      <c r="H34" s="24">
        <f>-H5-H9</f>
        <v>0</v>
      </c>
      <c r="I34" s="24">
        <f>-I5-I9</f>
        <v>-16217.391304347828</v>
      </c>
      <c r="J34" s="24">
        <f>-J5-J9</f>
        <v>-16217.391304347828</v>
      </c>
      <c r="K34" s="24">
        <f>-K5-K9</f>
        <v>-16217.391304347828</v>
      </c>
      <c r="L34" s="24">
        <f>-L5-L9</f>
        <v>-77467.391304347824</v>
      </c>
      <c r="M34" s="24">
        <f>-M5-M9</f>
        <v>-47467.391304347831</v>
      </c>
      <c r="N34" s="24">
        <f>-N5-N9</f>
        <v>-16217.391304347828</v>
      </c>
      <c r="O34" s="24">
        <f>-O5-O9</f>
        <v>-16217.391304347828</v>
      </c>
      <c r="P34" s="24">
        <f>-P5-P9</f>
        <v>-16217.391304347828</v>
      </c>
      <c r="Q34" s="24">
        <f>-Q5-Q9</f>
        <v>-36217.391304347824</v>
      </c>
      <c r="R34" s="24">
        <f>-R5-R9</f>
        <v>-16217.391304347828</v>
      </c>
      <c r="S34" s="24">
        <f>-S5-S9</f>
        <v>-15217.391304347828</v>
      </c>
      <c r="T34" s="24">
        <f t="shared" ref="T34:AL34" si="24">+T29</f>
        <v>-22229.570146616672</v>
      </c>
      <c r="U34" s="24">
        <f t="shared" si="24"/>
        <v>-22229.570146616672</v>
      </c>
      <c r="V34" s="24">
        <f t="shared" si="24"/>
        <v>-22229.570146616672</v>
      </c>
      <c r="W34" s="24">
        <f t="shared" si="24"/>
        <v>-22229.570146616672</v>
      </c>
      <c r="X34" s="24">
        <f t="shared" si="24"/>
        <v>-22229.570146616672</v>
      </c>
      <c r="Y34" s="24">
        <f t="shared" si="24"/>
        <v>-22229.570146616672</v>
      </c>
      <c r="Z34" s="24">
        <f t="shared" si="24"/>
        <v>-22229.570146616672</v>
      </c>
      <c r="AA34" s="24">
        <f t="shared" si="24"/>
        <v>-22229.570146616672</v>
      </c>
      <c r="AB34" s="24">
        <f t="shared" si="24"/>
        <v>-22229.570146616672</v>
      </c>
      <c r="AC34" s="24">
        <f t="shared" si="24"/>
        <v>-22229.570146616672</v>
      </c>
      <c r="AD34" s="24">
        <f t="shared" si="24"/>
        <v>-22229.570146616672</v>
      </c>
      <c r="AE34" s="24">
        <f t="shared" si="24"/>
        <v>-76479.570146616665</v>
      </c>
      <c r="AF34" s="24">
        <f t="shared" si="24"/>
        <v>-7012.1788422688423</v>
      </c>
      <c r="AG34" s="24">
        <f t="shared" si="24"/>
        <v>-7012.1788422688423</v>
      </c>
      <c r="AH34" s="24">
        <f t="shared" si="24"/>
        <v>-7012.1788422688423</v>
      </c>
      <c r="AI34" s="24">
        <f t="shared" si="24"/>
        <v>-7012.1788422688423</v>
      </c>
      <c r="AJ34" s="24">
        <f t="shared" si="24"/>
        <v>-7012.1788422688423</v>
      </c>
      <c r="AK34" s="24">
        <f t="shared" si="24"/>
        <v>-7012.1788422688423</v>
      </c>
      <c r="AL34" s="24">
        <f t="shared" si="24"/>
        <v>-7012.1788422688423</v>
      </c>
      <c r="AM34" s="24">
        <f t="shared" ref="AM34:BR34" si="25">+AM29</f>
        <v>-7012.1788422688423</v>
      </c>
      <c r="AN34" s="24">
        <f t="shared" si="25"/>
        <v>-42116.924166129356</v>
      </c>
      <c r="AO34" s="24">
        <f t="shared" si="25"/>
        <v>0</v>
      </c>
      <c r="AP34" s="24">
        <f t="shared" si="25"/>
        <v>0</v>
      </c>
      <c r="AQ34" s="24">
        <f t="shared" si="25"/>
        <v>0</v>
      </c>
      <c r="AR34" s="24">
        <f t="shared" si="25"/>
        <v>0</v>
      </c>
      <c r="AS34" s="24">
        <f t="shared" si="25"/>
        <v>0</v>
      </c>
      <c r="AT34" s="24">
        <f t="shared" si="25"/>
        <v>0</v>
      </c>
      <c r="AU34" s="24">
        <f t="shared" si="25"/>
        <v>0</v>
      </c>
      <c r="AV34" s="24">
        <f t="shared" si="25"/>
        <v>0</v>
      </c>
      <c r="AW34" s="24">
        <f t="shared" si="25"/>
        <v>0</v>
      </c>
      <c r="AX34" s="24">
        <f t="shared" si="25"/>
        <v>0</v>
      </c>
      <c r="AY34" s="24">
        <f t="shared" si="25"/>
        <v>0</v>
      </c>
      <c r="AZ34" s="24">
        <f t="shared" si="25"/>
        <v>0</v>
      </c>
      <c r="BA34" s="24">
        <f t="shared" si="25"/>
        <v>0</v>
      </c>
      <c r="BB34" s="24">
        <f t="shared" si="25"/>
        <v>0</v>
      </c>
      <c r="BC34" s="24">
        <f t="shared" si="25"/>
        <v>0</v>
      </c>
      <c r="BD34" s="24">
        <f t="shared" si="25"/>
        <v>0</v>
      </c>
      <c r="BE34" s="24">
        <f t="shared" si="25"/>
        <v>0</v>
      </c>
      <c r="BF34" s="24">
        <f t="shared" si="25"/>
        <v>0</v>
      </c>
      <c r="BG34" s="24">
        <f t="shared" si="25"/>
        <v>0</v>
      </c>
      <c r="BH34" s="24">
        <f t="shared" si="25"/>
        <v>0</v>
      </c>
      <c r="BI34" s="24">
        <f t="shared" si="25"/>
        <v>0</v>
      </c>
      <c r="BJ34" s="24">
        <f t="shared" si="25"/>
        <v>0</v>
      </c>
      <c r="BK34" s="24">
        <f t="shared" si="25"/>
        <v>0</v>
      </c>
      <c r="BL34" s="24">
        <f t="shared" si="25"/>
        <v>0</v>
      </c>
      <c r="BM34" s="24">
        <f t="shared" si="25"/>
        <v>0</v>
      </c>
      <c r="BN34" s="24">
        <f t="shared" si="25"/>
        <v>0</v>
      </c>
      <c r="BO34" s="24">
        <f t="shared" si="25"/>
        <v>0</v>
      </c>
      <c r="BP34" s="24">
        <f t="shared" si="25"/>
        <v>0</v>
      </c>
      <c r="BQ34" s="24">
        <f t="shared" si="25"/>
        <v>0</v>
      </c>
      <c r="BR34" s="24">
        <f t="shared" si="25"/>
        <v>0</v>
      </c>
      <c r="BS34" s="24">
        <f t="shared" ref="BS34:CV34" si="26">+BS29</f>
        <v>0</v>
      </c>
      <c r="BT34" s="24">
        <f t="shared" si="26"/>
        <v>0</v>
      </c>
      <c r="BU34" s="24">
        <f t="shared" si="26"/>
        <v>0</v>
      </c>
      <c r="BV34" s="24">
        <f t="shared" si="26"/>
        <v>0</v>
      </c>
      <c r="BW34" s="24">
        <f t="shared" si="26"/>
        <v>0</v>
      </c>
      <c r="BX34" s="24">
        <f t="shared" si="26"/>
        <v>0</v>
      </c>
      <c r="BY34" s="24">
        <f t="shared" si="26"/>
        <v>0</v>
      </c>
      <c r="BZ34" s="24">
        <f t="shared" si="26"/>
        <v>0</v>
      </c>
      <c r="CA34" s="24">
        <f t="shared" si="26"/>
        <v>0</v>
      </c>
      <c r="CB34" s="24">
        <f t="shared" si="26"/>
        <v>0</v>
      </c>
      <c r="CC34" s="24">
        <f t="shared" si="26"/>
        <v>0</v>
      </c>
      <c r="CD34" s="24">
        <f t="shared" si="26"/>
        <v>0</v>
      </c>
      <c r="CE34" s="24">
        <f t="shared" si="26"/>
        <v>0</v>
      </c>
      <c r="CF34" s="24">
        <f t="shared" si="26"/>
        <v>0</v>
      </c>
      <c r="CG34" s="24">
        <f t="shared" si="26"/>
        <v>0</v>
      </c>
      <c r="CH34" s="24">
        <f t="shared" si="26"/>
        <v>0</v>
      </c>
      <c r="CI34" s="24">
        <f t="shared" si="26"/>
        <v>0</v>
      </c>
      <c r="CJ34" s="24">
        <f t="shared" si="26"/>
        <v>0</v>
      </c>
      <c r="CK34" s="24">
        <f t="shared" si="26"/>
        <v>0</v>
      </c>
      <c r="CL34" s="24">
        <f t="shared" si="26"/>
        <v>0</v>
      </c>
      <c r="CM34" s="24">
        <f t="shared" si="26"/>
        <v>0</v>
      </c>
      <c r="CN34" s="24">
        <f t="shared" si="26"/>
        <v>0</v>
      </c>
      <c r="CO34" s="24">
        <f t="shared" si="26"/>
        <v>0</v>
      </c>
      <c r="CP34" s="24">
        <f t="shared" si="26"/>
        <v>0</v>
      </c>
      <c r="CQ34" s="24">
        <f t="shared" si="26"/>
        <v>0</v>
      </c>
      <c r="CR34" s="24">
        <f t="shared" si="26"/>
        <v>0</v>
      </c>
      <c r="CS34" s="24">
        <f t="shared" si="26"/>
        <v>0</v>
      </c>
      <c r="CT34" s="24">
        <f t="shared" si="26"/>
        <v>0</v>
      </c>
      <c r="CU34" s="24">
        <f t="shared" si="26"/>
        <v>0</v>
      </c>
      <c r="CV34" s="24">
        <f t="shared" si="26"/>
        <v>0</v>
      </c>
      <c r="CW34" s="24">
        <f t="shared" ref="CW34:EI34" si="27">+CW29</f>
        <v>0</v>
      </c>
      <c r="CX34" s="24">
        <f t="shared" si="27"/>
        <v>0</v>
      </c>
      <c r="CY34" s="24">
        <f t="shared" si="27"/>
        <v>0</v>
      </c>
      <c r="CZ34" s="24">
        <f t="shared" si="27"/>
        <v>0</v>
      </c>
      <c r="DA34" s="24">
        <f t="shared" si="27"/>
        <v>0</v>
      </c>
      <c r="DB34" s="24">
        <f t="shared" si="27"/>
        <v>0</v>
      </c>
      <c r="DC34" s="24">
        <f t="shared" si="27"/>
        <v>0</v>
      </c>
      <c r="DD34" s="24">
        <f t="shared" si="27"/>
        <v>0</v>
      </c>
      <c r="DE34" s="24">
        <f t="shared" si="27"/>
        <v>0</v>
      </c>
      <c r="DF34" s="24">
        <f t="shared" si="27"/>
        <v>0</v>
      </c>
      <c r="DG34" s="24">
        <f t="shared" si="27"/>
        <v>0</v>
      </c>
      <c r="DH34" s="24">
        <f t="shared" si="27"/>
        <v>0</v>
      </c>
      <c r="DI34" s="24">
        <f t="shared" si="27"/>
        <v>0</v>
      </c>
      <c r="DJ34" s="24">
        <f t="shared" si="27"/>
        <v>0</v>
      </c>
      <c r="DK34" s="24">
        <f t="shared" si="27"/>
        <v>0</v>
      </c>
      <c r="DL34" s="24">
        <f t="shared" si="27"/>
        <v>0</v>
      </c>
      <c r="DM34" s="24">
        <f t="shared" si="27"/>
        <v>0</v>
      </c>
      <c r="DN34" s="24">
        <f t="shared" si="27"/>
        <v>0</v>
      </c>
      <c r="DO34" s="24">
        <f t="shared" si="27"/>
        <v>0</v>
      </c>
      <c r="DP34" s="24">
        <f t="shared" si="27"/>
        <v>0</v>
      </c>
      <c r="DQ34" s="24">
        <f t="shared" si="27"/>
        <v>0</v>
      </c>
      <c r="DR34" s="24">
        <f t="shared" si="27"/>
        <v>0</v>
      </c>
      <c r="DS34" s="24">
        <f t="shared" si="27"/>
        <v>0</v>
      </c>
      <c r="DT34" s="24">
        <f t="shared" si="27"/>
        <v>0</v>
      </c>
      <c r="DU34" s="24">
        <f t="shared" si="27"/>
        <v>0</v>
      </c>
      <c r="DV34" s="24">
        <f t="shared" si="27"/>
        <v>0</v>
      </c>
      <c r="DW34" s="24">
        <f t="shared" si="27"/>
        <v>0</v>
      </c>
      <c r="DX34" s="24">
        <f t="shared" si="27"/>
        <v>0</v>
      </c>
      <c r="DY34" s="24">
        <f t="shared" si="27"/>
        <v>0</v>
      </c>
      <c r="DZ34" s="24">
        <f t="shared" si="27"/>
        <v>0</v>
      </c>
      <c r="EA34" s="24">
        <f t="shared" si="27"/>
        <v>0</v>
      </c>
      <c r="EB34" s="24">
        <f t="shared" si="27"/>
        <v>0</v>
      </c>
      <c r="EC34" s="24">
        <f t="shared" si="27"/>
        <v>0</v>
      </c>
      <c r="ED34" s="24">
        <f t="shared" si="27"/>
        <v>0</v>
      </c>
      <c r="EE34" s="24">
        <f t="shared" si="27"/>
        <v>0</v>
      </c>
      <c r="EF34" s="24">
        <f t="shared" si="27"/>
        <v>0</v>
      </c>
      <c r="EG34" s="24">
        <f t="shared" si="27"/>
        <v>0</v>
      </c>
      <c r="EH34" s="24">
        <f t="shared" si="27"/>
        <v>0</v>
      </c>
      <c r="EI34" s="24">
        <f t="shared" si="27"/>
        <v>0</v>
      </c>
      <c r="EM34" s="1" t="s">
        <v>178</v>
      </c>
    </row>
    <row r="35" spans="2:143" x14ac:dyDescent="0.45">
      <c r="D35" s="1" t="s">
        <v>248</v>
      </c>
      <c r="G35" s="24">
        <f>+G29-G34</f>
        <v>-800556.27533670887</v>
      </c>
      <c r="H35" s="24">
        <f t="shared" ref="H35:BS35" si="28">+H29-H34</f>
        <v>-7012.1788422688423</v>
      </c>
      <c r="I35" s="24">
        <f t="shared" si="28"/>
        <v>-7012.1788422688442</v>
      </c>
      <c r="J35" s="24">
        <f t="shared" si="28"/>
        <v>-7012.1788422688442</v>
      </c>
      <c r="K35" s="24">
        <f t="shared" si="28"/>
        <v>-7012.1788422688442</v>
      </c>
      <c r="L35" s="24">
        <f t="shared" si="28"/>
        <v>-7012.1788422688405</v>
      </c>
      <c r="M35" s="24">
        <f t="shared" si="28"/>
        <v>-7012.1788422688405</v>
      </c>
      <c r="N35" s="24">
        <f t="shared" si="28"/>
        <v>-7012.1788422688442</v>
      </c>
      <c r="O35" s="24">
        <f t="shared" si="28"/>
        <v>-7012.1788422688442</v>
      </c>
      <c r="P35" s="24">
        <f t="shared" si="28"/>
        <v>-7012.1788422688442</v>
      </c>
      <c r="Q35" s="24">
        <f t="shared" si="28"/>
        <v>-7012.1788422688405</v>
      </c>
      <c r="R35" s="24">
        <f t="shared" si="28"/>
        <v>-7012.1788422688442</v>
      </c>
      <c r="S35" s="24">
        <f t="shared" si="28"/>
        <v>-7012.1788422688442</v>
      </c>
      <c r="T35" s="24">
        <f t="shared" si="28"/>
        <v>0</v>
      </c>
      <c r="U35" s="24">
        <f t="shared" si="28"/>
        <v>0</v>
      </c>
      <c r="V35" s="24">
        <f t="shared" si="28"/>
        <v>0</v>
      </c>
      <c r="W35" s="24">
        <f t="shared" si="28"/>
        <v>0</v>
      </c>
      <c r="X35" s="24">
        <f t="shared" si="28"/>
        <v>0</v>
      </c>
      <c r="Y35" s="24">
        <f t="shared" si="28"/>
        <v>0</v>
      </c>
      <c r="Z35" s="24">
        <f t="shared" si="28"/>
        <v>0</v>
      </c>
      <c r="AA35" s="24">
        <f t="shared" si="28"/>
        <v>0</v>
      </c>
      <c r="AB35" s="24">
        <f t="shared" si="28"/>
        <v>0</v>
      </c>
      <c r="AC35" s="24">
        <f t="shared" si="28"/>
        <v>0</v>
      </c>
      <c r="AD35" s="24">
        <f t="shared" si="28"/>
        <v>0</v>
      </c>
      <c r="AE35" s="24">
        <f t="shared" si="28"/>
        <v>0</v>
      </c>
      <c r="AF35" s="24">
        <f t="shared" si="28"/>
        <v>0</v>
      </c>
      <c r="AG35" s="24">
        <f t="shared" si="28"/>
        <v>0</v>
      </c>
      <c r="AH35" s="24">
        <f t="shared" si="28"/>
        <v>0</v>
      </c>
      <c r="AI35" s="24">
        <f t="shared" si="28"/>
        <v>0</v>
      </c>
      <c r="AJ35" s="24">
        <f t="shared" si="28"/>
        <v>0</v>
      </c>
      <c r="AK35" s="24">
        <f t="shared" si="28"/>
        <v>0</v>
      </c>
      <c r="AL35" s="24">
        <f t="shared" si="28"/>
        <v>0</v>
      </c>
      <c r="AM35" s="24">
        <f t="shared" si="28"/>
        <v>0</v>
      </c>
      <c r="AN35" s="24">
        <f t="shared" si="28"/>
        <v>0</v>
      </c>
      <c r="AO35" s="24">
        <f t="shared" si="28"/>
        <v>0</v>
      </c>
      <c r="AP35" s="24">
        <f t="shared" si="28"/>
        <v>0</v>
      </c>
      <c r="AQ35" s="24">
        <f t="shared" si="28"/>
        <v>0</v>
      </c>
      <c r="AR35" s="24">
        <f t="shared" si="28"/>
        <v>0</v>
      </c>
      <c r="AS35" s="24">
        <f t="shared" si="28"/>
        <v>0</v>
      </c>
      <c r="AT35" s="24">
        <f t="shared" si="28"/>
        <v>0</v>
      </c>
      <c r="AU35" s="24">
        <f t="shared" si="28"/>
        <v>0</v>
      </c>
      <c r="AV35" s="24">
        <f t="shared" si="28"/>
        <v>0</v>
      </c>
      <c r="AW35" s="24">
        <f t="shared" si="28"/>
        <v>0</v>
      </c>
      <c r="AX35" s="24">
        <f t="shared" si="28"/>
        <v>0</v>
      </c>
      <c r="AY35" s="24">
        <f t="shared" si="28"/>
        <v>0</v>
      </c>
      <c r="AZ35" s="24">
        <f t="shared" si="28"/>
        <v>0</v>
      </c>
      <c r="BA35" s="24">
        <f t="shared" si="28"/>
        <v>0</v>
      </c>
      <c r="BB35" s="24">
        <f t="shared" si="28"/>
        <v>0</v>
      </c>
      <c r="BC35" s="24">
        <f t="shared" si="28"/>
        <v>0</v>
      </c>
      <c r="BD35" s="24">
        <f t="shared" si="28"/>
        <v>0</v>
      </c>
      <c r="BE35" s="24">
        <f t="shared" si="28"/>
        <v>0</v>
      </c>
      <c r="BF35" s="24">
        <f t="shared" si="28"/>
        <v>0</v>
      </c>
      <c r="BG35" s="24">
        <f t="shared" si="28"/>
        <v>0</v>
      </c>
      <c r="BH35" s="24">
        <f t="shared" si="28"/>
        <v>0</v>
      </c>
      <c r="BI35" s="24">
        <f t="shared" si="28"/>
        <v>0</v>
      </c>
      <c r="BJ35" s="24">
        <f t="shared" si="28"/>
        <v>0</v>
      </c>
      <c r="BK35" s="24">
        <f t="shared" si="28"/>
        <v>0</v>
      </c>
      <c r="BL35" s="24">
        <f t="shared" si="28"/>
        <v>0</v>
      </c>
      <c r="BM35" s="24">
        <f t="shared" si="28"/>
        <v>0</v>
      </c>
      <c r="BN35" s="24">
        <f t="shared" si="28"/>
        <v>0</v>
      </c>
      <c r="BO35" s="24">
        <f t="shared" si="28"/>
        <v>0</v>
      </c>
      <c r="BP35" s="24">
        <f t="shared" si="28"/>
        <v>0</v>
      </c>
      <c r="BQ35" s="24">
        <f t="shared" si="28"/>
        <v>0</v>
      </c>
      <c r="BR35" s="24">
        <f t="shared" si="28"/>
        <v>0</v>
      </c>
      <c r="BS35" s="24">
        <f t="shared" si="28"/>
        <v>0</v>
      </c>
      <c r="BT35" s="24">
        <f t="shared" ref="BT35:CV35" si="29">+BT29-BT34</f>
        <v>0</v>
      </c>
      <c r="BU35" s="24">
        <f t="shared" si="29"/>
        <v>0</v>
      </c>
      <c r="BV35" s="24">
        <f t="shared" si="29"/>
        <v>0</v>
      </c>
      <c r="BW35" s="24">
        <f t="shared" si="29"/>
        <v>0</v>
      </c>
      <c r="BX35" s="24">
        <f t="shared" si="29"/>
        <v>0</v>
      </c>
      <c r="BY35" s="24">
        <f t="shared" si="29"/>
        <v>0</v>
      </c>
      <c r="BZ35" s="24">
        <f t="shared" si="29"/>
        <v>0</v>
      </c>
      <c r="CA35" s="24">
        <f t="shared" si="29"/>
        <v>0</v>
      </c>
      <c r="CB35" s="24">
        <f t="shared" si="29"/>
        <v>0</v>
      </c>
      <c r="CC35" s="24">
        <f t="shared" si="29"/>
        <v>0</v>
      </c>
      <c r="CD35" s="24">
        <f t="shared" si="29"/>
        <v>0</v>
      </c>
      <c r="CE35" s="24">
        <f t="shared" si="29"/>
        <v>0</v>
      </c>
      <c r="CF35" s="24">
        <f t="shared" si="29"/>
        <v>0</v>
      </c>
      <c r="CG35" s="24">
        <f t="shared" si="29"/>
        <v>0</v>
      </c>
      <c r="CH35" s="24">
        <f t="shared" si="29"/>
        <v>0</v>
      </c>
      <c r="CI35" s="24">
        <f t="shared" si="29"/>
        <v>0</v>
      </c>
      <c r="CJ35" s="24">
        <f t="shared" si="29"/>
        <v>0</v>
      </c>
      <c r="CK35" s="24">
        <f t="shared" si="29"/>
        <v>0</v>
      </c>
      <c r="CL35" s="24">
        <f t="shared" si="29"/>
        <v>0</v>
      </c>
      <c r="CM35" s="24">
        <f t="shared" si="29"/>
        <v>0</v>
      </c>
      <c r="CN35" s="24">
        <f t="shared" si="29"/>
        <v>0</v>
      </c>
      <c r="CO35" s="24">
        <f t="shared" si="29"/>
        <v>0</v>
      </c>
      <c r="CP35" s="24">
        <f t="shared" si="29"/>
        <v>0</v>
      </c>
      <c r="CQ35" s="24">
        <f t="shared" si="29"/>
        <v>0</v>
      </c>
      <c r="CR35" s="24">
        <f t="shared" si="29"/>
        <v>0</v>
      </c>
      <c r="CS35" s="24">
        <f t="shared" si="29"/>
        <v>0</v>
      </c>
      <c r="CT35" s="24">
        <f t="shared" si="29"/>
        <v>0</v>
      </c>
      <c r="CU35" s="24">
        <f t="shared" si="29"/>
        <v>0</v>
      </c>
      <c r="CV35" s="24">
        <f t="shared" si="29"/>
        <v>0</v>
      </c>
      <c r="CW35" s="24">
        <f t="shared" ref="CW35:EI35" si="30">+CW29-CW34</f>
        <v>0</v>
      </c>
      <c r="CX35" s="24">
        <f t="shared" si="30"/>
        <v>0</v>
      </c>
      <c r="CY35" s="24">
        <f t="shared" si="30"/>
        <v>0</v>
      </c>
      <c r="CZ35" s="24">
        <f t="shared" si="30"/>
        <v>0</v>
      </c>
      <c r="DA35" s="24">
        <f t="shared" si="30"/>
        <v>0</v>
      </c>
      <c r="DB35" s="24">
        <f t="shared" si="30"/>
        <v>0</v>
      </c>
      <c r="DC35" s="24">
        <f t="shared" si="30"/>
        <v>0</v>
      </c>
      <c r="DD35" s="24">
        <f t="shared" si="30"/>
        <v>0</v>
      </c>
      <c r="DE35" s="24">
        <f t="shared" si="30"/>
        <v>0</v>
      </c>
      <c r="DF35" s="24">
        <f t="shared" si="30"/>
        <v>0</v>
      </c>
      <c r="DG35" s="24">
        <f t="shared" si="30"/>
        <v>0</v>
      </c>
      <c r="DH35" s="24">
        <f t="shared" si="30"/>
        <v>0</v>
      </c>
      <c r="DI35" s="24">
        <f t="shared" si="30"/>
        <v>0</v>
      </c>
      <c r="DJ35" s="24">
        <f t="shared" si="30"/>
        <v>0</v>
      </c>
      <c r="DK35" s="24">
        <f t="shared" si="30"/>
        <v>0</v>
      </c>
      <c r="DL35" s="24">
        <f t="shared" si="30"/>
        <v>0</v>
      </c>
      <c r="DM35" s="24">
        <f t="shared" si="30"/>
        <v>0</v>
      </c>
      <c r="DN35" s="24">
        <f t="shared" si="30"/>
        <v>0</v>
      </c>
      <c r="DO35" s="24">
        <f t="shared" si="30"/>
        <v>0</v>
      </c>
      <c r="DP35" s="24">
        <f t="shared" si="30"/>
        <v>0</v>
      </c>
      <c r="DQ35" s="24">
        <f t="shared" si="30"/>
        <v>0</v>
      </c>
      <c r="DR35" s="24">
        <f t="shared" si="30"/>
        <v>0</v>
      </c>
      <c r="DS35" s="24">
        <f t="shared" si="30"/>
        <v>0</v>
      </c>
      <c r="DT35" s="24">
        <f t="shared" si="30"/>
        <v>0</v>
      </c>
      <c r="DU35" s="24">
        <f t="shared" si="30"/>
        <v>0</v>
      </c>
      <c r="DV35" s="24">
        <f t="shared" si="30"/>
        <v>0</v>
      </c>
      <c r="DW35" s="24">
        <f t="shared" si="30"/>
        <v>0</v>
      </c>
      <c r="DX35" s="24">
        <f t="shared" si="30"/>
        <v>0</v>
      </c>
      <c r="DY35" s="24">
        <f t="shared" si="30"/>
        <v>0</v>
      </c>
      <c r="DZ35" s="24">
        <f t="shared" si="30"/>
        <v>0</v>
      </c>
      <c r="EA35" s="24">
        <f t="shared" si="30"/>
        <v>0</v>
      </c>
      <c r="EB35" s="24">
        <f t="shared" si="30"/>
        <v>0</v>
      </c>
      <c r="EC35" s="24">
        <f t="shared" si="30"/>
        <v>0</v>
      </c>
      <c r="ED35" s="24">
        <f t="shared" si="30"/>
        <v>0</v>
      </c>
      <c r="EE35" s="24">
        <f t="shared" si="30"/>
        <v>0</v>
      </c>
      <c r="EF35" s="24">
        <f t="shared" si="30"/>
        <v>0</v>
      </c>
      <c r="EG35" s="24">
        <f t="shared" si="30"/>
        <v>0</v>
      </c>
      <c r="EH35" s="24">
        <f t="shared" si="30"/>
        <v>0</v>
      </c>
      <c r="EI35" s="24">
        <f t="shared" si="30"/>
        <v>0</v>
      </c>
      <c r="EM35" s="1" t="s">
        <v>178</v>
      </c>
    </row>
    <row r="36" spans="2:143" x14ac:dyDescent="0.45">
      <c r="D36" s="1" t="s">
        <v>273</v>
      </c>
      <c r="G36" s="24">
        <f t="shared" ref="G36:AL36" si="31">+G54</f>
        <v>0</v>
      </c>
      <c r="H36" s="24">
        <f t="shared" si="31"/>
        <v>0</v>
      </c>
      <c r="I36" s="24">
        <f t="shared" si="31"/>
        <v>0</v>
      </c>
      <c r="J36" s="24">
        <f t="shared" si="31"/>
        <v>0</v>
      </c>
      <c r="K36" s="24">
        <f t="shared" si="31"/>
        <v>0</v>
      </c>
      <c r="L36" s="24">
        <f t="shared" si="31"/>
        <v>0</v>
      </c>
      <c r="M36" s="24">
        <f t="shared" si="31"/>
        <v>0</v>
      </c>
      <c r="N36" s="24">
        <f t="shared" si="31"/>
        <v>0</v>
      </c>
      <c r="O36" s="24">
        <f t="shared" si="31"/>
        <v>0</v>
      </c>
      <c r="P36" s="24">
        <f t="shared" si="31"/>
        <v>0</v>
      </c>
      <c r="Q36" s="24">
        <f t="shared" si="31"/>
        <v>0</v>
      </c>
      <c r="R36" s="24">
        <f t="shared" si="31"/>
        <v>0</v>
      </c>
      <c r="S36" s="24">
        <f t="shared" si="31"/>
        <v>0</v>
      </c>
      <c r="T36" s="24">
        <f t="shared" si="31"/>
        <v>0</v>
      </c>
      <c r="U36" s="24">
        <f t="shared" si="31"/>
        <v>0</v>
      </c>
      <c r="V36" s="24">
        <f t="shared" si="31"/>
        <v>0</v>
      </c>
      <c r="W36" s="24">
        <f t="shared" si="31"/>
        <v>0</v>
      </c>
      <c r="X36" s="24">
        <f t="shared" si="31"/>
        <v>0</v>
      </c>
      <c r="Y36" s="24">
        <f t="shared" si="31"/>
        <v>0</v>
      </c>
      <c r="Z36" s="24">
        <f t="shared" si="31"/>
        <v>0</v>
      </c>
      <c r="AA36" s="24">
        <f t="shared" si="31"/>
        <v>0</v>
      </c>
      <c r="AB36" s="24">
        <f t="shared" si="31"/>
        <v>0</v>
      </c>
      <c r="AC36" s="24">
        <f t="shared" si="31"/>
        <v>0</v>
      </c>
      <c r="AD36" s="24">
        <f t="shared" si="31"/>
        <v>0</v>
      </c>
      <c r="AE36" s="24">
        <f t="shared" si="31"/>
        <v>0</v>
      </c>
      <c r="AF36" s="24">
        <f t="shared" si="31"/>
        <v>0</v>
      </c>
      <c r="AG36" s="24">
        <f t="shared" si="31"/>
        <v>0</v>
      </c>
      <c r="AH36" s="24">
        <f t="shared" si="31"/>
        <v>0</v>
      </c>
      <c r="AI36" s="24">
        <f t="shared" si="31"/>
        <v>0</v>
      </c>
      <c r="AJ36" s="24">
        <f t="shared" si="31"/>
        <v>0</v>
      </c>
      <c r="AK36" s="24">
        <f t="shared" si="31"/>
        <v>0</v>
      </c>
      <c r="AL36" s="24">
        <f t="shared" si="31"/>
        <v>0</v>
      </c>
      <c r="AM36" s="24">
        <f t="shared" ref="AM36:BR36" si="32">+AM54</f>
        <v>0</v>
      </c>
      <c r="AN36" s="24">
        <f t="shared" si="32"/>
        <v>0</v>
      </c>
      <c r="AO36" s="24">
        <f t="shared" si="32"/>
        <v>0</v>
      </c>
      <c r="AP36" s="24">
        <f t="shared" si="32"/>
        <v>0</v>
      </c>
      <c r="AQ36" s="24">
        <f t="shared" si="32"/>
        <v>16939465.557984181</v>
      </c>
      <c r="AR36" s="24">
        <f t="shared" si="32"/>
        <v>0</v>
      </c>
      <c r="AS36" s="24">
        <f t="shared" si="32"/>
        <v>0</v>
      </c>
      <c r="AT36" s="24">
        <f t="shared" si="32"/>
        <v>0</v>
      </c>
      <c r="AU36" s="24">
        <f t="shared" si="32"/>
        <v>0</v>
      </c>
      <c r="AV36" s="24">
        <f t="shared" si="32"/>
        <v>0</v>
      </c>
      <c r="AW36" s="24">
        <f t="shared" si="32"/>
        <v>0</v>
      </c>
      <c r="AX36" s="24">
        <f t="shared" si="32"/>
        <v>0</v>
      </c>
      <c r="AY36" s="24">
        <f t="shared" si="32"/>
        <v>0</v>
      </c>
      <c r="AZ36" s="24">
        <f t="shared" si="32"/>
        <v>0</v>
      </c>
      <c r="BA36" s="24">
        <f t="shared" si="32"/>
        <v>0</v>
      </c>
      <c r="BB36" s="24">
        <f t="shared" si="32"/>
        <v>0</v>
      </c>
      <c r="BC36" s="24">
        <f t="shared" si="32"/>
        <v>0</v>
      </c>
      <c r="BD36" s="24">
        <f t="shared" si="32"/>
        <v>0</v>
      </c>
      <c r="BE36" s="24">
        <f t="shared" si="32"/>
        <v>0</v>
      </c>
      <c r="BF36" s="24">
        <f t="shared" si="32"/>
        <v>0</v>
      </c>
      <c r="BG36" s="24">
        <f t="shared" si="32"/>
        <v>0</v>
      </c>
      <c r="BH36" s="24">
        <f t="shared" si="32"/>
        <v>0</v>
      </c>
      <c r="BI36" s="24">
        <f t="shared" si="32"/>
        <v>0</v>
      </c>
      <c r="BJ36" s="24">
        <f t="shared" si="32"/>
        <v>0</v>
      </c>
      <c r="BK36" s="24">
        <f t="shared" si="32"/>
        <v>0</v>
      </c>
      <c r="BL36" s="24">
        <f t="shared" si="32"/>
        <v>0</v>
      </c>
      <c r="BM36" s="24">
        <f t="shared" si="32"/>
        <v>0</v>
      </c>
      <c r="BN36" s="24">
        <f t="shared" si="32"/>
        <v>0</v>
      </c>
      <c r="BO36" s="24">
        <f>IF(AND(Assumptions!$G$34="No",Model!BO4=Assumptions!$E$175),BO28,BO54)</f>
        <v>0</v>
      </c>
      <c r="BP36" s="24">
        <f t="shared" si="32"/>
        <v>0</v>
      </c>
      <c r="BQ36" s="24">
        <f t="shared" si="32"/>
        <v>0</v>
      </c>
      <c r="BR36" s="24">
        <f t="shared" si="32"/>
        <v>0</v>
      </c>
      <c r="BS36" s="24">
        <f t="shared" ref="BS36:CV36" si="33">+BS54</f>
        <v>0</v>
      </c>
      <c r="BT36" s="24">
        <f t="shared" si="33"/>
        <v>0</v>
      </c>
      <c r="BU36" s="24">
        <f t="shared" si="33"/>
        <v>0</v>
      </c>
      <c r="BV36" s="24">
        <f t="shared" si="33"/>
        <v>0</v>
      </c>
      <c r="BW36" s="24">
        <f t="shared" si="33"/>
        <v>0</v>
      </c>
      <c r="BX36" s="24">
        <f t="shared" si="33"/>
        <v>0</v>
      </c>
      <c r="BY36" s="24">
        <f t="shared" si="33"/>
        <v>0</v>
      </c>
      <c r="BZ36" s="24">
        <f t="shared" si="33"/>
        <v>0</v>
      </c>
      <c r="CA36" s="24">
        <f t="shared" si="33"/>
        <v>0</v>
      </c>
      <c r="CB36" s="24">
        <f t="shared" si="33"/>
        <v>0</v>
      </c>
      <c r="CC36" s="24">
        <f t="shared" si="33"/>
        <v>0</v>
      </c>
      <c r="CD36" s="24">
        <f t="shared" si="33"/>
        <v>0</v>
      </c>
      <c r="CE36" s="24">
        <f t="shared" si="33"/>
        <v>0</v>
      </c>
      <c r="CF36" s="24">
        <f t="shared" si="33"/>
        <v>0</v>
      </c>
      <c r="CG36" s="24">
        <f t="shared" si="33"/>
        <v>0</v>
      </c>
      <c r="CH36" s="24">
        <f t="shared" si="33"/>
        <v>0</v>
      </c>
      <c r="CI36" s="24">
        <f t="shared" si="33"/>
        <v>0</v>
      </c>
      <c r="CJ36" s="24">
        <f t="shared" si="33"/>
        <v>0</v>
      </c>
      <c r="CK36" s="24">
        <f t="shared" si="33"/>
        <v>0</v>
      </c>
      <c r="CL36" s="24">
        <f t="shared" si="33"/>
        <v>0</v>
      </c>
      <c r="CM36" s="24">
        <f t="shared" si="33"/>
        <v>0</v>
      </c>
      <c r="CN36" s="24">
        <f t="shared" si="33"/>
        <v>0</v>
      </c>
      <c r="CO36" s="24">
        <f t="shared" si="33"/>
        <v>0</v>
      </c>
      <c r="CP36" s="24">
        <f t="shared" si="33"/>
        <v>0</v>
      </c>
      <c r="CQ36" s="24">
        <f t="shared" si="33"/>
        <v>0</v>
      </c>
      <c r="CR36" s="24">
        <f t="shared" si="33"/>
        <v>0</v>
      </c>
      <c r="CS36" s="24">
        <f t="shared" si="33"/>
        <v>0</v>
      </c>
      <c r="CT36" s="24">
        <f t="shared" si="33"/>
        <v>0</v>
      </c>
      <c r="CU36" s="24">
        <f t="shared" si="33"/>
        <v>0</v>
      </c>
      <c r="CV36" s="24">
        <f t="shared" si="33"/>
        <v>0</v>
      </c>
      <c r="CW36" s="24">
        <f t="shared" ref="CW36:EI36" si="34">+CW54</f>
        <v>0</v>
      </c>
      <c r="CX36" s="24">
        <f t="shared" si="34"/>
        <v>0</v>
      </c>
      <c r="CY36" s="24">
        <f t="shared" si="34"/>
        <v>0</v>
      </c>
      <c r="CZ36" s="24">
        <f t="shared" si="34"/>
        <v>0</v>
      </c>
      <c r="DA36" s="24">
        <f t="shared" si="34"/>
        <v>0</v>
      </c>
      <c r="DB36" s="24">
        <f t="shared" si="34"/>
        <v>0</v>
      </c>
      <c r="DC36" s="24">
        <f t="shared" si="34"/>
        <v>0</v>
      </c>
      <c r="DD36" s="24">
        <f t="shared" si="34"/>
        <v>0</v>
      </c>
      <c r="DE36" s="24">
        <f t="shared" si="34"/>
        <v>0</v>
      </c>
      <c r="DF36" s="24">
        <f t="shared" si="34"/>
        <v>0</v>
      </c>
      <c r="DG36" s="24">
        <f t="shared" si="34"/>
        <v>0</v>
      </c>
      <c r="DH36" s="24">
        <f t="shared" si="34"/>
        <v>0</v>
      </c>
      <c r="DI36" s="24">
        <f t="shared" si="34"/>
        <v>0</v>
      </c>
      <c r="DJ36" s="24">
        <f t="shared" si="34"/>
        <v>0</v>
      </c>
      <c r="DK36" s="24">
        <f t="shared" si="34"/>
        <v>0</v>
      </c>
      <c r="DL36" s="24">
        <f t="shared" si="34"/>
        <v>0</v>
      </c>
      <c r="DM36" s="24">
        <f t="shared" si="34"/>
        <v>0</v>
      </c>
      <c r="DN36" s="24">
        <f t="shared" si="34"/>
        <v>0</v>
      </c>
      <c r="DO36" s="24">
        <f t="shared" si="34"/>
        <v>0</v>
      </c>
      <c r="DP36" s="24">
        <f t="shared" si="34"/>
        <v>0</v>
      </c>
      <c r="DQ36" s="24">
        <f t="shared" si="34"/>
        <v>0</v>
      </c>
      <c r="DR36" s="24">
        <f t="shared" si="34"/>
        <v>0</v>
      </c>
      <c r="DS36" s="24">
        <f t="shared" si="34"/>
        <v>0</v>
      </c>
      <c r="DT36" s="24">
        <f t="shared" si="34"/>
        <v>0</v>
      </c>
      <c r="DU36" s="24">
        <f t="shared" si="34"/>
        <v>0</v>
      </c>
      <c r="DV36" s="24">
        <f t="shared" si="34"/>
        <v>0</v>
      </c>
      <c r="DW36" s="24">
        <f t="shared" si="34"/>
        <v>0</v>
      </c>
      <c r="DX36" s="24">
        <f t="shared" si="34"/>
        <v>0</v>
      </c>
      <c r="DY36" s="24">
        <f t="shared" si="34"/>
        <v>0</v>
      </c>
      <c r="DZ36" s="24">
        <f t="shared" si="34"/>
        <v>0</v>
      </c>
      <c r="EA36" s="24">
        <f t="shared" si="34"/>
        <v>0</v>
      </c>
      <c r="EB36" s="24">
        <f t="shared" si="34"/>
        <v>0</v>
      </c>
      <c r="EC36" s="24">
        <f t="shared" si="34"/>
        <v>0</v>
      </c>
      <c r="ED36" s="24">
        <f t="shared" si="34"/>
        <v>0</v>
      </c>
      <c r="EE36" s="24">
        <f t="shared" si="34"/>
        <v>0</v>
      </c>
      <c r="EF36" s="24">
        <f t="shared" si="34"/>
        <v>0</v>
      </c>
      <c r="EG36" s="24">
        <f t="shared" si="34"/>
        <v>0</v>
      </c>
      <c r="EH36" s="24">
        <f t="shared" si="34"/>
        <v>0</v>
      </c>
      <c r="EI36" s="24">
        <f t="shared" si="34"/>
        <v>0</v>
      </c>
      <c r="EM36" s="1" t="s">
        <v>178</v>
      </c>
    </row>
    <row r="37" spans="2:143" x14ac:dyDescent="0.45"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M37" s="1" t="s">
        <v>178</v>
      </c>
    </row>
    <row r="38" spans="2:143" x14ac:dyDescent="0.45">
      <c r="B38" s="6">
        <f>+Assumptions!G31</f>
        <v>9870490.3707595505</v>
      </c>
      <c r="D38" s="8" t="s">
        <v>359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M38" s="1" t="s">
        <v>178</v>
      </c>
    </row>
    <row r="39" spans="2:143" x14ac:dyDescent="0.45">
      <c r="D39" s="1" t="s">
        <v>32</v>
      </c>
      <c r="G39" s="24"/>
      <c r="H39" s="24">
        <f>+G43</f>
        <v>10430000</v>
      </c>
      <c r="I39" s="24">
        <f t="shared" ref="I39:S39" si="35">+H43</f>
        <v>9862749.7975174952</v>
      </c>
      <c r="J39" s="24">
        <f t="shared" si="35"/>
        <v>9862701.4189347327</v>
      </c>
      <c r="K39" s="24">
        <f t="shared" si="35"/>
        <v>9862652.737985827</v>
      </c>
      <c r="L39" s="24">
        <f t="shared" si="35"/>
        <v>9862603.7527809925</v>
      </c>
      <c r="M39" s="24">
        <f t="shared" si="35"/>
        <v>9862554.461418625</v>
      </c>
      <c r="N39" s="24">
        <f t="shared" si="35"/>
        <v>9862504.8619852457</v>
      </c>
      <c r="O39" s="24">
        <f t="shared" si="35"/>
        <v>9862454.952555405</v>
      </c>
      <c r="P39" s="24">
        <f t="shared" si="35"/>
        <v>9862404.7311916295</v>
      </c>
      <c r="Q39" s="24">
        <f t="shared" si="35"/>
        <v>9862354.1959443297</v>
      </c>
      <c r="R39" s="24">
        <f t="shared" si="35"/>
        <v>9862303.344851736</v>
      </c>
      <c r="S39" s="24">
        <f t="shared" si="35"/>
        <v>9862252.1759398114</v>
      </c>
      <c r="T39" s="24">
        <f t="shared" ref="T39:AY39" si="36">+S43</f>
        <v>9862200.6872221883</v>
      </c>
      <c r="U39" s="24">
        <f t="shared" si="36"/>
        <v>9862148.8767000791</v>
      </c>
      <c r="V39" s="24">
        <f t="shared" si="36"/>
        <v>9862096.7423622087</v>
      </c>
      <c r="W39" s="24">
        <f t="shared" si="36"/>
        <v>9862044.2821847238</v>
      </c>
      <c r="X39" s="24">
        <f t="shared" si="36"/>
        <v>9861991.4941311311</v>
      </c>
      <c r="Y39" s="24">
        <f t="shared" si="36"/>
        <v>9861938.3761522043</v>
      </c>
      <c r="Z39" s="24">
        <f t="shared" si="36"/>
        <v>9861884.9261859078</v>
      </c>
      <c r="AA39" s="24">
        <f t="shared" si="36"/>
        <v>9861831.1421573237</v>
      </c>
      <c r="AB39" s="24">
        <f t="shared" si="36"/>
        <v>9861777.021978559</v>
      </c>
      <c r="AC39" s="24">
        <f t="shared" si="36"/>
        <v>9861722.5635486785</v>
      </c>
      <c r="AD39" s="24">
        <f t="shared" si="36"/>
        <v>9861667.7647536099</v>
      </c>
      <c r="AE39" s="24">
        <f t="shared" si="36"/>
        <v>9861612.6234660726</v>
      </c>
      <c r="AF39" s="24">
        <f t="shared" si="36"/>
        <v>9861557.1375454888</v>
      </c>
      <c r="AG39" s="24">
        <f t="shared" si="36"/>
        <v>9852568.0716238394</v>
      </c>
      <c r="AH39" s="24">
        <f t="shared" si="36"/>
        <v>9843522.8240401801</v>
      </c>
      <c r="AI39" s="24">
        <f t="shared" si="36"/>
        <v>9834421.0436591227</v>
      </c>
      <c r="AJ39" s="24">
        <f t="shared" si="36"/>
        <v>9825262.3771506827</v>
      </c>
      <c r="AK39" s="24">
        <f t="shared" si="36"/>
        <v>9816046.4689765647</v>
      </c>
      <c r="AL39" s="24">
        <f t="shared" si="36"/>
        <v>9806772.9613763597</v>
      </c>
      <c r="AM39" s="24">
        <f t="shared" si="36"/>
        <v>9797441.494353652</v>
      </c>
      <c r="AN39" s="24">
        <f t="shared" si="36"/>
        <v>9788051.7056620531</v>
      </c>
      <c r="AO39" s="24">
        <f t="shared" si="36"/>
        <v>9778603.230791131</v>
      </c>
      <c r="AP39" s="24">
        <f t="shared" si="36"/>
        <v>9769095.7029522657</v>
      </c>
      <c r="AQ39" s="24">
        <f t="shared" si="36"/>
        <v>9759528.7530644089</v>
      </c>
      <c r="AR39" s="24">
        <f t="shared" si="36"/>
        <v>0</v>
      </c>
      <c r="AS39" s="24">
        <f t="shared" si="36"/>
        <v>0</v>
      </c>
      <c r="AT39" s="24">
        <f t="shared" si="36"/>
        <v>0</v>
      </c>
      <c r="AU39" s="24">
        <f t="shared" si="36"/>
        <v>0</v>
      </c>
      <c r="AV39" s="24">
        <f t="shared" si="36"/>
        <v>0</v>
      </c>
      <c r="AW39" s="24">
        <f t="shared" si="36"/>
        <v>0</v>
      </c>
      <c r="AX39" s="24">
        <f t="shared" si="36"/>
        <v>0</v>
      </c>
      <c r="AY39" s="24">
        <f t="shared" si="36"/>
        <v>0</v>
      </c>
      <c r="AZ39" s="24">
        <f t="shared" ref="AZ39:BT39" si="37">+AY43</f>
        <v>0</v>
      </c>
      <c r="BA39" s="24">
        <f t="shared" si="37"/>
        <v>0</v>
      </c>
      <c r="BB39" s="24">
        <f t="shared" si="37"/>
        <v>0</v>
      </c>
      <c r="BC39" s="24">
        <f t="shared" si="37"/>
        <v>0</v>
      </c>
      <c r="BD39" s="24">
        <f t="shared" si="37"/>
        <v>0</v>
      </c>
      <c r="BE39" s="24">
        <f t="shared" si="37"/>
        <v>0</v>
      </c>
      <c r="BF39" s="24">
        <f t="shared" si="37"/>
        <v>0</v>
      </c>
      <c r="BG39" s="24">
        <f t="shared" si="37"/>
        <v>0</v>
      </c>
      <c r="BH39" s="24">
        <f t="shared" si="37"/>
        <v>0</v>
      </c>
      <c r="BI39" s="24">
        <f t="shared" si="37"/>
        <v>0</v>
      </c>
      <c r="BJ39" s="24">
        <f t="shared" si="37"/>
        <v>0</v>
      </c>
      <c r="BK39" s="24">
        <f t="shared" si="37"/>
        <v>0</v>
      </c>
      <c r="BL39" s="24">
        <f t="shared" si="37"/>
        <v>0</v>
      </c>
      <c r="BM39" s="24">
        <f t="shared" si="37"/>
        <v>0</v>
      </c>
      <c r="BN39" s="24">
        <f t="shared" si="37"/>
        <v>0</v>
      </c>
      <c r="BO39" s="24">
        <f t="shared" si="37"/>
        <v>0</v>
      </c>
      <c r="BP39" s="24">
        <f t="shared" si="37"/>
        <v>0</v>
      </c>
      <c r="BQ39" s="24">
        <f t="shared" si="37"/>
        <v>0</v>
      </c>
      <c r="BR39" s="24">
        <f t="shared" si="37"/>
        <v>0</v>
      </c>
      <c r="BS39" s="24">
        <f t="shared" si="37"/>
        <v>0</v>
      </c>
      <c r="BT39" s="24">
        <f t="shared" si="37"/>
        <v>0</v>
      </c>
      <c r="BU39" s="24">
        <f t="shared" ref="BU39:CV39" si="38">+BT43</f>
        <v>0</v>
      </c>
      <c r="BV39" s="24">
        <f t="shared" si="38"/>
        <v>0</v>
      </c>
      <c r="BW39" s="24">
        <f t="shared" si="38"/>
        <v>0</v>
      </c>
      <c r="BX39" s="24">
        <f t="shared" si="38"/>
        <v>0</v>
      </c>
      <c r="BY39" s="24">
        <f t="shared" si="38"/>
        <v>0</v>
      </c>
      <c r="BZ39" s="24">
        <f t="shared" si="38"/>
        <v>0</v>
      </c>
      <c r="CA39" s="24">
        <f t="shared" si="38"/>
        <v>0</v>
      </c>
      <c r="CB39" s="24">
        <f t="shared" si="38"/>
        <v>0</v>
      </c>
      <c r="CC39" s="24">
        <f t="shared" si="38"/>
        <v>0</v>
      </c>
      <c r="CD39" s="24">
        <f t="shared" si="38"/>
        <v>0</v>
      </c>
      <c r="CE39" s="24">
        <f t="shared" si="38"/>
        <v>0</v>
      </c>
      <c r="CF39" s="24">
        <f t="shared" si="38"/>
        <v>0</v>
      </c>
      <c r="CG39" s="24">
        <f t="shared" si="38"/>
        <v>0</v>
      </c>
      <c r="CH39" s="24">
        <f t="shared" si="38"/>
        <v>0</v>
      </c>
      <c r="CI39" s="24">
        <f t="shared" si="38"/>
        <v>0</v>
      </c>
      <c r="CJ39" s="24">
        <f t="shared" si="38"/>
        <v>0</v>
      </c>
      <c r="CK39" s="24">
        <f t="shared" si="38"/>
        <v>0</v>
      </c>
      <c r="CL39" s="24">
        <f t="shared" si="38"/>
        <v>0</v>
      </c>
      <c r="CM39" s="24">
        <f t="shared" si="38"/>
        <v>0</v>
      </c>
      <c r="CN39" s="24">
        <f t="shared" si="38"/>
        <v>0</v>
      </c>
      <c r="CO39" s="24">
        <f t="shared" si="38"/>
        <v>0</v>
      </c>
      <c r="CP39" s="24">
        <f t="shared" si="38"/>
        <v>0</v>
      </c>
      <c r="CQ39" s="24">
        <f t="shared" si="38"/>
        <v>0</v>
      </c>
      <c r="CR39" s="24">
        <f t="shared" si="38"/>
        <v>0</v>
      </c>
      <c r="CS39" s="24">
        <f t="shared" si="38"/>
        <v>0</v>
      </c>
      <c r="CT39" s="24">
        <f t="shared" si="38"/>
        <v>0</v>
      </c>
      <c r="CU39" s="24">
        <f t="shared" si="38"/>
        <v>0</v>
      </c>
      <c r="CV39" s="24">
        <f t="shared" si="38"/>
        <v>0</v>
      </c>
      <c r="CW39" s="24">
        <f t="shared" ref="CW39:EI39" si="39">+CV43</f>
        <v>0</v>
      </c>
      <c r="CX39" s="24">
        <f t="shared" si="39"/>
        <v>0</v>
      </c>
      <c r="CY39" s="24">
        <f t="shared" si="39"/>
        <v>0</v>
      </c>
      <c r="CZ39" s="24">
        <f t="shared" si="39"/>
        <v>0</v>
      </c>
      <c r="DA39" s="24">
        <f t="shared" si="39"/>
        <v>0</v>
      </c>
      <c r="DB39" s="24">
        <f t="shared" si="39"/>
        <v>0</v>
      </c>
      <c r="DC39" s="24">
        <f t="shared" si="39"/>
        <v>0</v>
      </c>
      <c r="DD39" s="24">
        <f t="shared" si="39"/>
        <v>0</v>
      </c>
      <c r="DE39" s="24">
        <f t="shared" si="39"/>
        <v>0</v>
      </c>
      <c r="DF39" s="24">
        <f t="shared" si="39"/>
        <v>0</v>
      </c>
      <c r="DG39" s="24">
        <f t="shared" si="39"/>
        <v>0</v>
      </c>
      <c r="DH39" s="24">
        <f t="shared" si="39"/>
        <v>0</v>
      </c>
      <c r="DI39" s="24">
        <f t="shared" si="39"/>
        <v>0</v>
      </c>
      <c r="DJ39" s="24">
        <f t="shared" si="39"/>
        <v>0</v>
      </c>
      <c r="DK39" s="24">
        <f t="shared" si="39"/>
        <v>0</v>
      </c>
      <c r="DL39" s="24">
        <f t="shared" si="39"/>
        <v>0</v>
      </c>
      <c r="DM39" s="24">
        <f t="shared" si="39"/>
        <v>0</v>
      </c>
      <c r="DN39" s="24">
        <f t="shared" si="39"/>
        <v>0</v>
      </c>
      <c r="DO39" s="24">
        <f t="shared" si="39"/>
        <v>0</v>
      </c>
      <c r="DP39" s="24">
        <f t="shared" si="39"/>
        <v>0</v>
      </c>
      <c r="DQ39" s="24">
        <f t="shared" si="39"/>
        <v>0</v>
      </c>
      <c r="DR39" s="24">
        <f t="shared" si="39"/>
        <v>0</v>
      </c>
      <c r="DS39" s="24">
        <f t="shared" si="39"/>
        <v>0</v>
      </c>
      <c r="DT39" s="24">
        <f t="shared" si="39"/>
        <v>0</v>
      </c>
      <c r="DU39" s="24">
        <f t="shared" si="39"/>
        <v>0</v>
      </c>
      <c r="DV39" s="24">
        <f t="shared" si="39"/>
        <v>0</v>
      </c>
      <c r="DW39" s="24">
        <f t="shared" si="39"/>
        <v>0</v>
      </c>
      <c r="DX39" s="24">
        <f t="shared" si="39"/>
        <v>0</v>
      </c>
      <c r="DY39" s="24">
        <f t="shared" si="39"/>
        <v>0</v>
      </c>
      <c r="DZ39" s="24">
        <f t="shared" si="39"/>
        <v>0</v>
      </c>
      <c r="EA39" s="24">
        <f t="shared" si="39"/>
        <v>0</v>
      </c>
      <c r="EB39" s="24">
        <f t="shared" si="39"/>
        <v>0</v>
      </c>
      <c r="EC39" s="24">
        <f t="shared" si="39"/>
        <v>0</v>
      </c>
      <c r="ED39" s="24">
        <f t="shared" si="39"/>
        <v>0</v>
      </c>
      <c r="EE39" s="24">
        <f t="shared" si="39"/>
        <v>0</v>
      </c>
      <c r="EF39" s="24">
        <f t="shared" si="39"/>
        <v>0</v>
      </c>
      <c r="EG39" s="24">
        <f t="shared" si="39"/>
        <v>0</v>
      </c>
      <c r="EH39" s="24">
        <f t="shared" si="39"/>
        <v>0</v>
      </c>
      <c r="EI39" s="24">
        <f t="shared" si="39"/>
        <v>0</v>
      </c>
      <c r="EM39" s="1" t="s">
        <v>178</v>
      </c>
    </row>
    <row r="40" spans="2:143" x14ac:dyDescent="0.45">
      <c r="D40" s="1" t="s">
        <v>33</v>
      </c>
      <c r="G40" s="24">
        <f>IF(G4=Assumptions!$G$23,Assumptions!$R$30,MIN(G5*Assumptions!$G$29+G9*Assumptions!$G$30,Assumptions!$G$31-G39))</f>
        <v>10430000</v>
      </c>
      <c r="H40" s="24">
        <f>IF(H4=Assumptions!$G$23,Assumptions!$R$30,MIN(H5*Assumptions!$G$29+H9*Assumptions!$G$30,Assumptions!$G$31-H39))</f>
        <v>-559509.62924044952</v>
      </c>
      <c r="I40" s="24">
        <f>IF(I4=Assumptions!$G$23,Assumptions!$R$30,MIN(I5*Assumptions!$G$29+I9*Assumptions!$G$30,Assumptions!$G$31-I39))</f>
        <v>7740.5732420552522</v>
      </c>
      <c r="J40" s="24">
        <f>IF(J4=Assumptions!$G$23,Assumptions!$R$30,MIN(J5*Assumptions!$G$29+J9*Assumptions!$G$30,Assumptions!$G$31-J39))</f>
        <v>7788.9518248178065</v>
      </c>
      <c r="K40" s="24">
        <f>IF(K4=Assumptions!$G$23,Assumptions!$R$30,MIN(K5*Assumptions!$G$29+K9*Assumptions!$G$30,Assumptions!$G$31-K39))</f>
        <v>7837.6327737234533</v>
      </c>
      <c r="L40" s="24">
        <f>IF(L4=Assumptions!$G$23,Assumptions!$R$30,MIN(L5*Assumptions!$G$29+L9*Assumptions!$G$30,Assumptions!$G$31-L39))</f>
        <v>7886.6179785579443</v>
      </c>
      <c r="M40" s="24">
        <f>IF(M4=Assumptions!$G$23,Assumptions!$R$30,MIN(M5*Assumptions!$G$29+M9*Assumptions!$G$30,Assumptions!$G$31-M39))</f>
        <v>7935.9093409255147</v>
      </c>
      <c r="N40" s="24">
        <f>IF(N4=Assumptions!$G$23,Assumptions!$R$30,MIN(N5*Assumptions!$G$29+N9*Assumptions!$G$30,Assumptions!$G$31-N39))</f>
        <v>7985.5087743047625</v>
      </c>
      <c r="O40" s="24">
        <f>IF(O4=Assumptions!$G$23,Assumptions!$R$30,MIN(O5*Assumptions!$G$29+O9*Assumptions!$G$30,Assumptions!$G$31-O39))</f>
        <v>8035.418204145506</v>
      </c>
      <c r="P40" s="24">
        <f>IF(P4=Assumptions!$G$23,Assumptions!$R$30,MIN(P5*Assumptions!$G$29+P9*Assumptions!$G$30,Assumptions!$G$31-P39))</f>
        <v>8085.6395679209381</v>
      </c>
      <c r="Q40" s="24">
        <f>IF(Q4=Assumptions!$G$23,Assumptions!$R$30,MIN(Q5*Assumptions!$G$29+Q9*Assumptions!$G$30,Assumptions!$G$31-Q39))</f>
        <v>8136.1748152207583</v>
      </c>
      <c r="R40" s="24">
        <f>IF(R4=Assumptions!$G$23,Assumptions!$R$30,MIN(R5*Assumptions!$G$29+R9*Assumptions!$G$30,Assumptions!$G$31-R39))</f>
        <v>8187.0259078145027</v>
      </c>
      <c r="S40" s="24">
        <f>IF(S4=Assumptions!$G$23,Assumptions!$R$30,MIN(S5*Assumptions!$G$29+S9*Assumptions!$G$30,Assumptions!$G$31-S39))</f>
        <v>8238.1948197390884</v>
      </c>
      <c r="T40" s="24">
        <f>IF(T4=Assumptions!$G$23,Assumptions!$R$30,MIN(T5*Assumptions!$G$29+T9*Assumptions!$G$30,Assumptions!$G$31-T39))</f>
        <v>8289.6835373621434</v>
      </c>
      <c r="U40" s="24">
        <f>IF(U4=Assumptions!$G$23,Assumptions!$R$30,MIN(U5*Assumptions!$G$29+U9*Assumptions!$G$30,Assumptions!$G$31-U39))</f>
        <v>8341.4940594714135</v>
      </c>
      <c r="V40" s="24">
        <f>IF(V4=Assumptions!$G$23,Assumptions!$R$30,MIN(V5*Assumptions!$G$29+V9*Assumptions!$G$30,Assumptions!$G$31-V39))</f>
        <v>8393.6283973418176</v>
      </c>
      <c r="W40" s="24">
        <f>IF(W4=Assumptions!$G$23,Assumptions!$R$30,MIN(W5*Assumptions!$G$29+W9*Assumptions!$G$30,Assumptions!$G$31-W39))</f>
        <v>8446.0885748267174</v>
      </c>
      <c r="X40" s="24">
        <f>IF(X4=Assumptions!$G$23,Assumptions!$R$30,MIN(X5*Assumptions!$G$29+X9*Assumptions!$G$30,Assumptions!$G$31-X39))</f>
        <v>8498.8766284193844</v>
      </c>
      <c r="Y40" s="24">
        <f>IF(Y4=Assumptions!$G$23,Assumptions!$R$30,MIN(Y5*Assumptions!$G$29+Y9*Assumptions!$G$30,Assumptions!$G$31-Y39))</f>
        <v>8551.9946073461324</v>
      </c>
      <c r="Z40" s="24">
        <f>IF(Z4=Assumptions!$G$23,Assumptions!$R$30,MIN(Z5*Assumptions!$G$29+Z9*Assumptions!$G$30,Assumptions!$G$31-Z39))</f>
        <v>8605.444573642686</v>
      </c>
      <c r="AA40" s="24">
        <f>IF(AA4=Assumptions!$G$23,Assumptions!$R$30,MIN(AA5*Assumptions!$G$29+AA9*Assumptions!$G$30,Assumptions!$G$31-AA39))</f>
        <v>8659.2286022268236</v>
      </c>
      <c r="AB40" s="24">
        <f>IF(AB4=Assumptions!$G$23,Assumptions!$R$30,MIN(AB5*Assumptions!$G$29+AB9*Assumptions!$G$30,Assumptions!$G$31-AB39))</f>
        <v>8713.3487809915096</v>
      </c>
      <c r="AC40" s="24">
        <f>IF(AC4=Assumptions!$G$23,Assumptions!$R$30,MIN(AC5*Assumptions!$G$29+AC9*Assumptions!$G$30,Assumptions!$G$31-AC39))</f>
        <v>8767.8072108719498</v>
      </c>
      <c r="AD40" s="24">
        <f>IF(AD4=Assumptions!$G$23,Assumptions!$R$30,MIN(AD5*Assumptions!$G$29+AD9*Assumptions!$G$30,Assumptions!$G$31-AD39))</f>
        <v>8822.6060059405863</v>
      </c>
      <c r="AE40" s="24">
        <f>IF(AE4=Assumptions!$G$23,Assumptions!$R$30,MIN(AE5*Assumptions!$G$29+AE9*Assumptions!$G$30,Assumptions!$G$31-AE39))</f>
        <v>8877.747293477878</v>
      </c>
      <c r="AF40" s="24">
        <f>IF(AF4=Assumptions!$G$23,Assumptions!$R$30,MIN(AF5*Assumptions!$G$29+AF9*Assumptions!$G$30,Assumptions!$G$31-AF39))</f>
        <v>0</v>
      </c>
      <c r="AG40" s="24">
        <f>IF(AG4=Assumptions!$G$23,Assumptions!$R$30,MIN(AG5*Assumptions!$G$29+AG9*Assumptions!$G$30,Assumptions!$G$31-AG39))</f>
        <v>0</v>
      </c>
      <c r="AH40" s="24">
        <f>IF(AH4=Assumptions!$G$23,Assumptions!$R$30,MIN(AH5*Assumptions!$G$29+AH9*Assumptions!$G$30,Assumptions!$G$31-AH39))</f>
        <v>0</v>
      </c>
      <c r="AI40" s="24">
        <f>IF(AI4=Assumptions!$G$23,Assumptions!$R$30,MIN(AI5*Assumptions!$G$29+AI9*Assumptions!$G$30,Assumptions!$G$31-AI39))</f>
        <v>0</v>
      </c>
      <c r="AJ40" s="24">
        <f>IF(AJ4=Assumptions!$G$23,Assumptions!$R$30,MIN(AJ5*Assumptions!$G$29+AJ9*Assumptions!$G$30,Assumptions!$G$31-AJ39))</f>
        <v>0</v>
      </c>
      <c r="AK40" s="24">
        <f>IF(AK4=Assumptions!$G$23,Assumptions!$R$30,MIN(AK5*Assumptions!$G$29+AK9*Assumptions!$G$30,Assumptions!$G$31-AK39))</f>
        <v>0</v>
      </c>
      <c r="AL40" s="24">
        <f>IF(AL4=Assumptions!$G$23,Assumptions!$R$30,MIN(AL5*Assumptions!$G$29+AL9*Assumptions!$G$30,Assumptions!$G$31-AL39))</f>
        <v>0</v>
      </c>
      <c r="AM40" s="24">
        <f>IF(AM4=Assumptions!$G$23,Assumptions!$R$30,MIN(AM5*Assumptions!$G$29+AM9*Assumptions!$G$30,Assumptions!$G$31-AM39))</f>
        <v>0</v>
      </c>
      <c r="AN40" s="24">
        <f>IF(AN4=Assumptions!$G$23,Assumptions!$R$30,MIN(AN5*Assumptions!$G$29+AN9*Assumptions!$G$30,Assumptions!$G$31-AN39))</f>
        <v>0</v>
      </c>
      <c r="AO40" s="24">
        <f>IF(AO4=Assumptions!$G$23,Assumptions!$R$30,MIN(AO5*Assumptions!$G$29+AO9*Assumptions!$G$30,Assumptions!$G$31-AO39))</f>
        <v>0</v>
      </c>
      <c r="AP40" s="24">
        <f>IF(AP4=Assumptions!$G$23,Assumptions!$R$30,MIN(AP5*Assumptions!$G$29+AP9*Assumptions!$G$30,Assumptions!$G$31-AP39))</f>
        <v>0</v>
      </c>
      <c r="AQ40" s="24">
        <f>IF(AQ4=Assumptions!$G$23,Assumptions!$R$30,MIN(AQ5*Assumptions!$G$29+AQ9*Assumptions!$G$30,Assumptions!$G$31-AQ39))</f>
        <v>0</v>
      </c>
      <c r="AR40" s="24">
        <f>IF(AR4=Assumptions!$G$23,Assumptions!$R$30,MIN(AR5*Assumptions!$G$29+AR9*Assumptions!$G$30,Assumptions!$G$31-AR39))</f>
        <v>0</v>
      </c>
      <c r="AS40" s="24">
        <f>IF(AS4=Assumptions!$G$23,Assumptions!$R$30,MIN(AS5*Assumptions!$G$29+AS9*Assumptions!$G$30,Assumptions!$G$31-AS39))</f>
        <v>0</v>
      </c>
      <c r="AT40" s="24">
        <f>IF(AT4=Assumptions!$G$23,Assumptions!$R$30,MIN(AT5*Assumptions!$G$29+AT9*Assumptions!$G$30,Assumptions!$G$31-AT39))</f>
        <v>0</v>
      </c>
      <c r="AU40" s="24">
        <f>IF(AU4=Assumptions!$G$23,Assumptions!$R$30,MIN(AU5*Assumptions!$G$29+AU9*Assumptions!$G$30,Assumptions!$G$31-AU39))</f>
        <v>0</v>
      </c>
      <c r="AV40" s="24">
        <f>IF(AV4=Assumptions!$G$23,Assumptions!$R$30,MIN(AV5*Assumptions!$G$29+AV9*Assumptions!$G$30,Assumptions!$G$31-AV39))</f>
        <v>0</v>
      </c>
      <c r="AW40" s="24">
        <f>IF(AW4=Assumptions!$G$23,Assumptions!$R$30,MIN(AW5*Assumptions!$G$29+AW9*Assumptions!$G$30,Assumptions!$G$31-AW39))</f>
        <v>0</v>
      </c>
      <c r="AX40" s="24">
        <f>IF(AX4=Assumptions!$G$23,Assumptions!$R$30,MIN(AX5*Assumptions!$G$29+AX9*Assumptions!$G$30,Assumptions!$G$31-AX39))</f>
        <v>0</v>
      </c>
      <c r="AY40" s="24">
        <f>IF(AY4=Assumptions!$G$23,Assumptions!$R$30,MIN(AY5*Assumptions!$G$29+AY9*Assumptions!$G$30,Assumptions!$G$31-AY39))</f>
        <v>0</v>
      </c>
      <c r="AZ40" s="24">
        <f>IF(AZ4=Assumptions!$G$23,Assumptions!$R$30,MIN(AZ5*Assumptions!$G$29+AZ9*Assumptions!$G$30,Assumptions!$G$31-AZ39))</f>
        <v>0</v>
      </c>
      <c r="BA40" s="24">
        <f>IF(BA4=Assumptions!$G$23,Assumptions!$R$30,MIN(BA5*Assumptions!$G$29+BA9*Assumptions!$G$30,Assumptions!$G$31-BA39))</f>
        <v>0</v>
      </c>
      <c r="BB40" s="24">
        <f>IF(BB4=Assumptions!$G$23,Assumptions!$R$30,MIN(BB5*Assumptions!$G$29+BB9*Assumptions!$G$30,Assumptions!$G$31-BB39))</f>
        <v>0</v>
      </c>
      <c r="BC40" s="24">
        <f>IF(BC4=Assumptions!$G$23,Assumptions!$R$30,MIN(BC5*Assumptions!$G$29+BC9*Assumptions!$G$30,Assumptions!$G$31-BC39))</f>
        <v>0</v>
      </c>
      <c r="BD40" s="24">
        <f>IF(BD4=Assumptions!$G$23,Assumptions!$R$30,MIN(BD5*Assumptions!$G$29+BD9*Assumptions!$G$30,Assumptions!$G$31-BD39))</f>
        <v>0</v>
      </c>
      <c r="BE40" s="24">
        <f>IF(BE4=Assumptions!$G$23,Assumptions!$R$30,MIN(BE5*Assumptions!$G$29+BE9*Assumptions!$G$30,Assumptions!$G$31-BE39))</f>
        <v>0</v>
      </c>
      <c r="BF40" s="24">
        <f>IF(BF4=Assumptions!$G$23,Assumptions!$R$30,MIN(BF5*Assumptions!$G$29+BF9*Assumptions!$G$30,Assumptions!$G$31-BF39))</f>
        <v>0</v>
      </c>
      <c r="BG40" s="24">
        <f>IF(BG4=Assumptions!$G$23,Assumptions!$R$30,MIN(BG5*Assumptions!$G$29+BG9*Assumptions!$G$30,Assumptions!$G$31-BG39))</f>
        <v>0</v>
      </c>
      <c r="BH40" s="24">
        <f>IF(BH4=Assumptions!$G$23,Assumptions!$R$30,MIN(BH5*Assumptions!$G$29+BH9*Assumptions!$G$30,Assumptions!$G$31-BH39))</f>
        <v>0</v>
      </c>
      <c r="BI40" s="24">
        <f>IF(BI4=Assumptions!$G$23,Assumptions!$R$30,MIN(BI5*Assumptions!$G$29+BI9*Assumptions!$G$30,Assumptions!$G$31-BI39))</f>
        <v>0</v>
      </c>
      <c r="BJ40" s="24">
        <f>IF(BJ4=Assumptions!$G$23,Assumptions!$R$30,MIN(BJ5*Assumptions!$G$29+BJ9*Assumptions!$G$30,Assumptions!$G$31-BJ39))</f>
        <v>0</v>
      </c>
      <c r="BK40" s="24">
        <f>IF(BK4=Assumptions!$G$23,Assumptions!$R$30,MIN(BK5*Assumptions!$G$29+BK9*Assumptions!$G$30,Assumptions!$G$31-BK39))</f>
        <v>0</v>
      </c>
      <c r="BL40" s="24">
        <f>IF(BL4=Assumptions!$G$23,Assumptions!$R$30,MIN(BL5*Assumptions!$G$29+BL9*Assumptions!$G$30,Assumptions!$G$31-BL39))</f>
        <v>0</v>
      </c>
      <c r="BM40" s="24">
        <f>IF(BM4=Assumptions!$G$23,Assumptions!$R$30,MIN(BM5*Assumptions!$G$29+BM9*Assumptions!$G$30,Assumptions!$G$31-BM39))</f>
        <v>0</v>
      </c>
      <c r="BN40" s="24">
        <f>IF(BN4=Assumptions!$G$23,Assumptions!$R$30,MIN(BN5*Assumptions!$G$29+BN9*Assumptions!$G$30,Assumptions!$G$31-BN39))</f>
        <v>0</v>
      </c>
      <c r="BO40" s="24">
        <f>IF(BO4=Assumptions!$G$23,Assumptions!$R$30,MIN(BO5*Assumptions!$G$29+BO9*Assumptions!$G$30,Assumptions!$G$31-BO39))</f>
        <v>0</v>
      </c>
      <c r="BP40" s="24">
        <f>IF(BP4=Assumptions!$G$23,Assumptions!$R$30,MIN(BP5*Assumptions!$G$29+BP9*Assumptions!$G$30,Assumptions!$G$31-BP39))</f>
        <v>0</v>
      </c>
      <c r="BQ40" s="24">
        <f>IF(BQ4=Assumptions!$G$23,Assumptions!$R$30,MIN(BQ5*Assumptions!$G$29+BQ9*Assumptions!$G$30,Assumptions!$G$31-BQ39))</f>
        <v>0</v>
      </c>
      <c r="BR40" s="24">
        <f>IF(BR4=Assumptions!$G$23,Assumptions!$R$30,MIN(BR5*Assumptions!$G$29+BR9*Assumptions!$G$30,Assumptions!$G$31-BR39))</f>
        <v>0</v>
      </c>
      <c r="BS40" s="24">
        <f>IF(BS4=Assumptions!$G$23,Assumptions!$R$30,MIN(BS5*Assumptions!$G$29+BS9*Assumptions!$G$30,Assumptions!$G$31-BS39))</f>
        <v>0</v>
      </c>
      <c r="BT40" s="24">
        <f>IF(BT4=Assumptions!$G$23,Assumptions!$R$30,MIN(BT5*Assumptions!$G$29+BT9*Assumptions!$G$30,Assumptions!$G$31-BT39))</f>
        <v>0</v>
      </c>
      <c r="BU40" s="24">
        <f>IF(BU4=Assumptions!$G$23,Assumptions!$R$30,MIN(BU5*Assumptions!$G$29+BU9*Assumptions!$G$30,Assumptions!$G$31-BU39))</f>
        <v>0</v>
      </c>
      <c r="BV40" s="24">
        <f>IF(BV4=Assumptions!$G$23,Assumptions!$R$30,MIN(BV5*Assumptions!$G$29+BV9*Assumptions!$G$30,Assumptions!$G$31-BV39))</f>
        <v>0</v>
      </c>
      <c r="BW40" s="24">
        <f>IF(BW4=Assumptions!$G$23,Assumptions!$R$30,MIN(BW5*Assumptions!$G$29+BW9*Assumptions!$G$30,Assumptions!$G$31-BW39))</f>
        <v>0</v>
      </c>
      <c r="BX40" s="24">
        <f>IF(BX4=Assumptions!$G$23,Assumptions!$R$30,MIN(BX5*Assumptions!$G$29+BX9*Assumptions!$G$30,Assumptions!$G$31-BX39))</f>
        <v>0</v>
      </c>
      <c r="BY40" s="24">
        <f>IF(BY4=Assumptions!$G$23,Assumptions!$R$30,MIN(BY5*Assumptions!$G$29+BY9*Assumptions!$G$30,Assumptions!$G$31-BY39))</f>
        <v>0</v>
      </c>
      <c r="BZ40" s="24">
        <f>IF(BZ4=Assumptions!$G$23,Assumptions!$R$30,MIN(BZ5*Assumptions!$G$29+BZ9*Assumptions!$G$30,Assumptions!$G$31-BZ39))</f>
        <v>0</v>
      </c>
      <c r="CA40" s="24">
        <f>IF(CA4=Assumptions!$G$23,Assumptions!$R$30,MIN(CA5*Assumptions!$G$29+CA9*Assumptions!$G$30,Assumptions!$G$31-CA39))</f>
        <v>0</v>
      </c>
      <c r="CB40" s="24">
        <f>IF(CB4=Assumptions!$G$23,Assumptions!$R$30,MIN(CB5*Assumptions!$G$29+CB9*Assumptions!$G$30,Assumptions!$G$31-CB39))</f>
        <v>0</v>
      </c>
      <c r="CC40" s="24">
        <f>IF(CC4=Assumptions!$G$23,Assumptions!$R$30,MIN(CC5*Assumptions!$G$29+CC9*Assumptions!$G$30,Assumptions!$G$31-CC39))</f>
        <v>0</v>
      </c>
      <c r="CD40" s="24">
        <f>IF(CD4=Assumptions!$G$23,Assumptions!$R$30,MIN(CD5*Assumptions!$G$29+CD9*Assumptions!$G$30,Assumptions!$G$31-CD39))</f>
        <v>0</v>
      </c>
      <c r="CE40" s="24">
        <f>IF(CE4=Assumptions!$G$23,Assumptions!$R$30,MIN(CE5*Assumptions!$G$29+CE9*Assumptions!$G$30,Assumptions!$G$31-CE39))</f>
        <v>0</v>
      </c>
      <c r="CF40" s="24">
        <f>IF(CF4=Assumptions!$G$23,Assumptions!$R$30,MIN(CF5*Assumptions!$G$29+CF9*Assumptions!$G$30,Assumptions!$G$31-CF39))</f>
        <v>0</v>
      </c>
      <c r="CG40" s="24">
        <f>IF(CG4=Assumptions!$G$23,Assumptions!$R$30,MIN(CG5*Assumptions!$G$29+CG9*Assumptions!$G$30,Assumptions!$G$31-CG39))</f>
        <v>0</v>
      </c>
      <c r="CH40" s="24">
        <f>IF(CH4=Assumptions!$G$23,Assumptions!$R$30,MIN(CH5*Assumptions!$G$29+CH9*Assumptions!$G$30,Assumptions!$G$31-CH39))</f>
        <v>0</v>
      </c>
      <c r="CI40" s="24">
        <f>IF(CI4=Assumptions!$G$23,Assumptions!$R$30,MIN(CI5*Assumptions!$G$29+CI9*Assumptions!$G$30,Assumptions!$G$31-CI39))</f>
        <v>0</v>
      </c>
      <c r="CJ40" s="24">
        <f>IF(CJ4=Assumptions!$G$23,Assumptions!$R$30,MIN(CJ5*Assumptions!$G$29+CJ9*Assumptions!$G$30,Assumptions!$G$31-CJ39))</f>
        <v>0</v>
      </c>
      <c r="CK40" s="24">
        <f>IF(CK4=Assumptions!$G$23,Assumptions!$R$30,MIN(CK5*Assumptions!$G$29+CK9*Assumptions!$G$30,Assumptions!$G$31-CK39))</f>
        <v>0</v>
      </c>
      <c r="CL40" s="24">
        <f>IF(CL4=Assumptions!$G$23,Assumptions!$R$30,MIN(CL5*Assumptions!$G$29+CL9*Assumptions!$G$30,Assumptions!$G$31-CL39))</f>
        <v>0</v>
      </c>
      <c r="CM40" s="24">
        <f>IF(CM4=Assumptions!$G$23,Assumptions!$R$30,MIN(CM5*Assumptions!$G$29+CM9*Assumptions!$G$30,Assumptions!$G$31-CM39))</f>
        <v>0</v>
      </c>
      <c r="CN40" s="24">
        <f>IF(CN4=Assumptions!$G$23,Assumptions!$R$30,MIN(CN5*Assumptions!$G$29+CN9*Assumptions!$G$30,Assumptions!$G$31-CN39))</f>
        <v>0</v>
      </c>
      <c r="CO40" s="24">
        <f>IF(CO4=Assumptions!$G$23,Assumptions!$R$30,MIN(CO5*Assumptions!$G$29+CO9*Assumptions!$G$30,Assumptions!$G$31-CO39))</f>
        <v>0</v>
      </c>
      <c r="CP40" s="24">
        <f>IF(CP4=Assumptions!$G$23,Assumptions!$R$30,MIN(CP5*Assumptions!$G$29+CP9*Assumptions!$G$30,Assumptions!$G$31-CP39))</f>
        <v>0</v>
      </c>
      <c r="CQ40" s="24">
        <f>IF(CQ4=Assumptions!$G$23,Assumptions!$R$30,MIN(CQ5*Assumptions!$G$29+CQ9*Assumptions!$G$30,Assumptions!$G$31-CQ39))</f>
        <v>0</v>
      </c>
      <c r="CR40" s="24">
        <f>IF(CR4=Assumptions!$G$23,Assumptions!$R$30,MIN(CR5*Assumptions!$G$29+CR9*Assumptions!$G$30,Assumptions!$G$31-CR39))</f>
        <v>0</v>
      </c>
      <c r="CS40" s="24">
        <f>IF(CS4=Assumptions!$G$23,Assumptions!$R$30,MIN(CS5*Assumptions!$G$29+CS9*Assumptions!$G$30,Assumptions!$G$31-CS39))</f>
        <v>0</v>
      </c>
      <c r="CT40" s="24">
        <f>IF(CT4=Assumptions!$G$23,Assumptions!$R$30,MIN(CT5*Assumptions!$G$29+CT9*Assumptions!$G$30,Assumptions!$G$31-CT39))</f>
        <v>0</v>
      </c>
      <c r="CU40" s="24">
        <f>IF(CU4=Assumptions!$G$23,Assumptions!$R$30,MIN(CU5*Assumptions!$G$29+CU9*Assumptions!$G$30,Assumptions!$G$31-CU39))</f>
        <v>0</v>
      </c>
      <c r="CV40" s="24">
        <f>IF(CV4=Assumptions!$G$23,Assumptions!$R$30,MIN(CV5*Assumptions!$G$29+CV9*Assumptions!$G$30,Assumptions!$G$31-CV39))</f>
        <v>0</v>
      </c>
      <c r="CW40" s="24">
        <f>IF(CW4=Assumptions!$G$23,Assumptions!$R$30,MIN(CW5*Assumptions!$G$29+CW9*Assumptions!$G$30,Assumptions!$G$31-CW39))</f>
        <v>0</v>
      </c>
      <c r="CX40" s="24">
        <f>IF(CX4=Assumptions!$G$23,Assumptions!$R$30,MIN(CX5*Assumptions!$G$29+CX9*Assumptions!$G$30,Assumptions!$G$31-CX39))</f>
        <v>0</v>
      </c>
      <c r="CY40" s="24">
        <f>IF(CY4=Assumptions!$G$23,Assumptions!$R$30,MIN(CY5*Assumptions!$G$29+CY9*Assumptions!$G$30,Assumptions!$G$31-CY39))</f>
        <v>0</v>
      </c>
      <c r="CZ40" s="24">
        <f>IF(CZ4=Assumptions!$G$23,Assumptions!$R$30,MIN(CZ5*Assumptions!$G$29+CZ9*Assumptions!$G$30,Assumptions!$G$31-CZ39))</f>
        <v>0</v>
      </c>
      <c r="DA40" s="24">
        <f>IF(DA4=Assumptions!$G$23,Assumptions!$R$30,MIN(DA5*Assumptions!$G$29+DA9*Assumptions!$G$30,Assumptions!$G$31-DA39))</f>
        <v>0</v>
      </c>
      <c r="DB40" s="24">
        <f>IF(DB4=Assumptions!$G$23,Assumptions!$R$30,MIN(DB5*Assumptions!$G$29+DB9*Assumptions!$G$30,Assumptions!$G$31-DB39))</f>
        <v>0</v>
      </c>
      <c r="DC40" s="24">
        <f>IF(DC4=Assumptions!$G$23,Assumptions!$R$30,MIN(DC5*Assumptions!$G$29+DC9*Assumptions!$G$30,Assumptions!$G$31-DC39))</f>
        <v>0</v>
      </c>
      <c r="DD40" s="24">
        <f>IF(DD4=Assumptions!$G$23,Assumptions!$R$30,MIN(DD5*Assumptions!$G$29+DD9*Assumptions!$G$30,Assumptions!$G$31-DD39))</f>
        <v>0</v>
      </c>
      <c r="DE40" s="24">
        <f>IF(DE4=Assumptions!$G$23,Assumptions!$R$30,MIN(DE5*Assumptions!$G$29+DE9*Assumptions!$G$30,Assumptions!$G$31-DE39))</f>
        <v>0</v>
      </c>
      <c r="DF40" s="24">
        <f>IF(DF4=Assumptions!$G$23,Assumptions!$R$30,MIN(DF5*Assumptions!$G$29+DF9*Assumptions!$G$30,Assumptions!$G$31-DF39))</f>
        <v>0</v>
      </c>
      <c r="DG40" s="24">
        <f>IF(DG4=Assumptions!$G$23,Assumptions!$R$30,MIN(DG5*Assumptions!$G$29+DG9*Assumptions!$G$30,Assumptions!$G$31-DG39))</f>
        <v>0</v>
      </c>
      <c r="DH40" s="24">
        <f>IF(DH4=Assumptions!$G$23,Assumptions!$R$30,MIN(DH5*Assumptions!$G$29+DH9*Assumptions!$G$30,Assumptions!$G$31-DH39))</f>
        <v>0</v>
      </c>
      <c r="DI40" s="24">
        <f>IF(DI4=Assumptions!$G$23,Assumptions!$R$30,MIN(DI5*Assumptions!$G$29+DI9*Assumptions!$G$30,Assumptions!$G$31-DI39))</f>
        <v>0</v>
      </c>
      <c r="DJ40" s="24">
        <f>IF(DJ4=Assumptions!$G$23,Assumptions!$R$30,MIN(DJ5*Assumptions!$G$29+DJ9*Assumptions!$G$30,Assumptions!$G$31-DJ39))</f>
        <v>0</v>
      </c>
      <c r="DK40" s="24">
        <f>IF(DK4=Assumptions!$G$23,Assumptions!$R$30,MIN(DK5*Assumptions!$G$29+DK9*Assumptions!$G$30,Assumptions!$G$31-DK39))</f>
        <v>0</v>
      </c>
      <c r="DL40" s="24">
        <f>IF(DL4=Assumptions!$G$23,Assumptions!$R$30,MIN(DL5*Assumptions!$G$29+DL9*Assumptions!$G$30,Assumptions!$G$31-DL39))</f>
        <v>0</v>
      </c>
      <c r="DM40" s="24">
        <f>IF(DM4=Assumptions!$G$23,Assumptions!$R$30,MIN(DM5*Assumptions!$G$29+DM9*Assumptions!$G$30,Assumptions!$G$31-DM39))</f>
        <v>0</v>
      </c>
      <c r="DN40" s="24">
        <f>IF(DN4=Assumptions!$G$23,Assumptions!$R$30,MIN(DN5*Assumptions!$G$29+DN9*Assumptions!$G$30,Assumptions!$G$31-DN39))</f>
        <v>0</v>
      </c>
      <c r="DO40" s="24">
        <f>IF(DO4=Assumptions!$G$23,Assumptions!$R$30,MIN(DO5*Assumptions!$G$29+DO9*Assumptions!$G$30,Assumptions!$G$31-DO39))</f>
        <v>0</v>
      </c>
      <c r="DP40" s="24">
        <f>IF(DP4=Assumptions!$G$23,Assumptions!$R$30,MIN(DP5*Assumptions!$G$29+DP9*Assumptions!$G$30,Assumptions!$G$31-DP39))</f>
        <v>0</v>
      </c>
      <c r="DQ40" s="24">
        <f>IF(DQ4=Assumptions!$G$23,Assumptions!$R$30,MIN(DQ5*Assumptions!$G$29+DQ9*Assumptions!$G$30,Assumptions!$G$31-DQ39))</f>
        <v>0</v>
      </c>
      <c r="DR40" s="24">
        <f>IF(DR4=Assumptions!$G$23,Assumptions!$R$30,MIN(DR5*Assumptions!$G$29+DR9*Assumptions!$G$30,Assumptions!$G$31-DR39))</f>
        <v>0</v>
      </c>
      <c r="DS40" s="24">
        <f>IF(DS4=Assumptions!$G$23,Assumptions!$R$30,MIN(DS5*Assumptions!$G$29+DS9*Assumptions!$G$30,Assumptions!$G$31-DS39))</f>
        <v>0</v>
      </c>
      <c r="DT40" s="24">
        <f>IF(DT4=Assumptions!$G$23,Assumptions!$R$30,MIN(DT5*Assumptions!$G$29+DT9*Assumptions!$G$30,Assumptions!$G$31-DT39))</f>
        <v>0</v>
      </c>
      <c r="DU40" s="24">
        <f>IF(DU4=Assumptions!$G$23,Assumptions!$R$30,MIN(DU5*Assumptions!$G$29+DU9*Assumptions!$G$30,Assumptions!$G$31-DU39))</f>
        <v>0</v>
      </c>
      <c r="DV40" s="24">
        <f>IF(DV4=Assumptions!$G$23,Assumptions!$R$30,MIN(DV5*Assumptions!$G$29+DV9*Assumptions!$G$30,Assumptions!$G$31-DV39))</f>
        <v>0</v>
      </c>
      <c r="DW40" s="24">
        <f>IF(DW4=Assumptions!$G$23,Assumptions!$R$30,MIN(DW5*Assumptions!$G$29+DW9*Assumptions!$G$30,Assumptions!$G$31-DW39))</f>
        <v>0</v>
      </c>
      <c r="DX40" s="24">
        <f>IF(DX4=Assumptions!$G$23,Assumptions!$R$30,MIN(DX5*Assumptions!$G$29+DX9*Assumptions!$G$30,Assumptions!$G$31-DX39))</f>
        <v>0</v>
      </c>
      <c r="DY40" s="24">
        <f>IF(DY4=Assumptions!$G$23,Assumptions!$R$30,MIN(DY5*Assumptions!$G$29+DY9*Assumptions!$G$30,Assumptions!$G$31-DY39))</f>
        <v>0</v>
      </c>
      <c r="DZ40" s="24">
        <f>IF(DZ4=Assumptions!$G$23,Assumptions!$R$30,MIN(DZ5*Assumptions!$G$29+DZ9*Assumptions!$G$30,Assumptions!$G$31-DZ39))</f>
        <v>0</v>
      </c>
      <c r="EA40" s="24">
        <f>IF(EA4=Assumptions!$G$23,Assumptions!$R$30,MIN(EA5*Assumptions!$G$29+EA9*Assumptions!$G$30,Assumptions!$G$31-EA39))</f>
        <v>0</v>
      </c>
      <c r="EB40" s="24">
        <f>IF(EB4=Assumptions!$G$23,Assumptions!$R$30,MIN(EB5*Assumptions!$G$29+EB9*Assumptions!$G$30,Assumptions!$G$31-EB39))</f>
        <v>0</v>
      </c>
      <c r="EC40" s="24">
        <f>IF(EC4=Assumptions!$G$23,Assumptions!$R$30,MIN(EC5*Assumptions!$G$29+EC9*Assumptions!$G$30,Assumptions!$G$31-EC39))</f>
        <v>0</v>
      </c>
      <c r="ED40" s="24">
        <f>IF(ED4=Assumptions!$G$23,Assumptions!$R$30,MIN(ED5*Assumptions!$G$29+ED9*Assumptions!$G$30,Assumptions!$G$31-ED39))</f>
        <v>0</v>
      </c>
      <c r="EE40" s="24">
        <f>IF(EE4=Assumptions!$G$23,Assumptions!$R$30,MIN(EE5*Assumptions!$G$29+EE9*Assumptions!$G$30,Assumptions!$G$31-EE39))</f>
        <v>0</v>
      </c>
      <c r="EF40" s="24">
        <f>IF(EF4=Assumptions!$G$23,Assumptions!$R$30,MIN(EF5*Assumptions!$G$29+EF9*Assumptions!$G$30,Assumptions!$G$31-EF39))</f>
        <v>0</v>
      </c>
      <c r="EG40" s="24">
        <f>IF(EG4=Assumptions!$G$23,Assumptions!$R$30,MIN(EG5*Assumptions!$G$29+EG9*Assumptions!$G$30,Assumptions!$G$31-EG39))</f>
        <v>0</v>
      </c>
      <c r="EH40" s="24">
        <f>IF(EH4=Assumptions!$G$23,Assumptions!$R$30,MIN(EH5*Assumptions!$G$29+EH9*Assumptions!$G$30,Assumptions!$G$31-EH39))</f>
        <v>0</v>
      </c>
      <c r="EI40" s="24">
        <f>IF(EI4=Assumptions!$G$23,Assumptions!$R$30,MIN(EI5*Assumptions!$G$29+EI9*Assumptions!$G$30,Assumptions!$G$31-EI39))</f>
        <v>0</v>
      </c>
      <c r="EM40" s="1" t="s">
        <v>178</v>
      </c>
    </row>
    <row r="41" spans="2:143" x14ac:dyDescent="0.45">
      <c r="D41" s="1" t="s">
        <v>258</v>
      </c>
      <c r="G41" s="24">
        <f>+IFERROR(INDEX('Debt Schedule'!$F$12:$F$108,MATCH(Model!G4,'Debt Schedule'!$B$12:$B$108,0)),0)</f>
        <v>0</v>
      </c>
      <c r="H41" s="24">
        <f>+IFERROR(INDEX('Debt Schedule'!$F$12:$F$108,MATCH(Model!H4,'Debt Schedule'!$B$12:$B$108,0)),0)</f>
        <v>-7740.5732420548748</v>
      </c>
      <c r="I41" s="24">
        <f>+IFERROR(INDEX('Debt Schedule'!$F$12:$F$108,MATCH(Model!I4,'Debt Schedule'!$B$12:$B$108,0)),0)</f>
        <v>-7788.9518248177183</v>
      </c>
      <c r="J41" s="24">
        <f>+IFERROR(INDEX('Debt Schedule'!$F$12:$F$108,MATCH(Model!J4,'Debt Schedule'!$B$12:$B$108,0)),0)</f>
        <v>-7837.6327737228285</v>
      </c>
      <c r="K41" s="24">
        <f>+IFERROR(INDEX('Debt Schedule'!$F$12:$F$108,MATCH(Model!K4,'Debt Schedule'!$B$12:$B$108,0)),0)</f>
        <v>-7886.6179785585973</v>
      </c>
      <c r="L41" s="24">
        <f>+IFERROR(INDEX('Debt Schedule'!$F$12:$F$108,MATCH(Model!L4,'Debt Schedule'!$B$12:$B$108,0)),0)</f>
        <v>-7935.909340924587</v>
      </c>
      <c r="M41" s="24">
        <f>+IFERROR(INDEX('Debt Schedule'!$F$12:$F$108,MATCH(Model!M4,'Debt Schedule'!$B$12:$B$108,0)),0)</f>
        <v>-7985.5087743053673</v>
      </c>
      <c r="N41" s="24">
        <f>+IFERROR(INDEX('Debt Schedule'!$F$12:$F$108,MATCH(Model!N4,'Debt Schedule'!$B$12:$B$108,0)),0)</f>
        <v>-8035.4182041447766</v>
      </c>
      <c r="O41" s="24">
        <f>+IFERROR(INDEX('Debt Schedule'!$F$12:$F$108,MATCH(Model!O4,'Debt Schedule'!$B$12:$B$108,0)),0)</f>
        <v>-8085.6395679206798</v>
      </c>
      <c r="P41" s="24">
        <f>+IFERROR(INDEX('Debt Schedule'!$F$12:$F$108,MATCH(Model!P4,'Debt Schedule'!$B$12:$B$108,0)),0)</f>
        <v>-8136.1748152201844</v>
      </c>
      <c r="Q41" s="24">
        <f>+IFERROR(INDEX('Debt Schedule'!$F$12:$F$108,MATCH(Model!Q4,'Debt Schedule'!$B$12:$B$108,0)),0)</f>
        <v>-8187.0259078153113</v>
      </c>
      <c r="R41" s="24">
        <f>+IFERROR(INDEX('Debt Schedule'!$F$12:$F$108,MATCH(Model!R4,'Debt Schedule'!$B$12:$B$108,0)),0)</f>
        <v>-8238.1948197391557</v>
      </c>
      <c r="S41" s="24">
        <f>+IFERROR(INDEX('Debt Schedule'!$F$12:$F$108,MATCH(Model!S4,'Debt Schedule'!$B$12:$B$108,0)),0)</f>
        <v>-8289.6835373625217</v>
      </c>
      <c r="T41" s="24">
        <f>+IFERROR(INDEX('Debt Schedule'!$F$12:$F$108,MATCH(Model!T4,'Debt Schedule'!$B$12:$B$108,0)),0)</f>
        <v>-8341.4940594710388</v>
      </c>
      <c r="U41" s="24">
        <f>+IFERROR(INDEX('Debt Schedule'!$F$12:$F$108,MATCH(Model!U4,'Debt Schedule'!$B$12:$B$108,0)),0)</f>
        <v>-8393.6283973427326</v>
      </c>
      <c r="V41" s="24">
        <f>+IFERROR(INDEX('Debt Schedule'!$F$12:$F$108,MATCH(Model!V4,'Debt Schedule'!$B$12:$B$108,0)),0)</f>
        <v>-8446.0885748261244</v>
      </c>
      <c r="W41" s="24">
        <f>+IFERROR(INDEX('Debt Schedule'!$F$12:$F$108,MATCH(Model!W4,'Debt Schedule'!$B$12:$B$108,0)),0)</f>
        <v>-8498.8766284187877</v>
      </c>
      <c r="X41" s="24">
        <f>+IFERROR(INDEX('Debt Schedule'!$F$12:$F$108,MATCH(Model!X4,'Debt Schedule'!$B$12:$B$108,0)),0)</f>
        <v>-8551.9946073464052</v>
      </c>
      <c r="Y41" s="24">
        <f>+IFERROR(INDEX('Debt Schedule'!$F$12:$F$108,MATCH(Model!Y4,'Debt Schedule'!$B$12:$B$108,0)),0)</f>
        <v>-8605.4445736423204</v>
      </c>
      <c r="Z41" s="24">
        <f>+IFERROR(INDEX('Debt Schedule'!$F$12:$F$108,MATCH(Model!Z4,'Debt Schedule'!$B$12:$B$108,0)),0)</f>
        <v>-8659.2286022275857</v>
      </c>
      <c r="AA41" s="24">
        <f>+IFERROR(INDEX('Debt Schedule'!$F$12:$F$108,MATCH(Model!AA4,'Debt Schedule'!$B$12:$B$108,0)),0)</f>
        <v>-8713.3487809915077</v>
      </c>
      <c r="AB41" s="24">
        <f>+IFERROR(INDEX('Debt Schedule'!$F$12:$F$108,MATCH(Model!AB4,'Debt Schedule'!$B$12:$B$108,0)),0)</f>
        <v>-8767.8072108727065</v>
      </c>
      <c r="AC41" s="24">
        <f>+IFERROR(INDEX('Debt Schedule'!$F$12:$F$108,MATCH(Model!AC4,'Debt Schedule'!$B$12:$B$108,0)),0)</f>
        <v>-8822.6060059406591</v>
      </c>
      <c r="AD41" s="24">
        <f>+IFERROR(INDEX('Debt Schedule'!$F$12:$F$108,MATCH(Model!AD4,'Debt Schedule'!$B$12:$B$108,0)),0)</f>
        <v>-8877.7472934777888</v>
      </c>
      <c r="AE41" s="24">
        <f>+IFERROR(INDEX('Debt Schedule'!$F$12:$F$108,MATCH(Model!AE4,'Debt Schedule'!$B$12:$B$108,0)),0)</f>
        <v>-8933.2332140620256</v>
      </c>
      <c r="AF41" s="24">
        <f>+IFERROR(INDEX('Debt Schedule'!$F$12:$F$108,MATCH(Model!AF4,'Debt Schedule'!$B$12:$B$108,0)),0)</f>
        <v>-8989.0659216499116</v>
      </c>
      <c r="AG41" s="24">
        <f>+IFERROR(INDEX('Debt Schedule'!$F$12:$F$108,MATCH(Model!AG4,'Debt Schedule'!$B$12:$B$108,0)),0)</f>
        <v>-9045.2475836602243</v>
      </c>
      <c r="AH41" s="24">
        <f>+IFERROR(INDEX('Debt Schedule'!$F$12:$F$108,MATCH(Model!AH4,'Debt Schedule'!$B$12:$B$108,0)),0)</f>
        <v>-9101.7803810581026</v>
      </c>
      <c r="AI41" s="24">
        <f>+IFERROR(INDEX('Debt Schedule'!$F$12:$F$108,MATCH(Model!AI4,'Debt Schedule'!$B$12:$B$108,0)),0)</f>
        <v>-9158.6665084397155</v>
      </c>
      <c r="AJ41" s="24">
        <f>+IFERROR(INDEX('Debt Schedule'!$F$12:$F$108,MATCH(Model!AJ4,'Debt Schedule'!$B$12:$B$108,0)),0)</f>
        <v>-9215.9081741174632</v>
      </c>
      <c r="AK41" s="24">
        <f>+IFERROR(INDEX('Debt Schedule'!$F$12:$F$108,MATCH(Model!AK4,'Debt Schedule'!$B$12:$B$108,0)),0)</f>
        <v>-9273.5076002056976</v>
      </c>
      <c r="AL41" s="24">
        <f>+IFERROR(INDEX('Debt Schedule'!$F$12:$F$108,MATCH(Model!AL4,'Debt Schedule'!$B$12:$B$108,0)),0)</f>
        <v>-9331.4670227069837</v>
      </c>
      <c r="AM41" s="24">
        <f>+IFERROR(INDEX('Debt Schedule'!$F$12:$F$108,MATCH(Model!AM4,'Debt Schedule'!$B$12:$B$108,0)),0)</f>
        <v>-9389.7886915989002</v>
      </c>
      <c r="AN41" s="24">
        <f>+IFERROR(INDEX('Debt Schedule'!$F$12:$F$108,MATCH(Model!AN4,'Debt Schedule'!$B$12:$B$108,0)),0)</f>
        <v>-9448.4748709213964</v>
      </c>
      <c r="AO41" s="24">
        <f>+IFERROR(INDEX('Debt Schedule'!$F$12:$F$108,MATCH(Model!AO4,'Debt Schedule'!$B$12:$B$108,0)),0)</f>
        <v>-9507.5278388646529</v>
      </c>
      <c r="AP41" s="24">
        <f>+IFERROR(INDEX('Debt Schedule'!$F$12:$F$108,MATCH(Model!AP4,'Debt Schedule'!$B$12:$B$108,0)),0)</f>
        <v>-9566.9498878575578</v>
      </c>
      <c r="AQ41" s="24">
        <f>+IFERROR(INDEX('Debt Schedule'!$F$12:$F$108,MATCH(Model!AQ4,'Debt Schedule'!$B$12:$B$108,0)),0)</f>
        <v>-9626.743324656667</v>
      </c>
      <c r="AR41" s="24">
        <f>+IFERROR(INDEX('Debt Schedule'!$F$12:$F$108,MATCH(Model!AR4,'Debt Schedule'!$B$12:$B$108,0)),0)</f>
        <v>0</v>
      </c>
      <c r="AS41" s="24">
        <f>+IFERROR(INDEX('Debt Schedule'!$F$12:$F$108,MATCH(Model!AS4,'Debt Schedule'!$B$12:$B$108,0)),0)</f>
        <v>0</v>
      </c>
      <c r="AT41" s="24">
        <f>+IFERROR(INDEX('Debt Schedule'!$F$12:$F$108,MATCH(Model!AT4,'Debt Schedule'!$B$12:$B$108,0)),0)</f>
        <v>0</v>
      </c>
      <c r="AU41" s="24">
        <f>+IFERROR(INDEX('Debt Schedule'!$F$12:$F$108,MATCH(Model!AU4,'Debt Schedule'!$B$12:$B$108,0)),0)</f>
        <v>0</v>
      </c>
      <c r="AV41" s="24">
        <f>+IFERROR(INDEX('Debt Schedule'!$F$12:$F$108,MATCH(Model!AV4,'Debt Schedule'!$B$12:$B$108,0)),0)</f>
        <v>0</v>
      </c>
      <c r="AW41" s="24">
        <f>+IFERROR(INDEX('Debt Schedule'!$F$12:$F$108,MATCH(Model!AW4,'Debt Schedule'!$B$12:$B$108,0)),0)</f>
        <v>0</v>
      </c>
      <c r="AX41" s="24">
        <f>+IFERROR(INDEX('Debt Schedule'!$F$12:$F$108,MATCH(Model!AX4,'Debt Schedule'!$B$12:$B$108,0)),0)</f>
        <v>0</v>
      </c>
      <c r="AY41" s="24">
        <f>+IFERROR(INDEX('Debt Schedule'!$F$12:$F$108,MATCH(Model!AY4,'Debt Schedule'!$B$12:$B$108,0)),0)</f>
        <v>0</v>
      </c>
      <c r="AZ41" s="24">
        <f>+IFERROR(INDEX('Debt Schedule'!$F$12:$F$108,MATCH(Model!AZ4,'Debt Schedule'!$B$12:$B$108,0)),0)</f>
        <v>0</v>
      </c>
      <c r="BA41" s="24">
        <f>+IFERROR(INDEX('Debt Schedule'!$F$12:$F$108,MATCH(Model!BA4,'Debt Schedule'!$B$12:$B$108,0)),0)</f>
        <v>0</v>
      </c>
      <c r="BB41" s="24">
        <f>+IFERROR(INDEX('Debt Schedule'!$F$12:$F$108,MATCH(Model!BB4,'Debt Schedule'!$B$12:$B$108,0)),0)</f>
        <v>0</v>
      </c>
      <c r="BC41" s="24">
        <f>+IFERROR(INDEX('Debt Schedule'!$F$12:$F$108,MATCH(Model!BC4,'Debt Schedule'!$B$12:$B$108,0)),0)</f>
        <v>0</v>
      </c>
      <c r="BD41" s="24">
        <f>+IFERROR(INDEX('Debt Schedule'!$F$12:$F$108,MATCH(Model!BD4,'Debt Schedule'!$B$12:$B$108,0)),0)</f>
        <v>0</v>
      </c>
      <c r="BE41" s="24">
        <f>+IFERROR(INDEX('Debt Schedule'!$F$12:$F$108,MATCH(Model!BE4,'Debt Schedule'!$B$12:$B$108,0)),0)</f>
        <v>0</v>
      </c>
      <c r="BF41" s="24">
        <f>+IFERROR(INDEX('Debt Schedule'!$F$12:$F$108,MATCH(Model!BF4,'Debt Schedule'!$B$12:$B$108,0)),0)</f>
        <v>0</v>
      </c>
      <c r="BG41" s="24">
        <f>+IFERROR(INDEX('Debt Schedule'!$F$12:$F$108,MATCH(Model!BG4,'Debt Schedule'!$B$12:$B$108,0)),0)</f>
        <v>0</v>
      </c>
      <c r="BH41" s="24">
        <f>+IFERROR(INDEX('Debt Schedule'!$F$12:$F$108,MATCH(Model!BH4,'Debt Schedule'!$B$12:$B$108,0)),0)</f>
        <v>0</v>
      </c>
      <c r="BI41" s="24">
        <f>+IFERROR(INDEX('Debt Schedule'!$F$12:$F$108,MATCH(Model!BI4,'Debt Schedule'!$B$12:$B$108,0)),0)</f>
        <v>0</v>
      </c>
      <c r="BJ41" s="24">
        <f>+IFERROR(INDEX('Debt Schedule'!$F$12:$F$108,MATCH(Model!BJ4,'Debt Schedule'!$B$12:$B$108,0)),0)</f>
        <v>0</v>
      </c>
      <c r="BK41" s="24">
        <f>+IFERROR(INDEX('Debt Schedule'!$F$12:$F$108,MATCH(Model!BK4,'Debt Schedule'!$B$12:$B$108,0)),0)</f>
        <v>0</v>
      </c>
      <c r="BL41" s="24">
        <f>+IFERROR(INDEX('Debt Schedule'!$F$12:$F$108,MATCH(Model!BL4,'Debt Schedule'!$B$12:$B$108,0)),0)</f>
        <v>0</v>
      </c>
      <c r="BM41" s="24">
        <f>+IFERROR(INDEX('Debt Schedule'!$F$12:$F$108,MATCH(Model!BM4,'Debt Schedule'!$B$12:$B$108,0)),0)</f>
        <v>0</v>
      </c>
      <c r="BN41" s="24">
        <f>+IFERROR(INDEX('Debt Schedule'!$F$12:$F$108,MATCH(Model!BN4,'Debt Schedule'!$B$12:$B$108,0)),0)</f>
        <v>0</v>
      </c>
      <c r="BO41" s="24">
        <f>+IFERROR(INDEX('Debt Schedule'!$F$12:$F$108,MATCH(Model!BO4,'Debt Schedule'!$B$12:$B$108,0)),0)</f>
        <v>0</v>
      </c>
      <c r="BP41" s="24">
        <f>+IFERROR(INDEX('Debt Schedule'!$F$12:$F$108,MATCH(Model!BP4,'Debt Schedule'!$B$12:$B$108,0)),0)</f>
        <v>0</v>
      </c>
      <c r="BQ41" s="24">
        <f>+IFERROR(INDEX('Debt Schedule'!$F$12:$F$108,MATCH(Model!BQ4,'Debt Schedule'!$B$12:$B$108,0)),0)</f>
        <v>0</v>
      </c>
      <c r="BR41" s="24">
        <f>+IFERROR(INDEX('Debt Schedule'!$F$12:$F$108,MATCH(Model!BR4,'Debt Schedule'!$B$12:$B$108,0)),0)</f>
        <v>0</v>
      </c>
      <c r="BS41" s="24">
        <f>+IFERROR(INDEX('Debt Schedule'!$F$12:$F$108,MATCH(Model!BS4,'Debt Schedule'!$B$12:$B$108,0)),0)</f>
        <v>0</v>
      </c>
      <c r="BT41" s="24">
        <f>+IFERROR(INDEX('Debt Schedule'!$F$12:$F$108,MATCH(Model!BT4,'Debt Schedule'!$B$12:$B$108,0)),0)</f>
        <v>0</v>
      </c>
      <c r="BU41" s="24">
        <f>+IFERROR(INDEX('Debt Schedule'!$F$12:$F$108,MATCH(Model!BU4,'Debt Schedule'!$B$12:$B$108,0)),0)</f>
        <v>0</v>
      </c>
      <c r="BV41" s="24">
        <f>+IFERROR(INDEX('Debt Schedule'!$F$12:$F$108,MATCH(Model!BV4,'Debt Schedule'!$B$12:$B$108,0)),0)</f>
        <v>0</v>
      </c>
      <c r="BW41" s="24">
        <f>+IFERROR(INDEX('Debt Schedule'!$F$12:$F$108,MATCH(Model!BW4,'Debt Schedule'!$B$12:$B$108,0)),0)</f>
        <v>0</v>
      </c>
      <c r="BX41" s="24">
        <f>+IFERROR(INDEX('Debt Schedule'!$F$12:$F$108,MATCH(Model!BX4,'Debt Schedule'!$B$12:$B$108,0)),0)</f>
        <v>0</v>
      </c>
      <c r="BY41" s="24">
        <f>+IFERROR(INDEX('Debt Schedule'!$F$12:$F$108,MATCH(Model!BY4,'Debt Schedule'!$B$12:$B$108,0)),0)</f>
        <v>0</v>
      </c>
      <c r="BZ41" s="24">
        <f>+IFERROR(INDEX('Debt Schedule'!$F$12:$F$108,MATCH(Model!BZ4,'Debt Schedule'!$B$12:$B$108,0)),0)</f>
        <v>0</v>
      </c>
      <c r="CA41" s="24">
        <f>+IFERROR(INDEX('Debt Schedule'!$F$12:$F$108,MATCH(Model!CA4,'Debt Schedule'!$B$12:$B$108,0)),0)</f>
        <v>0</v>
      </c>
      <c r="CB41" s="24">
        <f>+IFERROR(INDEX('Debt Schedule'!$F$12:$F$108,MATCH(Model!CB4,'Debt Schedule'!$B$12:$B$108,0)),0)</f>
        <v>0</v>
      </c>
      <c r="CC41" s="24">
        <f>+IFERROR(INDEX('Debt Schedule'!$F$12:$F$108,MATCH(Model!CC4,'Debt Schedule'!$B$12:$B$108,0)),0)</f>
        <v>0</v>
      </c>
      <c r="CD41" s="24">
        <f>+IFERROR(INDEX('Debt Schedule'!$F$12:$F$108,MATCH(Model!CD4,'Debt Schedule'!$B$12:$B$108,0)),0)</f>
        <v>0</v>
      </c>
      <c r="CE41" s="24">
        <f>+IFERROR(INDEX('Debt Schedule'!$F$12:$F$108,MATCH(Model!CE4,'Debt Schedule'!$B$12:$B$108,0)),0)</f>
        <v>0</v>
      </c>
      <c r="CF41" s="24">
        <f>+IFERROR(INDEX('Debt Schedule'!$F$12:$F$108,MATCH(Model!CF4,'Debt Schedule'!$B$12:$B$108,0)),0)</f>
        <v>0</v>
      </c>
      <c r="CG41" s="24">
        <f>+IFERROR(INDEX('Debt Schedule'!$F$12:$F$108,MATCH(Model!CG4,'Debt Schedule'!$B$12:$B$108,0)),0)</f>
        <v>0</v>
      </c>
      <c r="CH41" s="24">
        <f>+IFERROR(INDEX('Debt Schedule'!$F$12:$F$108,MATCH(Model!CH4,'Debt Schedule'!$B$12:$B$108,0)),0)</f>
        <v>0</v>
      </c>
      <c r="CI41" s="24">
        <f>+IFERROR(INDEX('Debt Schedule'!$F$12:$F$108,MATCH(Model!CI4,'Debt Schedule'!$B$12:$B$108,0)),0)</f>
        <v>0</v>
      </c>
      <c r="CJ41" s="24">
        <f>+IFERROR(INDEX('Debt Schedule'!$F$12:$F$108,MATCH(Model!CJ4,'Debt Schedule'!$B$12:$B$108,0)),0)</f>
        <v>0</v>
      </c>
      <c r="CK41" s="24">
        <f>+IFERROR(INDEX('Debt Schedule'!$F$12:$F$108,MATCH(Model!CK4,'Debt Schedule'!$B$12:$B$108,0)),0)</f>
        <v>0</v>
      </c>
      <c r="CL41" s="24">
        <f>+IFERROR(INDEX('Debt Schedule'!$F$12:$F$108,MATCH(Model!CL4,'Debt Schedule'!$B$12:$B$108,0)),0)</f>
        <v>0</v>
      </c>
      <c r="CM41" s="24">
        <f>+IFERROR(INDEX('Debt Schedule'!$F$12:$F$108,MATCH(Model!CM4,'Debt Schedule'!$B$12:$B$108,0)),0)</f>
        <v>0</v>
      </c>
      <c r="CN41" s="24">
        <f>+IFERROR(INDEX('Debt Schedule'!$F$12:$F$108,MATCH(Model!CN4,'Debt Schedule'!$B$12:$B$108,0)),0)</f>
        <v>0</v>
      </c>
      <c r="CO41" s="24">
        <f>+IFERROR(INDEX('Debt Schedule'!$F$12:$F$108,MATCH(Model!CO4,'Debt Schedule'!$B$12:$B$108,0)),0)</f>
        <v>0</v>
      </c>
      <c r="CP41" s="24">
        <f>+IFERROR(INDEX('Debt Schedule'!$F$12:$F$108,MATCH(Model!CP4,'Debt Schedule'!$B$12:$B$108,0)),0)</f>
        <v>0</v>
      </c>
      <c r="CQ41" s="24">
        <f>+IFERROR(INDEX('Debt Schedule'!$F$12:$F$108,MATCH(Model!CQ4,'Debt Schedule'!$B$12:$B$108,0)),0)</f>
        <v>0</v>
      </c>
      <c r="CR41" s="24">
        <f>+IFERROR(INDEX('Debt Schedule'!$F$12:$F$108,MATCH(Model!CR4,'Debt Schedule'!$B$12:$B$108,0)),0)</f>
        <v>0</v>
      </c>
      <c r="CS41" s="24">
        <f>+IFERROR(INDEX('Debt Schedule'!$F$12:$F$108,MATCH(Model!CS4,'Debt Schedule'!$B$12:$B$108,0)),0)</f>
        <v>0</v>
      </c>
      <c r="CT41" s="24">
        <f>+IFERROR(INDEX('Debt Schedule'!$F$12:$F$108,MATCH(Model!CT4,'Debt Schedule'!$B$12:$B$108,0)),0)</f>
        <v>0</v>
      </c>
      <c r="CU41" s="24">
        <f>+IFERROR(INDEX('Debt Schedule'!$F$12:$F$108,MATCH(Model!CU4,'Debt Schedule'!$B$12:$B$108,0)),0)</f>
        <v>0</v>
      </c>
      <c r="CV41" s="24">
        <f>+IFERROR(INDEX('Debt Schedule'!$F$12:$F$108,MATCH(Model!CV4,'Debt Schedule'!$B$12:$B$108,0)),0)</f>
        <v>0</v>
      </c>
      <c r="CW41" s="24">
        <f>+IFERROR(INDEX('Debt Schedule'!$F$12:$F$108,MATCH(Model!CW4,'Debt Schedule'!$B$12:$B$108,0)),0)</f>
        <v>0</v>
      </c>
      <c r="CX41" s="24">
        <f>+IFERROR(INDEX('Debt Schedule'!$F$12:$F$108,MATCH(Model!CX4,'Debt Schedule'!$B$12:$B$108,0)),0)</f>
        <v>0</v>
      </c>
      <c r="CY41" s="24">
        <f>+IFERROR(INDEX('Debt Schedule'!$F$12:$F$108,MATCH(Model!CY4,'Debt Schedule'!$B$12:$B$108,0)),0)</f>
        <v>0</v>
      </c>
      <c r="CZ41" s="24">
        <f>+IFERROR(INDEX('Debt Schedule'!$F$12:$F$108,MATCH(Model!CZ4,'Debt Schedule'!$B$12:$B$108,0)),0)</f>
        <v>0</v>
      </c>
      <c r="DA41" s="24">
        <f>+IFERROR(INDEX('Debt Schedule'!$F$12:$F$108,MATCH(Model!DA4,'Debt Schedule'!$B$12:$B$108,0)),0)</f>
        <v>0</v>
      </c>
      <c r="DB41" s="24">
        <f>+IFERROR(INDEX('Debt Schedule'!$F$12:$F$108,MATCH(Model!DB4,'Debt Schedule'!$B$12:$B$108,0)),0)</f>
        <v>0</v>
      </c>
      <c r="DC41" s="24">
        <f>+IFERROR(INDEX('Debt Schedule'!$F$12:$F$108,MATCH(Model!DC4,'Debt Schedule'!$B$12:$B$108,0)),0)</f>
        <v>0</v>
      </c>
      <c r="DD41" s="24">
        <f>+IFERROR(INDEX('Debt Schedule'!$F$12:$F$108,MATCH(Model!DD4,'Debt Schedule'!$B$12:$B$108,0)),0)</f>
        <v>0</v>
      </c>
      <c r="DE41" s="24">
        <f>+IFERROR(INDEX('Debt Schedule'!$F$12:$F$108,MATCH(Model!DE4,'Debt Schedule'!$B$12:$B$108,0)),0)</f>
        <v>0</v>
      </c>
      <c r="DF41" s="24">
        <f>+IFERROR(INDEX('Debt Schedule'!$F$12:$F$108,MATCH(Model!DF4,'Debt Schedule'!$B$12:$B$108,0)),0)</f>
        <v>0</v>
      </c>
      <c r="DG41" s="24">
        <f>+IFERROR(INDEX('Debt Schedule'!$F$12:$F$108,MATCH(Model!DG4,'Debt Schedule'!$B$12:$B$108,0)),0)</f>
        <v>0</v>
      </c>
      <c r="DH41" s="24">
        <f>+IFERROR(INDEX('Debt Schedule'!$F$12:$F$108,MATCH(Model!DH4,'Debt Schedule'!$B$12:$B$108,0)),0)</f>
        <v>0</v>
      </c>
      <c r="DI41" s="24">
        <f>+IFERROR(INDEX('Debt Schedule'!$F$12:$F$108,MATCH(Model!DI4,'Debt Schedule'!$B$12:$B$108,0)),0)</f>
        <v>0</v>
      </c>
      <c r="DJ41" s="24">
        <f>+IFERROR(INDEX('Debt Schedule'!$F$12:$F$108,MATCH(Model!DJ4,'Debt Schedule'!$B$12:$B$108,0)),0)</f>
        <v>0</v>
      </c>
      <c r="DK41" s="24">
        <f>+IFERROR(INDEX('Debt Schedule'!$F$12:$F$108,MATCH(Model!DK4,'Debt Schedule'!$B$12:$B$108,0)),0)</f>
        <v>0</v>
      </c>
      <c r="DL41" s="24">
        <f>+IFERROR(INDEX('Debt Schedule'!$F$12:$F$108,MATCH(Model!DL4,'Debt Schedule'!$B$12:$B$108,0)),0)</f>
        <v>0</v>
      </c>
      <c r="DM41" s="24">
        <f>+IFERROR(INDEX('Debt Schedule'!$F$12:$F$108,MATCH(Model!DM4,'Debt Schedule'!$B$12:$B$108,0)),0)</f>
        <v>0</v>
      </c>
      <c r="DN41" s="24">
        <f>+IFERROR(INDEX('Debt Schedule'!$F$12:$F$108,MATCH(Model!DN4,'Debt Schedule'!$B$12:$B$108,0)),0)</f>
        <v>0</v>
      </c>
      <c r="DO41" s="24">
        <f>+IFERROR(INDEX('Debt Schedule'!$F$12:$F$108,MATCH(Model!DO4,'Debt Schedule'!$B$12:$B$108,0)),0)</f>
        <v>0</v>
      </c>
      <c r="DP41" s="24">
        <f>+IFERROR(INDEX('Debt Schedule'!$F$12:$F$108,MATCH(Model!DP4,'Debt Schedule'!$B$12:$B$108,0)),0)</f>
        <v>0</v>
      </c>
      <c r="DQ41" s="24">
        <f>+IFERROR(INDEX('Debt Schedule'!$F$12:$F$108,MATCH(Model!DQ4,'Debt Schedule'!$B$12:$B$108,0)),0)</f>
        <v>0</v>
      </c>
      <c r="DR41" s="24">
        <f>+IFERROR(INDEX('Debt Schedule'!$F$12:$F$108,MATCH(Model!DR4,'Debt Schedule'!$B$12:$B$108,0)),0)</f>
        <v>0</v>
      </c>
      <c r="DS41" s="24">
        <f>+IFERROR(INDEX('Debt Schedule'!$F$12:$F$108,MATCH(Model!DS4,'Debt Schedule'!$B$12:$B$108,0)),0)</f>
        <v>0</v>
      </c>
      <c r="DT41" s="24">
        <f>+IFERROR(INDEX('Debt Schedule'!$F$12:$F$108,MATCH(Model!DT4,'Debt Schedule'!$B$12:$B$108,0)),0)</f>
        <v>0</v>
      </c>
      <c r="DU41" s="24">
        <f>+IFERROR(INDEX('Debt Schedule'!$F$12:$F$108,MATCH(Model!DU4,'Debt Schedule'!$B$12:$B$108,0)),0)</f>
        <v>0</v>
      </c>
      <c r="DV41" s="24">
        <f>+IFERROR(INDEX('Debt Schedule'!$F$12:$F$108,MATCH(Model!DV4,'Debt Schedule'!$B$12:$B$108,0)),0)</f>
        <v>0</v>
      </c>
      <c r="DW41" s="24">
        <f>+IFERROR(INDEX('Debt Schedule'!$F$12:$F$108,MATCH(Model!DW4,'Debt Schedule'!$B$12:$B$108,0)),0)</f>
        <v>0</v>
      </c>
      <c r="DX41" s="24">
        <f>+IFERROR(INDEX('Debt Schedule'!$F$12:$F$108,MATCH(Model!DX4,'Debt Schedule'!$B$12:$B$108,0)),0)</f>
        <v>0</v>
      </c>
      <c r="DY41" s="24">
        <f>+IFERROR(INDEX('Debt Schedule'!$F$12:$F$108,MATCH(Model!DY4,'Debt Schedule'!$B$12:$B$108,0)),0)</f>
        <v>0</v>
      </c>
      <c r="DZ41" s="24">
        <f>+IFERROR(INDEX('Debt Schedule'!$F$12:$F$108,MATCH(Model!DZ4,'Debt Schedule'!$B$12:$B$108,0)),0)</f>
        <v>0</v>
      </c>
      <c r="EA41" s="24">
        <f>+IFERROR(INDEX('Debt Schedule'!$F$12:$F$108,MATCH(Model!EA4,'Debt Schedule'!$B$12:$B$108,0)),0)</f>
        <v>0</v>
      </c>
      <c r="EB41" s="24">
        <f>+IFERROR(INDEX('Debt Schedule'!$F$12:$F$108,MATCH(Model!EB4,'Debt Schedule'!$B$12:$B$108,0)),0)</f>
        <v>0</v>
      </c>
      <c r="EC41" s="24">
        <f>+IFERROR(INDEX('Debt Schedule'!$F$12:$F$108,MATCH(Model!EC4,'Debt Schedule'!$B$12:$B$108,0)),0)</f>
        <v>0</v>
      </c>
      <c r="ED41" s="24">
        <f>+IFERROR(INDEX('Debt Schedule'!$F$12:$F$108,MATCH(Model!ED4,'Debt Schedule'!$B$12:$B$108,0)),0)</f>
        <v>0</v>
      </c>
      <c r="EE41" s="24">
        <f>+IFERROR(INDEX('Debt Schedule'!$F$12:$F$108,MATCH(Model!EE4,'Debt Schedule'!$B$12:$B$108,0)),0)</f>
        <v>0</v>
      </c>
      <c r="EF41" s="24">
        <f>+IFERROR(INDEX('Debt Schedule'!$F$12:$F$108,MATCH(Model!EF4,'Debt Schedule'!$B$12:$B$108,0)),0)</f>
        <v>0</v>
      </c>
      <c r="EG41" s="24">
        <f>+IFERROR(INDEX('Debt Schedule'!$F$12:$F$108,MATCH(Model!EG4,'Debt Schedule'!$B$12:$B$108,0)),0)</f>
        <v>0</v>
      </c>
      <c r="EH41" s="24">
        <f>+IFERROR(INDEX('Debt Schedule'!$F$12:$F$108,MATCH(Model!EH4,'Debt Schedule'!$B$12:$B$108,0)),0)</f>
        <v>0</v>
      </c>
      <c r="EI41" s="24">
        <f>+IFERROR(INDEX('Debt Schedule'!$F$12:$F$108,MATCH(Model!EI4,'Debt Schedule'!$B$12:$B$108,0)),0)</f>
        <v>0</v>
      </c>
    </row>
    <row r="42" spans="2:143" x14ac:dyDescent="0.45">
      <c r="D42" s="1" t="s">
        <v>34</v>
      </c>
      <c r="G42" s="24">
        <f t="shared" ref="G42:AE42" si="40">-MIN(G36,SUM(G39:G41))</f>
        <v>0</v>
      </c>
      <c r="H42" s="24">
        <f t="shared" si="40"/>
        <v>0</v>
      </c>
      <c r="I42" s="24">
        <f t="shared" si="40"/>
        <v>0</v>
      </c>
      <c r="J42" s="24">
        <f t="shared" si="40"/>
        <v>0</v>
      </c>
      <c r="K42" s="24">
        <f t="shared" si="40"/>
        <v>0</v>
      </c>
      <c r="L42" s="24">
        <f t="shared" si="40"/>
        <v>0</v>
      </c>
      <c r="M42" s="24">
        <f t="shared" si="40"/>
        <v>0</v>
      </c>
      <c r="N42" s="24">
        <f t="shared" si="40"/>
        <v>0</v>
      </c>
      <c r="O42" s="24">
        <f t="shared" si="40"/>
        <v>0</v>
      </c>
      <c r="P42" s="24">
        <f t="shared" si="40"/>
        <v>0</v>
      </c>
      <c r="Q42" s="24">
        <f t="shared" si="40"/>
        <v>0</v>
      </c>
      <c r="R42" s="24">
        <f t="shared" si="40"/>
        <v>0</v>
      </c>
      <c r="S42" s="24">
        <f t="shared" si="40"/>
        <v>0</v>
      </c>
      <c r="T42" s="24">
        <f t="shared" si="40"/>
        <v>0</v>
      </c>
      <c r="U42" s="24">
        <f t="shared" si="40"/>
        <v>0</v>
      </c>
      <c r="V42" s="24">
        <f t="shared" si="40"/>
        <v>0</v>
      </c>
      <c r="W42" s="24">
        <f t="shared" si="40"/>
        <v>0</v>
      </c>
      <c r="X42" s="24">
        <f t="shared" si="40"/>
        <v>0</v>
      </c>
      <c r="Y42" s="24">
        <f t="shared" si="40"/>
        <v>0</v>
      </c>
      <c r="Z42" s="24">
        <f t="shared" si="40"/>
        <v>0</v>
      </c>
      <c r="AA42" s="24">
        <f t="shared" si="40"/>
        <v>0</v>
      </c>
      <c r="AB42" s="24">
        <f t="shared" si="40"/>
        <v>0</v>
      </c>
      <c r="AC42" s="24">
        <f t="shared" si="40"/>
        <v>0</v>
      </c>
      <c r="AD42" s="24">
        <f t="shared" si="40"/>
        <v>0</v>
      </c>
      <c r="AE42" s="24">
        <f t="shared" si="40"/>
        <v>0</v>
      </c>
      <c r="AF42" s="24">
        <f>-MIN(AF36,SUM(AF39:AF41))</f>
        <v>0</v>
      </c>
      <c r="AG42" s="24">
        <f t="shared" ref="AG42:CR42" si="41">-MIN(AG36,SUM(AG39:AG41))</f>
        <v>0</v>
      </c>
      <c r="AH42" s="24">
        <f t="shared" si="41"/>
        <v>0</v>
      </c>
      <c r="AI42" s="24">
        <f t="shared" si="41"/>
        <v>0</v>
      </c>
      <c r="AJ42" s="24">
        <f t="shared" si="41"/>
        <v>0</v>
      </c>
      <c r="AK42" s="24">
        <f t="shared" si="41"/>
        <v>0</v>
      </c>
      <c r="AL42" s="24">
        <f t="shared" si="41"/>
        <v>0</v>
      </c>
      <c r="AM42" s="24">
        <f t="shared" si="41"/>
        <v>0</v>
      </c>
      <c r="AN42" s="24">
        <f t="shared" si="41"/>
        <v>0</v>
      </c>
      <c r="AO42" s="24">
        <f t="shared" si="41"/>
        <v>0</v>
      </c>
      <c r="AP42" s="24">
        <f t="shared" si="41"/>
        <v>0</v>
      </c>
      <c r="AQ42" s="24">
        <f t="shared" si="41"/>
        <v>-9749902.0097397529</v>
      </c>
      <c r="AR42" s="24">
        <f t="shared" si="41"/>
        <v>0</v>
      </c>
      <c r="AS42" s="24">
        <f t="shared" si="41"/>
        <v>0</v>
      </c>
      <c r="AT42" s="24">
        <f t="shared" si="41"/>
        <v>0</v>
      </c>
      <c r="AU42" s="24">
        <f t="shared" si="41"/>
        <v>0</v>
      </c>
      <c r="AV42" s="24">
        <f t="shared" si="41"/>
        <v>0</v>
      </c>
      <c r="AW42" s="24">
        <f t="shared" si="41"/>
        <v>0</v>
      </c>
      <c r="AX42" s="24">
        <f t="shared" si="41"/>
        <v>0</v>
      </c>
      <c r="AY42" s="24">
        <f t="shared" si="41"/>
        <v>0</v>
      </c>
      <c r="AZ42" s="24">
        <f t="shared" si="41"/>
        <v>0</v>
      </c>
      <c r="BA42" s="24">
        <f t="shared" si="41"/>
        <v>0</v>
      </c>
      <c r="BB42" s="24">
        <f t="shared" si="41"/>
        <v>0</v>
      </c>
      <c r="BC42" s="24">
        <f t="shared" si="41"/>
        <v>0</v>
      </c>
      <c r="BD42" s="24">
        <f t="shared" si="41"/>
        <v>0</v>
      </c>
      <c r="BE42" s="24">
        <f t="shared" si="41"/>
        <v>0</v>
      </c>
      <c r="BF42" s="24">
        <f t="shared" si="41"/>
        <v>0</v>
      </c>
      <c r="BG42" s="24">
        <f t="shared" si="41"/>
        <v>0</v>
      </c>
      <c r="BH42" s="24">
        <f t="shared" si="41"/>
        <v>0</v>
      </c>
      <c r="BI42" s="24">
        <f t="shared" si="41"/>
        <v>0</v>
      </c>
      <c r="BJ42" s="24">
        <f t="shared" si="41"/>
        <v>0</v>
      </c>
      <c r="BK42" s="24">
        <f t="shared" si="41"/>
        <v>0</v>
      </c>
      <c r="BL42" s="24">
        <f t="shared" si="41"/>
        <v>0</v>
      </c>
      <c r="BM42" s="24">
        <f t="shared" si="41"/>
        <v>0</v>
      </c>
      <c r="BN42" s="24">
        <f t="shared" si="41"/>
        <v>0</v>
      </c>
      <c r="BO42" s="24">
        <f t="shared" si="41"/>
        <v>0</v>
      </c>
      <c r="BP42" s="24">
        <f t="shared" si="41"/>
        <v>0</v>
      </c>
      <c r="BQ42" s="24">
        <f t="shared" si="41"/>
        <v>0</v>
      </c>
      <c r="BR42" s="24">
        <f t="shared" si="41"/>
        <v>0</v>
      </c>
      <c r="BS42" s="24">
        <f t="shared" si="41"/>
        <v>0</v>
      </c>
      <c r="BT42" s="24">
        <f t="shared" si="41"/>
        <v>0</v>
      </c>
      <c r="BU42" s="24">
        <f t="shared" si="41"/>
        <v>0</v>
      </c>
      <c r="BV42" s="24">
        <f t="shared" si="41"/>
        <v>0</v>
      </c>
      <c r="BW42" s="24">
        <f t="shared" si="41"/>
        <v>0</v>
      </c>
      <c r="BX42" s="24">
        <f t="shared" si="41"/>
        <v>0</v>
      </c>
      <c r="BY42" s="24">
        <f t="shared" si="41"/>
        <v>0</v>
      </c>
      <c r="BZ42" s="24">
        <f t="shared" si="41"/>
        <v>0</v>
      </c>
      <c r="CA42" s="24">
        <f t="shared" si="41"/>
        <v>0</v>
      </c>
      <c r="CB42" s="24">
        <f t="shared" si="41"/>
        <v>0</v>
      </c>
      <c r="CC42" s="24">
        <f t="shared" si="41"/>
        <v>0</v>
      </c>
      <c r="CD42" s="24">
        <f t="shared" si="41"/>
        <v>0</v>
      </c>
      <c r="CE42" s="24">
        <f t="shared" si="41"/>
        <v>0</v>
      </c>
      <c r="CF42" s="24">
        <f t="shared" si="41"/>
        <v>0</v>
      </c>
      <c r="CG42" s="24">
        <f t="shared" si="41"/>
        <v>0</v>
      </c>
      <c r="CH42" s="24">
        <f t="shared" si="41"/>
        <v>0</v>
      </c>
      <c r="CI42" s="24">
        <f t="shared" si="41"/>
        <v>0</v>
      </c>
      <c r="CJ42" s="24">
        <f t="shared" si="41"/>
        <v>0</v>
      </c>
      <c r="CK42" s="24">
        <f t="shared" si="41"/>
        <v>0</v>
      </c>
      <c r="CL42" s="24">
        <f t="shared" si="41"/>
        <v>0</v>
      </c>
      <c r="CM42" s="24">
        <f t="shared" si="41"/>
        <v>0</v>
      </c>
      <c r="CN42" s="24">
        <f t="shared" si="41"/>
        <v>0</v>
      </c>
      <c r="CO42" s="24">
        <f t="shared" si="41"/>
        <v>0</v>
      </c>
      <c r="CP42" s="24">
        <f t="shared" si="41"/>
        <v>0</v>
      </c>
      <c r="CQ42" s="24">
        <f t="shared" si="41"/>
        <v>0</v>
      </c>
      <c r="CR42" s="24">
        <f t="shared" si="41"/>
        <v>0</v>
      </c>
      <c r="CS42" s="24">
        <f>-MIN(CS36,SUM(CS39:CS41))</f>
        <v>0</v>
      </c>
      <c r="CT42" s="24">
        <f>-MIN(CT36,SUM(CT39:CT41))</f>
        <v>0</v>
      </c>
      <c r="CU42" s="24">
        <f>-MIN(CU36,SUM(CU39:CU41))</f>
        <v>0</v>
      </c>
      <c r="CV42" s="24">
        <f>-MIN(CV36,SUM(CV39:CV41))</f>
        <v>0</v>
      </c>
      <c r="CW42" s="24">
        <f t="shared" ref="CW42:EI42" si="42">-MIN(CW36,SUM(CW39:CW41))</f>
        <v>0</v>
      </c>
      <c r="CX42" s="24">
        <f t="shared" si="42"/>
        <v>0</v>
      </c>
      <c r="CY42" s="24">
        <f t="shared" si="42"/>
        <v>0</v>
      </c>
      <c r="CZ42" s="24">
        <f t="shared" si="42"/>
        <v>0</v>
      </c>
      <c r="DA42" s="24">
        <f t="shared" si="42"/>
        <v>0</v>
      </c>
      <c r="DB42" s="24">
        <f t="shared" si="42"/>
        <v>0</v>
      </c>
      <c r="DC42" s="24">
        <f t="shared" si="42"/>
        <v>0</v>
      </c>
      <c r="DD42" s="24">
        <f t="shared" si="42"/>
        <v>0</v>
      </c>
      <c r="DE42" s="24">
        <f t="shared" si="42"/>
        <v>0</v>
      </c>
      <c r="DF42" s="24">
        <f t="shared" si="42"/>
        <v>0</v>
      </c>
      <c r="DG42" s="24">
        <f t="shared" si="42"/>
        <v>0</v>
      </c>
      <c r="DH42" s="24">
        <f t="shared" si="42"/>
        <v>0</v>
      </c>
      <c r="DI42" s="24">
        <f t="shared" si="42"/>
        <v>0</v>
      </c>
      <c r="DJ42" s="24">
        <f t="shared" si="42"/>
        <v>0</v>
      </c>
      <c r="DK42" s="24">
        <f t="shared" si="42"/>
        <v>0</v>
      </c>
      <c r="DL42" s="24">
        <f t="shared" si="42"/>
        <v>0</v>
      </c>
      <c r="DM42" s="24">
        <f t="shared" si="42"/>
        <v>0</v>
      </c>
      <c r="DN42" s="24">
        <f t="shared" si="42"/>
        <v>0</v>
      </c>
      <c r="DO42" s="24">
        <f t="shared" si="42"/>
        <v>0</v>
      </c>
      <c r="DP42" s="24">
        <f t="shared" si="42"/>
        <v>0</v>
      </c>
      <c r="DQ42" s="24">
        <f t="shared" si="42"/>
        <v>0</v>
      </c>
      <c r="DR42" s="24">
        <f t="shared" si="42"/>
        <v>0</v>
      </c>
      <c r="DS42" s="24">
        <f t="shared" si="42"/>
        <v>0</v>
      </c>
      <c r="DT42" s="24">
        <f t="shared" si="42"/>
        <v>0</v>
      </c>
      <c r="DU42" s="24">
        <f t="shared" si="42"/>
        <v>0</v>
      </c>
      <c r="DV42" s="24">
        <f t="shared" si="42"/>
        <v>0</v>
      </c>
      <c r="DW42" s="24">
        <f t="shared" si="42"/>
        <v>0</v>
      </c>
      <c r="DX42" s="24">
        <f t="shared" si="42"/>
        <v>0</v>
      </c>
      <c r="DY42" s="24">
        <f t="shared" si="42"/>
        <v>0</v>
      </c>
      <c r="DZ42" s="24">
        <f t="shared" si="42"/>
        <v>0</v>
      </c>
      <c r="EA42" s="24">
        <f t="shared" si="42"/>
        <v>0</v>
      </c>
      <c r="EB42" s="24">
        <f t="shared" si="42"/>
        <v>0</v>
      </c>
      <c r="EC42" s="24">
        <f t="shared" si="42"/>
        <v>0</v>
      </c>
      <c r="ED42" s="24">
        <f t="shared" si="42"/>
        <v>0</v>
      </c>
      <c r="EE42" s="24">
        <f t="shared" si="42"/>
        <v>0</v>
      </c>
      <c r="EF42" s="24">
        <f t="shared" si="42"/>
        <v>0</v>
      </c>
      <c r="EG42" s="24">
        <f t="shared" si="42"/>
        <v>0</v>
      </c>
      <c r="EH42" s="24">
        <f t="shared" si="42"/>
        <v>0</v>
      </c>
      <c r="EI42" s="24">
        <f t="shared" si="42"/>
        <v>0</v>
      </c>
      <c r="EM42" s="1" t="s">
        <v>178</v>
      </c>
    </row>
    <row r="43" spans="2:143" s="8" customFormat="1" x14ac:dyDescent="0.45">
      <c r="D43" s="4" t="s">
        <v>35</v>
      </c>
      <c r="E43" s="4"/>
      <c r="F43" s="4"/>
      <c r="G43" s="26">
        <f>SUM(G39:G42)</f>
        <v>10430000</v>
      </c>
      <c r="H43" s="26">
        <f>SUM(H39:H42)</f>
        <v>9862749.7975174952</v>
      </c>
      <c r="I43" s="26">
        <f t="shared" ref="I43:S43" si="43">SUM(I39:I42)</f>
        <v>9862701.4189347327</v>
      </c>
      <c r="J43" s="26">
        <f t="shared" si="43"/>
        <v>9862652.737985827</v>
      </c>
      <c r="K43" s="26">
        <f t="shared" si="43"/>
        <v>9862603.7527809925</v>
      </c>
      <c r="L43" s="26">
        <f t="shared" si="43"/>
        <v>9862554.461418625</v>
      </c>
      <c r="M43" s="26">
        <f t="shared" si="43"/>
        <v>9862504.8619852457</v>
      </c>
      <c r="N43" s="26">
        <f t="shared" si="43"/>
        <v>9862454.952555405</v>
      </c>
      <c r="O43" s="26">
        <f t="shared" si="43"/>
        <v>9862404.7311916295</v>
      </c>
      <c r="P43" s="26">
        <f t="shared" si="43"/>
        <v>9862354.1959443297</v>
      </c>
      <c r="Q43" s="26">
        <f t="shared" si="43"/>
        <v>9862303.344851736</v>
      </c>
      <c r="R43" s="26">
        <f t="shared" si="43"/>
        <v>9862252.1759398114</v>
      </c>
      <c r="S43" s="26">
        <f t="shared" si="43"/>
        <v>9862200.6872221883</v>
      </c>
      <c r="T43" s="26">
        <f>SUM(T39:T42)</f>
        <v>9862148.8767000791</v>
      </c>
      <c r="U43" s="26">
        <f>SUM(U39:U42)</f>
        <v>9862096.7423622087</v>
      </c>
      <c r="V43" s="26">
        <f>SUM(V39:V42)</f>
        <v>9862044.2821847238</v>
      </c>
      <c r="W43" s="26">
        <f>SUM(W39:W42)</f>
        <v>9861991.4941311311</v>
      </c>
      <c r="X43" s="26">
        <f t="shared" ref="X43:BM43" si="44">SUM(X39:X42)</f>
        <v>9861938.3761522043</v>
      </c>
      <c r="Y43" s="26">
        <f t="shared" si="44"/>
        <v>9861884.9261859078</v>
      </c>
      <c r="Z43" s="26">
        <f t="shared" si="44"/>
        <v>9861831.1421573237</v>
      </c>
      <c r="AA43" s="26">
        <f t="shared" si="44"/>
        <v>9861777.021978559</v>
      </c>
      <c r="AB43" s="26">
        <f t="shared" si="44"/>
        <v>9861722.5635486785</v>
      </c>
      <c r="AC43" s="26">
        <f t="shared" si="44"/>
        <v>9861667.7647536099</v>
      </c>
      <c r="AD43" s="26">
        <f t="shared" si="44"/>
        <v>9861612.6234660726</v>
      </c>
      <c r="AE43" s="26">
        <f t="shared" si="44"/>
        <v>9861557.1375454888</v>
      </c>
      <c r="AF43" s="26">
        <f t="shared" si="44"/>
        <v>9852568.0716238394</v>
      </c>
      <c r="AG43" s="26">
        <f t="shared" si="44"/>
        <v>9843522.8240401801</v>
      </c>
      <c r="AH43" s="26">
        <f t="shared" si="44"/>
        <v>9834421.0436591227</v>
      </c>
      <c r="AI43" s="26">
        <f t="shared" si="44"/>
        <v>9825262.3771506827</v>
      </c>
      <c r="AJ43" s="26">
        <f t="shared" si="44"/>
        <v>9816046.4689765647</v>
      </c>
      <c r="AK43" s="26">
        <f t="shared" si="44"/>
        <v>9806772.9613763597</v>
      </c>
      <c r="AL43" s="26">
        <f t="shared" si="44"/>
        <v>9797441.494353652</v>
      </c>
      <c r="AM43" s="26">
        <f t="shared" si="44"/>
        <v>9788051.7056620531</v>
      </c>
      <c r="AN43" s="26">
        <f t="shared" si="44"/>
        <v>9778603.230791131</v>
      </c>
      <c r="AO43" s="26">
        <f t="shared" si="44"/>
        <v>9769095.7029522657</v>
      </c>
      <c r="AP43" s="26">
        <f t="shared" si="44"/>
        <v>9759528.7530644089</v>
      </c>
      <c r="AQ43" s="26">
        <f t="shared" si="44"/>
        <v>0</v>
      </c>
      <c r="AR43" s="26">
        <f t="shared" si="44"/>
        <v>0</v>
      </c>
      <c r="AS43" s="26">
        <f t="shared" si="44"/>
        <v>0</v>
      </c>
      <c r="AT43" s="26">
        <f t="shared" si="44"/>
        <v>0</v>
      </c>
      <c r="AU43" s="26">
        <f t="shared" si="44"/>
        <v>0</v>
      </c>
      <c r="AV43" s="26">
        <f t="shared" si="44"/>
        <v>0</v>
      </c>
      <c r="AW43" s="26">
        <f t="shared" si="44"/>
        <v>0</v>
      </c>
      <c r="AX43" s="26">
        <f t="shared" si="44"/>
        <v>0</v>
      </c>
      <c r="AY43" s="26">
        <f t="shared" si="44"/>
        <v>0</v>
      </c>
      <c r="AZ43" s="26">
        <f t="shared" si="44"/>
        <v>0</v>
      </c>
      <c r="BA43" s="26">
        <f t="shared" si="44"/>
        <v>0</v>
      </c>
      <c r="BB43" s="26">
        <f t="shared" si="44"/>
        <v>0</v>
      </c>
      <c r="BC43" s="26">
        <f t="shared" si="44"/>
        <v>0</v>
      </c>
      <c r="BD43" s="26">
        <f t="shared" si="44"/>
        <v>0</v>
      </c>
      <c r="BE43" s="26">
        <f t="shared" si="44"/>
        <v>0</v>
      </c>
      <c r="BF43" s="26">
        <f t="shared" si="44"/>
        <v>0</v>
      </c>
      <c r="BG43" s="26">
        <f t="shared" si="44"/>
        <v>0</v>
      </c>
      <c r="BH43" s="26">
        <f t="shared" si="44"/>
        <v>0</v>
      </c>
      <c r="BI43" s="26">
        <f t="shared" si="44"/>
        <v>0</v>
      </c>
      <c r="BJ43" s="26">
        <f t="shared" si="44"/>
        <v>0</v>
      </c>
      <c r="BK43" s="26">
        <f t="shared" si="44"/>
        <v>0</v>
      </c>
      <c r="BL43" s="26">
        <f t="shared" si="44"/>
        <v>0</v>
      </c>
      <c r="BM43" s="26">
        <f t="shared" si="44"/>
        <v>0</v>
      </c>
      <c r="BN43" s="26">
        <f t="shared" ref="BN43:CE43" si="45">SUM(BN39:BN42)</f>
        <v>0</v>
      </c>
      <c r="BO43" s="26">
        <f t="shared" si="45"/>
        <v>0</v>
      </c>
      <c r="BP43" s="26">
        <f t="shared" si="45"/>
        <v>0</v>
      </c>
      <c r="BQ43" s="26">
        <f t="shared" si="45"/>
        <v>0</v>
      </c>
      <c r="BR43" s="26">
        <f t="shared" si="45"/>
        <v>0</v>
      </c>
      <c r="BS43" s="26">
        <f t="shared" si="45"/>
        <v>0</v>
      </c>
      <c r="BT43" s="26">
        <f t="shared" si="45"/>
        <v>0</v>
      </c>
      <c r="BU43" s="26">
        <f t="shared" si="45"/>
        <v>0</v>
      </c>
      <c r="BV43" s="26">
        <f t="shared" si="45"/>
        <v>0</v>
      </c>
      <c r="BW43" s="26">
        <f t="shared" si="45"/>
        <v>0</v>
      </c>
      <c r="BX43" s="26">
        <f t="shared" si="45"/>
        <v>0</v>
      </c>
      <c r="BY43" s="26">
        <f t="shared" si="45"/>
        <v>0</v>
      </c>
      <c r="BZ43" s="26">
        <f t="shared" si="45"/>
        <v>0</v>
      </c>
      <c r="CA43" s="26">
        <f t="shared" si="45"/>
        <v>0</v>
      </c>
      <c r="CB43" s="26">
        <f t="shared" si="45"/>
        <v>0</v>
      </c>
      <c r="CC43" s="26">
        <f t="shared" si="45"/>
        <v>0</v>
      </c>
      <c r="CD43" s="26">
        <f t="shared" si="45"/>
        <v>0</v>
      </c>
      <c r="CE43" s="26">
        <f t="shared" si="45"/>
        <v>0</v>
      </c>
      <c r="CF43" s="26">
        <f t="shared" ref="CF43:CV43" si="46">SUM(CF39:CF42)</f>
        <v>0</v>
      </c>
      <c r="CG43" s="26">
        <f t="shared" si="46"/>
        <v>0</v>
      </c>
      <c r="CH43" s="26">
        <f t="shared" si="46"/>
        <v>0</v>
      </c>
      <c r="CI43" s="26">
        <f t="shared" si="46"/>
        <v>0</v>
      </c>
      <c r="CJ43" s="26">
        <f t="shared" si="46"/>
        <v>0</v>
      </c>
      <c r="CK43" s="26">
        <f t="shared" si="46"/>
        <v>0</v>
      </c>
      <c r="CL43" s="26">
        <f t="shared" si="46"/>
        <v>0</v>
      </c>
      <c r="CM43" s="26">
        <f t="shared" si="46"/>
        <v>0</v>
      </c>
      <c r="CN43" s="26">
        <f t="shared" si="46"/>
        <v>0</v>
      </c>
      <c r="CO43" s="26">
        <f t="shared" si="46"/>
        <v>0</v>
      </c>
      <c r="CP43" s="26">
        <f t="shared" si="46"/>
        <v>0</v>
      </c>
      <c r="CQ43" s="26">
        <f t="shared" si="46"/>
        <v>0</v>
      </c>
      <c r="CR43" s="26">
        <f t="shared" si="46"/>
        <v>0</v>
      </c>
      <c r="CS43" s="26">
        <f t="shared" si="46"/>
        <v>0</v>
      </c>
      <c r="CT43" s="26">
        <f t="shared" si="46"/>
        <v>0</v>
      </c>
      <c r="CU43" s="26">
        <f t="shared" si="46"/>
        <v>0</v>
      </c>
      <c r="CV43" s="26">
        <f t="shared" si="46"/>
        <v>0</v>
      </c>
      <c r="CW43" s="26">
        <f t="shared" ref="CW43:EI43" si="47">SUM(CW39:CW42)</f>
        <v>0</v>
      </c>
      <c r="CX43" s="26">
        <f t="shared" si="47"/>
        <v>0</v>
      </c>
      <c r="CY43" s="26">
        <f t="shared" si="47"/>
        <v>0</v>
      </c>
      <c r="CZ43" s="26">
        <f t="shared" si="47"/>
        <v>0</v>
      </c>
      <c r="DA43" s="26">
        <f t="shared" si="47"/>
        <v>0</v>
      </c>
      <c r="DB43" s="26">
        <f t="shared" si="47"/>
        <v>0</v>
      </c>
      <c r="DC43" s="26">
        <f t="shared" si="47"/>
        <v>0</v>
      </c>
      <c r="DD43" s="26">
        <f t="shared" si="47"/>
        <v>0</v>
      </c>
      <c r="DE43" s="26">
        <f t="shared" si="47"/>
        <v>0</v>
      </c>
      <c r="DF43" s="26">
        <f t="shared" si="47"/>
        <v>0</v>
      </c>
      <c r="DG43" s="26">
        <f t="shared" si="47"/>
        <v>0</v>
      </c>
      <c r="DH43" s="26">
        <f t="shared" si="47"/>
        <v>0</v>
      </c>
      <c r="DI43" s="26">
        <f t="shared" si="47"/>
        <v>0</v>
      </c>
      <c r="DJ43" s="26">
        <f t="shared" si="47"/>
        <v>0</v>
      </c>
      <c r="DK43" s="26">
        <f t="shared" si="47"/>
        <v>0</v>
      </c>
      <c r="DL43" s="26">
        <f t="shared" si="47"/>
        <v>0</v>
      </c>
      <c r="DM43" s="26">
        <f t="shared" si="47"/>
        <v>0</v>
      </c>
      <c r="DN43" s="26">
        <f t="shared" si="47"/>
        <v>0</v>
      </c>
      <c r="DO43" s="26">
        <f t="shared" si="47"/>
        <v>0</v>
      </c>
      <c r="DP43" s="26">
        <f t="shared" si="47"/>
        <v>0</v>
      </c>
      <c r="DQ43" s="26">
        <f t="shared" si="47"/>
        <v>0</v>
      </c>
      <c r="DR43" s="26">
        <f t="shared" si="47"/>
        <v>0</v>
      </c>
      <c r="DS43" s="26">
        <f t="shared" si="47"/>
        <v>0</v>
      </c>
      <c r="DT43" s="26">
        <f t="shared" si="47"/>
        <v>0</v>
      </c>
      <c r="DU43" s="26">
        <f t="shared" si="47"/>
        <v>0</v>
      </c>
      <c r="DV43" s="26">
        <f t="shared" si="47"/>
        <v>0</v>
      </c>
      <c r="DW43" s="26">
        <f t="shared" si="47"/>
        <v>0</v>
      </c>
      <c r="DX43" s="26">
        <f t="shared" si="47"/>
        <v>0</v>
      </c>
      <c r="DY43" s="26">
        <f t="shared" si="47"/>
        <v>0</v>
      </c>
      <c r="DZ43" s="26">
        <f t="shared" si="47"/>
        <v>0</v>
      </c>
      <c r="EA43" s="26">
        <f t="shared" si="47"/>
        <v>0</v>
      </c>
      <c r="EB43" s="26">
        <f t="shared" si="47"/>
        <v>0</v>
      </c>
      <c r="EC43" s="26">
        <f t="shared" si="47"/>
        <v>0</v>
      </c>
      <c r="ED43" s="26">
        <f t="shared" si="47"/>
        <v>0</v>
      </c>
      <c r="EE43" s="26">
        <f t="shared" si="47"/>
        <v>0</v>
      </c>
      <c r="EF43" s="26">
        <f t="shared" si="47"/>
        <v>0</v>
      </c>
      <c r="EG43" s="26">
        <f t="shared" si="47"/>
        <v>0</v>
      </c>
      <c r="EH43" s="26">
        <f t="shared" si="47"/>
        <v>0</v>
      </c>
      <c r="EI43" s="26">
        <f t="shared" si="47"/>
        <v>0</v>
      </c>
      <c r="EM43" s="1" t="s">
        <v>178</v>
      </c>
    </row>
    <row r="44" spans="2:143" x14ac:dyDescent="0.45"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M44" s="1" t="s">
        <v>178</v>
      </c>
    </row>
    <row r="45" spans="2:143" x14ac:dyDescent="0.45">
      <c r="B45" s="6">
        <f>SUMIF(G65:EI65,"&lt;0",G65:EI65)</f>
        <v>-6344243.785970591</v>
      </c>
      <c r="D45" s="1" t="s">
        <v>250</v>
      </c>
      <c r="G45" s="24">
        <f t="shared" ref="G45:R45" si="48">SUM(G34:G36,G40:G42)</f>
        <v>-5340556.2753367089</v>
      </c>
      <c r="H45" s="24">
        <f t="shared" si="48"/>
        <v>-574262.38132477331</v>
      </c>
      <c r="I45" s="24">
        <f t="shared" si="48"/>
        <v>-23277.948729379139</v>
      </c>
      <c r="J45" s="24">
        <f t="shared" si="48"/>
        <v>-23278.251095521693</v>
      </c>
      <c r="K45" s="24">
        <f t="shared" si="48"/>
        <v>-23278.555351451818</v>
      </c>
      <c r="L45" s="24">
        <f t="shared" si="48"/>
        <v>-84528.861508983304</v>
      </c>
      <c r="M45" s="24">
        <f t="shared" si="48"/>
        <v>-54529.169579996524</v>
      </c>
      <c r="N45" s="24">
        <f t="shared" si="48"/>
        <v>-23279.479576456688</v>
      </c>
      <c r="O45" s="24">
        <f t="shared" si="48"/>
        <v>-23279.791510391846</v>
      </c>
      <c r="P45" s="24">
        <f t="shared" si="48"/>
        <v>-23280.105393915917</v>
      </c>
      <c r="Q45" s="24">
        <f t="shared" si="48"/>
        <v>-43280.421239211217</v>
      </c>
      <c r="R45" s="24">
        <f t="shared" si="48"/>
        <v>-23280.739058541323</v>
      </c>
      <c r="S45" s="24">
        <f>SUM(S34:S36,S40:S42)</f>
        <v>-22281.058864240105</v>
      </c>
      <c r="T45" s="24">
        <f>SUM(T34:T36,T40:T42)</f>
        <v>-22281.380668725567</v>
      </c>
      <c r="U45" s="24">
        <f>SUM(U34:U36,U40:U42)</f>
        <v>-22281.704484487993</v>
      </c>
      <c r="V45" s="24">
        <f t="shared" ref="V45:CG45" si="49">SUM(V34:V36,V40:V42)</f>
        <v>-22282.030324100979</v>
      </c>
      <c r="W45" s="24">
        <f t="shared" si="49"/>
        <v>-22282.358200208742</v>
      </c>
      <c r="X45" s="24">
        <f t="shared" si="49"/>
        <v>-22282.688125543693</v>
      </c>
      <c r="Y45" s="24">
        <f t="shared" si="49"/>
        <v>-22283.020112912862</v>
      </c>
      <c r="Z45" s="24">
        <f t="shared" si="49"/>
        <v>-22283.354175201574</v>
      </c>
      <c r="AA45" s="24">
        <f t="shared" si="49"/>
        <v>-22283.690325381358</v>
      </c>
      <c r="AB45" s="24">
        <f t="shared" si="49"/>
        <v>-22284.028576497869</v>
      </c>
      <c r="AC45" s="24">
        <f t="shared" si="49"/>
        <v>-22284.368941685381</v>
      </c>
      <c r="AD45" s="24">
        <f t="shared" si="49"/>
        <v>-22284.711434153876</v>
      </c>
      <c r="AE45" s="24">
        <f t="shared" si="49"/>
        <v>-76535.056067200814</v>
      </c>
      <c r="AF45" s="24">
        <f t="shared" si="49"/>
        <v>-16001.244763918754</v>
      </c>
      <c r="AG45" s="24">
        <f t="shared" si="49"/>
        <v>-16057.426425929067</v>
      </c>
      <c r="AH45" s="24">
        <f t="shared" si="49"/>
        <v>-16113.959223326945</v>
      </c>
      <c r="AI45" s="24">
        <f t="shared" si="49"/>
        <v>-16170.845350708558</v>
      </c>
      <c r="AJ45" s="24">
        <f t="shared" si="49"/>
        <v>-16228.087016386306</v>
      </c>
      <c r="AK45" s="24">
        <f t="shared" si="49"/>
        <v>-16285.68644247454</v>
      </c>
      <c r="AL45" s="24">
        <f t="shared" si="49"/>
        <v>-16343.645864975826</v>
      </c>
      <c r="AM45" s="24">
        <f t="shared" si="49"/>
        <v>-16401.967533867741</v>
      </c>
      <c r="AN45" s="24">
        <f t="shared" si="49"/>
        <v>-51565.399037050753</v>
      </c>
      <c r="AO45" s="24">
        <f t="shared" si="49"/>
        <v>-9507.5278388646529</v>
      </c>
      <c r="AP45" s="24">
        <f t="shared" si="49"/>
        <v>-9566.9498878575578</v>
      </c>
      <c r="AQ45" s="24">
        <f t="shared" si="49"/>
        <v>7179936.8049197719</v>
      </c>
      <c r="AR45" s="24">
        <f t="shared" si="49"/>
        <v>0</v>
      </c>
      <c r="AS45" s="24">
        <f t="shared" si="49"/>
        <v>0</v>
      </c>
      <c r="AT45" s="24">
        <f t="shared" si="49"/>
        <v>0</v>
      </c>
      <c r="AU45" s="24">
        <f t="shared" si="49"/>
        <v>0</v>
      </c>
      <c r="AV45" s="24">
        <f t="shared" si="49"/>
        <v>0</v>
      </c>
      <c r="AW45" s="24">
        <f t="shared" si="49"/>
        <v>0</v>
      </c>
      <c r="AX45" s="24">
        <f t="shared" si="49"/>
        <v>0</v>
      </c>
      <c r="AY45" s="24">
        <f t="shared" si="49"/>
        <v>0</v>
      </c>
      <c r="AZ45" s="24">
        <f t="shared" si="49"/>
        <v>0</v>
      </c>
      <c r="BA45" s="24">
        <f t="shared" si="49"/>
        <v>0</v>
      </c>
      <c r="BB45" s="24">
        <f t="shared" si="49"/>
        <v>0</v>
      </c>
      <c r="BC45" s="24">
        <f t="shared" si="49"/>
        <v>0</v>
      </c>
      <c r="BD45" s="24">
        <f t="shared" si="49"/>
        <v>0</v>
      </c>
      <c r="BE45" s="24">
        <f t="shared" si="49"/>
        <v>0</v>
      </c>
      <c r="BF45" s="24">
        <f t="shared" si="49"/>
        <v>0</v>
      </c>
      <c r="BG45" s="24">
        <f t="shared" si="49"/>
        <v>0</v>
      </c>
      <c r="BH45" s="24">
        <f t="shared" si="49"/>
        <v>0</v>
      </c>
      <c r="BI45" s="24">
        <f t="shared" si="49"/>
        <v>0</v>
      </c>
      <c r="BJ45" s="24">
        <f t="shared" si="49"/>
        <v>0</v>
      </c>
      <c r="BK45" s="24">
        <f t="shared" si="49"/>
        <v>0</v>
      </c>
      <c r="BL45" s="24">
        <f t="shared" si="49"/>
        <v>0</v>
      </c>
      <c r="BM45" s="24">
        <f t="shared" si="49"/>
        <v>0</v>
      </c>
      <c r="BN45" s="24">
        <f t="shared" si="49"/>
        <v>0</v>
      </c>
      <c r="BO45" s="24">
        <f t="shared" si="49"/>
        <v>0</v>
      </c>
      <c r="BP45" s="24">
        <f t="shared" si="49"/>
        <v>0</v>
      </c>
      <c r="BQ45" s="24">
        <f t="shared" si="49"/>
        <v>0</v>
      </c>
      <c r="BR45" s="24">
        <f t="shared" si="49"/>
        <v>0</v>
      </c>
      <c r="BS45" s="24">
        <f t="shared" si="49"/>
        <v>0</v>
      </c>
      <c r="BT45" s="24">
        <f t="shared" si="49"/>
        <v>0</v>
      </c>
      <c r="BU45" s="24">
        <f t="shared" si="49"/>
        <v>0</v>
      </c>
      <c r="BV45" s="24">
        <f t="shared" si="49"/>
        <v>0</v>
      </c>
      <c r="BW45" s="24">
        <f t="shared" si="49"/>
        <v>0</v>
      </c>
      <c r="BX45" s="24">
        <f t="shared" si="49"/>
        <v>0</v>
      </c>
      <c r="BY45" s="24">
        <f t="shared" si="49"/>
        <v>0</v>
      </c>
      <c r="BZ45" s="24">
        <f t="shared" si="49"/>
        <v>0</v>
      </c>
      <c r="CA45" s="24">
        <f t="shared" si="49"/>
        <v>0</v>
      </c>
      <c r="CB45" s="24">
        <f t="shared" si="49"/>
        <v>0</v>
      </c>
      <c r="CC45" s="24">
        <f t="shared" si="49"/>
        <v>0</v>
      </c>
      <c r="CD45" s="24">
        <f t="shared" si="49"/>
        <v>0</v>
      </c>
      <c r="CE45" s="24">
        <f t="shared" si="49"/>
        <v>0</v>
      </c>
      <c r="CF45" s="24">
        <f t="shared" si="49"/>
        <v>0</v>
      </c>
      <c r="CG45" s="24">
        <f t="shared" si="49"/>
        <v>0</v>
      </c>
      <c r="CH45" s="24">
        <f t="shared" ref="CH45:CV45" si="50">SUM(CH34:CH36,CH40:CH42)</f>
        <v>0</v>
      </c>
      <c r="CI45" s="24">
        <f t="shared" si="50"/>
        <v>0</v>
      </c>
      <c r="CJ45" s="24">
        <f t="shared" si="50"/>
        <v>0</v>
      </c>
      <c r="CK45" s="24">
        <f t="shared" si="50"/>
        <v>0</v>
      </c>
      <c r="CL45" s="24">
        <f t="shared" si="50"/>
        <v>0</v>
      </c>
      <c r="CM45" s="24">
        <f t="shared" si="50"/>
        <v>0</v>
      </c>
      <c r="CN45" s="24">
        <f t="shared" si="50"/>
        <v>0</v>
      </c>
      <c r="CO45" s="24">
        <f t="shared" si="50"/>
        <v>0</v>
      </c>
      <c r="CP45" s="24">
        <f t="shared" si="50"/>
        <v>0</v>
      </c>
      <c r="CQ45" s="24">
        <f t="shared" si="50"/>
        <v>0</v>
      </c>
      <c r="CR45" s="24">
        <f t="shared" si="50"/>
        <v>0</v>
      </c>
      <c r="CS45" s="24">
        <f t="shared" si="50"/>
        <v>0</v>
      </c>
      <c r="CT45" s="24">
        <f t="shared" si="50"/>
        <v>0</v>
      </c>
      <c r="CU45" s="24">
        <f t="shared" si="50"/>
        <v>0</v>
      </c>
      <c r="CV45" s="24">
        <f t="shared" si="50"/>
        <v>0</v>
      </c>
      <c r="CW45" s="24">
        <f t="shared" ref="CW45:EI45" si="51">SUM(CW34:CW36,CW40:CW42)</f>
        <v>0</v>
      </c>
      <c r="CX45" s="24">
        <f t="shared" si="51"/>
        <v>0</v>
      </c>
      <c r="CY45" s="24">
        <f t="shared" si="51"/>
        <v>0</v>
      </c>
      <c r="CZ45" s="24">
        <f t="shared" si="51"/>
        <v>0</v>
      </c>
      <c r="DA45" s="24">
        <f t="shared" si="51"/>
        <v>0</v>
      </c>
      <c r="DB45" s="24">
        <f t="shared" si="51"/>
        <v>0</v>
      </c>
      <c r="DC45" s="24">
        <f t="shared" si="51"/>
        <v>0</v>
      </c>
      <c r="DD45" s="24">
        <f t="shared" si="51"/>
        <v>0</v>
      </c>
      <c r="DE45" s="24">
        <f t="shared" si="51"/>
        <v>0</v>
      </c>
      <c r="DF45" s="24">
        <f t="shared" si="51"/>
        <v>0</v>
      </c>
      <c r="DG45" s="24">
        <f t="shared" si="51"/>
        <v>0</v>
      </c>
      <c r="DH45" s="24">
        <f t="shared" si="51"/>
        <v>0</v>
      </c>
      <c r="DI45" s="24">
        <f t="shared" si="51"/>
        <v>0</v>
      </c>
      <c r="DJ45" s="24">
        <f t="shared" si="51"/>
        <v>0</v>
      </c>
      <c r="DK45" s="24">
        <f t="shared" si="51"/>
        <v>0</v>
      </c>
      <c r="DL45" s="24">
        <f t="shared" si="51"/>
        <v>0</v>
      </c>
      <c r="DM45" s="24">
        <f t="shared" si="51"/>
        <v>0</v>
      </c>
      <c r="DN45" s="24">
        <f t="shared" si="51"/>
        <v>0</v>
      </c>
      <c r="DO45" s="24">
        <f t="shared" si="51"/>
        <v>0</v>
      </c>
      <c r="DP45" s="24">
        <f t="shared" si="51"/>
        <v>0</v>
      </c>
      <c r="DQ45" s="24">
        <f t="shared" si="51"/>
        <v>0</v>
      </c>
      <c r="DR45" s="24">
        <f t="shared" si="51"/>
        <v>0</v>
      </c>
      <c r="DS45" s="24">
        <f t="shared" si="51"/>
        <v>0</v>
      </c>
      <c r="DT45" s="24">
        <f t="shared" si="51"/>
        <v>0</v>
      </c>
      <c r="DU45" s="24">
        <f t="shared" si="51"/>
        <v>0</v>
      </c>
      <c r="DV45" s="24">
        <f t="shared" si="51"/>
        <v>0</v>
      </c>
      <c r="DW45" s="24">
        <f t="shared" si="51"/>
        <v>0</v>
      </c>
      <c r="DX45" s="24">
        <f t="shared" si="51"/>
        <v>0</v>
      </c>
      <c r="DY45" s="24">
        <f t="shared" si="51"/>
        <v>0</v>
      </c>
      <c r="DZ45" s="24">
        <f t="shared" si="51"/>
        <v>0</v>
      </c>
      <c r="EA45" s="24">
        <f t="shared" si="51"/>
        <v>0</v>
      </c>
      <c r="EB45" s="24">
        <f t="shared" si="51"/>
        <v>0</v>
      </c>
      <c r="EC45" s="24">
        <f t="shared" si="51"/>
        <v>0</v>
      </c>
      <c r="ED45" s="24">
        <f t="shared" si="51"/>
        <v>0</v>
      </c>
      <c r="EE45" s="24">
        <f t="shared" si="51"/>
        <v>0</v>
      </c>
      <c r="EF45" s="24">
        <f t="shared" si="51"/>
        <v>0</v>
      </c>
      <c r="EG45" s="24">
        <f t="shared" si="51"/>
        <v>0</v>
      </c>
      <c r="EH45" s="24">
        <f t="shared" si="51"/>
        <v>0</v>
      </c>
      <c r="EI45" s="24">
        <f t="shared" si="51"/>
        <v>0</v>
      </c>
      <c r="EM45" s="1" t="s">
        <v>178</v>
      </c>
    </row>
    <row r="46" spans="2:143" x14ac:dyDescent="0.45"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M46" s="1" t="s">
        <v>178</v>
      </c>
    </row>
    <row r="47" spans="2:143" x14ac:dyDescent="0.45">
      <c r="B47" s="11"/>
      <c r="D47" s="1" t="s">
        <v>272</v>
      </c>
      <c r="G47" s="24">
        <f>-G76</f>
        <v>0</v>
      </c>
      <c r="H47" s="24">
        <f>-H76</f>
        <v>65187.499999999993</v>
      </c>
      <c r="I47" s="24">
        <f t="shared" ref="I47:S47" si="52">-I76</f>
        <v>65139.121417237147</v>
      </c>
      <c r="J47" s="24">
        <f t="shared" si="52"/>
        <v>65090.440468332046</v>
      </c>
      <c r="K47" s="24">
        <f t="shared" si="52"/>
        <v>65041.455263496275</v>
      </c>
      <c r="L47" s="24">
        <f t="shared" si="52"/>
        <v>64992.163901130276</v>
      </c>
      <c r="M47" s="24">
        <f t="shared" si="52"/>
        <v>64942.564467749507</v>
      </c>
      <c r="N47" s="24">
        <f t="shared" si="52"/>
        <v>64892.655037910103</v>
      </c>
      <c r="O47" s="24">
        <f t="shared" si="52"/>
        <v>64842.43367413419</v>
      </c>
      <c r="P47" s="24">
        <f t="shared" si="52"/>
        <v>64791.898426834683</v>
      </c>
      <c r="Q47" s="24">
        <f t="shared" si="52"/>
        <v>64741.047334239571</v>
      </c>
      <c r="R47" s="24">
        <f t="shared" si="52"/>
        <v>64689.878422315713</v>
      </c>
      <c r="S47" s="24">
        <f t="shared" si="52"/>
        <v>64638.389704692359</v>
      </c>
      <c r="T47" s="24">
        <f>-T76</f>
        <v>64586.579182583831</v>
      </c>
      <c r="U47" s="24">
        <f>-U76</f>
        <v>64534.444844712147</v>
      </c>
      <c r="V47" s="24">
        <f>-V76</f>
        <v>64481.984667228753</v>
      </c>
      <c r="W47" s="24">
        <f>-W76</f>
        <v>64429.196613636086</v>
      </c>
      <c r="X47" s="24">
        <f t="shared" ref="X47:BM47" si="53">-X76</f>
        <v>64376.078634708465</v>
      </c>
      <c r="Y47" s="24">
        <f t="shared" si="53"/>
        <v>64322.628668412552</v>
      </c>
      <c r="Z47" s="24">
        <f t="shared" si="53"/>
        <v>64268.844639827294</v>
      </c>
      <c r="AA47" s="24">
        <f t="shared" si="53"/>
        <v>64214.724461063364</v>
      </c>
      <c r="AB47" s="24">
        <f t="shared" si="53"/>
        <v>64160.266031182167</v>
      </c>
      <c r="AC47" s="24">
        <f t="shared" si="53"/>
        <v>64105.467236114215</v>
      </c>
      <c r="AD47" s="24">
        <f t="shared" si="53"/>
        <v>64050.32594857709</v>
      </c>
      <c r="AE47" s="24">
        <f t="shared" si="53"/>
        <v>63994.840027992839</v>
      </c>
      <c r="AF47" s="24">
        <f t="shared" si="53"/>
        <v>63939.007320404955</v>
      </c>
      <c r="AG47" s="24">
        <f t="shared" si="53"/>
        <v>63882.82565839465</v>
      </c>
      <c r="AH47" s="24">
        <f t="shared" si="53"/>
        <v>63826.292860996778</v>
      </c>
      <c r="AI47" s="24">
        <f t="shared" si="53"/>
        <v>63769.406733615157</v>
      </c>
      <c r="AJ47" s="24">
        <f t="shared" si="53"/>
        <v>63712.165067937407</v>
      </c>
      <c r="AK47" s="24">
        <f t="shared" si="53"/>
        <v>63654.565641849178</v>
      </c>
      <c r="AL47" s="24">
        <f t="shared" si="53"/>
        <v>63596.606219347901</v>
      </c>
      <c r="AM47" s="24">
        <f t="shared" si="53"/>
        <v>63538.284550455974</v>
      </c>
      <c r="AN47" s="24">
        <f t="shared" si="53"/>
        <v>63479.598371133485</v>
      </c>
      <c r="AO47" s="24">
        <f t="shared" si="53"/>
        <v>63420.545403190219</v>
      </c>
      <c r="AP47" s="24">
        <f t="shared" si="53"/>
        <v>63361.12335419732</v>
      </c>
      <c r="AQ47" s="24">
        <f t="shared" si="53"/>
        <v>63301.329917398209</v>
      </c>
      <c r="AR47" s="24">
        <f t="shared" si="53"/>
        <v>0</v>
      </c>
      <c r="AS47" s="24">
        <f t="shared" si="53"/>
        <v>0</v>
      </c>
      <c r="AT47" s="24">
        <f t="shared" si="53"/>
        <v>0</v>
      </c>
      <c r="AU47" s="24">
        <f t="shared" si="53"/>
        <v>0</v>
      </c>
      <c r="AV47" s="24">
        <f t="shared" si="53"/>
        <v>0</v>
      </c>
      <c r="AW47" s="24">
        <f t="shared" si="53"/>
        <v>0</v>
      </c>
      <c r="AX47" s="24">
        <f t="shared" si="53"/>
        <v>0</v>
      </c>
      <c r="AY47" s="24">
        <f t="shared" si="53"/>
        <v>0</v>
      </c>
      <c r="AZ47" s="24">
        <f t="shared" si="53"/>
        <v>0</v>
      </c>
      <c r="BA47" s="24">
        <f t="shared" si="53"/>
        <v>0</v>
      </c>
      <c r="BB47" s="24">
        <f t="shared" si="53"/>
        <v>0</v>
      </c>
      <c r="BC47" s="24">
        <f t="shared" si="53"/>
        <v>0</v>
      </c>
      <c r="BD47" s="24">
        <f t="shared" si="53"/>
        <v>0</v>
      </c>
      <c r="BE47" s="24">
        <f t="shared" si="53"/>
        <v>0</v>
      </c>
      <c r="BF47" s="24">
        <f t="shared" si="53"/>
        <v>0</v>
      </c>
      <c r="BG47" s="24">
        <f t="shared" si="53"/>
        <v>0</v>
      </c>
      <c r="BH47" s="24">
        <f t="shared" si="53"/>
        <v>0</v>
      </c>
      <c r="BI47" s="24">
        <f t="shared" si="53"/>
        <v>0</v>
      </c>
      <c r="BJ47" s="24">
        <f t="shared" si="53"/>
        <v>0</v>
      </c>
      <c r="BK47" s="24">
        <f t="shared" si="53"/>
        <v>0</v>
      </c>
      <c r="BL47" s="24">
        <f t="shared" si="53"/>
        <v>0</v>
      </c>
      <c r="BM47" s="24">
        <f t="shared" si="53"/>
        <v>0</v>
      </c>
      <c r="BN47" s="24">
        <f t="shared" ref="BN47:CE47" si="54">-BN76</f>
        <v>0</v>
      </c>
      <c r="BO47" s="24">
        <f t="shared" si="54"/>
        <v>0</v>
      </c>
      <c r="BP47" s="24">
        <f t="shared" si="54"/>
        <v>0</v>
      </c>
      <c r="BQ47" s="24">
        <f t="shared" si="54"/>
        <v>0</v>
      </c>
      <c r="BR47" s="24">
        <f t="shared" si="54"/>
        <v>0</v>
      </c>
      <c r="BS47" s="24">
        <f t="shared" si="54"/>
        <v>0</v>
      </c>
      <c r="BT47" s="24">
        <f t="shared" si="54"/>
        <v>0</v>
      </c>
      <c r="BU47" s="24">
        <f t="shared" si="54"/>
        <v>0</v>
      </c>
      <c r="BV47" s="24">
        <f t="shared" si="54"/>
        <v>0</v>
      </c>
      <c r="BW47" s="24">
        <f t="shared" si="54"/>
        <v>0</v>
      </c>
      <c r="BX47" s="24">
        <f t="shared" si="54"/>
        <v>0</v>
      </c>
      <c r="BY47" s="24">
        <f t="shared" si="54"/>
        <v>0</v>
      </c>
      <c r="BZ47" s="24">
        <f t="shared" si="54"/>
        <v>0</v>
      </c>
      <c r="CA47" s="24">
        <f t="shared" si="54"/>
        <v>0</v>
      </c>
      <c r="CB47" s="24">
        <f t="shared" si="54"/>
        <v>0</v>
      </c>
      <c r="CC47" s="24">
        <f t="shared" si="54"/>
        <v>0</v>
      </c>
      <c r="CD47" s="24">
        <f t="shared" si="54"/>
        <v>0</v>
      </c>
      <c r="CE47" s="24">
        <f t="shared" si="54"/>
        <v>0</v>
      </c>
      <c r="CF47" s="24">
        <f t="shared" ref="CF47:CV47" si="55">-CF76</f>
        <v>0</v>
      </c>
      <c r="CG47" s="24">
        <f t="shared" si="55"/>
        <v>0</v>
      </c>
      <c r="CH47" s="24">
        <f t="shared" si="55"/>
        <v>0</v>
      </c>
      <c r="CI47" s="24">
        <f t="shared" si="55"/>
        <v>0</v>
      </c>
      <c r="CJ47" s="24">
        <f t="shared" si="55"/>
        <v>0</v>
      </c>
      <c r="CK47" s="24">
        <f t="shared" si="55"/>
        <v>0</v>
      </c>
      <c r="CL47" s="24">
        <f t="shared" si="55"/>
        <v>0</v>
      </c>
      <c r="CM47" s="24">
        <f t="shared" si="55"/>
        <v>0</v>
      </c>
      <c r="CN47" s="24">
        <f t="shared" si="55"/>
        <v>0</v>
      </c>
      <c r="CO47" s="24">
        <f t="shared" si="55"/>
        <v>0</v>
      </c>
      <c r="CP47" s="24">
        <f t="shared" si="55"/>
        <v>0</v>
      </c>
      <c r="CQ47" s="24">
        <f t="shared" si="55"/>
        <v>0</v>
      </c>
      <c r="CR47" s="24">
        <f t="shared" si="55"/>
        <v>0</v>
      </c>
      <c r="CS47" s="24">
        <f t="shared" si="55"/>
        <v>0</v>
      </c>
      <c r="CT47" s="24">
        <f t="shared" si="55"/>
        <v>0</v>
      </c>
      <c r="CU47" s="24">
        <f t="shared" si="55"/>
        <v>0</v>
      </c>
      <c r="CV47" s="24">
        <f t="shared" si="55"/>
        <v>0</v>
      </c>
      <c r="CW47" s="24">
        <f t="shared" ref="CW47:EI47" si="56">-CW76</f>
        <v>0</v>
      </c>
      <c r="CX47" s="24">
        <f t="shared" si="56"/>
        <v>0</v>
      </c>
      <c r="CY47" s="24">
        <f t="shared" si="56"/>
        <v>0</v>
      </c>
      <c r="CZ47" s="24">
        <f t="shared" si="56"/>
        <v>0</v>
      </c>
      <c r="DA47" s="24">
        <f t="shared" si="56"/>
        <v>0</v>
      </c>
      <c r="DB47" s="24">
        <f t="shared" si="56"/>
        <v>0</v>
      </c>
      <c r="DC47" s="24">
        <f t="shared" si="56"/>
        <v>0</v>
      </c>
      <c r="DD47" s="24">
        <f t="shared" si="56"/>
        <v>0</v>
      </c>
      <c r="DE47" s="24">
        <f t="shared" si="56"/>
        <v>0</v>
      </c>
      <c r="DF47" s="24">
        <f t="shared" si="56"/>
        <v>0</v>
      </c>
      <c r="DG47" s="24">
        <f t="shared" si="56"/>
        <v>0</v>
      </c>
      <c r="DH47" s="24">
        <f t="shared" si="56"/>
        <v>0</v>
      </c>
      <c r="DI47" s="24">
        <f t="shared" si="56"/>
        <v>0</v>
      </c>
      <c r="DJ47" s="24">
        <f t="shared" si="56"/>
        <v>0</v>
      </c>
      <c r="DK47" s="24">
        <f t="shared" si="56"/>
        <v>0</v>
      </c>
      <c r="DL47" s="24">
        <f t="shared" si="56"/>
        <v>0</v>
      </c>
      <c r="DM47" s="24">
        <f t="shared" si="56"/>
        <v>0</v>
      </c>
      <c r="DN47" s="24">
        <f t="shared" si="56"/>
        <v>0</v>
      </c>
      <c r="DO47" s="24">
        <f t="shared" si="56"/>
        <v>0</v>
      </c>
      <c r="DP47" s="24">
        <f t="shared" si="56"/>
        <v>0</v>
      </c>
      <c r="DQ47" s="24">
        <f t="shared" si="56"/>
        <v>0</v>
      </c>
      <c r="DR47" s="24">
        <f t="shared" si="56"/>
        <v>0</v>
      </c>
      <c r="DS47" s="24">
        <f t="shared" si="56"/>
        <v>0</v>
      </c>
      <c r="DT47" s="24">
        <f t="shared" si="56"/>
        <v>0</v>
      </c>
      <c r="DU47" s="24">
        <f t="shared" si="56"/>
        <v>0</v>
      </c>
      <c r="DV47" s="24">
        <f t="shared" si="56"/>
        <v>0</v>
      </c>
      <c r="DW47" s="24">
        <f t="shared" si="56"/>
        <v>0</v>
      </c>
      <c r="DX47" s="24">
        <f t="shared" si="56"/>
        <v>0</v>
      </c>
      <c r="DY47" s="24">
        <f t="shared" si="56"/>
        <v>0</v>
      </c>
      <c r="DZ47" s="24">
        <f t="shared" si="56"/>
        <v>0</v>
      </c>
      <c r="EA47" s="24">
        <f t="shared" si="56"/>
        <v>0</v>
      </c>
      <c r="EB47" s="24">
        <f t="shared" si="56"/>
        <v>0</v>
      </c>
      <c r="EC47" s="24">
        <f t="shared" si="56"/>
        <v>0</v>
      </c>
      <c r="ED47" s="24">
        <f t="shared" si="56"/>
        <v>0</v>
      </c>
      <c r="EE47" s="24">
        <f t="shared" si="56"/>
        <v>0</v>
      </c>
      <c r="EF47" s="24">
        <f t="shared" si="56"/>
        <v>0</v>
      </c>
      <c r="EG47" s="24">
        <f t="shared" si="56"/>
        <v>0</v>
      </c>
      <c r="EH47" s="24">
        <f t="shared" si="56"/>
        <v>0</v>
      </c>
      <c r="EI47" s="24">
        <f t="shared" si="56"/>
        <v>0</v>
      </c>
      <c r="EM47" s="1" t="s">
        <v>178</v>
      </c>
    </row>
    <row r="48" spans="2:143" x14ac:dyDescent="0.45">
      <c r="D48" s="1" t="s">
        <v>245</v>
      </c>
      <c r="G48" s="24">
        <f>-IF(Assumptions!$G$34="Yes",MIN(G26+G41+G42+G54,G47),MAX(0,MIN(G28+G41+G42,G47)))</f>
        <v>0</v>
      </c>
      <c r="H48" s="24">
        <f>-IF(Assumptions!$G$34="Yes",MIN(H26+H41+H42+H54,H47),MAX(0,MIN(H28+H41+H42,H47)))</f>
        <v>-61904.978201678474</v>
      </c>
      <c r="I48" s="24">
        <f>-IF(Assumptions!$G$34="Yes",MIN(I26+I41+I42+I54,I47),MAX(0,MIN(I28+I41+I42,I47)))</f>
        <v>-57628.033551546469</v>
      </c>
      <c r="J48" s="24">
        <f>-IF(Assumptions!$G$34="Yes",MIN(J26+J41+J42+J54,J47),MAX(0,MIN(J28+J41+J42,J47)))</f>
        <v>-57733.426626941058</v>
      </c>
      <c r="K48" s="24">
        <f>-IF(Assumptions!$G$34="Yes",MIN(K26+K41+K42+K54,K47),MAX(0,MIN(K28+K41+K42,K47)))</f>
        <v>-55295.336153640135</v>
      </c>
      <c r="L48" s="24">
        <f>-IF(Assumptions!$G$34="Yes",MIN(L26+L41+L42+L54,L47),MAX(0,MIN(L28+L41+L42,L47)))</f>
        <v>-51488.32238116255</v>
      </c>
      <c r="M48" s="24">
        <f>-IF(Assumptions!$G$34="Yes",MIN(M26+M41+M42+M54,M47),MAX(0,MIN(M28+M41+M42,M47)))</f>
        <v>-55582.241578373127</v>
      </c>
      <c r="N48" s="24">
        <f>-IF(Assumptions!$G$34="Yes",MIN(N26+N41+N42+N54,N47),MAX(0,MIN(N28+N41+N42,N47)))</f>
        <v>-51514.913489583392</v>
      </c>
      <c r="O48" s="24">
        <f>-IF(Assumptions!$G$34="Yes",MIN(O26+O41+O42+O54,O47),MAX(0,MIN(O28+O41+O42,O47)))</f>
        <v>-53538.158663957671</v>
      </c>
      <c r="P48" s="24">
        <f>-IF(Assumptions!$G$34="Yes",MIN(P26+P41+P42+P54,P47),MAX(0,MIN(P28+P41+P42,P47)))</f>
        <v>-55598.840602685639</v>
      </c>
      <c r="Q48" s="24">
        <f>-IF(Assumptions!$G$34="Yes",MIN(Q26+Q41+Q42+Q54,Q47),MAX(0,MIN(Q28+Q41+Q42,Q47)))</f>
        <v>-55396.588743230866</v>
      </c>
      <c r="R48" s="24">
        <f>-IF(Assumptions!$G$34="Yes",MIN(R26+R41+R42+R54,R47),MAX(0,MIN(R28+R41+R42,R47)))</f>
        <v>-57583.392120537006</v>
      </c>
      <c r="S48" s="24">
        <f>-IF(Assumptions!$G$34="Yes",MIN(S26+S41+S42+S54,S47),MAX(0,MIN(S28+S41+S42,S47)))</f>
        <v>-64638.389704692359</v>
      </c>
      <c r="T48" s="24">
        <f>-IF(Assumptions!$G$34="Yes",MIN(T26+T41+T42+T54,T47),MAX(0,MIN(T28+T41+T42,T47)))</f>
        <v>-64586.579182583831</v>
      </c>
      <c r="U48" s="24">
        <f>-IF(Assumptions!$G$34="Yes",MIN(U26+U41+U42+U54,U47),MAX(0,MIN(U28+U41+U42,U47)))</f>
        <v>-64534.444844712147</v>
      </c>
      <c r="V48" s="24">
        <f>-IF(Assumptions!$G$34="Yes",MIN(V26+V41+V42+V54,V47),MAX(0,MIN(V28+V41+V42,V47)))</f>
        <v>-64481.984667228753</v>
      </c>
      <c r="W48" s="24">
        <f>-IF(Assumptions!$G$34="Yes",MIN(W26+W41+W42+W54,W47),MAX(0,MIN(W28+W41+W42,W47)))</f>
        <v>-64429.196613636086</v>
      </c>
      <c r="X48" s="24">
        <f>-IF(Assumptions!$G$34="Yes",MIN(X26+X41+X42+X54,X47),MAX(0,MIN(X28+X41+X42,X47)))</f>
        <v>-64376.078634708465</v>
      </c>
      <c r="Y48" s="24">
        <f>-IF(Assumptions!$G$34="Yes",MIN(Y26+Y41+Y42+Y54,Y47),MAX(0,MIN(Y28+Y41+Y42,Y47)))</f>
        <v>-64322.628668412552</v>
      </c>
      <c r="Z48" s="24">
        <f>-IF(Assumptions!$G$34="Yes",MIN(Z26+Z41+Z42+Z54,Z47),MAX(0,MIN(Z28+Z41+Z42,Z47)))</f>
        <v>-64268.844639827294</v>
      </c>
      <c r="AA48" s="24">
        <f>-IF(Assumptions!$G$34="Yes",MIN(AA26+AA41+AA42+AA54,AA47),MAX(0,MIN(AA28+AA41+AA42,AA47)))</f>
        <v>-64214.724461063364</v>
      </c>
      <c r="AB48" s="24">
        <f>-IF(Assumptions!$G$34="Yes",MIN(AB26+AB41+AB42+AB54,AB47),MAX(0,MIN(AB28+AB41+AB42,AB47)))</f>
        <v>-64160.266031182167</v>
      </c>
      <c r="AC48" s="24">
        <f>-IF(Assumptions!$G$34="Yes",MIN(AC26+AC41+AC42+AC54,AC47),MAX(0,MIN(AC28+AC41+AC42,AC47)))</f>
        <v>-64105.467236114215</v>
      </c>
      <c r="AD48" s="24">
        <f>-IF(Assumptions!$G$34="Yes",MIN(AD26+AD41+AD42+AD54,AD47),MAX(0,MIN(AD28+AD41+AD42,AD47)))</f>
        <v>-64050.32594857709</v>
      </c>
      <c r="AE48" s="24">
        <f>-IF(Assumptions!$G$34="Yes",MIN(AE26+AE41+AE42+AE54,AE47),MAX(0,MIN(AE28+AE41+AE42,AE47)))</f>
        <v>-63994.840027992839</v>
      </c>
      <c r="AF48" s="24">
        <f>-IF(Assumptions!$G$34="Yes",MIN(AF26+AF41+AF42+AF54,AF47),MAX(0,MIN(AF28+AF41+AF42,AF47)))</f>
        <v>-63939.007320404955</v>
      </c>
      <c r="AG48" s="24">
        <f>-IF(Assumptions!$G$34="Yes",MIN(AG26+AG41+AG42+AG54,AG47),MAX(0,MIN(AG28+AG41+AG42,AG47)))</f>
        <v>-63882.82565839465</v>
      </c>
      <c r="AH48" s="24">
        <f>-IF(Assumptions!$G$34="Yes",MIN(AH26+AH41+AH42+AH54,AH47),MAX(0,MIN(AH28+AH41+AH42,AH47)))</f>
        <v>-63826.292860996778</v>
      </c>
      <c r="AI48" s="24">
        <f>-IF(Assumptions!$G$34="Yes",MIN(AI26+AI41+AI42+AI54,AI47),MAX(0,MIN(AI28+AI41+AI42,AI47)))</f>
        <v>-63769.406733615157</v>
      </c>
      <c r="AJ48" s="24">
        <f>-IF(Assumptions!$G$34="Yes",MIN(AJ26+AJ41+AJ42+AJ54,AJ47),MAX(0,MIN(AJ28+AJ41+AJ42,AJ47)))</f>
        <v>-63712.165067937407</v>
      </c>
      <c r="AK48" s="24">
        <f>-IF(Assumptions!$G$34="Yes",MIN(AK26+AK41+AK42+AK54,AK47),MAX(0,MIN(AK28+AK41+AK42,AK47)))</f>
        <v>-63654.565641849178</v>
      </c>
      <c r="AL48" s="24">
        <f>-IF(Assumptions!$G$34="Yes",MIN(AL26+AL41+AL42+AL54,AL47),MAX(0,MIN(AL28+AL41+AL42,AL47)))</f>
        <v>-63596.606219347901</v>
      </c>
      <c r="AM48" s="24">
        <f>-IF(Assumptions!$G$34="Yes",MIN(AM26+AM41+AM42+AM54,AM47),MAX(0,MIN(AM28+AM41+AM42,AM47)))</f>
        <v>-63538.284550455974</v>
      </c>
      <c r="AN48" s="24">
        <f>-IF(Assumptions!$G$34="Yes",MIN(AN26+AN41+AN42+AN54,AN47),MAX(0,MIN(AN28+AN41+AN42,AN47)))</f>
        <v>-63479.598371133485</v>
      </c>
      <c r="AO48" s="24">
        <f>-IF(Assumptions!$G$34="Yes",MIN(AO26+AO41+AO42+AO54,AO47),MAX(0,MIN(AO28+AO41+AO42,AO47)))</f>
        <v>-63420.545403190219</v>
      </c>
      <c r="AP48" s="24">
        <f>-IF(Assumptions!$G$34="Yes",MIN(AP26+AP41+AP42+AP54,AP47),MAX(0,MIN(AP28+AP41+AP42,AP47)))</f>
        <v>-63361.12335419732</v>
      </c>
      <c r="AQ48" s="24">
        <f>-IF(Assumptions!$G$34="Yes",MIN(AQ26+AQ41+AQ42+AQ54,AQ47),MAX(0,MIN(AQ28+AQ41+AQ42,AQ47)))</f>
        <v>-63301.329917398209</v>
      </c>
      <c r="AR48" s="24">
        <f>-IF(Assumptions!$G$34="Yes",MIN(AR26+AR41+AR42+AR54,AR47),MAX(0,MIN(AR28+AR41+AR42,AR47)))</f>
        <v>0</v>
      </c>
      <c r="AS48" s="24">
        <f>-IF(Assumptions!$G$34="Yes",MIN(AS26+AS41+AS42+AS54,AS47),MAX(0,MIN(AS28+AS41+AS42,AS47)))</f>
        <v>0</v>
      </c>
      <c r="AT48" s="24">
        <f>-IF(Assumptions!$G$34="Yes",MIN(AT26+AT41+AT42+AT54,AT47),MAX(0,MIN(AT28+AT41+AT42,AT47)))</f>
        <v>0</v>
      </c>
      <c r="AU48" s="24">
        <f>-IF(Assumptions!$G$34="Yes",MIN(AU26+AU41+AU42+AU54,AU47),MAX(0,MIN(AU28+AU41+AU42,AU47)))</f>
        <v>0</v>
      </c>
      <c r="AV48" s="24">
        <f>-IF(Assumptions!$G$34="Yes",MIN(AV26+AV41+AV42+AV54,AV47),MAX(0,MIN(AV28+AV41+AV42,AV47)))</f>
        <v>0</v>
      </c>
      <c r="AW48" s="24">
        <f>-IF(Assumptions!$G$34="Yes",MIN(AW26+AW41+AW42+AW54,AW47),MAX(0,MIN(AW28+AW41+AW42,AW47)))</f>
        <v>0</v>
      </c>
      <c r="AX48" s="24">
        <f>-IF(Assumptions!$G$34="Yes",MIN(AX26+AX41+AX42+AX54,AX47),MAX(0,MIN(AX28+AX41+AX42,AX47)))</f>
        <v>0</v>
      </c>
      <c r="AY48" s="24">
        <f>-IF(Assumptions!$G$34="Yes",MIN(AY26+AY41+AY42+AY54,AY47),MAX(0,MIN(AY28+AY41+AY42,AY47)))</f>
        <v>0</v>
      </c>
      <c r="AZ48" s="24">
        <f>-IF(Assumptions!$G$34="Yes",MIN(AZ26+AZ41+AZ42+AZ54,AZ47),MAX(0,MIN(AZ28+AZ41+AZ42,AZ47)))</f>
        <v>0</v>
      </c>
      <c r="BA48" s="24">
        <f>-IF(Assumptions!$G$34="Yes",MIN(BA26+BA41+BA42+BA54,BA47),MAX(0,MIN(BA28+BA41+BA42,BA47)))</f>
        <v>0</v>
      </c>
      <c r="BB48" s="24">
        <f>-IF(Assumptions!$G$34="Yes",MIN(BB26+BB41+BB42+BB54,BB47),MAX(0,MIN(BB28+BB41+BB42,BB47)))</f>
        <v>0</v>
      </c>
      <c r="BC48" s="24">
        <f>-IF(Assumptions!$G$34="Yes",MIN(BC26+BC41+BC42+BC54,BC47),MAX(0,MIN(BC28+BC41+BC42,BC47)))</f>
        <v>0</v>
      </c>
      <c r="BD48" s="24">
        <f>-IF(Assumptions!$G$34="Yes",MIN(BD26+BD41+BD42+BD54,BD47),MAX(0,MIN(BD28+BD41+BD42,BD47)))</f>
        <v>0</v>
      </c>
      <c r="BE48" s="24">
        <f>-IF(Assumptions!$G$34="Yes",MIN(BE26+BE41+BE42+BE54,BE47),MAX(0,MIN(BE28+BE41+BE42,BE47)))</f>
        <v>0</v>
      </c>
      <c r="BF48" s="24">
        <f>-IF(Assumptions!$G$34="Yes",MIN(BF26+BF41+BF42+BF54,BF47),MAX(0,MIN(BF28+BF41+BF42,BF47)))</f>
        <v>0</v>
      </c>
      <c r="BG48" s="24">
        <f>-IF(Assumptions!$G$34="Yes",MIN(BG26+BG41+BG42+BG54,BG47),MAX(0,MIN(BG28+BG41+BG42,BG47)))</f>
        <v>0</v>
      </c>
      <c r="BH48" s="24">
        <f>-IF(Assumptions!$G$34="Yes",MIN(BH26+BH41+BH42+BH54,BH47),MAX(0,MIN(BH28+BH41+BH42,BH47)))</f>
        <v>0</v>
      </c>
      <c r="BI48" s="24">
        <f>-IF(Assumptions!$G$34="Yes",MIN(BI26+BI41+BI42+BI54,BI47),MAX(0,MIN(BI28+BI41+BI42,BI47)))</f>
        <v>0</v>
      </c>
      <c r="BJ48" s="24">
        <f>-IF(Assumptions!$G$34="Yes",MIN(BJ26+BJ41+BJ42+BJ54,BJ47),MAX(0,MIN(BJ28+BJ41+BJ42,BJ47)))</f>
        <v>0</v>
      </c>
      <c r="BK48" s="24">
        <f>-IF(Assumptions!$G$34="Yes",MIN(BK26+BK41+BK42+BK54,BK47),MAX(0,MIN(BK28+BK41+BK42,BK47)))</f>
        <v>0</v>
      </c>
      <c r="BL48" s="24">
        <f>-IF(Assumptions!$G$34="Yes",MIN(BL26+BL41+BL42+BL54,BL47),MAX(0,MIN(BL28+BL41+BL42,BL47)))</f>
        <v>0</v>
      </c>
      <c r="BM48" s="24">
        <f>-IF(Assumptions!$G$34="Yes",MIN(BM26+BM41+BM42+BM54,BM47),MAX(0,MIN(BM28+BM41+BM42,BM47)))</f>
        <v>0</v>
      </c>
      <c r="BN48" s="24">
        <f>-IF(Assumptions!$G$34="Yes",MIN(BN26+BN41+BN42+BN54,BN47),MAX(0,MIN(BN28+BN41+BN42,BN47)))</f>
        <v>0</v>
      </c>
      <c r="BO48" s="24">
        <f>-IF(Assumptions!$G$34="Yes",MIN(BO26+BO41+BO42+BO54,BO47),MAX(0,MIN(BO28+BO41+BO42,BO47)))</f>
        <v>0</v>
      </c>
      <c r="BP48" s="24">
        <f>-IF(Assumptions!$G$34="Yes",MIN(BP26+BP41+BP42+BP54,BP47),MAX(0,MIN(BP28+BP41+BP42,BP47)))</f>
        <v>0</v>
      </c>
      <c r="BQ48" s="24">
        <f>-IF(Assumptions!$G$34="Yes",MIN(BQ26+BQ41+BQ42+BQ54,BQ47),MAX(0,MIN(BQ28+BQ41+BQ42,BQ47)))</f>
        <v>0</v>
      </c>
      <c r="BR48" s="24">
        <f>-IF(Assumptions!$G$34="Yes",MIN(BR26+BR41+BR42+BR54,BR47),MAX(0,MIN(BR28+BR41+BR42,BR47)))</f>
        <v>0</v>
      </c>
      <c r="BS48" s="24">
        <f>-IF(Assumptions!$G$34="Yes",MIN(BS26+BS41+BS42+BS54,BS47),MAX(0,MIN(BS28+BS41+BS42,BS47)))</f>
        <v>0</v>
      </c>
      <c r="BT48" s="24">
        <f>-IF(Assumptions!$G$34="Yes",MIN(BT26+BT41+BT42+BT54,BT47),MAX(0,MIN(BT28+BT41+BT42,BT47)))</f>
        <v>0</v>
      </c>
      <c r="BU48" s="24">
        <f>-IF(Assumptions!$G$34="Yes",MIN(BU26+BU41+BU42+BU54,BU47),MAX(0,MIN(BU28+BU41+BU42,BU47)))</f>
        <v>0</v>
      </c>
      <c r="BV48" s="24">
        <f>-IF(Assumptions!$G$34="Yes",MIN(BV26+BV41+BV42+BV54,BV47),MAX(0,MIN(BV28+BV41+BV42,BV47)))</f>
        <v>0</v>
      </c>
      <c r="BW48" s="24">
        <f>-IF(Assumptions!$G$34="Yes",MIN(BW26+BW41+BW42+BW54,BW47),MAX(0,MIN(BW28+BW41+BW42,BW47)))</f>
        <v>0</v>
      </c>
      <c r="BX48" s="24">
        <f>-IF(Assumptions!$G$34="Yes",MIN(BX26+BX41+BX42+BX54,BX47),MAX(0,MIN(BX28+BX41+BX42,BX47)))</f>
        <v>0</v>
      </c>
      <c r="BY48" s="24">
        <f>-IF(Assumptions!$G$34="Yes",MIN(BY26+BY41+BY42+BY54,BY47),MAX(0,MIN(BY28+BY41+BY42,BY47)))</f>
        <v>0</v>
      </c>
      <c r="BZ48" s="24">
        <f>-IF(Assumptions!$G$34="Yes",MIN(BZ26+BZ41+BZ42+BZ54,BZ47),MAX(0,MIN(BZ28+BZ41+BZ42,BZ47)))</f>
        <v>0</v>
      </c>
      <c r="CA48" s="24">
        <f>-IF(Assumptions!$G$34="Yes",MIN(CA26+CA41+CA42+CA54,CA47),MAX(0,MIN(CA28+CA41+CA42,CA47)))</f>
        <v>0</v>
      </c>
      <c r="CB48" s="24">
        <f>-IF(Assumptions!$G$34="Yes",MIN(CB26+CB41+CB42+CB54,CB47),MAX(0,MIN(CB28+CB41+CB42,CB47)))</f>
        <v>0</v>
      </c>
      <c r="CC48" s="24">
        <f>-IF(Assumptions!$G$34="Yes",MIN(CC26+CC41+CC42+CC54,CC47),MAX(0,MIN(CC28+CC41+CC42,CC47)))</f>
        <v>0</v>
      </c>
      <c r="CD48" s="24">
        <f>-IF(Assumptions!$G$34="Yes",MIN(CD26+CD41+CD42+CD54,CD47),MAX(0,MIN(CD28+CD41+CD42,CD47)))</f>
        <v>0</v>
      </c>
      <c r="CE48" s="24">
        <f>-IF(Assumptions!$G$34="Yes",MIN(CE26+CE41+CE42+CE54,CE47),MAX(0,MIN(CE28+CE41+CE42,CE47)))</f>
        <v>0</v>
      </c>
      <c r="CF48" s="24">
        <f>-IF(Assumptions!$G$34="Yes",MIN(CF26+CF41+CF42+CF54,CF47),MAX(0,MIN(CF28+CF41+CF42,CF47)))</f>
        <v>0</v>
      </c>
      <c r="CG48" s="24">
        <f>-IF(Assumptions!$G$34="Yes",MIN(CG26+CG41+CG42+CG54,CG47),MAX(0,MIN(CG28+CG41+CG42,CG47)))</f>
        <v>0</v>
      </c>
      <c r="CH48" s="24">
        <f>-IF(Assumptions!$G$34="Yes",MIN(CH26+CH41+CH42+CH54,CH47),MAX(0,MIN(CH28+CH41+CH42,CH47)))</f>
        <v>0</v>
      </c>
      <c r="CI48" s="24">
        <f>-IF(Assumptions!$G$34="Yes",MIN(CI26+CI41+CI42+CI54,CI47),MAX(0,MIN(CI28+CI41+CI42,CI47)))</f>
        <v>0</v>
      </c>
      <c r="CJ48" s="24">
        <f>-IF(Assumptions!$G$34="Yes",MIN(CJ26+CJ41+CJ42+CJ54,CJ47),MAX(0,MIN(CJ28+CJ41+CJ42,CJ47)))</f>
        <v>0</v>
      </c>
      <c r="CK48" s="24">
        <f>-IF(Assumptions!$G$34="Yes",MIN(CK26+CK41+CK42+CK54,CK47),MAX(0,MIN(CK28+CK41+CK42,CK47)))</f>
        <v>0</v>
      </c>
      <c r="CL48" s="24">
        <f>-IF(Assumptions!$G$34="Yes",MIN(CL26+CL41+CL42+CL54,CL47),MAX(0,MIN(CL28+CL41+CL42,CL47)))</f>
        <v>0</v>
      </c>
      <c r="CM48" s="24">
        <f>-IF(Assumptions!$G$34="Yes",MIN(CM26+CM41+CM42+CM54,CM47),MAX(0,MIN(CM28+CM41+CM42,CM47)))</f>
        <v>0</v>
      </c>
      <c r="CN48" s="24">
        <f>-IF(Assumptions!$G$34="Yes",MIN(CN26+CN41+CN42+CN54,CN47),MAX(0,MIN(CN28+CN41+CN42,CN47)))</f>
        <v>0</v>
      </c>
      <c r="CO48" s="24">
        <f>-IF(Assumptions!$G$34="Yes",MIN(CO26+CO41+CO42+CO54,CO47),MAX(0,MIN(CO28+CO41+CO42,CO47)))</f>
        <v>0</v>
      </c>
      <c r="CP48" s="24">
        <f>-IF(Assumptions!$G$34="Yes",MIN(CP26+CP41+CP42+CP54,CP47),MAX(0,MIN(CP28+CP41+CP42,CP47)))</f>
        <v>0</v>
      </c>
      <c r="CQ48" s="24">
        <f>-IF(Assumptions!$G$34="Yes",MIN(CQ26+CQ41+CQ42+CQ54,CQ47),MAX(0,MIN(CQ28+CQ41+CQ42,CQ47)))</f>
        <v>0</v>
      </c>
      <c r="CR48" s="24">
        <f>-IF(Assumptions!$G$34="Yes",MIN(CR26+CR41+CR42+CR54,CR47),MAX(0,MIN(CR28+CR41+CR42,CR47)))</f>
        <v>0</v>
      </c>
      <c r="CS48" s="24">
        <f>-IF(Assumptions!$G$34="Yes",MIN(CS26+CS41+CS42+CS54,CS47),MAX(0,MIN(CS28+CS41+CS42,CS47)))</f>
        <v>0</v>
      </c>
      <c r="CT48" s="24">
        <f>-IF(Assumptions!$G$34="Yes",MIN(CT26+CT41+CT42+CT54,CT47),MAX(0,MIN(CT28+CT41+CT42,CT47)))</f>
        <v>0</v>
      </c>
      <c r="CU48" s="24">
        <f>-IF(Assumptions!$G$34="Yes",MIN(CU26+CU41+CU42+CU54,CU47),MAX(0,MIN(CU28+CU41+CU42,CU47)))</f>
        <v>0</v>
      </c>
      <c r="CV48" s="24">
        <f>-IF(Assumptions!$G$34="Yes",MIN(CV26+CV41+CV42+CV54,CV47),MAX(0,MIN(CV28+CV41+CV42,CV47)))</f>
        <v>0</v>
      </c>
      <c r="CW48" s="24">
        <f>-IF(Assumptions!$G$34="Yes",MIN(CW26+CW41+CW42+CW54,CW47),MAX(0,MIN(CW28+CW41+CW42,CW47)))</f>
        <v>0</v>
      </c>
      <c r="CX48" s="24">
        <f>-IF(Assumptions!$G$34="Yes",MIN(CX26+CX41+CX42+CX54,CX47),MAX(0,MIN(CX28+CX41+CX42,CX47)))</f>
        <v>0</v>
      </c>
      <c r="CY48" s="24">
        <f>-IF(Assumptions!$G$34="Yes",MIN(CY26+CY41+CY42+CY54,CY47),MAX(0,MIN(CY28+CY41+CY42,CY47)))</f>
        <v>0</v>
      </c>
      <c r="CZ48" s="24">
        <f>-IF(Assumptions!$G$34="Yes",MIN(CZ26+CZ41+CZ42+CZ54,CZ47),MAX(0,MIN(CZ28+CZ41+CZ42,CZ47)))</f>
        <v>0</v>
      </c>
      <c r="DA48" s="24">
        <f>-IF(Assumptions!$G$34="Yes",MIN(DA26+DA41+DA42+DA54,DA47),MAX(0,MIN(DA28+DA41+DA42,DA47)))</f>
        <v>0</v>
      </c>
      <c r="DB48" s="24">
        <f>-IF(Assumptions!$G$34="Yes",MIN(DB26+DB41+DB42+DB54,DB47),MAX(0,MIN(DB28+DB41+DB42,DB47)))</f>
        <v>0</v>
      </c>
      <c r="DC48" s="24">
        <f>-IF(Assumptions!$G$34="Yes",MIN(DC26+DC41+DC42+DC54,DC47),MAX(0,MIN(DC28+DC41+DC42,DC47)))</f>
        <v>0</v>
      </c>
      <c r="DD48" s="24">
        <f>-IF(Assumptions!$G$34="Yes",MIN(DD26+DD41+DD42+DD54,DD47),MAX(0,MIN(DD28+DD41+DD42,DD47)))</f>
        <v>0</v>
      </c>
      <c r="DE48" s="24">
        <f>-IF(Assumptions!$G$34="Yes",MIN(DE26+DE41+DE42+DE54,DE47),MAX(0,MIN(DE28+DE41+DE42,DE47)))</f>
        <v>0</v>
      </c>
      <c r="DF48" s="24">
        <f>-IF(Assumptions!$G$34="Yes",MIN(DF26+DF41+DF42+DF54,DF47),MAX(0,MIN(DF28+DF41+DF42,DF47)))</f>
        <v>0</v>
      </c>
      <c r="DG48" s="24">
        <f>-IF(Assumptions!$G$34="Yes",MIN(DG26+DG41+DG42+DG54,DG47),MAX(0,MIN(DG28+DG41+DG42,DG47)))</f>
        <v>0</v>
      </c>
      <c r="DH48" s="24">
        <f>-IF(Assumptions!$G$34="Yes",MIN(DH26+DH41+DH42+DH54,DH47),MAX(0,MIN(DH28+DH41+DH42,DH47)))</f>
        <v>0</v>
      </c>
      <c r="DI48" s="24">
        <f>-IF(Assumptions!$G$34="Yes",MIN(DI26+DI41+DI42+DI54,DI47),MAX(0,MIN(DI28+DI41+DI42,DI47)))</f>
        <v>0</v>
      </c>
      <c r="DJ48" s="24">
        <f>-IF(Assumptions!$G$34="Yes",MIN(DJ26+DJ41+DJ42+DJ54,DJ47),MAX(0,MIN(DJ28+DJ41+DJ42,DJ47)))</f>
        <v>0</v>
      </c>
      <c r="DK48" s="24">
        <f>-IF(Assumptions!$G$34="Yes",MIN(DK26+DK41+DK42+DK54,DK47),MAX(0,MIN(DK28+DK41+DK42,DK47)))</f>
        <v>0</v>
      </c>
      <c r="DL48" s="24">
        <f>-IF(Assumptions!$G$34="Yes",MIN(DL26+DL41+DL42+DL54,DL47),MAX(0,MIN(DL28+DL41+DL42,DL47)))</f>
        <v>0</v>
      </c>
      <c r="DM48" s="24">
        <f>-IF(Assumptions!$G$34="Yes",MIN(DM26+DM41+DM42+DM54,DM47),MAX(0,MIN(DM28+DM41+DM42,DM47)))</f>
        <v>0</v>
      </c>
      <c r="DN48" s="24">
        <f>-IF(Assumptions!$G$34="Yes",MIN(DN26+DN41+DN42+DN54,DN47),MAX(0,MIN(DN28+DN41+DN42,DN47)))</f>
        <v>0</v>
      </c>
      <c r="DO48" s="24">
        <f>-IF(Assumptions!$G$34="Yes",MIN(DO26+DO41+DO42+DO54,DO47),MAX(0,MIN(DO28+DO41+DO42,DO47)))</f>
        <v>0</v>
      </c>
      <c r="DP48" s="24">
        <f>-IF(Assumptions!$G$34="Yes",MIN(DP26+DP41+DP42+DP54,DP47),MAX(0,MIN(DP28+DP41+DP42,DP47)))</f>
        <v>0</v>
      </c>
      <c r="DQ48" s="24">
        <f>-IF(Assumptions!$G$34="Yes",MIN(DQ26+DQ41+DQ42+DQ54,DQ47),MAX(0,MIN(DQ28+DQ41+DQ42,DQ47)))</f>
        <v>0</v>
      </c>
      <c r="DR48" s="24">
        <f>-IF(Assumptions!$G$34="Yes",MIN(DR26+DR41+DR42+DR54,DR47),MAX(0,MIN(DR28+DR41+DR42,DR47)))</f>
        <v>0</v>
      </c>
      <c r="DS48" s="24">
        <f>-IF(Assumptions!$G$34="Yes",MIN(DS26+DS41+DS42+DS54,DS47),MAX(0,MIN(DS28+DS41+DS42,DS47)))</f>
        <v>0</v>
      </c>
      <c r="DT48" s="24">
        <f>-IF(Assumptions!$G$34="Yes",MIN(DT26+DT41+DT42+DT54,DT47),MAX(0,MIN(DT28+DT41+DT42,DT47)))</f>
        <v>0</v>
      </c>
      <c r="DU48" s="24">
        <f>-IF(Assumptions!$G$34="Yes",MIN(DU26+DU41+DU42+DU54,DU47),MAX(0,MIN(DU28+DU41+DU42,DU47)))</f>
        <v>0</v>
      </c>
      <c r="DV48" s="24">
        <f>-IF(Assumptions!$G$34="Yes",MIN(DV26+DV41+DV42+DV54,DV47),MAX(0,MIN(DV28+DV41+DV42,DV47)))</f>
        <v>0</v>
      </c>
      <c r="DW48" s="24">
        <f>-IF(Assumptions!$G$34="Yes",MIN(DW26+DW41+DW42+DW54,DW47),MAX(0,MIN(DW28+DW41+DW42,DW47)))</f>
        <v>0</v>
      </c>
      <c r="DX48" s="24">
        <f>-IF(Assumptions!$G$34="Yes",MIN(DX26+DX41+DX42+DX54,DX47),MAX(0,MIN(DX28+DX41+DX42,DX47)))</f>
        <v>0</v>
      </c>
      <c r="DY48" s="24">
        <f>-IF(Assumptions!$G$34="Yes",MIN(DY26+DY41+DY42+DY54,DY47),MAX(0,MIN(DY28+DY41+DY42,DY47)))</f>
        <v>0</v>
      </c>
      <c r="DZ48" s="24">
        <f>-IF(Assumptions!$G$34="Yes",MIN(DZ26+DZ41+DZ42+DZ54,DZ47),MAX(0,MIN(DZ28+DZ41+DZ42,DZ47)))</f>
        <v>0</v>
      </c>
      <c r="EA48" s="24">
        <f>-IF(Assumptions!$G$34="Yes",MIN(EA26+EA41+EA42+EA54,EA47),MAX(0,MIN(EA28+EA41+EA42,EA47)))</f>
        <v>0</v>
      </c>
      <c r="EB48" s="24">
        <f>-IF(Assumptions!$G$34="Yes",MIN(EB26+EB41+EB42+EB54,EB47),MAX(0,MIN(EB28+EB41+EB42,EB47)))</f>
        <v>0</v>
      </c>
      <c r="EC48" s="24">
        <f>-IF(Assumptions!$G$34="Yes",MIN(EC26+EC41+EC42+EC54,EC47),MAX(0,MIN(EC28+EC41+EC42,EC47)))</f>
        <v>0</v>
      </c>
      <c r="ED48" s="24">
        <f>-IF(Assumptions!$G$34="Yes",MIN(ED26+ED41+ED42+ED54,ED47),MAX(0,MIN(ED28+ED41+ED42,ED47)))</f>
        <v>0</v>
      </c>
      <c r="EE48" s="24">
        <f>-IF(Assumptions!$G$34="Yes",MIN(EE26+EE41+EE42+EE54,EE47),MAX(0,MIN(EE28+EE41+EE42,EE47)))</f>
        <v>0</v>
      </c>
      <c r="EF48" s="24">
        <f>-IF(Assumptions!$G$34="Yes",MIN(EF26+EF41+EF42+EF54,EF47),MAX(0,MIN(EF28+EF41+EF42,EF47)))</f>
        <v>0</v>
      </c>
      <c r="EG48" s="24">
        <f>-IF(Assumptions!$G$34="Yes",MIN(EG26+EG41+EG42+EG54,EG47),MAX(0,MIN(EG28+EG41+EG42,EG47)))</f>
        <v>0</v>
      </c>
      <c r="EH48" s="24">
        <f>-IF(Assumptions!$G$34="Yes",MIN(EH26+EH41+EH42+EH54,EH47),MAX(0,MIN(EH28+EH41+EH42,EH47)))</f>
        <v>0</v>
      </c>
      <c r="EI48" s="24">
        <f>-IF(Assumptions!$G$34="Yes",MIN(EI26+EI41+EI42+EI54,EI47),MAX(0,MIN(EI28+EI41+EI42,EI47)))</f>
        <v>0</v>
      </c>
      <c r="EM48" s="1" t="s">
        <v>178</v>
      </c>
    </row>
    <row r="49" spans="2:143" s="8" customFormat="1" x14ac:dyDescent="0.45">
      <c r="B49" s="11">
        <f>MIN(SUM(G49:EI49),-Assumptions!R35)</f>
        <v>-101086.92630004312</v>
      </c>
      <c r="D49" s="4" t="s">
        <v>249</v>
      </c>
      <c r="E49" s="4"/>
      <c r="F49" s="4"/>
      <c r="G49" s="26">
        <f t="shared" ref="G49:AL49" si="57">-SUM(G47:G48)</f>
        <v>0</v>
      </c>
      <c r="H49" s="26">
        <f t="shared" si="57"/>
        <v>-3282.5217983215189</v>
      </c>
      <c r="I49" s="26">
        <f t="shared" si="57"/>
        <v>-7511.0878656906789</v>
      </c>
      <c r="J49" s="26">
        <f t="shared" si="57"/>
        <v>-7357.0138413909881</v>
      </c>
      <c r="K49" s="26">
        <f t="shared" si="57"/>
        <v>-9746.1191098561394</v>
      </c>
      <c r="L49" s="26">
        <f t="shared" si="57"/>
        <v>-13503.841519967726</v>
      </c>
      <c r="M49" s="26">
        <f t="shared" si="57"/>
        <v>-9360.3228893763808</v>
      </c>
      <c r="N49" s="26">
        <f t="shared" si="57"/>
        <v>-13377.74154832671</v>
      </c>
      <c r="O49" s="26">
        <f t="shared" si="57"/>
        <v>-11304.27501017652</v>
      </c>
      <c r="P49" s="26">
        <f t="shared" si="57"/>
        <v>-9193.0578241490439</v>
      </c>
      <c r="Q49" s="26">
        <f t="shared" si="57"/>
        <v>-9344.4585910087044</v>
      </c>
      <c r="R49" s="26">
        <f t="shared" si="57"/>
        <v>-7106.4863017787065</v>
      </c>
      <c r="S49" s="26">
        <f t="shared" si="57"/>
        <v>0</v>
      </c>
      <c r="T49" s="26">
        <f t="shared" si="57"/>
        <v>0</v>
      </c>
      <c r="U49" s="26">
        <f t="shared" si="57"/>
        <v>0</v>
      </c>
      <c r="V49" s="26">
        <f t="shared" si="57"/>
        <v>0</v>
      </c>
      <c r="W49" s="26">
        <f t="shared" si="57"/>
        <v>0</v>
      </c>
      <c r="X49" s="26">
        <f t="shared" si="57"/>
        <v>0</v>
      </c>
      <c r="Y49" s="26">
        <f t="shared" si="57"/>
        <v>0</v>
      </c>
      <c r="Z49" s="26">
        <f t="shared" si="57"/>
        <v>0</v>
      </c>
      <c r="AA49" s="26">
        <f t="shared" si="57"/>
        <v>0</v>
      </c>
      <c r="AB49" s="26">
        <f t="shared" si="57"/>
        <v>0</v>
      </c>
      <c r="AC49" s="26">
        <f t="shared" si="57"/>
        <v>0</v>
      </c>
      <c r="AD49" s="26">
        <f t="shared" si="57"/>
        <v>0</v>
      </c>
      <c r="AE49" s="26">
        <f t="shared" si="57"/>
        <v>0</v>
      </c>
      <c r="AF49" s="26">
        <f t="shared" si="57"/>
        <v>0</v>
      </c>
      <c r="AG49" s="26">
        <f t="shared" si="57"/>
        <v>0</v>
      </c>
      <c r="AH49" s="26">
        <f t="shared" si="57"/>
        <v>0</v>
      </c>
      <c r="AI49" s="26">
        <f t="shared" si="57"/>
        <v>0</v>
      </c>
      <c r="AJ49" s="26">
        <f t="shared" si="57"/>
        <v>0</v>
      </c>
      <c r="AK49" s="26">
        <f t="shared" si="57"/>
        <v>0</v>
      </c>
      <c r="AL49" s="26">
        <f t="shared" si="57"/>
        <v>0</v>
      </c>
      <c r="AM49" s="26">
        <f t="shared" ref="AM49:BR49" si="58">-SUM(AM47:AM48)</f>
        <v>0</v>
      </c>
      <c r="AN49" s="26">
        <f t="shared" si="58"/>
        <v>0</v>
      </c>
      <c r="AO49" s="26">
        <f t="shared" si="58"/>
        <v>0</v>
      </c>
      <c r="AP49" s="26">
        <f t="shared" si="58"/>
        <v>0</v>
      </c>
      <c r="AQ49" s="26">
        <f t="shared" si="58"/>
        <v>0</v>
      </c>
      <c r="AR49" s="26">
        <f t="shared" si="58"/>
        <v>0</v>
      </c>
      <c r="AS49" s="26">
        <f t="shared" si="58"/>
        <v>0</v>
      </c>
      <c r="AT49" s="26">
        <f t="shared" si="58"/>
        <v>0</v>
      </c>
      <c r="AU49" s="26">
        <f t="shared" si="58"/>
        <v>0</v>
      </c>
      <c r="AV49" s="26">
        <f t="shared" si="58"/>
        <v>0</v>
      </c>
      <c r="AW49" s="26">
        <f t="shared" si="58"/>
        <v>0</v>
      </c>
      <c r="AX49" s="26">
        <f t="shared" si="58"/>
        <v>0</v>
      </c>
      <c r="AY49" s="26">
        <f t="shared" si="58"/>
        <v>0</v>
      </c>
      <c r="AZ49" s="26">
        <f t="shared" si="58"/>
        <v>0</v>
      </c>
      <c r="BA49" s="26">
        <f t="shared" si="58"/>
        <v>0</v>
      </c>
      <c r="BB49" s="26">
        <f t="shared" si="58"/>
        <v>0</v>
      </c>
      <c r="BC49" s="26">
        <f t="shared" si="58"/>
        <v>0</v>
      </c>
      <c r="BD49" s="26">
        <f t="shared" si="58"/>
        <v>0</v>
      </c>
      <c r="BE49" s="26">
        <f t="shared" si="58"/>
        <v>0</v>
      </c>
      <c r="BF49" s="26">
        <f t="shared" si="58"/>
        <v>0</v>
      </c>
      <c r="BG49" s="26">
        <f t="shared" si="58"/>
        <v>0</v>
      </c>
      <c r="BH49" s="26">
        <f t="shared" si="58"/>
        <v>0</v>
      </c>
      <c r="BI49" s="26">
        <f t="shared" si="58"/>
        <v>0</v>
      </c>
      <c r="BJ49" s="26">
        <f t="shared" si="58"/>
        <v>0</v>
      </c>
      <c r="BK49" s="26">
        <f t="shared" si="58"/>
        <v>0</v>
      </c>
      <c r="BL49" s="26">
        <f t="shared" si="58"/>
        <v>0</v>
      </c>
      <c r="BM49" s="26">
        <f t="shared" si="58"/>
        <v>0</v>
      </c>
      <c r="BN49" s="26">
        <f t="shared" si="58"/>
        <v>0</v>
      </c>
      <c r="BO49" s="26">
        <f t="shared" si="58"/>
        <v>0</v>
      </c>
      <c r="BP49" s="26">
        <f t="shared" si="58"/>
        <v>0</v>
      </c>
      <c r="BQ49" s="26">
        <f t="shared" si="58"/>
        <v>0</v>
      </c>
      <c r="BR49" s="26">
        <f t="shared" si="58"/>
        <v>0</v>
      </c>
      <c r="BS49" s="26">
        <f t="shared" ref="BS49:CV49" si="59">-SUM(BS47:BS48)</f>
        <v>0</v>
      </c>
      <c r="BT49" s="26">
        <f t="shared" si="59"/>
        <v>0</v>
      </c>
      <c r="BU49" s="26">
        <f t="shared" si="59"/>
        <v>0</v>
      </c>
      <c r="BV49" s="26">
        <f t="shared" si="59"/>
        <v>0</v>
      </c>
      <c r="BW49" s="26">
        <f t="shared" si="59"/>
        <v>0</v>
      </c>
      <c r="BX49" s="26">
        <f t="shared" si="59"/>
        <v>0</v>
      </c>
      <c r="BY49" s="26">
        <f t="shared" si="59"/>
        <v>0</v>
      </c>
      <c r="BZ49" s="26">
        <f t="shared" si="59"/>
        <v>0</v>
      </c>
      <c r="CA49" s="26">
        <f t="shared" si="59"/>
        <v>0</v>
      </c>
      <c r="CB49" s="26">
        <f t="shared" si="59"/>
        <v>0</v>
      </c>
      <c r="CC49" s="26">
        <f t="shared" si="59"/>
        <v>0</v>
      </c>
      <c r="CD49" s="26">
        <f t="shared" si="59"/>
        <v>0</v>
      </c>
      <c r="CE49" s="26">
        <f t="shared" si="59"/>
        <v>0</v>
      </c>
      <c r="CF49" s="26">
        <f t="shared" si="59"/>
        <v>0</v>
      </c>
      <c r="CG49" s="26">
        <f t="shared" si="59"/>
        <v>0</v>
      </c>
      <c r="CH49" s="26">
        <f t="shared" si="59"/>
        <v>0</v>
      </c>
      <c r="CI49" s="26">
        <f t="shared" si="59"/>
        <v>0</v>
      </c>
      <c r="CJ49" s="26">
        <f t="shared" si="59"/>
        <v>0</v>
      </c>
      <c r="CK49" s="26">
        <f t="shared" si="59"/>
        <v>0</v>
      </c>
      <c r="CL49" s="26">
        <f t="shared" si="59"/>
        <v>0</v>
      </c>
      <c r="CM49" s="26">
        <f t="shared" si="59"/>
        <v>0</v>
      </c>
      <c r="CN49" s="26">
        <f t="shared" si="59"/>
        <v>0</v>
      </c>
      <c r="CO49" s="26">
        <f t="shared" si="59"/>
        <v>0</v>
      </c>
      <c r="CP49" s="26">
        <f t="shared" si="59"/>
        <v>0</v>
      </c>
      <c r="CQ49" s="26">
        <f t="shared" si="59"/>
        <v>0</v>
      </c>
      <c r="CR49" s="26">
        <f t="shared" si="59"/>
        <v>0</v>
      </c>
      <c r="CS49" s="26">
        <f t="shared" si="59"/>
        <v>0</v>
      </c>
      <c r="CT49" s="26">
        <f t="shared" si="59"/>
        <v>0</v>
      </c>
      <c r="CU49" s="26">
        <f t="shared" si="59"/>
        <v>0</v>
      </c>
      <c r="CV49" s="26">
        <f t="shared" si="59"/>
        <v>0</v>
      </c>
      <c r="CW49" s="26">
        <f t="shared" ref="CW49:EI49" si="60">-SUM(CW47:CW48)</f>
        <v>0</v>
      </c>
      <c r="CX49" s="26">
        <f t="shared" si="60"/>
        <v>0</v>
      </c>
      <c r="CY49" s="26">
        <f t="shared" si="60"/>
        <v>0</v>
      </c>
      <c r="CZ49" s="26">
        <f t="shared" si="60"/>
        <v>0</v>
      </c>
      <c r="DA49" s="26">
        <f t="shared" si="60"/>
        <v>0</v>
      </c>
      <c r="DB49" s="26">
        <f t="shared" si="60"/>
        <v>0</v>
      </c>
      <c r="DC49" s="26">
        <f t="shared" si="60"/>
        <v>0</v>
      </c>
      <c r="DD49" s="26">
        <f t="shared" si="60"/>
        <v>0</v>
      </c>
      <c r="DE49" s="26">
        <f t="shared" si="60"/>
        <v>0</v>
      </c>
      <c r="DF49" s="26">
        <f t="shared" si="60"/>
        <v>0</v>
      </c>
      <c r="DG49" s="26">
        <f t="shared" si="60"/>
        <v>0</v>
      </c>
      <c r="DH49" s="26">
        <f t="shared" si="60"/>
        <v>0</v>
      </c>
      <c r="DI49" s="26">
        <f t="shared" si="60"/>
        <v>0</v>
      </c>
      <c r="DJ49" s="26">
        <f t="shared" si="60"/>
        <v>0</v>
      </c>
      <c r="DK49" s="26">
        <f t="shared" si="60"/>
        <v>0</v>
      </c>
      <c r="DL49" s="26">
        <f t="shared" si="60"/>
        <v>0</v>
      </c>
      <c r="DM49" s="26">
        <f t="shared" si="60"/>
        <v>0</v>
      </c>
      <c r="DN49" s="26">
        <f t="shared" si="60"/>
        <v>0</v>
      </c>
      <c r="DO49" s="26">
        <f t="shared" si="60"/>
        <v>0</v>
      </c>
      <c r="DP49" s="26">
        <f t="shared" si="60"/>
        <v>0</v>
      </c>
      <c r="DQ49" s="26">
        <f t="shared" si="60"/>
        <v>0</v>
      </c>
      <c r="DR49" s="26">
        <f t="shared" si="60"/>
        <v>0</v>
      </c>
      <c r="DS49" s="26">
        <f t="shared" si="60"/>
        <v>0</v>
      </c>
      <c r="DT49" s="26">
        <f t="shared" si="60"/>
        <v>0</v>
      </c>
      <c r="DU49" s="26">
        <f t="shared" si="60"/>
        <v>0</v>
      </c>
      <c r="DV49" s="26">
        <f t="shared" si="60"/>
        <v>0</v>
      </c>
      <c r="DW49" s="26">
        <f t="shared" si="60"/>
        <v>0</v>
      </c>
      <c r="DX49" s="26">
        <f t="shared" si="60"/>
        <v>0</v>
      </c>
      <c r="DY49" s="26">
        <f t="shared" si="60"/>
        <v>0</v>
      </c>
      <c r="DZ49" s="26">
        <f t="shared" si="60"/>
        <v>0</v>
      </c>
      <c r="EA49" s="26">
        <f t="shared" si="60"/>
        <v>0</v>
      </c>
      <c r="EB49" s="26">
        <f t="shared" si="60"/>
        <v>0</v>
      </c>
      <c r="EC49" s="26">
        <f t="shared" si="60"/>
        <v>0</v>
      </c>
      <c r="ED49" s="26">
        <f t="shared" si="60"/>
        <v>0</v>
      </c>
      <c r="EE49" s="26">
        <f t="shared" si="60"/>
        <v>0</v>
      </c>
      <c r="EF49" s="26">
        <f t="shared" si="60"/>
        <v>0</v>
      </c>
      <c r="EG49" s="26">
        <f t="shared" si="60"/>
        <v>0</v>
      </c>
      <c r="EH49" s="26">
        <f t="shared" si="60"/>
        <v>0</v>
      </c>
      <c r="EI49" s="26">
        <f t="shared" si="60"/>
        <v>0</v>
      </c>
      <c r="EM49" s="1" t="s">
        <v>178</v>
      </c>
    </row>
    <row r="50" spans="2:143" x14ac:dyDescent="0.45"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M50" s="1" t="s">
        <v>178</v>
      </c>
    </row>
    <row r="51" spans="2:143" x14ac:dyDescent="0.45">
      <c r="B51" s="6">
        <f>-SUM(Assumptions!F5:F6)</f>
        <v>-6794409.477995934</v>
      </c>
      <c r="D51" s="1" t="s">
        <v>206</v>
      </c>
      <c r="G51" s="24">
        <f t="shared" ref="G51:AL51" si="61">MAX(MIN(-G45+G41-G49,-$B$51-F52),0)</f>
        <v>5340556.2753367089</v>
      </c>
      <c r="H51" s="24">
        <f t="shared" si="61"/>
        <v>569804.32988103991</v>
      </c>
      <c r="I51" s="24">
        <f t="shared" si="61"/>
        <v>23000.084770252099</v>
      </c>
      <c r="J51" s="24">
        <f t="shared" si="61"/>
        <v>22797.632163189854</v>
      </c>
      <c r="K51" s="24">
        <f t="shared" si="61"/>
        <v>25138.056482749358</v>
      </c>
      <c r="L51" s="24">
        <f t="shared" si="61"/>
        <v>90096.793688026446</v>
      </c>
      <c r="M51" s="24">
        <f t="shared" si="61"/>
        <v>55903.983695067538</v>
      </c>
      <c r="N51" s="24">
        <f t="shared" si="61"/>
        <v>28621.80292063862</v>
      </c>
      <c r="O51" s="24">
        <f t="shared" si="61"/>
        <v>26498.426952647686</v>
      </c>
      <c r="P51" s="24">
        <f t="shared" si="61"/>
        <v>24336.988402844778</v>
      </c>
      <c r="Q51" s="24">
        <f t="shared" si="61"/>
        <v>44437.853922404611</v>
      </c>
      <c r="R51" s="24">
        <f t="shared" si="61"/>
        <v>22149.030540580876</v>
      </c>
      <c r="S51" s="24">
        <f t="shared" si="61"/>
        <v>13991.375326877584</v>
      </c>
      <c r="T51" s="24">
        <f t="shared" si="61"/>
        <v>13939.886609254529</v>
      </c>
      <c r="U51" s="24">
        <f t="shared" si="61"/>
        <v>13888.07608714526</v>
      </c>
      <c r="V51" s="24">
        <f t="shared" si="61"/>
        <v>13835.941749274854</v>
      </c>
      <c r="W51" s="24">
        <f t="shared" si="61"/>
        <v>13783.481571789955</v>
      </c>
      <c r="X51" s="24">
        <f t="shared" si="61"/>
        <v>13730.693518197288</v>
      </c>
      <c r="Y51" s="24">
        <f t="shared" si="61"/>
        <v>13677.575539270541</v>
      </c>
      <c r="Z51" s="24">
        <f t="shared" si="61"/>
        <v>13624.125572973988</v>
      </c>
      <c r="AA51" s="24">
        <f t="shared" si="61"/>
        <v>13570.34154438985</v>
      </c>
      <c r="AB51" s="24">
        <f t="shared" si="61"/>
        <v>13516.221365625162</v>
      </c>
      <c r="AC51" s="24">
        <f t="shared" si="61"/>
        <v>13461.762935744722</v>
      </c>
      <c r="AD51" s="24">
        <f t="shared" si="61"/>
        <v>13406.964140676087</v>
      </c>
      <c r="AE51" s="24">
        <f t="shared" si="61"/>
        <v>67601.822853138787</v>
      </c>
      <c r="AF51" s="24">
        <f t="shared" si="61"/>
        <v>7012.1788422688423</v>
      </c>
      <c r="AG51" s="24">
        <f t="shared" si="61"/>
        <v>7012.1788422688423</v>
      </c>
      <c r="AH51" s="24">
        <f t="shared" si="61"/>
        <v>7012.1788422688423</v>
      </c>
      <c r="AI51" s="24">
        <f t="shared" si="61"/>
        <v>7012.1788422688423</v>
      </c>
      <c r="AJ51" s="24">
        <f t="shared" si="61"/>
        <v>7012.1788422688423</v>
      </c>
      <c r="AK51" s="24">
        <f t="shared" si="61"/>
        <v>7012.1788422688423</v>
      </c>
      <c r="AL51" s="24">
        <f t="shared" si="61"/>
        <v>7012.1788422688423</v>
      </c>
      <c r="AM51" s="24">
        <f t="shared" ref="AM51:BR51" si="62">MAX(MIN(-AM45+AM41-AM49,-$B$51-AL52),0)</f>
        <v>7012.1788422688405</v>
      </c>
      <c r="AN51" s="24">
        <f t="shared" si="62"/>
        <v>42116.924166129356</v>
      </c>
      <c r="AO51" s="24">
        <f t="shared" si="62"/>
        <v>0</v>
      </c>
      <c r="AP51" s="24">
        <f t="shared" si="62"/>
        <v>0</v>
      </c>
      <c r="AQ51" s="24">
        <f t="shared" si="62"/>
        <v>0</v>
      </c>
      <c r="AR51" s="24">
        <f t="shared" si="62"/>
        <v>0</v>
      </c>
      <c r="AS51" s="24">
        <f t="shared" si="62"/>
        <v>0</v>
      </c>
      <c r="AT51" s="24">
        <f t="shared" si="62"/>
        <v>0</v>
      </c>
      <c r="AU51" s="24">
        <f t="shared" si="62"/>
        <v>0</v>
      </c>
      <c r="AV51" s="24">
        <f t="shared" si="62"/>
        <v>0</v>
      </c>
      <c r="AW51" s="24">
        <f t="shared" si="62"/>
        <v>0</v>
      </c>
      <c r="AX51" s="24">
        <f t="shared" si="62"/>
        <v>0</v>
      </c>
      <c r="AY51" s="24">
        <f t="shared" si="62"/>
        <v>0</v>
      </c>
      <c r="AZ51" s="24">
        <f t="shared" si="62"/>
        <v>0</v>
      </c>
      <c r="BA51" s="24">
        <f t="shared" si="62"/>
        <v>0</v>
      </c>
      <c r="BB51" s="24">
        <f t="shared" si="62"/>
        <v>0</v>
      </c>
      <c r="BC51" s="24">
        <f t="shared" si="62"/>
        <v>0</v>
      </c>
      <c r="BD51" s="24">
        <f t="shared" si="62"/>
        <v>0</v>
      </c>
      <c r="BE51" s="24">
        <f t="shared" si="62"/>
        <v>0</v>
      </c>
      <c r="BF51" s="24">
        <f t="shared" si="62"/>
        <v>0</v>
      </c>
      <c r="BG51" s="24">
        <f t="shared" si="62"/>
        <v>0</v>
      </c>
      <c r="BH51" s="24">
        <f t="shared" si="62"/>
        <v>0</v>
      </c>
      <c r="BI51" s="24">
        <f t="shared" si="62"/>
        <v>0</v>
      </c>
      <c r="BJ51" s="24">
        <f t="shared" si="62"/>
        <v>0</v>
      </c>
      <c r="BK51" s="24">
        <f t="shared" si="62"/>
        <v>0</v>
      </c>
      <c r="BL51" s="24">
        <f t="shared" si="62"/>
        <v>0</v>
      </c>
      <c r="BM51" s="24">
        <f t="shared" si="62"/>
        <v>0</v>
      </c>
      <c r="BN51" s="24">
        <f t="shared" si="62"/>
        <v>0</v>
      </c>
      <c r="BO51" s="24">
        <f t="shared" si="62"/>
        <v>0</v>
      </c>
      <c r="BP51" s="24">
        <f t="shared" si="62"/>
        <v>0</v>
      </c>
      <c r="BQ51" s="24">
        <f t="shared" si="62"/>
        <v>0</v>
      </c>
      <c r="BR51" s="24">
        <f t="shared" si="62"/>
        <v>0</v>
      </c>
      <c r="BS51" s="24">
        <f t="shared" ref="BS51:CV51" si="63">MAX(MIN(-BS45+BS41-BS49,-$B$51-BR52),0)</f>
        <v>0</v>
      </c>
      <c r="BT51" s="24">
        <f t="shared" si="63"/>
        <v>0</v>
      </c>
      <c r="BU51" s="24">
        <f t="shared" si="63"/>
        <v>0</v>
      </c>
      <c r="BV51" s="24">
        <f t="shared" si="63"/>
        <v>0</v>
      </c>
      <c r="BW51" s="24">
        <f t="shared" si="63"/>
        <v>0</v>
      </c>
      <c r="BX51" s="24">
        <f t="shared" si="63"/>
        <v>0</v>
      </c>
      <c r="BY51" s="24">
        <f t="shared" si="63"/>
        <v>0</v>
      </c>
      <c r="BZ51" s="24">
        <f t="shared" si="63"/>
        <v>0</v>
      </c>
      <c r="CA51" s="24">
        <f t="shared" si="63"/>
        <v>0</v>
      </c>
      <c r="CB51" s="24">
        <f t="shared" si="63"/>
        <v>0</v>
      </c>
      <c r="CC51" s="24">
        <f t="shared" si="63"/>
        <v>0</v>
      </c>
      <c r="CD51" s="24">
        <f t="shared" si="63"/>
        <v>0</v>
      </c>
      <c r="CE51" s="24">
        <f t="shared" si="63"/>
        <v>0</v>
      </c>
      <c r="CF51" s="24">
        <f t="shared" si="63"/>
        <v>0</v>
      </c>
      <c r="CG51" s="24">
        <f t="shared" si="63"/>
        <v>0</v>
      </c>
      <c r="CH51" s="24">
        <f t="shared" si="63"/>
        <v>0</v>
      </c>
      <c r="CI51" s="24">
        <f t="shared" si="63"/>
        <v>0</v>
      </c>
      <c r="CJ51" s="24">
        <f t="shared" si="63"/>
        <v>0</v>
      </c>
      <c r="CK51" s="24">
        <f t="shared" si="63"/>
        <v>0</v>
      </c>
      <c r="CL51" s="24">
        <f t="shared" si="63"/>
        <v>0</v>
      </c>
      <c r="CM51" s="24">
        <f t="shared" si="63"/>
        <v>0</v>
      </c>
      <c r="CN51" s="24">
        <f t="shared" si="63"/>
        <v>0</v>
      </c>
      <c r="CO51" s="24">
        <f t="shared" si="63"/>
        <v>0</v>
      </c>
      <c r="CP51" s="24">
        <f t="shared" si="63"/>
        <v>0</v>
      </c>
      <c r="CQ51" s="24">
        <f t="shared" si="63"/>
        <v>0</v>
      </c>
      <c r="CR51" s="24">
        <f t="shared" si="63"/>
        <v>0</v>
      </c>
      <c r="CS51" s="24">
        <f t="shared" si="63"/>
        <v>0</v>
      </c>
      <c r="CT51" s="24">
        <f t="shared" si="63"/>
        <v>0</v>
      </c>
      <c r="CU51" s="24">
        <f t="shared" si="63"/>
        <v>0</v>
      </c>
      <c r="CV51" s="24">
        <f t="shared" si="63"/>
        <v>0</v>
      </c>
      <c r="CW51" s="24">
        <f t="shared" ref="CW51:EI51" si="64">MAX(MIN(-CW45+CW41-CW49,-$B$51-CV52),0)</f>
        <v>0</v>
      </c>
      <c r="CX51" s="24">
        <f t="shared" si="64"/>
        <v>0</v>
      </c>
      <c r="CY51" s="24">
        <f t="shared" si="64"/>
        <v>0</v>
      </c>
      <c r="CZ51" s="24">
        <f t="shared" si="64"/>
        <v>0</v>
      </c>
      <c r="DA51" s="24">
        <f t="shared" si="64"/>
        <v>0</v>
      </c>
      <c r="DB51" s="24">
        <f t="shared" si="64"/>
        <v>0</v>
      </c>
      <c r="DC51" s="24">
        <f t="shared" si="64"/>
        <v>0</v>
      </c>
      <c r="DD51" s="24">
        <f t="shared" si="64"/>
        <v>0</v>
      </c>
      <c r="DE51" s="24">
        <f t="shared" si="64"/>
        <v>0</v>
      </c>
      <c r="DF51" s="24">
        <f t="shared" si="64"/>
        <v>0</v>
      </c>
      <c r="DG51" s="24">
        <f t="shared" si="64"/>
        <v>0</v>
      </c>
      <c r="DH51" s="24">
        <f t="shared" si="64"/>
        <v>0</v>
      </c>
      <c r="DI51" s="24">
        <f t="shared" si="64"/>
        <v>0</v>
      </c>
      <c r="DJ51" s="24">
        <f t="shared" si="64"/>
        <v>0</v>
      </c>
      <c r="DK51" s="24">
        <f t="shared" si="64"/>
        <v>0</v>
      </c>
      <c r="DL51" s="24">
        <f t="shared" si="64"/>
        <v>0</v>
      </c>
      <c r="DM51" s="24">
        <f t="shared" si="64"/>
        <v>0</v>
      </c>
      <c r="DN51" s="24">
        <f t="shared" si="64"/>
        <v>0</v>
      </c>
      <c r="DO51" s="24">
        <f t="shared" si="64"/>
        <v>0</v>
      </c>
      <c r="DP51" s="24">
        <f t="shared" si="64"/>
        <v>0</v>
      </c>
      <c r="DQ51" s="24">
        <f t="shared" si="64"/>
        <v>0</v>
      </c>
      <c r="DR51" s="24">
        <f t="shared" si="64"/>
        <v>0</v>
      </c>
      <c r="DS51" s="24">
        <f t="shared" si="64"/>
        <v>0</v>
      </c>
      <c r="DT51" s="24">
        <f t="shared" si="64"/>
        <v>0</v>
      </c>
      <c r="DU51" s="24">
        <f t="shared" si="64"/>
        <v>0</v>
      </c>
      <c r="DV51" s="24">
        <f t="shared" si="64"/>
        <v>0</v>
      </c>
      <c r="DW51" s="24">
        <f t="shared" si="64"/>
        <v>0</v>
      </c>
      <c r="DX51" s="24">
        <f t="shared" si="64"/>
        <v>0</v>
      </c>
      <c r="DY51" s="24">
        <f t="shared" si="64"/>
        <v>0</v>
      </c>
      <c r="DZ51" s="24">
        <f t="shared" si="64"/>
        <v>0</v>
      </c>
      <c r="EA51" s="24">
        <f t="shared" si="64"/>
        <v>0</v>
      </c>
      <c r="EB51" s="24">
        <f t="shared" si="64"/>
        <v>0</v>
      </c>
      <c r="EC51" s="24">
        <f t="shared" si="64"/>
        <v>0</v>
      </c>
      <c r="ED51" s="24">
        <f t="shared" si="64"/>
        <v>0</v>
      </c>
      <c r="EE51" s="24">
        <f t="shared" si="64"/>
        <v>0</v>
      </c>
      <c r="EF51" s="24">
        <f t="shared" si="64"/>
        <v>0</v>
      </c>
      <c r="EG51" s="24">
        <f t="shared" si="64"/>
        <v>0</v>
      </c>
      <c r="EH51" s="24">
        <f t="shared" si="64"/>
        <v>0</v>
      </c>
      <c r="EI51" s="24">
        <f t="shared" si="64"/>
        <v>0</v>
      </c>
      <c r="EM51" s="1" t="s">
        <v>178</v>
      </c>
    </row>
    <row r="52" spans="2:143" s="8" customFormat="1" x14ac:dyDescent="0.45">
      <c r="B52" s="11"/>
      <c r="D52" s="4" t="s">
        <v>207</v>
      </c>
      <c r="E52" s="4"/>
      <c r="F52" s="4"/>
      <c r="G52" s="26">
        <f t="shared" ref="G52:AL52" si="65">+G51+F52</f>
        <v>5340556.2753367089</v>
      </c>
      <c r="H52" s="26">
        <f t="shared" si="65"/>
        <v>5910360.6052177493</v>
      </c>
      <c r="I52" s="26">
        <f t="shared" si="65"/>
        <v>5933360.6899880012</v>
      </c>
      <c r="J52" s="26">
        <f t="shared" si="65"/>
        <v>5956158.3221511915</v>
      </c>
      <c r="K52" s="26">
        <f t="shared" si="65"/>
        <v>5981296.3786339406</v>
      </c>
      <c r="L52" s="26">
        <f t="shared" si="65"/>
        <v>6071393.1723219668</v>
      </c>
      <c r="M52" s="26">
        <f t="shared" si="65"/>
        <v>6127297.1560170343</v>
      </c>
      <c r="N52" s="26">
        <f t="shared" si="65"/>
        <v>6155918.9589376729</v>
      </c>
      <c r="O52" s="26">
        <f t="shared" si="65"/>
        <v>6182417.3858903209</v>
      </c>
      <c r="P52" s="26">
        <f t="shared" si="65"/>
        <v>6206754.3742931653</v>
      </c>
      <c r="Q52" s="26">
        <f t="shared" si="65"/>
        <v>6251192.2282155696</v>
      </c>
      <c r="R52" s="26">
        <f t="shared" si="65"/>
        <v>6273341.2587561505</v>
      </c>
      <c r="S52" s="26">
        <f t="shared" si="65"/>
        <v>6287332.634083028</v>
      </c>
      <c r="T52" s="26">
        <f t="shared" si="65"/>
        <v>6301272.5206922824</v>
      </c>
      <c r="U52" s="26">
        <f t="shared" si="65"/>
        <v>6315160.5967794275</v>
      </c>
      <c r="V52" s="26">
        <f t="shared" si="65"/>
        <v>6328996.5385287022</v>
      </c>
      <c r="W52" s="26">
        <f t="shared" si="65"/>
        <v>6342780.0201004921</v>
      </c>
      <c r="X52" s="26">
        <f t="shared" si="65"/>
        <v>6356510.7136186892</v>
      </c>
      <c r="Y52" s="26">
        <f t="shared" si="65"/>
        <v>6370188.2891579596</v>
      </c>
      <c r="Z52" s="26">
        <f t="shared" si="65"/>
        <v>6383812.4147309335</v>
      </c>
      <c r="AA52" s="26">
        <f t="shared" si="65"/>
        <v>6397382.7562753232</v>
      </c>
      <c r="AB52" s="26">
        <f t="shared" si="65"/>
        <v>6410898.9776409483</v>
      </c>
      <c r="AC52" s="26">
        <f t="shared" si="65"/>
        <v>6424360.7405766929</v>
      </c>
      <c r="AD52" s="26">
        <f t="shared" si="65"/>
        <v>6437767.7047173688</v>
      </c>
      <c r="AE52" s="26">
        <f t="shared" si="65"/>
        <v>6505369.5275705075</v>
      </c>
      <c r="AF52" s="26">
        <f t="shared" si="65"/>
        <v>6512381.7064127764</v>
      </c>
      <c r="AG52" s="26">
        <f t="shared" si="65"/>
        <v>6519393.8852550453</v>
      </c>
      <c r="AH52" s="26">
        <f t="shared" si="65"/>
        <v>6526406.0640973141</v>
      </c>
      <c r="AI52" s="26">
        <f t="shared" si="65"/>
        <v>6533418.242939583</v>
      </c>
      <c r="AJ52" s="26">
        <f t="shared" si="65"/>
        <v>6540430.4217818519</v>
      </c>
      <c r="AK52" s="26">
        <f t="shared" si="65"/>
        <v>6547442.6006241208</v>
      </c>
      <c r="AL52" s="26">
        <f t="shared" si="65"/>
        <v>6554454.7794663897</v>
      </c>
      <c r="AM52" s="26">
        <f t="shared" ref="AM52:BR52" si="66">+AM51+AL52</f>
        <v>6561466.9583086586</v>
      </c>
      <c r="AN52" s="26">
        <f t="shared" si="66"/>
        <v>6603583.8824747875</v>
      </c>
      <c r="AO52" s="26">
        <f t="shared" si="66"/>
        <v>6603583.8824747875</v>
      </c>
      <c r="AP52" s="26">
        <f t="shared" si="66"/>
        <v>6603583.8824747875</v>
      </c>
      <c r="AQ52" s="26">
        <f t="shared" si="66"/>
        <v>6603583.8824747875</v>
      </c>
      <c r="AR52" s="26">
        <f t="shared" si="66"/>
        <v>6603583.8824747875</v>
      </c>
      <c r="AS52" s="26">
        <f t="shared" si="66"/>
        <v>6603583.8824747875</v>
      </c>
      <c r="AT52" s="26">
        <f t="shared" si="66"/>
        <v>6603583.8824747875</v>
      </c>
      <c r="AU52" s="26">
        <f t="shared" si="66"/>
        <v>6603583.8824747875</v>
      </c>
      <c r="AV52" s="26">
        <f t="shared" si="66"/>
        <v>6603583.8824747875</v>
      </c>
      <c r="AW52" s="26">
        <f t="shared" si="66"/>
        <v>6603583.8824747875</v>
      </c>
      <c r="AX52" s="26">
        <f t="shared" si="66"/>
        <v>6603583.8824747875</v>
      </c>
      <c r="AY52" s="26">
        <f t="shared" si="66"/>
        <v>6603583.8824747875</v>
      </c>
      <c r="AZ52" s="26">
        <f t="shared" si="66"/>
        <v>6603583.8824747875</v>
      </c>
      <c r="BA52" s="26">
        <f t="shared" si="66"/>
        <v>6603583.8824747875</v>
      </c>
      <c r="BB52" s="26">
        <f t="shared" si="66"/>
        <v>6603583.8824747875</v>
      </c>
      <c r="BC52" s="26">
        <f t="shared" si="66"/>
        <v>6603583.8824747875</v>
      </c>
      <c r="BD52" s="26">
        <f t="shared" si="66"/>
        <v>6603583.8824747875</v>
      </c>
      <c r="BE52" s="26">
        <f t="shared" si="66"/>
        <v>6603583.8824747875</v>
      </c>
      <c r="BF52" s="26">
        <f t="shared" si="66"/>
        <v>6603583.8824747875</v>
      </c>
      <c r="BG52" s="26">
        <f t="shared" si="66"/>
        <v>6603583.8824747875</v>
      </c>
      <c r="BH52" s="26">
        <f t="shared" si="66"/>
        <v>6603583.8824747875</v>
      </c>
      <c r="BI52" s="26">
        <f t="shared" si="66"/>
        <v>6603583.8824747875</v>
      </c>
      <c r="BJ52" s="26">
        <f t="shared" si="66"/>
        <v>6603583.8824747875</v>
      </c>
      <c r="BK52" s="26">
        <f t="shared" si="66"/>
        <v>6603583.8824747875</v>
      </c>
      <c r="BL52" s="26">
        <f t="shared" si="66"/>
        <v>6603583.8824747875</v>
      </c>
      <c r="BM52" s="26">
        <f t="shared" si="66"/>
        <v>6603583.8824747875</v>
      </c>
      <c r="BN52" s="26">
        <f t="shared" si="66"/>
        <v>6603583.8824747875</v>
      </c>
      <c r="BO52" s="26">
        <f t="shared" si="66"/>
        <v>6603583.8824747875</v>
      </c>
      <c r="BP52" s="26">
        <f t="shared" si="66"/>
        <v>6603583.8824747875</v>
      </c>
      <c r="BQ52" s="26">
        <f t="shared" si="66"/>
        <v>6603583.8824747875</v>
      </c>
      <c r="BR52" s="26">
        <f t="shared" si="66"/>
        <v>6603583.8824747875</v>
      </c>
      <c r="BS52" s="26">
        <f t="shared" ref="BS52:CX52" si="67">+BS51+BR52</f>
        <v>6603583.8824747875</v>
      </c>
      <c r="BT52" s="26">
        <f t="shared" si="67"/>
        <v>6603583.8824747875</v>
      </c>
      <c r="BU52" s="26">
        <f t="shared" si="67"/>
        <v>6603583.8824747875</v>
      </c>
      <c r="BV52" s="26">
        <f t="shared" si="67"/>
        <v>6603583.8824747875</v>
      </c>
      <c r="BW52" s="26">
        <f t="shared" si="67"/>
        <v>6603583.8824747875</v>
      </c>
      <c r="BX52" s="26">
        <f t="shared" si="67"/>
        <v>6603583.8824747875</v>
      </c>
      <c r="BY52" s="26">
        <f t="shared" si="67"/>
        <v>6603583.8824747875</v>
      </c>
      <c r="BZ52" s="26">
        <f t="shared" si="67"/>
        <v>6603583.8824747875</v>
      </c>
      <c r="CA52" s="26">
        <f t="shared" si="67"/>
        <v>6603583.8824747875</v>
      </c>
      <c r="CB52" s="26">
        <f t="shared" si="67"/>
        <v>6603583.8824747875</v>
      </c>
      <c r="CC52" s="26">
        <f t="shared" si="67"/>
        <v>6603583.8824747875</v>
      </c>
      <c r="CD52" s="26">
        <f t="shared" si="67"/>
        <v>6603583.8824747875</v>
      </c>
      <c r="CE52" s="26">
        <f t="shared" si="67"/>
        <v>6603583.8824747875</v>
      </c>
      <c r="CF52" s="26">
        <f t="shared" si="67"/>
        <v>6603583.8824747875</v>
      </c>
      <c r="CG52" s="26">
        <f t="shared" si="67"/>
        <v>6603583.8824747875</v>
      </c>
      <c r="CH52" s="26">
        <f t="shared" si="67"/>
        <v>6603583.8824747875</v>
      </c>
      <c r="CI52" s="26">
        <f t="shared" si="67"/>
        <v>6603583.8824747875</v>
      </c>
      <c r="CJ52" s="26">
        <f t="shared" si="67"/>
        <v>6603583.8824747875</v>
      </c>
      <c r="CK52" s="26">
        <f t="shared" si="67"/>
        <v>6603583.8824747875</v>
      </c>
      <c r="CL52" s="26">
        <f t="shared" si="67"/>
        <v>6603583.8824747875</v>
      </c>
      <c r="CM52" s="26">
        <f t="shared" si="67"/>
        <v>6603583.8824747875</v>
      </c>
      <c r="CN52" s="26">
        <f t="shared" si="67"/>
        <v>6603583.8824747875</v>
      </c>
      <c r="CO52" s="26">
        <f t="shared" si="67"/>
        <v>6603583.8824747875</v>
      </c>
      <c r="CP52" s="26">
        <f t="shared" si="67"/>
        <v>6603583.8824747875</v>
      </c>
      <c r="CQ52" s="26">
        <f t="shared" si="67"/>
        <v>6603583.8824747875</v>
      </c>
      <c r="CR52" s="26">
        <f t="shared" si="67"/>
        <v>6603583.8824747875</v>
      </c>
      <c r="CS52" s="26">
        <f t="shared" si="67"/>
        <v>6603583.8824747875</v>
      </c>
      <c r="CT52" s="26">
        <f t="shared" si="67"/>
        <v>6603583.8824747875</v>
      </c>
      <c r="CU52" s="26">
        <f t="shared" si="67"/>
        <v>6603583.8824747875</v>
      </c>
      <c r="CV52" s="26">
        <f t="shared" si="67"/>
        <v>6603583.8824747875</v>
      </c>
      <c r="CW52" s="26">
        <f t="shared" si="67"/>
        <v>6603583.8824747875</v>
      </c>
      <c r="CX52" s="26">
        <f t="shared" si="67"/>
        <v>6603583.8824747875</v>
      </c>
      <c r="CY52" s="26">
        <f t="shared" ref="CY52:ED52" si="68">+CY51+CX52</f>
        <v>6603583.8824747875</v>
      </c>
      <c r="CZ52" s="26">
        <f t="shared" si="68"/>
        <v>6603583.8824747875</v>
      </c>
      <c r="DA52" s="26">
        <f t="shared" si="68"/>
        <v>6603583.8824747875</v>
      </c>
      <c r="DB52" s="26">
        <f t="shared" si="68"/>
        <v>6603583.8824747875</v>
      </c>
      <c r="DC52" s="26">
        <f t="shared" si="68"/>
        <v>6603583.8824747875</v>
      </c>
      <c r="DD52" s="26">
        <f t="shared" si="68"/>
        <v>6603583.8824747875</v>
      </c>
      <c r="DE52" s="26">
        <f t="shared" si="68"/>
        <v>6603583.8824747875</v>
      </c>
      <c r="DF52" s="26">
        <f t="shared" si="68"/>
        <v>6603583.8824747875</v>
      </c>
      <c r="DG52" s="26">
        <f t="shared" si="68"/>
        <v>6603583.8824747875</v>
      </c>
      <c r="DH52" s="26">
        <f t="shared" si="68"/>
        <v>6603583.8824747875</v>
      </c>
      <c r="DI52" s="26">
        <f t="shared" si="68"/>
        <v>6603583.8824747875</v>
      </c>
      <c r="DJ52" s="26">
        <f t="shared" si="68"/>
        <v>6603583.8824747875</v>
      </c>
      <c r="DK52" s="26">
        <f t="shared" si="68"/>
        <v>6603583.8824747875</v>
      </c>
      <c r="DL52" s="26">
        <f t="shared" si="68"/>
        <v>6603583.8824747875</v>
      </c>
      <c r="DM52" s="26">
        <f t="shared" si="68"/>
        <v>6603583.8824747875</v>
      </c>
      <c r="DN52" s="26">
        <f t="shared" si="68"/>
        <v>6603583.8824747875</v>
      </c>
      <c r="DO52" s="26">
        <f t="shared" si="68"/>
        <v>6603583.8824747875</v>
      </c>
      <c r="DP52" s="26">
        <f t="shared" si="68"/>
        <v>6603583.8824747875</v>
      </c>
      <c r="DQ52" s="26">
        <f t="shared" si="68"/>
        <v>6603583.8824747875</v>
      </c>
      <c r="DR52" s="26">
        <f t="shared" si="68"/>
        <v>6603583.8824747875</v>
      </c>
      <c r="DS52" s="26">
        <f t="shared" si="68"/>
        <v>6603583.8824747875</v>
      </c>
      <c r="DT52" s="26">
        <f t="shared" si="68"/>
        <v>6603583.8824747875</v>
      </c>
      <c r="DU52" s="26">
        <f t="shared" si="68"/>
        <v>6603583.8824747875</v>
      </c>
      <c r="DV52" s="26">
        <f t="shared" si="68"/>
        <v>6603583.8824747875</v>
      </c>
      <c r="DW52" s="26">
        <f t="shared" si="68"/>
        <v>6603583.8824747875</v>
      </c>
      <c r="DX52" s="26">
        <f t="shared" si="68"/>
        <v>6603583.8824747875</v>
      </c>
      <c r="DY52" s="26">
        <f t="shared" si="68"/>
        <v>6603583.8824747875</v>
      </c>
      <c r="DZ52" s="26">
        <f t="shared" si="68"/>
        <v>6603583.8824747875</v>
      </c>
      <c r="EA52" s="26">
        <f t="shared" si="68"/>
        <v>6603583.8824747875</v>
      </c>
      <c r="EB52" s="26">
        <f t="shared" si="68"/>
        <v>6603583.8824747875</v>
      </c>
      <c r="EC52" s="26">
        <f t="shared" si="68"/>
        <v>6603583.8824747875</v>
      </c>
      <c r="ED52" s="26">
        <f t="shared" si="68"/>
        <v>6603583.8824747875</v>
      </c>
      <c r="EE52" s="26">
        <f t="shared" ref="EE52:EI52" si="69">+EE51+ED52</f>
        <v>6603583.8824747875</v>
      </c>
      <c r="EF52" s="26">
        <f t="shared" si="69"/>
        <v>6603583.8824747875</v>
      </c>
      <c r="EG52" s="26">
        <f t="shared" si="69"/>
        <v>6603583.8824747875</v>
      </c>
      <c r="EH52" s="26">
        <f t="shared" si="69"/>
        <v>6603583.8824747875</v>
      </c>
      <c r="EI52" s="26">
        <f t="shared" si="69"/>
        <v>6603583.8824747875</v>
      </c>
      <c r="EM52" s="1" t="s">
        <v>178</v>
      </c>
    </row>
    <row r="53" spans="2:143" x14ac:dyDescent="0.45">
      <c r="B53" s="6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M53" s="1" t="s">
        <v>178</v>
      </c>
    </row>
    <row r="54" spans="2:143" x14ac:dyDescent="0.45">
      <c r="D54" s="1" t="s">
        <v>246</v>
      </c>
      <c r="G54" s="24">
        <f>IF(AND(G4=Assumptions!$G$36,Assumptions!$G$34="Yes"),Assumptions!$L$40,0)</f>
        <v>0</v>
      </c>
      <c r="H54" s="24">
        <f>IF(AND(H4=Assumptions!$G$36,Assumptions!$G$34="Yes"),Assumptions!$L$40,0)</f>
        <v>0</v>
      </c>
      <c r="I54" s="24">
        <f>IF(AND(I4=Assumptions!$G$36,Assumptions!$G$34="Yes"),Assumptions!$L$40,0)</f>
        <v>0</v>
      </c>
      <c r="J54" s="24">
        <f>IF(AND(J4=Assumptions!$G$36,Assumptions!$G$34="Yes"),Assumptions!$L$40,0)</f>
        <v>0</v>
      </c>
      <c r="K54" s="24">
        <f>IF(AND(K4=Assumptions!$G$36,Assumptions!$G$34="Yes"),Assumptions!$L$40,0)</f>
        <v>0</v>
      </c>
      <c r="L54" s="24">
        <f>IF(AND(L4=Assumptions!$G$36,Assumptions!$G$34="Yes"),Assumptions!$L$40,0)</f>
        <v>0</v>
      </c>
      <c r="M54" s="24">
        <f>IF(AND(M4=Assumptions!$G$36,Assumptions!$G$34="Yes"),Assumptions!$L$40,0)</f>
        <v>0</v>
      </c>
      <c r="N54" s="24">
        <f>IF(AND(N4=Assumptions!$G$36,Assumptions!$G$34="Yes"),Assumptions!$L$40,0)</f>
        <v>0</v>
      </c>
      <c r="O54" s="24">
        <f>IF(AND(O4=Assumptions!$G$36,Assumptions!$G$34="Yes"),Assumptions!$L$40,0)</f>
        <v>0</v>
      </c>
      <c r="P54" s="24">
        <f>IF(AND(P4=Assumptions!$G$36,Assumptions!$G$34="Yes"),Assumptions!$L$40,0)</f>
        <v>0</v>
      </c>
      <c r="Q54" s="24">
        <f>IF(AND(Q4=Assumptions!$G$36,Assumptions!$G$34="Yes"),Assumptions!$L$40,0)</f>
        <v>0</v>
      </c>
      <c r="R54" s="24">
        <f>IF(AND(R4=Assumptions!$G$36,Assumptions!$G$34="Yes"),Assumptions!$L$40,0)</f>
        <v>0</v>
      </c>
      <c r="S54" s="24">
        <f>IF(AND(S4=Assumptions!$G$36,Assumptions!$G$34="Yes"),Assumptions!$L$40,0)</f>
        <v>0</v>
      </c>
      <c r="T54" s="24">
        <f>IF(AND(T4=Assumptions!$G$36,Assumptions!$G$34="Yes"),Assumptions!$L$40,0)</f>
        <v>0</v>
      </c>
      <c r="U54" s="24">
        <f>IF(AND(U4=Assumptions!$G$36,Assumptions!$G$34="Yes"),Assumptions!$L$40,0)</f>
        <v>0</v>
      </c>
      <c r="V54" s="24">
        <f>IF(AND(V4=Assumptions!$G$36,Assumptions!$G$34="Yes"),Assumptions!$L$40,0)</f>
        <v>0</v>
      </c>
      <c r="W54" s="24">
        <f>IF(AND(W4=Assumptions!$G$36,Assumptions!$G$34="Yes"),Assumptions!$L$40,0)</f>
        <v>0</v>
      </c>
      <c r="X54" s="24">
        <f>IF(AND(X4=Assumptions!$G$36,Assumptions!$G$34="Yes"),Assumptions!$L$40,0)</f>
        <v>0</v>
      </c>
      <c r="Y54" s="24">
        <f>IF(AND(Y4=Assumptions!$G$36,Assumptions!$G$34="Yes"),Assumptions!$L$40,0)</f>
        <v>0</v>
      </c>
      <c r="Z54" s="24">
        <f>IF(AND(Z4=Assumptions!$G$36,Assumptions!$G$34="Yes"),Assumptions!$L$40,0)</f>
        <v>0</v>
      </c>
      <c r="AA54" s="24">
        <f>IF(AND(AA4=Assumptions!$G$36,Assumptions!$G$34="Yes"),Assumptions!$L$40,0)</f>
        <v>0</v>
      </c>
      <c r="AB54" s="24">
        <f>IF(AND(AB4=Assumptions!$G$36,Assumptions!$G$34="Yes"),Assumptions!$L$40,0)</f>
        <v>0</v>
      </c>
      <c r="AC54" s="24">
        <f>IF(AND(AC4=Assumptions!$G$36,Assumptions!$G$34="Yes"),Assumptions!$L$40,0)</f>
        <v>0</v>
      </c>
      <c r="AD54" s="24">
        <f>IF(AND(AD4=Assumptions!$G$36,Assumptions!$G$34="Yes"),Assumptions!$L$40,0)</f>
        <v>0</v>
      </c>
      <c r="AE54" s="24">
        <f>IF(AND(AE4=Assumptions!$G$36,Assumptions!$G$34="Yes"),Assumptions!$L$40,0)</f>
        <v>0</v>
      </c>
      <c r="AF54" s="24">
        <f>IF(AND(AF4=Assumptions!$G$36,Assumptions!$G$34="Yes"),Assumptions!$L$40,0)</f>
        <v>0</v>
      </c>
      <c r="AG54" s="24">
        <f>IF(AND(AG4=Assumptions!$G$36,Assumptions!$G$34="Yes"),Assumptions!$L$40,0)</f>
        <v>0</v>
      </c>
      <c r="AH54" s="24">
        <f>IF(AND(AH4=Assumptions!$G$36,Assumptions!$G$34="Yes"),Assumptions!$L$40,0)</f>
        <v>0</v>
      </c>
      <c r="AI54" s="24">
        <f>IF(AND(AI4=Assumptions!$G$36,Assumptions!$G$34="Yes"),Assumptions!$L$40,0)</f>
        <v>0</v>
      </c>
      <c r="AJ54" s="24">
        <f>IF(AND(AJ4=Assumptions!$G$36,Assumptions!$G$34="Yes"),Assumptions!$L$40,0)</f>
        <v>0</v>
      </c>
      <c r="AK54" s="24">
        <f>IF(AND(AK4=Assumptions!$G$36,Assumptions!$G$34="Yes"),Assumptions!$L$40,0)</f>
        <v>0</v>
      </c>
      <c r="AL54" s="24">
        <f>IF(AND(AL4=Assumptions!$G$36,Assumptions!$G$34="Yes"),Assumptions!$L$40,0)</f>
        <v>0</v>
      </c>
      <c r="AM54" s="24">
        <f>IF(AND(AM4=Assumptions!$G$36,Assumptions!$G$34="Yes"),Assumptions!$L$40,0)</f>
        <v>0</v>
      </c>
      <c r="AN54" s="24">
        <f>IF(AND(AN4=Assumptions!$G$36,Assumptions!$G$34="Yes"),Assumptions!$L$40,0)</f>
        <v>0</v>
      </c>
      <c r="AO54" s="24">
        <f>IF(AND(AO4=Assumptions!$G$36,Assumptions!$G$34="Yes"),Assumptions!$L$40,0)</f>
        <v>0</v>
      </c>
      <c r="AP54" s="24">
        <f>IF(AND(AP4=Assumptions!$G$36,Assumptions!$G$34="Yes"),Assumptions!$L$40,0)</f>
        <v>0</v>
      </c>
      <c r="AQ54" s="24">
        <f>IF(AND(AQ4=Assumptions!$G$36,Assumptions!$G$34="Yes"),Assumptions!$L$40,0)</f>
        <v>16939465.557984181</v>
      </c>
      <c r="AR54" s="24">
        <f>IF(AND(AR4=Assumptions!$G$36,Assumptions!$G$34="Yes"),Assumptions!$L$40,0)</f>
        <v>0</v>
      </c>
      <c r="AS54" s="24">
        <f>IF(AND(AS4=Assumptions!$G$36,Assumptions!$G$34="Yes"),Assumptions!$L$40,0)</f>
        <v>0</v>
      </c>
      <c r="AT54" s="24">
        <f>IF(AND(AT4=Assumptions!$G$36,Assumptions!$G$34="Yes"),Assumptions!$L$40,0)</f>
        <v>0</v>
      </c>
      <c r="AU54" s="24">
        <f>IF(AND(AU4=Assumptions!$G$36,Assumptions!$G$34="Yes"),Assumptions!$L$40,0)</f>
        <v>0</v>
      </c>
      <c r="AV54" s="24">
        <f>IF(AND(AV4=Assumptions!$G$36,Assumptions!$G$34="Yes"),Assumptions!$L$40,0)</f>
        <v>0</v>
      </c>
      <c r="AW54" s="24">
        <f>IF(AND(AW4=Assumptions!$G$36,Assumptions!$G$34="Yes"),Assumptions!$L$40,0)</f>
        <v>0</v>
      </c>
      <c r="AX54" s="24">
        <f>IF(AND(AX4=Assumptions!$G$36,Assumptions!$G$34="Yes"),Assumptions!$L$40,0)</f>
        <v>0</v>
      </c>
      <c r="AY54" s="24">
        <f>IF(AND(AY4=Assumptions!$G$36,Assumptions!$G$34="Yes"),Assumptions!$L$40,0)</f>
        <v>0</v>
      </c>
      <c r="AZ54" s="24">
        <f>IF(AND(AZ4=Assumptions!$G$36,Assumptions!$G$34="Yes"),Assumptions!$L$40,0)</f>
        <v>0</v>
      </c>
      <c r="BA54" s="24">
        <f>IF(AND(BA4=Assumptions!$G$36,Assumptions!$G$34="Yes"),Assumptions!$L$40,0)</f>
        <v>0</v>
      </c>
      <c r="BB54" s="24">
        <f>IF(AND(BB4=Assumptions!$G$36,Assumptions!$G$34="Yes"),Assumptions!$L$40,0)</f>
        <v>0</v>
      </c>
      <c r="BC54" s="24">
        <f>IF(AND(BC4=Assumptions!$G$36,Assumptions!$G$34="Yes"),Assumptions!$L$40,0)</f>
        <v>0</v>
      </c>
      <c r="BD54" s="24">
        <f>IF(AND(BD4=Assumptions!$G$36,Assumptions!$G$34="Yes"),Assumptions!$L$40,0)</f>
        <v>0</v>
      </c>
      <c r="BE54" s="24">
        <f>IF(AND(BE4=Assumptions!$G$36,Assumptions!$G$34="Yes"),Assumptions!$L$40,0)</f>
        <v>0</v>
      </c>
      <c r="BF54" s="24">
        <f>IF(AND(BF4=Assumptions!$G$36,Assumptions!$G$34="Yes"),Assumptions!$L$40,0)</f>
        <v>0</v>
      </c>
      <c r="BG54" s="24">
        <f>IF(AND(BG4=Assumptions!$G$36,Assumptions!$G$34="Yes"),Assumptions!$L$40,0)</f>
        <v>0</v>
      </c>
      <c r="BH54" s="24">
        <f>IF(AND(BH4=Assumptions!$G$36,Assumptions!$G$34="Yes"),Assumptions!$L$40,0)</f>
        <v>0</v>
      </c>
      <c r="BI54" s="24">
        <f>IF(AND(BI4=Assumptions!$G$36,Assumptions!$G$34="Yes"),Assumptions!$L$40,0)</f>
        <v>0</v>
      </c>
      <c r="BJ54" s="24">
        <f>IF(AND(BJ4=Assumptions!$G$36,Assumptions!$G$34="Yes"),Assumptions!$L$40,0)</f>
        <v>0</v>
      </c>
      <c r="BK54" s="24">
        <f>IF(AND(BK4=Assumptions!$G$36,Assumptions!$G$34="Yes"),Assumptions!$L$40,0)</f>
        <v>0</v>
      </c>
      <c r="BL54" s="24">
        <f>IF(AND(BL4=Assumptions!$G$36,Assumptions!$G$34="Yes"),Assumptions!$L$40,0)</f>
        <v>0</v>
      </c>
      <c r="BM54" s="24">
        <f>IF(AND(BM4=Assumptions!$G$36,Assumptions!$G$34="Yes"),Assumptions!$L$40,0)</f>
        <v>0</v>
      </c>
      <c r="BN54" s="24">
        <f>IF(AND(BN4=Assumptions!$G$36,Assumptions!$G$34="Yes"),Assumptions!$L$40,0)</f>
        <v>0</v>
      </c>
      <c r="BO54" s="24">
        <f>IF(AND(BO4=Assumptions!$G$36,Assumptions!$G$34="Yes"),Assumptions!$L$40,0)</f>
        <v>0</v>
      </c>
      <c r="BP54" s="24">
        <f>IF(AND(BP4=Assumptions!$G$36,Assumptions!$G$34="Yes"),Assumptions!$L$40,0)</f>
        <v>0</v>
      </c>
      <c r="BQ54" s="24">
        <f>IF(AND(BQ4=Assumptions!$G$36,Assumptions!$G$34="Yes"),Assumptions!$L$40,0)</f>
        <v>0</v>
      </c>
      <c r="BR54" s="24">
        <f>IF(AND(BR4=Assumptions!$G$36,Assumptions!$G$34="Yes"),Assumptions!$L$40,0)</f>
        <v>0</v>
      </c>
      <c r="BS54" s="24">
        <f>IF(AND(BS4=Assumptions!$G$36,Assumptions!$G$34="Yes"),Assumptions!$L$40,0)</f>
        <v>0</v>
      </c>
      <c r="BT54" s="24">
        <f>IF(AND(BT4=Assumptions!$G$36,Assumptions!$G$34="Yes"),Assumptions!$L$40,0)</f>
        <v>0</v>
      </c>
      <c r="BU54" s="24">
        <f>IF(AND(BU4=Assumptions!$G$36,Assumptions!$G$34="Yes"),Assumptions!$L$40,0)</f>
        <v>0</v>
      </c>
      <c r="BV54" s="24">
        <f>IF(AND(BV4=Assumptions!$G$36,Assumptions!$G$34="Yes"),Assumptions!$L$40,0)</f>
        <v>0</v>
      </c>
      <c r="BW54" s="24">
        <f>IF(AND(BW4=Assumptions!$G$36,Assumptions!$G$34="Yes"),Assumptions!$L$40,0)</f>
        <v>0</v>
      </c>
      <c r="BX54" s="24">
        <f>IF(AND(BX4=Assumptions!$G$36,Assumptions!$G$34="Yes"),Assumptions!$L$40,0)</f>
        <v>0</v>
      </c>
      <c r="BY54" s="24">
        <f>IF(AND(BY4=Assumptions!$G$36,Assumptions!$G$34="Yes"),Assumptions!$L$40,0)</f>
        <v>0</v>
      </c>
      <c r="BZ54" s="24">
        <f>IF(AND(BZ4=Assumptions!$G$36,Assumptions!$G$34="Yes"),Assumptions!$L$40,0)</f>
        <v>0</v>
      </c>
      <c r="CA54" s="24">
        <f>IF(AND(CA4=Assumptions!$G$36,Assumptions!$G$34="Yes"),Assumptions!$L$40,0)</f>
        <v>0</v>
      </c>
      <c r="CB54" s="24">
        <f>IF(AND(CB4=Assumptions!$G$36,Assumptions!$G$34="Yes"),Assumptions!$L$40,0)</f>
        <v>0</v>
      </c>
      <c r="CC54" s="24">
        <f>IF(AND(CC4=Assumptions!$G$36,Assumptions!$G$34="Yes"),Assumptions!$L$40,0)</f>
        <v>0</v>
      </c>
      <c r="CD54" s="24">
        <f>IF(AND(CD4=Assumptions!$G$36,Assumptions!$G$34="Yes"),Assumptions!$L$40,0)</f>
        <v>0</v>
      </c>
      <c r="CE54" s="24">
        <f>IF(AND(CE4=Assumptions!$G$36,Assumptions!$G$34="Yes"),Assumptions!$L$40,0)</f>
        <v>0</v>
      </c>
      <c r="CF54" s="24">
        <f>IF(AND(CF4=Assumptions!$G$36,Assumptions!$G$34="Yes"),Assumptions!$L$40,0)</f>
        <v>0</v>
      </c>
      <c r="CG54" s="24">
        <f>IF(AND(CG4=Assumptions!$G$36,Assumptions!$G$34="Yes"),Assumptions!$L$40,0)</f>
        <v>0</v>
      </c>
      <c r="CH54" s="24">
        <f>IF(AND(CH4=Assumptions!$G$36,Assumptions!$G$34="Yes"),Assumptions!$L$40,0)</f>
        <v>0</v>
      </c>
      <c r="CI54" s="24">
        <f>IF(AND(CI4=Assumptions!$G$36,Assumptions!$G$34="Yes"),Assumptions!$L$40,0)</f>
        <v>0</v>
      </c>
      <c r="CJ54" s="24">
        <f>IF(AND(CJ4=Assumptions!$G$36,Assumptions!$G$34="Yes"),Assumptions!$L$40,0)</f>
        <v>0</v>
      </c>
      <c r="CK54" s="24">
        <f>IF(AND(CK4=Assumptions!$G$36,Assumptions!$G$34="Yes"),Assumptions!$L$40,0)</f>
        <v>0</v>
      </c>
      <c r="CL54" s="24">
        <f>IF(AND(CL4=Assumptions!$G$36,Assumptions!$G$34="Yes"),Assumptions!$L$40,0)</f>
        <v>0</v>
      </c>
      <c r="CM54" s="24">
        <f>IF(AND(CM4=Assumptions!$G$36,Assumptions!$G$34="Yes"),Assumptions!$L$40,0)</f>
        <v>0</v>
      </c>
      <c r="CN54" s="24">
        <f>IF(AND(CN4=Assumptions!$G$36,Assumptions!$G$34="Yes"),Assumptions!$L$40,0)</f>
        <v>0</v>
      </c>
      <c r="CO54" s="24">
        <f>IF(AND(CO4=Assumptions!$G$36,Assumptions!$G$34="Yes"),Assumptions!$L$40,0)</f>
        <v>0</v>
      </c>
      <c r="CP54" s="24">
        <f>IF(AND(CP4=Assumptions!$G$36,Assumptions!$G$34="Yes"),Assumptions!$L$40,0)</f>
        <v>0</v>
      </c>
      <c r="CQ54" s="24">
        <f>IF(AND(CQ4=Assumptions!$G$36,Assumptions!$G$34="Yes"),Assumptions!$L$40,0)</f>
        <v>0</v>
      </c>
      <c r="CR54" s="24">
        <f>IF(AND(CR4=Assumptions!$G$36,Assumptions!$G$34="Yes"),Assumptions!$L$40,0)</f>
        <v>0</v>
      </c>
      <c r="CS54" s="24">
        <f>IF(AND(CS4=Assumptions!$G$36,Assumptions!$G$34="Yes"),Assumptions!$L$40,0)</f>
        <v>0</v>
      </c>
      <c r="CT54" s="24">
        <f>IF(AND(CT4=Assumptions!$G$36,Assumptions!$G$34="Yes"),Assumptions!$L$40,0)</f>
        <v>0</v>
      </c>
      <c r="CU54" s="24">
        <f>IF(AND(CU4=Assumptions!$G$36,Assumptions!$G$34="Yes"),Assumptions!$L$40,0)</f>
        <v>0</v>
      </c>
      <c r="CV54" s="24">
        <f>IF(AND(CV4=Assumptions!$G$36,Assumptions!$G$34="Yes"),Assumptions!$L$40,0)</f>
        <v>0</v>
      </c>
      <c r="CW54" s="24">
        <f>IF(AND(CW4=Assumptions!$G$36,Assumptions!$G$34="Yes"),Assumptions!$L$40,0)</f>
        <v>0</v>
      </c>
      <c r="CX54" s="24">
        <f>IF(AND(CX4=Assumptions!$G$36,Assumptions!$G$34="Yes"),Assumptions!$L$40,0)</f>
        <v>0</v>
      </c>
      <c r="CY54" s="24">
        <f>IF(AND(CY4=Assumptions!$G$36,Assumptions!$G$34="Yes"),Assumptions!$L$40,0)</f>
        <v>0</v>
      </c>
      <c r="CZ54" s="24">
        <f>IF(AND(CZ4=Assumptions!$G$36,Assumptions!$G$34="Yes"),Assumptions!$L$40,0)</f>
        <v>0</v>
      </c>
      <c r="DA54" s="24">
        <f>IF(AND(DA4=Assumptions!$G$36,Assumptions!$G$34="Yes"),Assumptions!$L$40,0)</f>
        <v>0</v>
      </c>
      <c r="DB54" s="24">
        <f>IF(AND(DB4=Assumptions!$G$36,Assumptions!$G$34="Yes"),Assumptions!$L$40,0)</f>
        <v>0</v>
      </c>
      <c r="DC54" s="24">
        <f>IF(AND(DC4=Assumptions!$G$36,Assumptions!$G$34="Yes"),Assumptions!$L$40,0)</f>
        <v>0</v>
      </c>
      <c r="DD54" s="24">
        <f>IF(AND(DD4=Assumptions!$G$36,Assumptions!$G$34="Yes"),Assumptions!$L$40,0)</f>
        <v>0</v>
      </c>
      <c r="DE54" s="24">
        <f>IF(AND(DE4=Assumptions!$G$36,Assumptions!$G$34="Yes"),Assumptions!$L$40,0)</f>
        <v>0</v>
      </c>
      <c r="DF54" s="24">
        <f>IF(AND(DF4=Assumptions!$G$36,Assumptions!$G$34="Yes"),Assumptions!$L$40,0)</f>
        <v>0</v>
      </c>
      <c r="DG54" s="24">
        <f>IF(AND(DG4=Assumptions!$G$36,Assumptions!$G$34="Yes"),Assumptions!$L$40,0)</f>
        <v>0</v>
      </c>
      <c r="DH54" s="24">
        <f>IF(AND(DH4=Assumptions!$G$36,Assumptions!$G$34="Yes"),Assumptions!$L$40,0)</f>
        <v>0</v>
      </c>
      <c r="DI54" s="24">
        <f>IF(AND(DI4=Assumptions!$G$36,Assumptions!$G$34="Yes"),Assumptions!$L$40,0)</f>
        <v>0</v>
      </c>
      <c r="DJ54" s="24">
        <f>IF(AND(DJ4=Assumptions!$G$36,Assumptions!$G$34="Yes"),Assumptions!$L$40,0)</f>
        <v>0</v>
      </c>
      <c r="DK54" s="24">
        <f>IF(AND(DK4=Assumptions!$G$36,Assumptions!$G$34="Yes"),Assumptions!$L$40,0)</f>
        <v>0</v>
      </c>
      <c r="DL54" s="24">
        <f>IF(AND(DL4=Assumptions!$G$36,Assumptions!$G$34="Yes"),Assumptions!$L$40,0)</f>
        <v>0</v>
      </c>
      <c r="DM54" s="24">
        <f>IF(AND(DM4=Assumptions!$G$36,Assumptions!$G$34="Yes"),Assumptions!$L$40,0)</f>
        <v>0</v>
      </c>
      <c r="DN54" s="24">
        <f>IF(AND(DN4=Assumptions!$G$36,Assumptions!$G$34="Yes"),Assumptions!$L$40,0)</f>
        <v>0</v>
      </c>
      <c r="DO54" s="24">
        <f>IF(AND(DO4=Assumptions!$G$36,Assumptions!$G$34="Yes"),Assumptions!$L$40,0)</f>
        <v>0</v>
      </c>
      <c r="DP54" s="24">
        <f>IF(AND(DP4=Assumptions!$G$36,Assumptions!$G$34="Yes"),Assumptions!$L$40,0)</f>
        <v>0</v>
      </c>
      <c r="DQ54" s="24">
        <f>IF(AND(DQ4=Assumptions!$G$36,Assumptions!$G$34="Yes"),Assumptions!$L$40,0)</f>
        <v>0</v>
      </c>
      <c r="DR54" s="24">
        <f>IF(AND(DR4=Assumptions!$G$36,Assumptions!$G$34="Yes"),Assumptions!$L$40,0)</f>
        <v>0</v>
      </c>
      <c r="DS54" s="24">
        <f>IF(AND(DS4=Assumptions!$G$36,Assumptions!$G$34="Yes"),Assumptions!$L$40,0)</f>
        <v>0</v>
      </c>
      <c r="DT54" s="24">
        <f>IF(AND(DT4=Assumptions!$G$36,Assumptions!$G$34="Yes"),Assumptions!$L$40,0)</f>
        <v>0</v>
      </c>
      <c r="DU54" s="24">
        <f>IF(AND(DU4=Assumptions!$G$36,Assumptions!$G$34="Yes"),Assumptions!$L$40,0)</f>
        <v>0</v>
      </c>
      <c r="DV54" s="24">
        <f>IF(AND(DV4=Assumptions!$G$36,Assumptions!$G$34="Yes"),Assumptions!$L$40,0)</f>
        <v>0</v>
      </c>
      <c r="DW54" s="24">
        <f>IF(AND(DW4=Assumptions!$G$36,Assumptions!$G$34="Yes"),Assumptions!$L$40,0)</f>
        <v>0</v>
      </c>
      <c r="DX54" s="24">
        <f>IF(AND(DX4=Assumptions!$G$36,Assumptions!$G$34="Yes"),Assumptions!$L$40,0)</f>
        <v>0</v>
      </c>
      <c r="DY54" s="24">
        <f>IF(AND(DY4=Assumptions!$G$36,Assumptions!$G$34="Yes"),Assumptions!$L$40,0)</f>
        <v>0</v>
      </c>
      <c r="DZ54" s="24">
        <f>IF(AND(DZ4=Assumptions!$G$36,Assumptions!$G$34="Yes"),Assumptions!$L$40,0)</f>
        <v>0</v>
      </c>
      <c r="EA54" s="24">
        <f>IF(AND(EA4=Assumptions!$G$36,Assumptions!$G$34="Yes"),Assumptions!$L$40,0)</f>
        <v>0</v>
      </c>
      <c r="EB54" s="24">
        <f>IF(AND(EB4=Assumptions!$G$36,Assumptions!$G$34="Yes"),Assumptions!$L$40,0)</f>
        <v>0</v>
      </c>
      <c r="EC54" s="24">
        <f>IF(AND(EC4=Assumptions!$G$36,Assumptions!$G$34="Yes"),Assumptions!$L$40,0)</f>
        <v>0</v>
      </c>
      <c r="ED54" s="24">
        <f>IF(AND(ED4=Assumptions!$G$36,Assumptions!$G$34="Yes"),Assumptions!$L$40,0)</f>
        <v>0</v>
      </c>
      <c r="EE54" s="24">
        <f>IF(AND(EE4=Assumptions!$G$36,Assumptions!$G$34="Yes"),Assumptions!$L$40,0)</f>
        <v>0</v>
      </c>
      <c r="EF54" s="24">
        <f>IF(AND(EF4=Assumptions!$G$36,Assumptions!$G$34="Yes"),Assumptions!$L$40,0)</f>
        <v>0</v>
      </c>
      <c r="EG54" s="24">
        <f>IF(AND(EG4=Assumptions!$G$36,Assumptions!$G$34="Yes"),Assumptions!$L$40,0)</f>
        <v>0</v>
      </c>
      <c r="EH54" s="24">
        <f>IF(AND(EH4=Assumptions!$G$36,Assumptions!$G$34="Yes"),Assumptions!$L$40,0)</f>
        <v>0</v>
      </c>
      <c r="EI54" s="24">
        <f>IF(AND(EI4=Assumptions!$G$36,Assumptions!$G$34="Yes"),Assumptions!$L$40,0)</f>
        <v>0</v>
      </c>
      <c r="EM54" s="1" t="s">
        <v>178</v>
      </c>
    </row>
    <row r="55" spans="2:143" x14ac:dyDescent="0.45">
      <c r="D55" s="1" t="s">
        <v>251</v>
      </c>
      <c r="G55" s="24">
        <f t="shared" ref="G55:X55" si="70">+G28-G47+G51+SUM(G40:G42)</f>
        <v>0</v>
      </c>
      <c r="H55" s="24">
        <f t="shared" si="70"/>
        <v>0</v>
      </c>
      <c r="I55" s="24">
        <f t="shared" si="70"/>
        <v>9.0949470177292824E-13</v>
      </c>
      <c r="J55" s="24">
        <f t="shared" si="70"/>
        <v>-9.0949470177292824E-13</v>
      </c>
      <c r="K55" s="24">
        <f t="shared" si="70"/>
        <v>1.8189894035458565E-12</v>
      </c>
      <c r="L55" s="24">
        <f t="shared" si="70"/>
        <v>1.0913936421275139E-11</v>
      </c>
      <c r="M55" s="24">
        <f t="shared" si="70"/>
        <v>-9.0949470177292824E-13</v>
      </c>
      <c r="N55" s="24">
        <f t="shared" si="70"/>
        <v>1.8189894035458565E-12</v>
      </c>
      <c r="O55" s="24">
        <f t="shared" si="70"/>
        <v>3.637978807091713E-12</v>
      </c>
      <c r="P55" s="24">
        <f t="shared" si="70"/>
        <v>-9.0949470177292824E-13</v>
      </c>
      <c r="Q55" s="24">
        <f t="shared" si="70"/>
        <v>-9.0949470177292824E-13</v>
      </c>
      <c r="R55" s="24">
        <f t="shared" si="70"/>
        <v>-1.8189894035458565E-12</v>
      </c>
      <c r="S55" s="24">
        <f t="shared" si="70"/>
        <v>1511.2464525039177</v>
      </c>
      <c r="T55" s="24">
        <f t="shared" si="70"/>
        <v>5035.4784067487817</v>
      </c>
      <c r="U55" s="24">
        <f t="shared" si="70"/>
        <v>8492.1037342830641</v>
      </c>
      <c r="V55" s="24">
        <f t="shared" si="70"/>
        <v>11358.55832724123</v>
      </c>
      <c r="W55" s="24">
        <f t="shared" si="70"/>
        <v>13334.401465259143</v>
      </c>
      <c r="X55" s="24">
        <f t="shared" si="70"/>
        <v>13271.071131761277</v>
      </c>
      <c r="Y55" s="24">
        <f>+Y28-Y47+Y51+SUM(Y40:Y42)</f>
        <v>12806.29887333795</v>
      </c>
      <c r="Z55" s="24">
        <f t="shared" ref="Z55:BE55" si="71">+Z28-Z47+Z51+SUM(Z40:Z42)</f>
        <v>13191.381005637126</v>
      </c>
      <c r="AA55" s="24">
        <f t="shared" si="71"/>
        <v>13217.279564969609</v>
      </c>
      <c r="AB55" s="24">
        <f t="shared" si="71"/>
        <v>16816.398777197268</v>
      </c>
      <c r="AC55" s="24">
        <f t="shared" si="71"/>
        <v>22221.144737733914</v>
      </c>
      <c r="AD55" s="24">
        <f t="shared" si="71"/>
        <v>26389.766442553489</v>
      </c>
      <c r="AE55" s="24">
        <f t="shared" si="71"/>
        <v>28522.974196130781</v>
      </c>
      <c r="AF55" s="24">
        <f t="shared" si="71"/>
        <v>28349.398864607392</v>
      </c>
      <c r="AG55" s="24">
        <f t="shared" si="71"/>
        <v>26027.343663608146</v>
      </c>
      <c r="AH55" s="24">
        <f t="shared" si="71"/>
        <v>26970.331858950616</v>
      </c>
      <c r="AI55" s="24">
        <f t="shared" si="71"/>
        <v>34014.105034838416</v>
      </c>
      <c r="AJ55" s="24">
        <f t="shared" si="71"/>
        <v>41086.313912821934</v>
      </c>
      <c r="AK55" s="24">
        <f t="shared" si="71"/>
        <v>48187.045525502239</v>
      </c>
      <c r="AL55" s="24">
        <f t="shared" si="71"/>
        <v>50619.906984140136</v>
      </c>
      <c r="AM55" s="24">
        <f t="shared" si="71"/>
        <v>50887.312319953795</v>
      </c>
      <c r="AN55" s="24">
        <f t="shared" si="71"/>
        <v>51155.289190701005</v>
      </c>
      <c r="AO55" s="24">
        <f t="shared" si="71"/>
        <v>51423.838813546288</v>
      </c>
      <c r="AP55" s="24">
        <f t="shared" si="71"/>
        <v>51692.962408230829</v>
      </c>
      <c r="AQ55" s="24">
        <f t="shared" si="71"/>
        <v>-9697939.3485426754</v>
      </c>
      <c r="AR55" s="24">
        <f t="shared" si="71"/>
        <v>125161.00964704748</v>
      </c>
      <c r="AS55" s="24">
        <f t="shared" si="71"/>
        <v>125431.86250153335</v>
      </c>
      <c r="AT55" s="24">
        <f t="shared" si="71"/>
        <v>125703.29423268566</v>
      </c>
      <c r="AU55" s="24">
        <f t="shared" si="71"/>
        <v>125975.30607320523</v>
      </c>
      <c r="AV55" s="24">
        <f t="shared" si="71"/>
        <v>126247.89925839991</v>
      </c>
      <c r="AW55" s="24">
        <f t="shared" si="71"/>
        <v>126521.07502619099</v>
      </c>
      <c r="AX55" s="24">
        <f t="shared" si="71"/>
        <v>126794.83461712004</v>
      </c>
      <c r="AY55" s="24">
        <f t="shared" si="71"/>
        <v>127069.17927435151</v>
      </c>
      <c r="AZ55" s="24">
        <f t="shared" si="71"/>
        <v>127344.11024368202</v>
      </c>
      <c r="BA55" s="24">
        <f t="shared" si="71"/>
        <v>127619.62877354302</v>
      </c>
      <c r="BB55" s="24">
        <f t="shared" si="71"/>
        <v>127895.73611500658</v>
      </c>
      <c r="BC55" s="24">
        <f t="shared" si="71"/>
        <v>128172.43352179203</v>
      </c>
      <c r="BD55" s="24">
        <f t="shared" si="71"/>
        <v>128449.72225027194</v>
      </c>
      <c r="BE55" s="24">
        <f t="shared" si="71"/>
        <v>128727.60355947568</v>
      </c>
      <c r="BF55" s="24">
        <f t="shared" ref="BF55:CK55" si="72">+BF28-BF47+BF51+SUM(BF40:BF42)</f>
        <v>129006.07871109662</v>
      </c>
      <c r="BG55" s="24">
        <f t="shared" si="72"/>
        <v>129285.14896949759</v>
      </c>
      <c r="BH55" s="24">
        <f t="shared" si="72"/>
        <v>129564.81560171588</v>
      </c>
      <c r="BI55" s="24">
        <f t="shared" si="72"/>
        <v>129845.07987746887</v>
      </c>
      <c r="BJ55" s="24">
        <f t="shared" si="72"/>
        <v>130125.94306916081</v>
      </c>
      <c r="BK55" s="24">
        <f t="shared" si="72"/>
        <v>130407.40645188672</v>
      </c>
      <c r="BL55" s="24">
        <f t="shared" si="72"/>
        <v>130689.47130343967</v>
      </c>
      <c r="BM55" s="24">
        <f t="shared" si="72"/>
        <v>130972.13890431606</v>
      </c>
      <c r="BN55" s="24">
        <f t="shared" si="72"/>
        <v>131255.41053771967</v>
      </c>
      <c r="BO55" s="24">
        <f t="shared" si="72"/>
        <v>26458717.63394342</v>
      </c>
      <c r="BP55" s="24">
        <f t="shared" si="72"/>
        <v>0</v>
      </c>
      <c r="BQ55" s="24">
        <f t="shared" si="72"/>
        <v>0</v>
      </c>
      <c r="BR55" s="24">
        <f t="shared" si="72"/>
        <v>0</v>
      </c>
      <c r="BS55" s="24">
        <f t="shared" si="72"/>
        <v>0</v>
      </c>
      <c r="BT55" s="24">
        <f t="shared" si="72"/>
        <v>0</v>
      </c>
      <c r="BU55" s="24">
        <f t="shared" si="72"/>
        <v>0</v>
      </c>
      <c r="BV55" s="24">
        <f t="shared" si="72"/>
        <v>0</v>
      </c>
      <c r="BW55" s="24">
        <f t="shared" si="72"/>
        <v>0</v>
      </c>
      <c r="BX55" s="24">
        <f t="shared" si="72"/>
        <v>0</v>
      </c>
      <c r="BY55" s="24">
        <f t="shared" si="72"/>
        <v>0</v>
      </c>
      <c r="BZ55" s="24">
        <f t="shared" si="72"/>
        <v>0</v>
      </c>
      <c r="CA55" s="24">
        <f t="shared" si="72"/>
        <v>0</v>
      </c>
      <c r="CB55" s="24">
        <f t="shared" si="72"/>
        <v>0</v>
      </c>
      <c r="CC55" s="24">
        <f t="shared" si="72"/>
        <v>0</v>
      </c>
      <c r="CD55" s="24">
        <f t="shared" si="72"/>
        <v>0</v>
      </c>
      <c r="CE55" s="24">
        <f t="shared" si="72"/>
        <v>0</v>
      </c>
      <c r="CF55" s="24">
        <f t="shared" si="72"/>
        <v>0</v>
      </c>
      <c r="CG55" s="24">
        <f t="shared" si="72"/>
        <v>0</v>
      </c>
      <c r="CH55" s="24">
        <f t="shared" si="72"/>
        <v>0</v>
      </c>
      <c r="CI55" s="24">
        <f t="shared" si="72"/>
        <v>0</v>
      </c>
      <c r="CJ55" s="24">
        <f t="shared" si="72"/>
        <v>0</v>
      </c>
      <c r="CK55" s="24">
        <f t="shared" si="72"/>
        <v>0</v>
      </c>
      <c r="CL55" s="24">
        <f t="shared" ref="CL55:DQ55" si="73">+CL28-CL47+CL51+SUM(CL40:CL42)</f>
        <v>0</v>
      </c>
      <c r="CM55" s="24">
        <f t="shared" si="73"/>
        <v>0</v>
      </c>
      <c r="CN55" s="24">
        <f t="shared" si="73"/>
        <v>0</v>
      </c>
      <c r="CO55" s="24">
        <f t="shared" si="73"/>
        <v>0</v>
      </c>
      <c r="CP55" s="24">
        <f t="shared" si="73"/>
        <v>0</v>
      </c>
      <c r="CQ55" s="24">
        <f t="shared" si="73"/>
        <v>0</v>
      </c>
      <c r="CR55" s="24">
        <f t="shared" si="73"/>
        <v>0</v>
      </c>
      <c r="CS55" s="24">
        <f t="shared" si="73"/>
        <v>0</v>
      </c>
      <c r="CT55" s="24">
        <f t="shared" si="73"/>
        <v>0</v>
      </c>
      <c r="CU55" s="24">
        <f t="shared" si="73"/>
        <v>0</v>
      </c>
      <c r="CV55" s="24">
        <f t="shared" si="73"/>
        <v>0</v>
      </c>
      <c r="CW55" s="24">
        <f t="shared" si="73"/>
        <v>0</v>
      </c>
      <c r="CX55" s="24">
        <f t="shared" si="73"/>
        <v>0</v>
      </c>
      <c r="CY55" s="24">
        <f t="shared" si="73"/>
        <v>0</v>
      </c>
      <c r="CZ55" s="24">
        <f t="shared" si="73"/>
        <v>0</v>
      </c>
      <c r="DA55" s="24">
        <f t="shared" si="73"/>
        <v>0</v>
      </c>
      <c r="DB55" s="24">
        <f t="shared" si="73"/>
        <v>0</v>
      </c>
      <c r="DC55" s="24">
        <f t="shared" si="73"/>
        <v>0</v>
      </c>
      <c r="DD55" s="24">
        <f t="shared" si="73"/>
        <v>0</v>
      </c>
      <c r="DE55" s="24">
        <f t="shared" si="73"/>
        <v>0</v>
      </c>
      <c r="DF55" s="24">
        <f t="shared" si="73"/>
        <v>0</v>
      </c>
      <c r="DG55" s="24">
        <f t="shared" si="73"/>
        <v>0</v>
      </c>
      <c r="DH55" s="24">
        <f t="shared" si="73"/>
        <v>0</v>
      </c>
      <c r="DI55" s="24">
        <f t="shared" si="73"/>
        <v>0</v>
      </c>
      <c r="DJ55" s="24">
        <f t="shared" si="73"/>
        <v>0</v>
      </c>
      <c r="DK55" s="24">
        <f t="shared" si="73"/>
        <v>0</v>
      </c>
      <c r="DL55" s="24">
        <f t="shared" si="73"/>
        <v>0</v>
      </c>
      <c r="DM55" s="24">
        <f t="shared" si="73"/>
        <v>0</v>
      </c>
      <c r="DN55" s="24">
        <f t="shared" si="73"/>
        <v>0</v>
      </c>
      <c r="DO55" s="24">
        <f t="shared" si="73"/>
        <v>0</v>
      </c>
      <c r="DP55" s="24">
        <f t="shared" si="73"/>
        <v>0</v>
      </c>
      <c r="DQ55" s="24">
        <f t="shared" si="73"/>
        <v>0</v>
      </c>
      <c r="DR55" s="24">
        <f t="shared" ref="DR55:EI55" si="74">+DR28-DR47+DR51+SUM(DR40:DR42)</f>
        <v>0</v>
      </c>
      <c r="DS55" s="24">
        <f t="shared" si="74"/>
        <v>0</v>
      </c>
      <c r="DT55" s="24">
        <f t="shared" si="74"/>
        <v>0</v>
      </c>
      <c r="DU55" s="24">
        <f t="shared" si="74"/>
        <v>0</v>
      </c>
      <c r="DV55" s="24">
        <f t="shared" si="74"/>
        <v>0</v>
      </c>
      <c r="DW55" s="24">
        <f t="shared" si="74"/>
        <v>0</v>
      </c>
      <c r="DX55" s="24">
        <f t="shared" si="74"/>
        <v>0</v>
      </c>
      <c r="DY55" s="24">
        <f t="shared" si="74"/>
        <v>0</v>
      </c>
      <c r="DZ55" s="24">
        <f t="shared" si="74"/>
        <v>0</v>
      </c>
      <c r="EA55" s="24">
        <f t="shared" si="74"/>
        <v>0</v>
      </c>
      <c r="EB55" s="24">
        <f t="shared" si="74"/>
        <v>0</v>
      </c>
      <c r="EC55" s="24">
        <f t="shared" si="74"/>
        <v>0</v>
      </c>
      <c r="ED55" s="24">
        <f t="shared" si="74"/>
        <v>0</v>
      </c>
      <c r="EE55" s="24">
        <f t="shared" si="74"/>
        <v>0</v>
      </c>
      <c r="EF55" s="24">
        <f t="shared" si="74"/>
        <v>0</v>
      </c>
      <c r="EG55" s="24">
        <f t="shared" si="74"/>
        <v>0</v>
      </c>
      <c r="EH55" s="24">
        <f t="shared" si="74"/>
        <v>0</v>
      </c>
      <c r="EI55" s="24">
        <f t="shared" si="74"/>
        <v>0</v>
      </c>
      <c r="EM55" s="1" t="s">
        <v>178</v>
      </c>
    </row>
    <row r="56" spans="2:143" x14ac:dyDescent="0.45"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M56" s="1" t="s">
        <v>178</v>
      </c>
    </row>
    <row r="57" spans="2:143" x14ac:dyDescent="0.45">
      <c r="D57" s="8" t="s">
        <v>43</v>
      </c>
      <c r="E57" s="8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M57" s="1" t="s">
        <v>178</v>
      </c>
    </row>
    <row r="58" spans="2:143" x14ac:dyDescent="0.45">
      <c r="D58" s="1" t="s">
        <v>32</v>
      </c>
      <c r="G58" s="24">
        <f t="shared" ref="G58:AL58" si="75">+F63</f>
        <v>0</v>
      </c>
      <c r="H58" s="24">
        <f t="shared" si="75"/>
        <v>0</v>
      </c>
      <c r="I58" s="24">
        <f t="shared" si="75"/>
        <v>0</v>
      </c>
      <c r="J58" s="24">
        <f t="shared" si="75"/>
        <v>0</v>
      </c>
      <c r="K58" s="24">
        <f t="shared" si="75"/>
        <v>0</v>
      </c>
      <c r="L58" s="24">
        <f t="shared" si="75"/>
        <v>0</v>
      </c>
      <c r="M58" s="24">
        <f t="shared" si="75"/>
        <v>0</v>
      </c>
      <c r="N58" s="24">
        <f t="shared" si="75"/>
        <v>0</v>
      </c>
      <c r="O58" s="24">
        <f t="shared" si="75"/>
        <v>0</v>
      </c>
      <c r="P58" s="24">
        <f t="shared" si="75"/>
        <v>0</v>
      </c>
      <c r="Q58" s="24">
        <f t="shared" si="75"/>
        <v>0</v>
      </c>
      <c r="R58" s="24">
        <f t="shared" si="75"/>
        <v>0</v>
      </c>
      <c r="S58" s="24">
        <f t="shared" si="75"/>
        <v>0</v>
      </c>
      <c r="T58" s="24">
        <f t="shared" si="75"/>
        <v>0</v>
      </c>
      <c r="U58" s="24">
        <f t="shared" si="75"/>
        <v>0</v>
      </c>
      <c r="V58" s="24">
        <f t="shared" si="75"/>
        <v>0</v>
      </c>
      <c r="W58" s="24">
        <f t="shared" si="75"/>
        <v>0</v>
      </c>
      <c r="X58" s="24">
        <f t="shared" si="75"/>
        <v>0</v>
      </c>
      <c r="Y58" s="24">
        <f t="shared" si="75"/>
        <v>0</v>
      </c>
      <c r="Z58" s="24">
        <f t="shared" si="75"/>
        <v>0</v>
      </c>
      <c r="AA58" s="24">
        <f t="shared" si="75"/>
        <v>0</v>
      </c>
      <c r="AB58" s="24">
        <f t="shared" si="75"/>
        <v>0</v>
      </c>
      <c r="AC58" s="24">
        <f t="shared" si="75"/>
        <v>0</v>
      </c>
      <c r="AD58" s="24">
        <f t="shared" si="75"/>
        <v>0</v>
      </c>
      <c r="AE58" s="24">
        <f t="shared" si="75"/>
        <v>0</v>
      </c>
      <c r="AF58" s="24">
        <f t="shared" si="75"/>
        <v>0</v>
      </c>
      <c r="AG58" s="24">
        <f t="shared" si="75"/>
        <v>0</v>
      </c>
      <c r="AH58" s="24">
        <f t="shared" si="75"/>
        <v>0</v>
      </c>
      <c r="AI58" s="24">
        <f t="shared" si="75"/>
        <v>0</v>
      </c>
      <c r="AJ58" s="24">
        <f t="shared" si="75"/>
        <v>0</v>
      </c>
      <c r="AK58" s="24">
        <f t="shared" si="75"/>
        <v>0</v>
      </c>
      <c r="AL58" s="24">
        <f t="shared" si="75"/>
        <v>0</v>
      </c>
      <c r="AM58" s="24">
        <f t="shared" ref="AM58:BR58" si="76">+AL63</f>
        <v>0</v>
      </c>
      <c r="AN58" s="24">
        <f t="shared" si="76"/>
        <v>0</v>
      </c>
      <c r="AO58" s="24">
        <f t="shared" si="76"/>
        <v>0</v>
      </c>
      <c r="AP58" s="24">
        <f t="shared" si="76"/>
        <v>0</v>
      </c>
      <c r="AQ58" s="24">
        <f t="shared" si="76"/>
        <v>0</v>
      </c>
      <c r="AR58" s="24">
        <f t="shared" si="76"/>
        <v>17127872.151652358</v>
      </c>
      <c r="AS58" s="24">
        <f t="shared" si="76"/>
        <v>17109841.309482623</v>
      </c>
      <c r="AT58" s="24">
        <f t="shared" si="76"/>
        <v>17091724.724047061</v>
      </c>
      <c r="AU58" s="24">
        <f t="shared" si="76"/>
        <v>17073521.987605006</v>
      </c>
      <c r="AV58" s="24">
        <f t="shared" si="76"/>
        <v>17055232.690476831</v>
      </c>
      <c r="AW58" s="24">
        <f t="shared" si="76"/>
        <v>17036856.421034738</v>
      </c>
      <c r="AX58" s="24">
        <f t="shared" si="76"/>
        <v>17018392.765693482</v>
      </c>
      <c r="AY58" s="24">
        <f t="shared" si="76"/>
        <v>16999841.308901072</v>
      </c>
      <c r="AZ58" s="24">
        <f t="shared" si="76"/>
        <v>16981201.63312941</v>
      </c>
      <c r="BA58" s="24">
        <f t="shared" si="76"/>
        <v>16962473.318864908</v>
      </c>
      <c r="BB58" s="24">
        <f t="shared" si="76"/>
        <v>16943655.944599029</v>
      </c>
      <c r="BC58" s="24">
        <f t="shared" si="76"/>
        <v>16924749.086818814</v>
      </c>
      <c r="BD58" s="24">
        <f t="shared" si="76"/>
        <v>16905752.31999734</v>
      </c>
      <c r="BE58" s="24">
        <f t="shared" si="76"/>
        <v>16886665.216584146</v>
      </c>
      <c r="BF58" s="24">
        <f t="shared" si="76"/>
        <v>16867487.346995618</v>
      </c>
      <c r="BG58" s="24">
        <f t="shared" si="76"/>
        <v>16848218.27960531</v>
      </c>
      <c r="BH58" s="24">
        <f t="shared" si="76"/>
        <v>16828857.580734238</v>
      </c>
      <c r="BI58" s="24">
        <f t="shared" si="76"/>
        <v>16809404.814641111</v>
      </c>
      <c r="BJ58" s="24">
        <f t="shared" si="76"/>
        <v>16789859.543512531</v>
      </c>
      <c r="BK58" s="24">
        <f t="shared" si="76"/>
        <v>16770221.327453135</v>
      </c>
      <c r="BL58" s="24">
        <f t="shared" si="76"/>
        <v>16750489.724475697</v>
      </c>
      <c r="BM58" s="24">
        <f t="shared" si="76"/>
        <v>16730664.29049118</v>
      </c>
      <c r="BN58" s="24">
        <f t="shared" si="76"/>
        <v>16710744.579298742</v>
      </c>
      <c r="BO58" s="24">
        <f t="shared" si="76"/>
        <v>16690730.142575689</v>
      </c>
      <c r="BP58" s="24">
        <f t="shared" si="76"/>
        <v>0</v>
      </c>
      <c r="BQ58" s="24">
        <f t="shared" si="76"/>
        <v>0</v>
      </c>
      <c r="BR58" s="24">
        <f t="shared" si="76"/>
        <v>0</v>
      </c>
      <c r="BS58" s="24">
        <f t="shared" ref="BS58:CX58" si="77">+BR63</f>
        <v>0</v>
      </c>
      <c r="BT58" s="24">
        <f t="shared" si="77"/>
        <v>0</v>
      </c>
      <c r="BU58" s="24">
        <f t="shared" si="77"/>
        <v>0</v>
      </c>
      <c r="BV58" s="24">
        <f t="shared" si="77"/>
        <v>0</v>
      </c>
      <c r="BW58" s="24">
        <f t="shared" si="77"/>
        <v>0</v>
      </c>
      <c r="BX58" s="24">
        <f t="shared" si="77"/>
        <v>0</v>
      </c>
      <c r="BY58" s="24">
        <f t="shared" si="77"/>
        <v>0</v>
      </c>
      <c r="BZ58" s="24">
        <f t="shared" si="77"/>
        <v>0</v>
      </c>
      <c r="CA58" s="24">
        <f t="shared" si="77"/>
        <v>0</v>
      </c>
      <c r="CB58" s="24">
        <f t="shared" si="77"/>
        <v>0</v>
      </c>
      <c r="CC58" s="24">
        <f t="shared" si="77"/>
        <v>0</v>
      </c>
      <c r="CD58" s="24">
        <f t="shared" si="77"/>
        <v>0</v>
      </c>
      <c r="CE58" s="24">
        <f t="shared" si="77"/>
        <v>0</v>
      </c>
      <c r="CF58" s="24">
        <f t="shared" si="77"/>
        <v>0</v>
      </c>
      <c r="CG58" s="24">
        <f t="shared" si="77"/>
        <v>0</v>
      </c>
      <c r="CH58" s="24">
        <f t="shared" si="77"/>
        <v>0</v>
      </c>
      <c r="CI58" s="24">
        <f t="shared" si="77"/>
        <v>0</v>
      </c>
      <c r="CJ58" s="24">
        <f t="shared" si="77"/>
        <v>0</v>
      </c>
      <c r="CK58" s="24">
        <f t="shared" si="77"/>
        <v>0</v>
      </c>
      <c r="CL58" s="24">
        <f t="shared" si="77"/>
        <v>0</v>
      </c>
      <c r="CM58" s="24">
        <f t="shared" si="77"/>
        <v>0</v>
      </c>
      <c r="CN58" s="24">
        <f t="shared" si="77"/>
        <v>0</v>
      </c>
      <c r="CO58" s="24">
        <f t="shared" si="77"/>
        <v>0</v>
      </c>
      <c r="CP58" s="24">
        <f t="shared" si="77"/>
        <v>0</v>
      </c>
      <c r="CQ58" s="24">
        <f t="shared" si="77"/>
        <v>0</v>
      </c>
      <c r="CR58" s="24">
        <f t="shared" si="77"/>
        <v>0</v>
      </c>
      <c r="CS58" s="24">
        <f t="shared" si="77"/>
        <v>0</v>
      </c>
      <c r="CT58" s="24">
        <f t="shared" si="77"/>
        <v>0</v>
      </c>
      <c r="CU58" s="24">
        <f t="shared" si="77"/>
        <v>0</v>
      </c>
      <c r="CV58" s="24">
        <f t="shared" si="77"/>
        <v>0</v>
      </c>
      <c r="CW58" s="24">
        <f t="shared" si="77"/>
        <v>0</v>
      </c>
      <c r="CX58" s="24">
        <f t="shared" si="77"/>
        <v>0</v>
      </c>
      <c r="CY58" s="24">
        <f t="shared" ref="CY58:EI58" si="78">+CX63</f>
        <v>0</v>
      </c>
      <c r="CZ58" s="24">
        <f t="shared" si="78"/>
        <v>0</v>
      </c>
      <c r="DA58" s="24">
        <f t="shared" si="78"/>
        <v>0</v>
      </c>
      <c r="DB58" s="24">
        <f t="shared" si="78"/>
        <v>0</v>
      </c>
      <c r="DC58" s="24">
        <f t="shared" si="78"/>
        <v>0</v>
      </c>
      <c r="DD58" s="24">
        <f t="shared" si="78"/>
        <v>0</v>
      </c>
      <c r="DE58" s="24">
        <f t="shared" si="78"/>
        <v>0</v>
      </c>
      <c r="DF58" s="24">
        <f t="shared" si="78"/>
        <v>0</v>
      </c>
      <c r="DG58" s="24">
        <f t="shared" si="78"/>
        <v>0</v>
      </c>
      <c r="DH58" s="24">
        <f t="shared" si="78"/>
        <v>0</v>
      </c>
      <c r="DI58" s="24">
        <f t="shared" si="78"/>
        <v>0</v>
      </c>
      <c r="DJ58" s="24">
        <f t="shared" si="78"/>
        <v>0</v>
      </c>
      <c r="DK58" s="24">
        <f t="shared" si="78"/>
        <v>0</v>
      </c>
      <c r="DL58" s="24">
        <f t="shared" si="78"/>
        <v>0</v>
      </c>
      <c r="DM58" s="24">
        <f t="shared" si="78"/>
        <v>0</v>
      </c>
      <c r="DN58" s="24">
        <f t="shared" si="78"/>
        <v>0</v>
      </c>
      <c r="DO58" s="24">
        <f t="shared" si="78"/>
        <v>0</v>
      </c>
      <c r="DP58" s="24">
        <f t="shared" si="78"/>
        <v>0</v>
      </c>
      <c r="DQ58" s="24">
        <f t="shared" si="78"/>
        <v>0</v>
      </c>
      <c r="DR58" s="24">
        <f t="shared" si="78"/>
        <v>0</v>
      </c>
      <c r="DS58" s="24">
        <f t="shared" si="78"/>
        <v>0</v>
      </c>
      <c r="DT58" s="24">
        <f t="shared" si="78"/>
        <v>0</v>
      </c>
      <c r="DU58" s="24">
        <f t="shared" si="78"/>
        <v>0</v>
      </c>
      <c r="DV58" s="24">
        <f t="shared" si="78"/>
        <v>0</v>
      </c>
      <c r="DW58" s="24">
        <f t="shared" si="78"/>
        <v>0</v>
      </c>
      <c r="DX58" s="24">
        <f t="shared" si="78"/>
        <v>0</v>
      </c>
      <c r="DY58" s="24">
        <f t="shared" si="78"/>
        <v>0</v>
      </c>
      <c r="DZ58" s="24">
        <f t="shared" si="78"/>
        <v>0</v>
      </c>
      <c r="EA58" s="24">
        <f t="shared" si="78"/>
        <v>0</v>
      </c>
      <c r="EB58" s="24">
        <f t="shared" si="78"/>
        <v>0</v>
      </c>
      <c r="EC58" s="24">
        <f t="shared" si="78"/>
        <v>0</v>
      </c>
      <c r="ED58" s="24">
        <f t="shared" si="78"/>
        <v>0</v>
      </c>
      <c r="EE58" s="24">
        <f t="shared" si="78"/>
        <v>0</v>
      </c>
      <c r="EF58" s="24">
        <f t="shared" si="78"/>
        <v>0</v>
      </c>
      <c r="EG58" s="24">
        <f t="shared" si="78"/>
        <v>0</v>
      </c>
      <c r="EH58" s="24">
        <f t="shared" si="78"/>
        <v>0</v>
      </c>
      <c r="EI58" s="24">
        <f t="shared" si="78"/>
        <v>0</v>
      </c>
      <c r="EM58" s="1" t="s">
        <v>178</v>
      </c>
    </row>
    <row r="59" spans="2:143" x14ac:dyDescent="0.45">
      <c r="D59" s="1" t="s">
        <v>33</v>
      </c>
      <c r="G59" s="24">
        <f>IF(AND(Assumptions!$G$34="Yes",Model!G4=Assumptions!$G$36),Assumptions!$L$37,0)</f>
        <v>0</v>
      </c>
      <c r="H59" s="24">
        <f>IF(AND(Assumptions!$G$34="Yes",Model!H4=Assumptions!$G$36),Assumptions!$L$37,0)</f>
        <v>0</v>
      </c>
      <c r="I59" s="24">
        <f>IF(AND(Assumptions!$G$34="Yes",Model!I4=Assumptions!$G$36),Assumptions!$L$37,0)</f>
        <v>0</v>
      </c>
      <c r="J59" s="24">
        <f>IF(AND(Assumptions!$G$34="Yes",Model!J4=Assumptions!$G$36),Assumptions!$L$37,0)</f>
        <v>0</v>
      </c>
      <c r="K59" s="24">
        <f>IF(AND(Assumptions!$G$34="Yes",Model!K4=Assumptions!$G$36),Assumptions!$L$37,0)</f>
        <v>0</v>
      </c>
      <c r="L59" s="24">
        <f>IF(AND(Assumptions!$G$34="Yes",Model!L4=Assumptions!$G$36),Assumptions!$L$37,0)</f>
        <v>0</v>
      </c>
      <c r="M59" s="24">
        <f>IF(AND(Assumptions!$G$34="Yes",Model!M4=Assumptions!$G$36),Assumptions!$L$37,0)</f>
        <v>0</v>
      </c>
      <c r="N59" s="24">
        <f>IF(AND(Assumptions!$G$34="Yes",Model!N4=Assumptions!$G$36),Assumptions!$L$37,0)</f>
        <v>0</v>
      </c>
      <c r="O59" s="24">
        <f>IF(AND(Assumptions!$G$34="Yes",Model!O4=Assumptions!$G$36),Assumptions!$L$37,0)</f>
        <v>0</v>
      </c>
      <c r="P59" s="24">
        <f>IF(AND(Assumptions!$G$34="Yes",Model!P4=Assumptions!$G$36),Assumptions!$L$37,0)</f>
        <v>0</v>
      </c>
      <c r="Q59" s="24">
        <f>IF(AND(Assumptions!$G$34="Yes",Model!Q4=Assumptions!$G$36),Assumptions!$L$37,0)</f>
        <v>0</v>
      </c>
      <c r="R59" s="24">
        <f>IF(AND(Assumptions!$G$34="Yes",Model!R4=Assumptions!$G$36),Assumptions!$L$37,0)</f>
        <v>0</v>
      </c>
      <c r="S59" s="24">
        <f>IF(AND(Assumptions!$G$34="Yes",Model!S4=Assumptions!$G$36),Assumptions!$L$37,0)</f>
        <v>0</v>
      </c>
      <c r="T59" s="24">
        <f>IF(AND(Assumptions!$G$34="Yes",Model!T4=Assumptions!$G$36),Assumptions!$L$37,0)</f>
        <v>0</v>
      </c>
      <c r="U59" s="24">
        <f>IF(AND(Assumptions!$G$34="Yes",Model!U4=Assumptions!$G$36),Assumptions!$L$37,0)</f>
        <v>0</v>
      </c>
      <c r="V59" s="24">
        <f>IF(AND(Assumptions!$G$34="Yes",Model!V4=Assumptions!$G$36),Assumptions!$L$37,0)</f>
        <v>0</v>
      </c>
      <c r="W59" s="24">
        <f>IF(AND(Assumptions!$G$34="Yes",Model!W4=Assumptions!$G$36),Assumptions!$L$37,0)</f>
        <v>0</v>
      </c>
      <c r="X59" s="24">
        <f>IF(AND(Assumptions!$G$34="Yes",Model!X4=Assumptions!$G$36),Assumptions!$L$37,0)</f>
        <v>0</v>
      </c>
      <c r="Y59" s="24">
        <f>IF(AND(Assumptions!$G$34="Yes",Model!Y4=Assumptions!$G$36),Assumptions!$L$37,0)</f>
        <v>0</v>
      </c>
      <c r="Z59" s="24">
        <f>IF(AND(Assumptions!$G$34="Yes",Model!Z4=Assumptions!$G$36),Assumptions!$L$37,0)</f>
        <v>0</v>
      </c>
      <c r="AA59" s="24">
        <f>IF(AND(Assumptions!$G$34="Yes",Model!AA4=Assumptions!$G$36),Assumptions!$L$37,0)</f>
        <v>0</v>
      </c>
      <c r="AB59" s="24">
        <f>IF(AND(Assumptions!$G$34="Yes",Model!AB4=Assumptions!$G$36),Assumptions!$L$37,0)</f>
        <v>0</v>
      </c>
      <c r="AC59" s="24">
        <f>IF(AND(Assumptions!$G$34="Yes",Model!AC4=Assumptions!$G$36),Assumptions!$L$37,0)</f>
        <v>0</v>
      </c>
      <c r="AD59" s="24">
        <f>IF(AND(Assumptions!$G$34="Yes",Model!AD4=Assumptions!$G$36),Assumptions!$L$37,0)</f>
        <v>0</v>
      </c>
      <c r="AE59" s="24">
        <f>IF(AND(Assumptions!$G$34="Yes",Model!AE4=Assumptions!$G$36),Assumptions!$L$37,0)</f>
        <v>0</v>
      </c>
      <c r="AF59" s="24">
        <f>IF(AND(Assumptions!$G$34="Yes",Model!AF4=Assumptions!$G$36),Assumptions!$L$37,0)</f>
        <v>0</v>
      </c>
      <c r="AG59" s="24">
        <f>IF(AND(Assumptions!$G$34="Yes",Model!AG4=Assumptions!$G$36),Assumptions!$L$37,0)</f>
        <v>0</v>
      </c>
      <c r="AH59" s="24">
        <f>IF(AND(Assumptions!$G$34="Yes",Model!AH4=Assumptions!$G$36),Assumptions!$L$37,0)</f>
        <v>0</v>
      </c>
      <c r="AI59" s="24">
        <f>IF(AND(Assumptions!$G$34="Yes",Model!AI4=Assumptions!$G$36),Assumptions!$L$37,0)</f>
        <v>0</v>
      </c>
      <c r="AJ59" s="24">
        <f>IF(AND(Assumptions!$G$34="Yes",Model!AJ4=Assumptions!$G$36),Assumptions!$L$37,0)</f>
        <v>0</v>
      </c>
      <c r="AK59" s="24">
        <f>IF(AND(Assumptions!$G$34="Yes",Model!AK4=Assumptions!$G$36),Assumptions!$L$37,0)</f>
        <v>0</v>
      </c>
      <c r="AL59" s="24">
        <f>IF(AND(Assumptions!$G$34="Yes",Model!AL4=Assumptions!$G$36),Assumptions!$L$37,0)</f>
        <v>0</v>
      </c>
      <c r="AM59" s="24">
        <f>IF(AND(Assumptions!$G$34="Yes",Model!AM4=Assumptions!$G$36),Assumptions!$L$37,0)</f>
        <v>0</v>
      </c>
      <c r="AN59" s="24">
        <f>IF(AND(Assumptions!$G$34="Yes",Model!AN4=Assumptions!$G$36),Assumptions!$L$37,0)</f>
        <v>0</v>
      </c>
      <c r="AO59" s="24">
        <f>IF(AND(Assumptions!$G$34="Yes",Model!AO4=Assumptions!$G$36),Assumptions!$L$37,0)</f>
        <v>0</v>
      </c>
      <c r="AP59" s="24">
        <f>IF(AND(Assumptions!$G$34="Yes",Model!AP4=Assumptions!$G$36),Assumptions!$L$37,0)</f>
        <v>0</v>
      </c>
      <c r="AQ59" s="24">
        <f>IF(AND(Assumptions!$G$34="Yes",Model!AQ4=Assumptions!$G$36),Assumptions!$L$37,0)</f>
        <v>17127872.151652358</v>
      </c>
      <c r="AR59" s="24">
        <f>IF(AND(Assumptions!$G$34="Yes",Model!AR4=Assumptions!$G$36),Assumptions!$L$37,0)</f>
        <v>0</v>
      </c>
      <c r="AS59" s="24">
        <f>IF(AND(Assumptions!$G$34="Yes",Model!AS4=Assumptions!$G$36),Assumptions!$L$37,0)</f>
        <v>0</v>
      </c>
      <c r="AT59" s="24">
        <f>IF(AND(Assumptions!$G$34="Yes",Model!AT4=Assumptions!$G$36),Assumptions!$L$37,0)</f>
        <v>0</v>
      </c>
      <c r="AU59" s="24">
        <f>IF(AND(Assumptions!$G$34="Yes",Model!AU4=Assumptions!$G$36),Assumptions!$L$37,0)</f>
        <v>0</v>
      </c>
      <c r="AV59" s="24">
        <f>IF(AND(Assumptions!$G$34="Yes",Model!AV4=Assumptions!$G$36),Assumptions!$L$37,0)</f>
        <v>0</v>
      </c>
      <c r="AW59" s="24">
        <f>IF(AND(Assumptions!$G$34="Yes",Model!AW4=Assumptions!$G$36),Assumptions!$L$37,0)</f>
        <v>0</v>
      </c>
      <c r="AX59" s="24">
        <f>IF(AND(Assumptions!$G$34="Yes",Model!AX4=Assumptions!$G$36),Assumptions!$L$37,0)</f>
        <v>0</v>
      </c>
      <c r="AY59" s="24">
        <f>IF(AND(Assumptions!$G$34="Yes",Model!AY4=Assumptions!$G$36),Assumptions!$L$37,0)</f>
        <v>0</v>
      </c>
      <c r="AZ59" s="24">
        <f>IF(AND(Assumptions!$G$34="Yes",Model!AZ4=Assumptions!$G$36),Assumptions!$L$37,0)</f>
        <v>0</v>
      </c>
      <c r="BA59" s="24">
        <f>IF(AND(Assumptions!$G$34="Yes",Model!BA4=Assumptions!$G$36),Assumptions!$L$37,0)</f>
        <v>0</v>
      </c>
      <c r="BB59" s="24">
        <f>IF(AND(Assumptions!$G$34="Yes",Model!BB4=Assumptions!$G$36),Assumptions!$L$37,0)</f>
        <v>0</v>
      </c>
      <c r="BC59" s="24">
        <f>IF(AND(Assumptions!$G$34="Yes",Model!BC4=Assumptions!$G$36),Assumptions!$L$37,0)</f>
        <v>0</v>
      </c>
      <c r="BD59" s="24">
        <f>IF(AND(Assumptions!$G$34="Yes",Model!BD4=Assumptions!$G$36),Assumptions!$L$37,0)</f>
        <v>0</v>
      </c>
      <c r="BE59" s="24">
        <f>IF(AND(Assumptions!$G$34="Yes",Model!BE4=Assumptions!$G$36),Assumptions!$L$37,0)</f>
        <v>0</v>
      </c>
      <c r="BF59" s="24">
        <f>IF(AND(Assumptions!$G$34="Yes",Model!BF4=Assumptions!$G$36),Assumptions!$L$37,0)</f>
        <v>0</v>
      </c>
      <c r="BG59" s="24">
        <f>IF(AND(Assumptions!$G$34="Yes",Model!BG4=Assumptions!$G$36),Assumptions!$L$37,0)</f>
        <v>0</v>
      </c>
      <c r="BH59" s="24">
        <f>IF(AND(Assumptions!$G$34="Yes",Model!BH4=Assumptions!$G$36),Assumptions!$L$37,0)</f>
        <v>0</v>
      </c>
      <c r="BI59" s="24">
        <f>IF(AND(Assumptions!$G$34="Yes",Model!BI4=Assumptions!$G$36),Assumptions!$L$37,0)</f>
        <v>0</v>
      </c>
      <c r="BJ59" s="24">
        <f>IF(AND(Assumptions!$G$34="Yes",Model!BJ4=Assumptions!$G$36),Assumptions!$L$37,0)</f>
        <v>0</v>
      </c>
      <c r="BK59" s="24">
        <f>IF(AND(Assumptions!$G$34="Yes",Model!BK4=Assumptions!$G$36),Assumptions!$L$37,0)</f>
        <v>0</v>
      </c>
      <c r="BL59" s="24">
        <f>IF(AND(Assumptions!$G$34="Yes",Model!BL4=Assumptions!$G$36),Assumptions!$L$37,0)</f>
        <v>0</v>
      </c>
      <c r="BM59" s="24">
        <f>IF(AND(Assumptions!$G$34="Yes",Model!BM4=Assumptions!$G$36),Assumptions!$L$37,0)</f>
        <v>0</v>
      </c>
      <c r="BN59" s="24">
        <f>IF(AND(Assumptions!$G$34="Yes",Model!BN4=Assumptions!$G$36),Assumptions!$L$37,0)</f>
        <v>0</v>
      </c>
      <c r="BO59" s="24">
        <f>IF(AND(Assumptions!$G$34="Yes",Model!BO4=Assumptions!$G$36),Assumptions!$L$37,0)</f>
        <v>0</v>
      </c>
      <c r="BP59" s="24">
        <f>IF(AND(Assumptions!$G$34="Yes",Model!BP4=Assumptions!$G$36),Assumptions!$L$37,0)</f>
        <v>0</v>
      </c>
      <c r="BQ59" s="24">
        <f>IF(AND(Assumptions!$G$34="Yes",Model!BQ4=Assumptions!$G$36),Assumptions!$L$37,0)</f>
        <v>0</v>
      </c>
      <c r="BR59" s="24">
        <f>IF(AND(Assumptions!$G$34="Yes",Model!BR4=Assumptions!$G$36),Assumptions!$L$37,0)</f>
        <v>0</v>
      </c>
      <c r="BS59" s="24">
        <f>IF(AND(Assumptions!$G$34="Yes",Model!BS4=Assumptions!$G$36),Assumptions!$L$37,0)</f>
        <v>0</v>
      </c>
      <c r="BT59" s="24">
        <f>IF(AND(Assumptions!$G$34="Yes",Model!BT4=Assumptions!$G$36),Assumptions!$L$37,0)</f>
        <v>0</v>
      </c>
      <c r="BU59" s="24">
        <f>IF(AND(Assumptions!$G$34="Yes",Model!BU4=Assumptions!$G$36),Assumptions!$L$37,0)</f>
        <v>0</v>
      </c>
      <c r="BV59" s="24">
        <f>IF(AND(Assumptions!$G$34="Yes",Model!BV4=Assumptions!$G$36),Assumptions!$L$37,0)</f>
        <v>0</v>
      </c>
      <c r="BW59" s="24">
        <f>IF(AND(Assumptions!$G$34="Yes",Model!BW4=Assumptions!$G$36),Assumptions!$L$37,0)</f>
        <v>0</v>
      </c>
      <c r="BX59" s="24">
        <f>IF(AND(Assumptions!$G$34="Yes",Model!BX4=Assumptions!$G$36),Assumptions!$L$37,0)</f>
        <v>0</v>
      </c>
      <c r="BY59" s="24">
        <f>IF(AND(Assumptions!$G$34="Yes",Model!BY4=Assumptions!$G$36),Assumptions!$L$37,0)</f>
        <v>0</v>
      </c>
      <c r="BZ59" s="24">
        <f>IF(AND(Assumptions!$G$34="Yes",Model!BZ4=Assumptions!$G$36),Assumptions!$L$37,0)</f>
        <v>0</v>
      </c>
      <c r="CA59" s="24">
        <f>IF(AND(Assumptions!$G$34="Yes",Model!CA4=Assumptions!$G$36),Assumptions!$L$37,0)</f>
        <v>0</v>
      </c>
      <c r="CB59" s="24">
        <f>IF(AND(Assumptions!$G$34="Yes",Model!CB4=Assumptions!$G$36),Assumptions!$L$37,0)</f>
        <v>0</v>
      </c>
      <c r="CC59" s="24">
        <f>IF(AND(Assumptions!$G$34="Yes",Model!CC4=Assumptions!$G$36),Assumptions!$L$37,0)</f>
        <v>0</v>
      </c>
      <c r="CD59" s="24">
        <f>IF(AND(Assumptions!$G$34="Yes",Model!CD4=Assumptions!$G$36),Assumptions!$L$37,0)</f>
        <v>0</v>
      </c>
      <c r="CE59" s="24">
        <f>IF(AND(Assumptions!$G$34="Yes",Model!CE4=Assumptions!$G$36),Assumptions!$L$37,0)</f>
        <v>0</v>
      </c>
      <c r="CF59" s="24">
        <f>IF(AND(Assumptions!$G$34="Yes",Model!CF4=Assumptions!$G$36),Assumptions!$L$37,0)</f>
        <v>0</v>
      </c>
      <c r="CG59" s="24">
        <f>IF(AND(Assumptions!$G$34="Yes",Model!CG4=Assumptions!$G$36),Assumptions!$L$37,0)</f>
        <v>0</v>
      </c>
      <c r="CH59" s="24">
        <f>IF(AND(Assumptions!$G$34="Yes",Model!CH4=Assumptions!$G$36),Assumptions!$L$37,0)</f>
        <v>0</v>
      </c>
      <c r="CI59" s="24">
        <f>IF(AND(Assumptions!$G$34="Yes",Model!CI4=Assumptions!$G$36),Assumptions!$L$37,0)</f>
        <v>0</v>
      </c>
      <c r="CJ59" s="24">
        <f>IF(AND(Assumptions!$G$34="Yes",Model!CJ4=Assumptions!$G$36),Assumptions!$L$37,0)</f>
        <v>0</v>
      </c>
      <c r="CK59" s="24">
        <f>IF(AND(Assumptions!$G$34="Yes",Model!CK4=Assumptions!$G$36),Assumptions!$L$37,0)</f>
        <v>0</v>
      </c>
      <c r="CL59" s="24">
        <f>IF(AND(Assumptions!$G$34="Yes",Model!CL4=Assumptions!$G$36),Assumptions!$L$37,0)</f>
        <v>0</v>
      </c>
      <c r="CM59" s="24">
        <f>IF(AND(Assumptions!$G$34="Yes",Model!CM4=Assumptions!$G$36),Assumptions!$L$37,0)</f>
        <v>0</v>
      </c>
      <c r="CN59" s="24">
        <f>IF(AND(Assumptions!$G$34="Yes",Model!CN4=Assumptions!$G$36),Assumptions!$L$37,0)</f>
        <v>0</v>
      </c>
      <c r="CO59" s="24">
        <f>IF(AND(Assumptions!$G$34="Yes",Model!CO4=Assumptions!$G$36),Assumptions!$L$37,0)</f>
        <v>0</v>
      </c>
      <c r="CP59" s="24">
        <f>IF(AND(Assumptions!$G$34="Yes",Model!CP4=Assumptions!$G$36),Assumptions!$L$37,0)</f>
        <v>0</v>
      </c>
      <c r="CQ59" s="24">
        <f>IF(AND(Assumptions!$G$34="Yes",Model!CQ4=Assumptions!$G$36),Assumptions!$L$37,0)</f>
        <v>0</v>
      </c>
      <c r="CR59" s="24">
        <f>IF(AND(Assumptions!$G$34="Yes",Model!CR4=Assumptions!$G$36),Assumptions!$L$37,0)</f>
        <v>0</v>
      </c>
      <c r="CS59" s="24">
        <f>IF(AND(Assumptions!$G$34="Yes",Model!CS4=Assumptions!$G$36),Assumptions!$L$37,0)</f>
        <v>0</v>
      </c>
      <c r="CT59" s="24">
        <f>IF(AND(Assumptions!$G$34="Yes",Model!CT4=Assumptions!$G$36),Assumptions!$L$37,0)</f>
        <v>0</v>
      </c>
      <c r="CU59" s="24">
        <f>IF(AND(Assumptions!$G$34="Yes",Model!CU4=Assumptions!$G$36),Assumptions!$L$37,0)</f>
        <v>0</v>
      </c>
      <c r="CV59" s="24">
        <f>IF(AND(Assumptions!$G$34="Yes",Model!CV4=Assumptions!$G$36),Assumptions!$L$37,0)</f>
        <v>0</v>
      </c>
      <c r="CW59" s="24">
        <f>IF(AND(Assumptions!$G$34="Yes",Model!CW4=Assumptions!$G$36),Assumptions!$L$37,0)</f>
        <v>0</v>
      </c>
      <c r="CX59" s="24">
        <f>IF(AND(Assumptions!$G$34="Yes",Model!CX4=Assumptions!$G$36),Assumptions!$L$37,0)</f>
        <v>0</v>
      </c>
      <c r="CY59" s="24">
        <f>IF(AND(Assumptions!$G$34="Yes",Model!CY4=Assumptions!$G$36),Assumptions!$L$37,0)</f>
        <v>0</v>
      </c>
      <c r="CZ59" s="24">
        <f>IF(AND(Assumptions!$G$34="Yes",Model!CZ4=Assumptions!$G$36),Assumptions!$L$37,0)</f>
        <v>0</v>
      </c>
      <c r="DA59" s="24">
        <f>IF(AND(Assumptions!$G$34="Yes",Model!DA4=Assumptions!$G$36),Assumptions!$L$37,0)</f>
        <v>0</v>
      </c>
      <c r="DB59" s="24">
        <f>IF(AND(Assumptions!$G$34="Yes",Model!DB4=Assumptions!$G$36),Assumptions!$L$37,0)</f>
        <v>0</v>
      </c>
      <c r="DC59" s="24">
        <f>IF(AND(Assumptions!$G$34="Yes",Model!DC4=Assumptions!$G$36),Assumptions!$L$37,0)</f>
        <v>0</v>
      </c>
      <c r="DD59" s="24">
        <f>IF(AND(Assumptions!$G$34="Yes",Model!DD4=Assumptions!$G$36),Assumptions!$L$37,0)</f>
        <v>0</v>
      </c>
      <c r="DE59" s="24">
        <f>IF(AND(Assumptions!$G$34="Yes",Model!DE4=Assumptions!$G$36),Assumptions!$L$37,0)</f>
        <v>0</v>
      </c>
      <c r="DF59" s="24">
        <f>IF(AND(Assumptions!$G$34="Yes",Model!DF4=Assumptions!$G$36),Assumptions!$L$37,0)</f>
        <v>0</v>
      </c>
      <c r="DG59" s="24">
        <f>IF(AND(Assumptions!$G$34="Yes",Model!DG4=Assumptions!$G$36),Assumptions!$L$37,0)</f>
        <v>0</v>
      </c>
      <c r="DH59" s="24">
        <f>IF(AND(Assumptions!$G$34="Yes",Model!DH4=Assumptions!$G$36),Assumptions!$L$37,0)</f>
        <v>0</v>
      </c>
      <c r="DI59" s="24">
        <f>IF(AND(Assumptions!$G$34="Yes",Model!DI4=Assumptions!$G$36),Assumptions!$L$37,0)</f>
        <v>0</v>
      </c>
      <c r="DJ59" s="24">
        <f>IF(AND(Assumptions!$G$34="Yes",Model!DJ4=Assumptions!$G$36),Assumptions!$L$37,0)</f>
        <v>0</v>
      </c>
      <c r="DK59" s="24">
        <f>IF(AND(Assumptions!$G$34="Yes",Model!DK4=Assumptions!$G$36),Assumptions!$L$37,0)</f>
        <v>0</v>
      </c>
      <c r="DL59" s="24">
        <f>IF(AND(Assumptions!$G$34="Yes",Model!DL4=Assumptions!$G$36),Assumptions!$L$37,0)</f>
        <v>0</v>
      </c>
      <c r="DM59" s="24">
        <f>IF(AND(Assumptions!$G$34="Yes",Model!DM4=Assumptions!$G$36),Assumptions!$L$37,0)</f>
        <v>0</v>
      </c>
      <c r="DN59" s="24">
        <f>IF(AND(Assumptions!$G$34="Yes",Model!DN4=Assumptions!$G$36),Assumptions!$L$37,0)</f>
        <v>0</v>
      </c>
      <c r="DO59" s="24">
        <f>IF(AND(Assumptions!$G$34="Yes",Model!DO4=Assumptions!$G$36),Assumptions!$L$37,0)</f>
        <v>0</v>
      </c>
      <c r="DP59" s="24">
        <f>IF(AND(Assumptions!$G$34="Yes",Model!DP4=Assumptions!$G$36),Assumptions!$L$37,0)</f>
        <v>0</v>
      </c>
      <c r="DQ59" s="24">
        <f>IF(AND(Assumptions!$G$34="Yes",Model!DQ4=Assumptions!$G$36),Assumptions!$L$37,0)</f>
        <v>0</v>
      </c>
      <c r="DR59" s="24">
        <f>IF(AND(Assumptions!$G$34="Yes",Model!DR4=Assumptions!$G$36),Assumptions!$L$37,0)</f>
        <v>0</v>
      </c>
      <c r="DS59" s="24">
        <f>IF(AND(Assumptions!$G$34="Yes",Model!DS4=Assumptions!$G$36),Assumptions!$L$37,0)</f>
        <v>0</v>
      </c>
      <c r="DT59" s="24">
        <f>IF(AND(Assumptions!$G$34="Yes",Model!DT4=Assumptions!$G$36),Assumptions!$L$37,0)</f>
        <v>0</v>
      </c>
      <c r="DU59" s="24">
        <f>IF(AND(Assumptions!$G$34="Yes",Model!DU4=Assumptions!$G$36),Assumptions!$L$37,0)</f>
        <v>0</v>
      </c>
      <c r="DV59" s="24">
        <f>IF(AND(Assumptions!$G$34="Yes",Model!DV4=Assumptions!$G$36),Assumptions!$L$37,0)</f>
        <v>0</v>
      </c>
      <c r="DW59" s="24">
        <f>IF(AND(Assumptions!$G$34="Yes",Model!DW4=Assumptions!$G$36),Assumptions!$L$37,0)</f>
        <v>0</v>
      </c>
      <c r="DX59" s="24">
        <f>IF(AND(Assumptions!$G$34="Yes",Model!DX4=Assumptions!$G$36),Assumptions!$L$37,0)</f>
        <v>0</v>
      </c>
      <c r="DY59" s="24">
        <f>IF(AND(Assumptions!$G$34="Yes",Model!DY4=Assumptions!$G$36),Assumptions!$L$37,0)</f>
        <v>0</v>
      </c>
      <c r="DZ59" s="24">
        <f>IF(AND(Assumptions!$G$34="Yes",Model!DZ4=Assumptions!$G$36),Assumptions!$L$37,0)</f>
        <v>0</v>
      </c>
      <c r="EA59" s="24">
        <f>IF(AND(Assumptions!$G$34="Yes",Model!EA4=Assumptions!$G$36),Assumptions!$L$37,0)</f>
        <v>0</v>
      </c>
      <c r="EB59" s="24">
        <f>IF(AND(Assumptions!$G$34="Yes",Model!EB4=Assumptions!$G$36),Assumptions!$L$37,0)</f>
        <v>0</v>
      </c>
      <c r="EC59" s="24">
        <f>IF(AND(Assumptions!$G$34="Yes",Model!EC4=Assumptions!$G$36),Assumptions!$L$37,0)</f>
        <v>0</v>
      </c>
      <c r="ED59" s="24">
        <f>IF(AND(Assumptions!$G$34="Yes",Model!ED4=Assumptions!$G$36),Assumptions!$L$37,0)</f>
        <v>0</v>
      </c>
      <c r="EE59" s="24">
        <f>IF(AND(Assumptions!$G$34="Yes",Model!EE4=Assumptions!$G$36),Assumptions!$L$37,0)</f>
        <v>0</v>
      </c>
      <c r="EF59" s="24">
        <f>IF(AND(Assumptions!$G$34="Yes",Model!EF4=Assumptions!$G$36),Assumptions!$L$37,0)</f>
        <v>0</v>
      </c>
      <c r="EG59" s="24">
        <f>IF(AND(Assumptions!$G$34="Yes",Model!EG4=Assumptions!$G$36),Assumptions!$L$37,0)</f>
        <v>0</v>
      </c>
      <c r="EH59" s="24">
        <f>IF(AND(Assumptions!$G$34="Yes",Model!EH4=Assumptions!$G$36),Assumptions!$L$37,0)</f>
        <v>0</v>
      </c>
      <c r="EI59" s="24">
        <f>IF(AND(Assumptions!$G$34="Yes",Model!EI4=Assumptions!$G$36),Assumptions!$L$37,0)</f>
        <v>0</v>
      </c>
      <c r="EM59" s="1" t="s">
        <v>178</v>
      </c>
    </row>
    <row r="60" spans="2:143" x14ac:dyDescent="0.45">
      <c r="D60" s="1" t="s">
        <v>258</v>
      </c>
      <c r="G60" s="24">
        <f>+IFERROR(INDEX('Debt Schedule'!$P$12:$P$108,MATCH(Model!G4,'Debt Schedule'!$M$12:$M$108,0)),0)</f>
        <v>0</v>
      </c>
      <c r="H60" s="24">
        <f>+IFERROR(INDEX('Debt Schedule'!$P$12:$P$108,MATCH(Model!H4,'Debt Schedule'!$M$12:$M$108,0)),0)</f>
        <v>0</v>
      </c>
      <c r="I60" s="24">
        <f>+IFERROR(INDEX('Debt Schedule'!$P$12:$P$108,MATCH(Model!I4,'Debt Schedule'!$M$12:$M$108,0)),0)</f>
        <v>0</v>
      </c>
      <c r="J60" s="24">
        <f>+IFERROR(INDEX('Debt Schedule'!$P$12:$P$108,MATCH(Model!J4,'Debt Schedule'!$M$12:$M$108,0)),0)</f>
        <v>0</v>
      </c>
      <c r="K60" s="24">
        <f>+IFERROR(INDEX('Debt Schedule'!$P$12:$P$108,MATCH(Model!K4,'Debt Schedule'!$M$12:$M$108,0)),0)</f>
        <v>0</v>
      </c>
      <c r="L60" s="24">
        <f>+IFERROR(INDEX('Debt Schedule'!$P$12:$P$108,MATCH(Model!L4,'Debt Schedule'!$M$12:$M$108,0)),0)</f>
        <v>0</v>
      </c>
      <c r="M60" s="24">
        <f>+IFERROR(INDEX('Debt Schedule'!$P$12:$P$108,MATCH(Model!M4,'Debt Schedule'!$M$12:$M$108,0)),0)</f>
        <v>0</v>
      </c>
      <c r="N60" s="24">
        <f>+IFERROR(INDEX('Debt Schedule'!$P$12:$P$108,MATCH(Model!N4,'Debt Schedule'!$M$12:$M$108,0)),0)</f>
        <v>0</v>
      </c>
      <c r="O60" s="24">
        <f>+IFERROR(INDEX('Debt Schedule'!$P$12:$P$108,MATCH(Model!O4,'Debt Schedule'!$M$12:$M$108,0)),0)</f>
        <v>0</v>
      </c>
      <c r="P60" s="24">
        <f>+IFERROR(INDEX('Debt Schedule'!$P$12:$P$108,MATCH(Model!P4,'Debt Schedule'!$M$12:$M$108,0)),0)</f>
        <v>0</v>
      </c>
      <c r="Q60" s="24">
        <f>+IFERROR(INDEX('Debt Schedule'!$P$12:$P$108,MATCH(Model!Q4,'Debt Schedule'!$M$12:$M$108,0)),0)</f>
        <v>0</v>
      </c>
      <c r="R60" s="24">
        <f>+IFERROR(INDEX('Debt Schedule'!$P$12:$P$108,MATCH(Model!R4,'Debt Schedule'!$M$12:$M$108,0)),0)</f>
        <v>0</v>
      </c>
      <c r="S60" s="24">
        <f>+IFERROR(INDEX('Debt Schedule'!$P$12:$P$108,MATCH(Model!S4,'Debt Schedule'!$M$12:$M$108,0)),0)</f>
        <v>0</v>
      </c>
      <c r="T60" s="24">
        <f>+IFERROR(INDEX('Debt Schedule'!$P$12:$P$108,MATCH(Model!T4,'Debt Schedule'!$M$12:$M$108,0)),0)</f>
        <v>0</v>
      </c>
      <c r="U60" s="24">
        <f>+IFERROR(INDEX('Debt Schedule'!$P$12:$P$108,MATCH(Model!U4,'Debt Schedule'!$M$12:$M$108,0)),0)</f>
        <v>0</v>
      </c>
      <c r="V60" s="24">
        <f>+IFERROR(INDEX('Debt Schedule'!$P$12:$P$108,MATCH(Model!V4,'Debt Schedule'!$M$12:$M$108,0)),0)</f>
        <v>0</v>
      </c>
      <c r="W60" s="24">
        <f>+IFERROR(INDEX('Debt Schedule'!$P$12:$P$108,MATCH(Model!W4,'Debt Schedule'!$M$12:$M$108,0)),0)</f>
        <v>0</v>
      </c>
      <c r="X60" s="24">
        <f>+IFERROR(INDEX('Debt Schedule'!$P$12:$P$108,MATCH(Model!X4,'Debt Schedule'!$M$12:$M$108,0)),0)</f>
        <v>0</v>
      </c>
      <c r="Y60" s="24">
        <f>+IFERROR(INDEX('Debt Schedule'!$P$12:$P$108,MATCH(Model!Y4,'Debt Schedule'!$M$12:$M$108,0)),0)</f>
        <v>0</v>
      </c>
      <c r="Z60" s="24">
        <f>+IFERROR(INDEX('Debt Schedule'!$P$12:$P$108,MATCH(Model!Z4,'Debt Schedule'!$M$12:$M$108,0)),0)</f>
        <v>0</v>
      </c>
      <c r="AA60" s="24">
        <f>+IFERROR(INDEX('Debt Schedule'!$P$12:$P$108,MATCH(Model!AA4,'Debt Schedule'!$M$12:$M$108,0)),0)</f>
        <v>0</v>
      </c>
      <c r="AB60" s="24">
        <f>+IFERROR(INDEX('Debt Schedule'!$P$12:$P$108,MATCH(Model!AB4,'Debt Schedule'!$M$12:$M$108,0)),0)</f>
        <v>0</v>
      </c>
      <c r="AC60" s="24">
        <f>+IFERROR(INDEX('Debt Schedule'!$P$12:$P$108,MATCH(Model!AC4,'Debt Schedule'!$M$12:$M$108,0)),0)</f>
        <v>0</v>
      </c>
      <c r="AD60" s="24">
        <f>+IFERROR(INDEX('Debt Schedule'!$P$12:$P$108,MATCH(Model!AD4,'Debt Schedule'!$M$12:$M$108,0)),0)</f>
        <v>0</v>
      </c>
      <c r="AE60" s="24">
        <f>+IFERROR(INDEX('Debt Schedule'!$P$12:$P$108,MATCH(Model!AE4,'Debt Schedule'!$M$12:$M$108,0)),0)</f>
        <v>0</v>
      </c>
      <c r="AF60" s="24">
        <f>+IFERROR(INDEX('Debt Schedule'!$P$12:$P$108,MATCH(Model!AF4,'Debt Schedule'!$M$12:$M$108,0)),0)</f>
        <v>0</v>
      </c>
      <c r="AG60" s="24">
        <f>+IFERROR(INDEX('Debt Schedule'!$P$12:$P$108,MATCH(Model!AG4,'Debt Schedule'!$M$12:$M$108,0)),0)</f>
        <v>0</v>
      </c>
      <c r="AH60" s="24">
        <f>+IFERROR(INDEX('Debt Schedule'!$P$12:$P$108,MATCH(Model!AH4,'Debt Schedule'!$M$12:$M$108,0)),0)</f>
        <v>0</v>
      </c>
      <c r="AI60" s="24">
        <f>+IFERROR(INDEX('Debt Schedule'!$P$12:$P$108,MATCH(Model!AI4,'Debt Schedule'!$M$12:$M$108,0)),0)</f>
        <v>0</v>
      </c>
      <c r="AJ60" s="24">
        <f>+IFERROR(INDEX('Debt Schedule'!$P$12:$P$108,MATCH(Model!AJ4,'Debt Schedule'!$M$12:$M$108,0)),0)</f>
        <v>0</v>
      </c>
      <c r="AK60" s="24">
        <f>+IFERROR(INDEX('Debt Schedule'!$P$12:$P$108,MATCH(Model!AK4,'Debt Schedule'!$M$12:$M$108,0)),0)</f>
        <v>0</v>
      </c>
      <c r="AL60" s="24">
        <f>+IFERROR(INDEX('Debt Schedule'!$P$12:$P$108,MATCH(Model!AL4,'Debt Schedule'!$M$12:$M$108,0)),0)</f>
        <v>0</v>
      </c>
      <c r="AM60" s="24">
        <f>+IFERROR(INDEX('Debt Schedule'!$P$12:$P$108,MATCH(Model!AM4,'Debt Schedule'!$M$12:$M$108,0)),0)</f>
        <v>0</v>
      </c>
      <c r="AN60" s="24">
        <f>+IFERROR(INDEX('Debt Schedule'!$P$12:$P$108,MATCH(Model!AN4,'Debt Schedule'!$M$12:$M$108,0)),0)</f>
        <v>0</v>
      </c>
      <c r="AO60" s="24">
        <f>+IFERROR(INDEX('Debt Schedule'!$P$12:$P$108,MATCH(Model!AO4,'Debt Schedule'!$M$12:$M$108,0)),0)</f>
        <v>0</v>
      </c>
      <c r="AP60" s="24">
        <f>+IFERROR(INDEX('Debt Schedule'!$P$12:$P$108,MATCH(Model!AP4,'Debt Schedule'!$M$12:$M$108,0)),0)</f>
        <v>0</v>
      </c>
      <c r="AQ60" s="24">
        <f>+IFERROR(INDEX('Debt Schedule'!$P$12:$P$108,MATCH(Model!AQ4,'Debt Schedule'!$M$12:$M$108,0)),0)</f>
        <v>0</v>
      </c>
      <c r="AR60" s="24">
        <f>+IFERROR(INDEX('Debt Schedule'!$P$12:$P$108,MATCH(Model!AR4,'Debt Schedule'!$M$12:$M$108,0)),0)</f>
        <v>-18030.842169734788</v>
      </c>
      <c r="AS60" s="24">
        <f>+IFERROR(INDEX('Debt Schedule'!$P$12:$P$108,MATCH(Model!AS4,'Debt Schedule'!$M$12:$M$108,0)),0)</f>
        <v>-18116.585435560672</v>
      </c>
      <c r="AT60" s="24">
        <f>+IFERROR(INDEX('Debt Schedule'!$P$12:$P$108,MATCH(Model!AT4,'Debt Schedule'!$M$12:$M$108,0)),0)</f>
        <v>-18202.736442054753</v>
      </c>
      <c r="AU60" s="24">
        <f>+IFERROR(INDEX('Debt Schedule'!$P$12:$P$108,MATCH(Model!AU4,'Debt Schedule'!$M$12:$M$108,0)),0)</f>
        <v>-18289.297128173421</v>
      </c>
      <c r="AV60" s="24">
        <f>+IFERROR(INDEX('Debt Schedule'!$P$12:$P$108,MATCH(Model!AV4,'Debt Schedule'!$M$12:$M$108,0)),0)</f>
        <v>-18376.269442093497</v>
      </c>
      <c r="AW60" s="24">
        <f>+IFERROR(INDEX('Debt Schedule'!$P$12:$P$108,MATCH(Model!AW4,'Debt Schedule'!$M$12:$M$108,0)),0)</f>
        <v>-18463.655341256115</v>
      </c>
      <c r="AX60" s="24">
        <f>+IFERROR(INDEX('Debt Schedule'!$P$12:$P$108,MATCH(Model!AX4,'Debt Schedule'!$M$12:$M$108,0)),0)</f>
        <v>-18551.456792410747</v>
      </c>
      <c r="AY60" s="24">
        <f>+IFERROR(INDEX('Debt Schedule'!$P$12:$P$108,MATCH(Model!AY4,'Debt Schedule'!$M$12:$M$108,0)),0)</f>
        <v>-18639.675771659484</v>
      </c>
      <c r="AZ60" s="24">
        <f>+IFERROR(INDEX('Debt Schedule'!$P$12:$P$108,MATCH(Model!AZ4,'Debt Schedule'!$M$12:$M$108,0)),0)</f>
        <v>-18728.314264501507</v>
      </c>
      <c r="BA60" s="24">
        <f>+IFERROR(INDEX('Debt Schedule'!$P$12:$P$108,MATCH(Model!BA4,'Debt Schedule'!$M$12:$M$108,0)),0)</f>
        <v>-18817.374265877774</v>
      </c>
      <c r="BB60" s="24">
        <f>+IFERROR(INDEX('Debt Schedule'!$P$12:$P$108,MATCH(Model!BB4,'Debt Schedule'!$M$12:$M$108,0)),0)</f>
        <v>-18906.857780215927</v>
      </c>
      <c r="BC60" s="24">
        <f>+IFERROR(INDEX('Debt Schedule'!$P$12:$P$108,MATCH(Model!BC4,'Debt Schedule'!$M$12:$M$108,0)),0)</f>
        <v>-18996.766821475368</v>
      </c>
      <c r="BD60" s="24">
        <f>+IFERROR(INDEX('Debt Schedule'!$P$12:$P$108,MATCH(Model!BD4,'Debt Schedule'!$M$12:$M$108,0)),0)</f>
        <v>-19087.103413192654</v>
      </c>
      <c r="BE60" s="24">
        <f>+IFERROR(INDEX('Debt Schedule'!$P$12:$P$108,MATCH(Model!BE4,'Debt Schedule'!$M$12:$M$108,0)),0)</f>
        <v>-19177.869588526966</v>
      </c>
      <c r="BF60" s="24">
        <f>+IFERROR(INDEX('Debt Schedule'!$P$12:$P$108,MATCH(Model!BF4,'Debt Schedule'!$M$12:$M$108,0)),0)</f>
        <v>-19269.067390305929</v>
      </c>
      <c r="BG60" s="24">
        <f>+IFERROR(INDEX('Debt Schedule'!$P$12:$P$108,MATCH(Model!BG4,'Debt Schedule'!$M$12:$M$108,0)),0)</f>
        <v>-19360.698871071545</v>
      </c>
      <c r="BH60" s="24">
        <f>+IFERROR(INDEX('Debt Schedule'!$P$12:$P$108,MATCH(Model!BH4,'Debt Schedule'!$M$12:$M$108,0)),0)</f>
        <v>-19452.766093126411</v>
      </c>
      <c r="BI60" s="24">
        <f>+IFERROR(INDEX('Debt Schedule'!$P$12:$P$108,MATCH(Model!BI4,'Debt Schedule'!$M$12:$M$108,0)),0)</f>
        <v>-19545.271128580123</v>
      </c>
      <c r="BJ60" s="24">
        <f>+IFERROR(INDEX('Debt Schedule'!$P$12:$P$108,MATCH(Model!BJ4,'Debt Schedule'!$M$12:$M$108,0)),0)</f>
        <v>-19638.216059395934</v>
      </c>
      <c r="BK60" s="24">
        <f>+IFERROR(INDEX('Debt Schedule'!$P$12:$P$108,MATCH(Model!BK4,'Debt Schedule'!$M$12:$M$108,0)),0)</f>
        <v>-19731.602977437586</v>
      </c>
      <c r="BL60" s="24">
        <f>+IFERROR(INDEX('Debt Schedule'!$P$12:$P$108,MATCH(Model!BL4,'Debt Schedule'!$M$12:$M$108,0)),0)</f>
        <v>-19825.433984516396</v>
      </c>
      <c r="BM60" s="24">
        <f>+IFERROR(INDEX('Debt Schedule'!$P$12:$P$108,MATCH(Model!BM4,'Debt Schedule'!$M$12:$M$108,0)),0)</f>
        <v>-19919.711192438564</v>
      </c>
      <c r="BN60" s="24">
        <f>+IFERROR(INDEX('Debt Schedule'!$P$12:$P$108,MATCH(Model!BN4,'Debt Schedule'!$M$12:$M$108,0)),0)</f>
        <v>-20014.436723052713</v>
      </c>
      <c r="BO60" s="24">
        <f>+IFERROR(INDEX('Debt Schedule'!$P$12:$P$108,MATCH(Model!BO4,'Debt Schedule'!$M$12:$M$108,0)),0)</f>
        <v>-20109.612708297627</v>
      </c>
      <c r="BP60" s="24">
        <f>+IFERROR(INDEX('Debt Schedule'!$P$12:$P$108,MATCH(Model!BP4,'Debt Schedule'!$M$12:$M$108,0)),0)</f>
        <v>0</v>
      </c>
      <c r="BQ60" s="24">
        <f>+IFERROR(INDEX('Debt Schedule'!$P$12:$P$108,MATCH(Model!BQ4,'Debt Schedule'!$M$12:$M$108,0)),0)</f>
        <v>0</v>
      </c>
      <c r="BR60" s="24">
        <f>+IFERROR(INDEX('Debt Schedule'!$P$12:$P$108,MATCH(Model!BR4,'Debt Schedule'!$M$12:$M$108,0)),0)</f>
        <v>0</v>
      </c>
      <c r="BS60" s="24">
        <f>+IFERROR(INDEX('Debt Schedule'!$P$12:$P$108,MATCH(Model!BS4,'Debt Schedule'!$M$12:$M$108,0)),0)</f>
        <v>0</v>
      </c>
      <c r="BT60" s="24">
        <f>+IFERROR(INDEX('Debt Schedule'!$P$12:$P$108,MATCH(Model!BT4,'Debt Schedule'!$M$12:$M$108,0)),0)</f>
        <v>0</v>
      </c>
      <c r="BU60" s="24">
        <f>+IFERROR(INDEX('Debt Schedule'!$P$12:$P$108,MATCH(Model!BU4,'Debt Schedule'!$M$12:$M$108,0)),0)</f>
        <v>0</v>
      </c>
      <c r="BV60" s="24">
        <f>+IFERROR(INDEX('Debt Schedule'!$P$12:$P$108,MATCH(Model!BV4,'Debt Schedule'!$M$12:$M$108,0)),0)</f>
        <v>0</v>
      </c>
      <c r="BW60" s="24">
        <f>+IFERROR(INDEX('Debt Schedule'!$P$12:$P$108,MATCH(Model!BW4,'Debt Schedule'!$M$12:$M$108,0)),0)</f>
        <v>0</v>
      </c>
      <c r="BX60" s="24">
        <f>+IFERROR(INDEX('Debt Schedule'!$P$12:$P$108,MATCH(Model!BX4,'Debt Schedule'!$M$12:$M$108,0)),0)</f>
        <v>0</v>
      </c>
      <c r="BY60" s="24">
        <f>+IFERROR(INDEX('Debt Schedule'!$P$12:$P$108,MATCH(Model!BY4,'Debt Schedule'!$M$12:$M$108,0)),0)</f>
        <v>0</v>
      </c>
      <c r="BZ60" s="24">
        <f>+IFERROR(INDEX('Debt Schedule'!$P$12:$P$108,MATCH(Model!BZ4,'Debt Schedule'!$M$12:$M$108,0)),0)</f>
        <v>0</v>
      </c>
      <c r="CA60" s="24">
        <f>+IFERROR(INDEX('Debt Schedule'!$P$12:$P$108,MATCH(Model!CA4,'Debt Schedule'!$M$12:$M$108,0)),0)</f>
        <v>0</v>
      </c>
      <c r="CB60" s="24">
        <f>+IFERROR(INDEX('Debt Schedule'!$P$12:$P$108,MATCH(Model!CB4,'Debt Schedule'!$M$12:$M$108,0)),0)</f>
        <v>0</v>
      </c>
      <c r="CC60" s="24">
        <f>+IFERROR(INDEX('Debt Schedule'!$P$12:$P$108,MATCH(Model!CC4,'Debt Schedule'!$M$12:$M$108,0)),0)</f>
        <v>0</v>
      </c>
      <c r="CD60" s="24">
        <f>+IFERROR(INDEX('Debt Schedule'!$P$12:$P$108,MATCH(Model!CD4,'Debt Schedule'!$M$12:$M$108,0)),0)</f>
        <v>0</v>
      </c>
      <c r="CE60" s="24">
        <f>+IFERROR(INDEX('Debt Schedule'!$P$12:$P$108,MATCH(Model!CE4,'Debt Schedule'!$M$12:$M$108,0)),0)</f>
        <v>0</v>
      </c>
      <c r="CF60" s="24">
        <f>+IFERROR(INDEX('Debt Schedule'!$P$12:$P$108,MATCH(Model!CF4,'Debt Schedule'!$M$12:$M$108,0)),0)</f>
        <v>0</v>
      </c>
      <c r="CG60" s="24">
        <f>+IFERROR(INDEX('Debt Schedule'!$P$12:$P$108,MATCH(Model!CG4,'Debt Schedule'!$M$12:$M$108,0)),0)</f>
        <v>0</v>
      </c>
      <c r="CH60" s="24">
        <f>+IFERROR(INDEX('Debt Schedule'!$P$12:$P$108,MATCH(Model!CH4,'Debt Schedule'!$M$12:$M$108,0)),0)</f>
        <v>0</v>
      </c>
      <c r="CI60" s="24">
        <f>+IFERROR(INDEX('Debt Schedule'!$P$12:$P$108,MATCH(Model!CI4,'Debt Schedule'!$M$12:$M$108,0)),0)</f>
        <v>0</v>
      </c>
      <c r="CJ60" s="24">
        <f>+IFERROR(INDEX('Debt Schedule'!$P$12:$P$108,MATCH(Model!CJ4,'Debt Schedule'!$M$12:$M$108,0)),0)</f>
        <v>0</v>
      </c>
      <c r="CK60" s="24">
        <f>+IFERROR(INDEX('Debt Schedule'!$P$12:$P$108,MATCH(Model!CK4,'Debt Schedule'!$M$12:$M$108,0)),0)</f>
        <v>0</v>
      </c>
      <c r="CL60" s="24">
        <f>+IFERROR(INDEX('Debt Schedule'!$P$12:$P$108,MATCH(Model!CL4,'Debt Schedule'!$M$12:$M$108,0)),0)</f>
        <v>0</v>
      </c>
      <c r="CM60" s="24">
        <f>+IFERROR(INDEX('Debt Schedule'!$P$12:$P$108,MATCH(Model!CM4,'Debt Schedule'!$M$12:$M$108,0)),0)</f>
        <v>0</v>
      </c>
      <c r="CN60" s="24">
        <f>+IFERROR(INDEX('Debt Schedule'!$P$12:$P$108,MATCH(Model!CN4,'Debt Schedule'!$M$12:$M$108,0)),0)</f>
        <v>0</v>
      </c>
      <c r="CO60" s="24">
        <f>+IFERROR(INDEX('Debt Schedule'!$P$12:$P$108,MATCH(Model!CO4,'Debt Schedule'!$M$12:$M$108,0)),0)</f>
        <v>0</v>
      </c>
      <c r="CP60" s="24">
        <f>+IFERROR(INDEX('Debt Schedule'!$P$12:$P$108,MATCH(Model!CP4,'Debt Schedule'!$M$12:$M$108,0)),0)</f>
        <v>0</v>
      </c>
      <c r="CQ60" s="24">
        <f>+IFERROR(INDEX('Debt Schedule'!$P$12:$P$108,MATCH(Model!CQ4,'Debt Schedule'!$M$12:$M$108,0)),0)</f>
        <v>0</v>
      </c>
      <c r="CR60" s="24">
        <f>+IFERROR(INDEX('Debt Schedule'!$P$12:$P$108,MATCH(Model!CR4,'Debt Schedule'!$M$12:$M$108,0)),0)</f>
        <v>0</v>
      </c>
      <c r="CS60" s="24">
        <f>+IFERROR(INDEX('Debt Schedule'!$P$12:$P$108,MATCH(Model!CS4,'Debt Schedule'!$M$12:$M$108,0)),0)</f>
        <v>0</v>
      </c>
      <c r="CT60" s="24">
        <f>+IFERROR(INDEX('Debt Schedule'!$P$12:$P$108,MATCH(Model!CT4,'Debt Schedule'!$M$12:$M$108,0)),0)</f>
        <v>0</v>
      </c>
      <c r="CU60" s="24">
        <f>+IFERROR(INDEX('Debt Schedule'!$P$12:$P$108,MATCH(Model!CU4,'Debt Schedule'!$M$12:$M$108,0)),0)</f>
        <v>0</v>
      </c>
      <c r="CV60" s="24">
        <f>+IFERROR(INDEX('Debt Schedule'!$P$12:$P$108,MATCH(Model!CV4,'Debt Schedule'!$M$12:$M$108,0)),0)</f>
        <v>0</v>
      </c>
      <c r="CW60" s="24">
        <f>+IFERROR(INDEX('Debt Schedule'!$P$12:$P$108,MATCH(Model!CW4,'Debt Schedule'!$M$12:$M$108,0)),0)</f>
        <v>0</v>
      </c>
      <c r="CX60" s="24">
        <f>+IFERROR(INDEX('Debt Schedule'!$P$12:$P$108,MATCH(Model!CX4,'Debt Schedule'!$M$12:$M$108,0)),0)</f>
        <v>0</v>
      </c>
      <c r="CY60" s="24">
        <f>+IFERROR(INDEX('Debt Schedule'!$P$12:$P$108,MATCH(Model!CY4,'Debt Schedule'!$M$12:$M$108,0)),0)</f>
        <v>0</v>
      </c>
      <c r="CZ60" s="24">
        <f>+IFERROR(INDEX('Debt Schedule'!$P$12:$P$108,MATCH(Model!CZ4,'Debt Schedule'!$M$12:$M$108,0)),0)</f>
        <v>0</v>
      </c>
      <c r="DA60" s="24">
        <f>+IFERROR(INDEX('Debt Schedule'!$P$12:$P$108,MATCH(Model!DA4,'Debt Schedule'!$M$12:$M$108,0)),0)</f>
        <v>0</v>
      </c>
      <c r="DB60" s="24">
        <f>+IFERROR(INDEX('Debt Schedule'!$P$12:$P$108,MATCH(Model!DB4,'Debt Schedule'!$M$12:$M$108,0)),0)</f>
        <v>0</v>
      </c>
      <c r="DC60" s="24">
        <f>+IFERROR(INDEX('Debt Schedule'!$P$12:$P$108,MATCH(Model!DC4,'Debt Schedule'!$M$12:$M$108,0)),0)</f>
        <v>0</v>
      </c>
      <c r="DD60" s="24">
        <f>+IFERROR(INDEX('Debt Schedule'!$P$12:$P$108,MATCH(Model!DD4,'Debt Schedule'!$M$12:$M$108,0)),0)</f>
        <v>0</v>
      </c>
      <c r="DE60" s="24">
        <f>+IFERROR(INDEX('Debt Schedule'!$P$12:$P$108,MATCH(Model!DE4,'Debt Schedule'!$M$12:$M$108,0)),0)</f>
        <v>0</v>
      </c>
      <c r="DF60" s="24">
        <f>+IFERROR(INDEX('Debt Schedule'!$P$12:$P$108,MATCH(Model!DF4,'Debt Schedule'!$M$12:$M$108,0)),0)</f>
        <v>0</v>
      </c>
      <c r="DG60" s="24">
        <f>+IFERROR(INDEX('Debt Schedule'!$P$12:$P$108,MATCH(Model!DG4,'Debt Schedule'!$M$12:$M$108,0)),0)</f>
        <v>0</v>
      </c>
      <c r="DH60" s="24">
        <f>+IFERROR(INDEX('Debt Schedule'!$P$12:$P$108,MATCH(Model!DH4,'Debt Schedule'!$M$12:$M$108,0)),0)</f>
        <v>0</v>
      </c>
      <c r="DI60" s="24">
        <f>+IFERROR(INDEX('Debt Schedule'!$P$12:$P$108,MATCH(Model!DI4,'Debt Schedule'!$M$12:$M$108,0)),0)</f>
        <v>0</v>
      </c>
      <c r="DJ60" s="24">
        <f>+IFERROR(INDEX('Debt Schedule'!$P$12:$P$108,MATCH(Model!DJ4,'Debt Schedule'!$M$12:$M$108,0)),0)</f>
        <v>0</v>
      </c>
      <c r="DK60" s="24">
        <f>+IFERROR(INDEX('Debt Schedule'!$P$12:$P$108,MATCH(Model!DK4,'Debt Schedule'!$M$12:$M$108,0)),0)</f>
        <v>0</v>
      </c>
      <c r="DL60" s="24">
        <f>+IFERROR(INDEX('Debt Schedule'!$P$12:$P$108,MATCH(Model!DL4,'Debt Schedule'!$M$12:$M$108,0)),0)</f>
        <v>0</v>
      </c>
      <c r="DM60" s="24">
        <f>+IFERROR(INDEX('Debt Schedule'!$P$12:$P$108,MATCH(Model!DM4,'Debt Schedule'!$M$12:$M$108,0)),0)</f>
        <v>0</v>
      </c>
      <c r="DN60" s="24">
        <f>+IFERROR(INDEX('Debt Schedule'!$P$12:$P$108,MATCH(Model!DN4,'Debt Schedule'!$M$12:$M$108,0)),0)</f>
        <v>0</v>
      </c>
      <c r="DO60" s="24">
        <f>+IFERROR(INDEX('Debt Schedule'!$P$12:$P$108,MATCH(Model!DO4,'Debt Schedule'!$M$12:$M$108,0)),0)</f>
        <v>0</v>
      </c>
      <c r="DP60" s="24">
        <f>+IFERROR(INDEX('Debt Schedule'!$P$12:$P$108,MATCH(Model!DP4,'Debt Schedule'!$M$12:$M$108,0)),0)</f>
        <v>0</v>
      </c>
      <c r="DQ60" s="24">
        <f>+IFERROR(INDEX('Debt Schedule'!$P$12:$P$108,MATCH(Model!DQ4,'Debt Schedule'!$M$12:$M$108,0)),0)</f>
        <v>0</v>
      </c>
      <c r="DR60" s="24">
        <f>+IFERROR(INDEX('Debt Schedule'!$P$12:$P$108,MATCH(Model!DR4,'Debt Schedule'!$M$12:$M$108,0)),0)</f>
        <v>0</v>
      </c>
      <c r="DS60" s="24">
        <f>+IFERROR(INDEX('Debt Schedule'!$P$12:$P$108,MATCH(Model!DS4,'Debt Schedule'!$M$12:$M$108,0)),0)</f>
        <v>0</v>
      </c>
      <c r="DT60" s="24">
        <f>+IFERROR(INDEX('Debt Schedule'!$P$12:$P$108,MATCH(Model!DT4,'Debt Schedule'!$M$12:$M$108,0)),0)</f>
        <v>0</v>
      </c>
      <c r="DU60" s="24">
        <f>+IFERROR(INDEX('Debt Schedule'!$P$12:$P$108,MATCH(Model!DU4,'Debt Schedule'!$M$12:$M$108,0)),0)</f>
        <v>0</v>
      </c>
      <c r="DV60" s="24">
        <f>+IFERROR(INDEX('Debt Schedule'!$P$12:$P$108,MATCH(Model!DV4,'Debt Schedule'!$M$12:$M$108,0)),0)</f>
        <v>0</v>
      </c>
      <c r="DW60" s="24">
        <f>+IFERROR(INDEX('Debt Schedule'!$P$12:$P$108,MATCH(Model!DW4,'Debt Schedule'!$M$12:$M$108,0)),0)</f>
        <v>0</v>
      </c>
      <c r="DX60" s="24">
        <f>+IFERROR(INDEX('Debt Schedule'!$P$12:$P$108,MATCH(Model!DX4,'Debt Schedule'!$M$12:$M$108,0)),0)</f>
        <v>0</v>
      </c>
      <c r="DY60" s="24">
        <f>+IFERROR(INDEX('Debt Schedule'!$P$12:$P$108,MATCH(Model!DY4,'Debt Schedule'!$M$12:$M$108,0)),0)</f>
        <v>0</v>
      </c>
      <c r="DZ60" s="24">
        <f>+IFERROR(INDEX('Debt Schedule'!$P$12:$P$108,MATCH(Model!DZ4,'Debt Schedule'!$M$12:$M$108,0)),0)</f>
        <v>0</v>
      </c>
      <c r="EA60" s="24">
        <f>+IFERROR(INDEX('Debt Schedule'!$P$12:$P$108,MATCH(Model!EA4,'Debt Schedule'!$M$12:$M$108,0)),0)</f>
        <v>0</v>
      </c>
      <c r="EB60" s="24">
        <f>+IFERROR(INDEX('Debt Schedule'!$P$12:$P$108,MATCH(Model!EB4,'Debt Schedule'!$M$12:$M$108,0)),0)</f>
        <v>0</v>
      </c>
      <c r="EC60" s="24">
        <f>+IFERROR(INDEX('Debt Schedule'!$P$12:$P$108,MATCH(Model!EC4,'Debt Schedule'!$M$12:$M$108,0)),0)</f>
        <v>0</v>
      </c>
      <c r="ED60" s="24">
        <f>+IFERROR(INDEX('Debt Schedule'!$P$12:$P$108,MATCH(Model!ED4,'Debt Schedule'!$M$12:$M$108,0)),0)</f>
        <v>0</v>
      </c>
      <c r="EE60" s="24">
        <f>+IFERROR(INDEX('Debt Schedule'!$P$12:$P$108,MATCH(Model!EE4,'Debt Schedule'!$M$12:$M$108,0)),0)</f>
        <v>0</v>
      </c>
      <c r="EF60" s="24">
        <f>+IFERROR(INDEX('Debt Schedule'!$P$12:$P$108,MATCH(Model!EF4,'Debt Schedule'!$M$12:$M$108,0)),0)</f>
        <v>0</v>
      </c>
      <c r="EG60" s="24">
        <f>+IFERROR(INDEX('Debt Schedule'!$P$12:$P$108,MATCH(Model!EG4,'Debt Schedule'!$M$12:$M$108,0)),0)</f>
        <v>0</v>
      </c>
      <c r="EH60" s="24">
        <f>+IFERROR(INDEX('Debt Schedule'!$P$12:$P$108,MATCH(Model!EH4,'Debt Schedule'!$M$12:$M$108,0)),0)</f>
        <v>0</v>
      </c>
      <c r="EI60" s="24">
        <f>+IFERROR(INDEX('Debt Schedule'!$P$12:$P$108,MATCH(Model!EI4,'Debt Schedule'!$M$12:$M$108,0)),0)</f>
        <v>0</v>
      </c>
      <c r="EM60" s="1" t="s">
        <v>178</v>
      </c>
    </row>
    <row r="61" spans="2:143" x14ac:dyDescent="0.45">
      <c r="D61" s="1" t="s">
        <v>34</v>
      </c>
      <c r="G61" s="24">
        <f>IF(G4=Assumptions!$E$175,-MIN(G55,G58+G60),0)</f>
        <v>0</v>
      </c>
      <c r="H61" s="24">
        <f>IF(H4=Assumptions!$E$175,-MIN(H55,H58+H60),0)</f>
        <v>0</v>
      </c>
      <c r="I61" s="24">
        <f>IF(I4=Assumptions!$E$175,-MIN(I55,I58+I60),0)</f>
        <v>0</v>
      </c>
      <c r="J61" s="24">
        <f>IF(J4=Assumptions!$E$175,-MIN(J55,J58+J60),0)</f>
        <v>0</v>
      </c>
      <c r="K61" s="24">
        <f>IF(K4=Assumptions!$E$175,-MIN(K55,K58+K60),0)</f>
        <v>0</v>
      </c>
      <c r="L61" s="24">
        <f>IF(L4=Assumptions!$E$175,-MIN(L55,L58+L60),0)</f>
        <v>0</v>
      </c>
      <c r="M61" s="24">
        <f>IF(M4=Assumptions!$E$175,-MIN(M55,M58+M60),0)</f>
        <v>0</v>
      </c>
      <c r="N61" s="24">
        <f>IF(N4=Assumptions!$E$175,-MIN(N55,N58+N60),0)</f>
        <v>0</v>
      </c>
      <c r="O61" s="24">
        <f>IF(O4=Assumptions!$E$175,-MIN(O55,O58+O60),0)</f>
        <v>0</v>
      </c>
      <c r="P61" s="24">
        <f>IF(P4=Assumptions!$E$175,-MIN(P55,P58+P60),0)</f>
        <v>0</v>
      </c>
      <c r="Q61" s="24">
        <f>IF(Q4=Assumptions!$E$175,-MIN(Q55,Q58+Q60),0)</f>
        <v>0</v>
      </c>
      <c r="R61" s="24">
        <f>IF(R4=Assumptions!$E$175,-MIN(R55,R58+R60),0)</f>
        <v>0</v>
      </c>
      <c r="S61" s="24">
        <f>IF(S4=Assumptions!$E$175,-MIN(S55,S58+S60),0)</f>
        <v>0</v>
      </c>
      <c r="T61" s="24">
        <f>IF(T4=Assumptions!$E$175,-MIN(T55,T58+T60),0)</f>
        <v>0</v>
      </c>
      <c r="U61" s="24">
        <f>IF(U4=Assumptions!$E$175,-MIN(U55,U58+U60),0)</f>
        <v>0</v>
      </c>
      <c r="V61" s="24">
        <f>IF(V4=Assumptions!$E$175,-MIN(V55,V58+V60),0)</f>
        <v>0</v>
      </c>
      <c r="W61" s="24">
        <f>IF(W4=Assumptions!$E$175,-MIN(W55,W58+W60),0)</f>
        <v>0</v>
      </c>
      <c r="X61" s="24">
        <f>IF(X4=Assumptions!$E$175,-MIN(X55,X58+X60),0)</f>
        <v>0</v>
      </c>
      <c r="Y61" s="24">
        <f>IF(Y4=Assumptions!$E$175,-MIN(Y55,Y58+Y60),0)</f>
        <v>0</v>
      </c>
      <c r="Z61" s="24">
        <f>IF(Z4=Assumptions!$E$175,-MIN(Z55,Z58+Z60),0)</f>
        <v>0</v>
      </c>
      <c r="AA61" s="24">
        <f>IF(AA4=Assumptions!$E$175,-MIN(AA55,AA58+AA60),0)</f>
        <v>0</v>
      </c>
      <c r="AB61" s="24">
        <f>IF(AB4=Assumptions!$E$175,-MIN(AB55,AB58+AB60),0)</f>
        <v>0</v>
      </c>
      <c r="AC61" s="24">
        <f>IF(AC4=Assumptions!$E$175,-MIN(AC55,AC58+AC60),0)</f>
        <v>0</v>
      </c>
      <c r="AD61" s="24">
        <f>IF(AD4=Assumptions!$E$175,-MIN(AD55,AD58+AD60),0)</f>
        <v>0</v>
      </c>
      <c r="AE61" s="24">
        <f>IF(AE4=Assumptions!$E$175,-MIN(AE55,AE58+AE60),0)</f>
        <v>0</v>
      </c>
      <c r="AF61" s="24">
        <f>IF(AF4=Assumptions!$E$175,-MIN(AF55,AF58+AF60),0)</f>
        <v>0</v>
      </c>
      <c r="AG61" s="24">
        <f>IF(AG4=Assumptions!$E$175,-MIN(AG55,AG58+AG60),0)</f>
        <v>0</v>
      </c>
      <c r="AH61" s="24">
        <f>IF(AH4=Assumptions!$E$175,-MIN(AH55,AH58+AH60),0)</f>
        <v>0</v>
      </c>
      <c r="AI61" s="24">
        <f>IF(AI4=Assumptions!$E$175,-MIN(AI55,AI58+AI60),0)</f>
        <v>0</v>
      </c>
      <c r="AJ61" s="24">
        <f>IF(AJ4=Assumptions!$E$175,-MIN(AJ55,AJ58+AJ60),0)</f>
        <v>0</v>
      </c>
      <c r="AK61" s="24">
        <f>IF(AK4=Assumptions!$E$175,-MIN(AK55,AK58+AK60),0)</f>
        <v>0</v>
      </c>
      <c r="AL61" s="24">
        <f>IF(AL4=Assumptions!$E$175,-MIN(AL55,AL58+AL60),0)</f>
        <v>0</v>
      </c>
      <c r="AM61" s="24">
        <f>IF(AM4=Assumptions!$E$175,-MIN(AM55,AM58+AM60),0)</f>
        <v>0</v>
      </c>
      <c r="AN61" s="24">
        <f>IF(AN4=Assumptions!$E$175,-MIN(AN55,AN58+AN60),0)</f>
        <v>0</v>
      </c>
      <c r="AO61" s="24">
        <f>IF(AO4=Assumptions!$E$175,-MIN(AO55,AO58+AO60),0)</f>
        <v>0</v>
      </c>
      <c r="AP61" s="24">
        <f>IF(AP4=Assumptions!$E$175,-MIN(AP55,AP58+AP60),0)</f>
        <v>0</v>
      </c>
      <c r="AQ61" s="24">
        <f>IF(AQ4=Assumptions!$E$175,-MIN(AQ55,AQ58+AQ60),0)</f>
        <v>0</v>
      </c>
      <c r="AR61" s="24">
        <f>IF(AR4=Assumptions!$E$175,-MIN(AR55,AR58+AR60),0)</f>
        <v>0</v>
      </c>
      <c r="AS61" s="24">
        <f>IF(AS4=Assumptions!$E$175,-MIN(AS55,AS58+AS60),0)</f>
        <v>0</v>
      </c>
      <c r="AT61" s="24">
        <f>IF(AT4=Assumptions!$E$175,-MIN(AT55,AT58+AT60),0)</f>
        <v>0</v>
      </c>
      <c r="AU61" s="24">
        <f>IF(AU4=Assumptions!$E$175,-MIN(AU55,AU58+AU60),0)</f>
        <v>0</v>
      </c>
      <c r="AV61" s="24">
        <f>IF(AV4=Assumptions!$E$175,-MIN(AV55,AV58+AV60),0)</f>
        <v>0</v>
      </c>
      <c r="AW61" s="24">
        <f>IF(AW4=Assumptions!$E$175,-MIN(AW55,AW58+AW60),0)</f>
        <v>0</v>
      </c>
      <c r="AX61" s="24">
        <f>IF(AX4=Assumptions!$E$175,-MIN(AX55,AX58+AX60),0)</f>
        <v>0</v>
      </c>
      <c r="AY61" s="24">
        <f>IF(AY4=Assumptions!$E$175,-MIN(AY55,AY58+AY60),0)</f>
        <v>0</v>
      </c>
      <c r="AZ61" s="24">
        <f>IF(AZ4=Assumptions!$E$175,-MIN(AZ55,AZ58+AZ60),0)</f>
        <v>0</v>
      </c>
      <c r="BA61" s="24">
        <f>IF(BA4=Assumptions!$E$175,-MIN(BA55,BA58+BA60),0)</f>
        <v>0</v>
      </c>
      <c r="BB61" s="24">
        <f>IF(BB4=Assumptions!$E$175,-MIN(BB55,BB58+BB60),0)</f>
        <v>0</v>
      </c>
      <c r="BC61" s="24">
        <f>IF(BC4=Assumptions!$E$175,-MIN(BC55,BC58+BC60),0)</f>
        <v>0</v>
      </c>
      <c r="BD61" s="24">
        <f>IF(BD4=Assumptions!$E$175,-MIN(BD55,BD58+BD60),0)</f>
        <v>0</v>
      </c>
      <c r="BE61" s="24">
        <f>IF(BE4=Assumptions!$E$175,-MIN(BE55,BE58+BE60),0)</f>
        <v>0</v>
      </c>
      <c r="BF61" s="24">
        <f>IF(BF4=Assumptions!$E$175,-MIN(BF55,BF58+BF60),0)</f>
        <v>0</v>
      </c>
      <c r="BG61" s="24">
        <f>IF(BG4=Assumptions!$E$175,-MIN(BG55,BG58+BG60),0)</f>
        <v>0</v>
      </c>
      <c r="BH61" s="24">
        <f>IF(BH4=Assumptions!$E$175,-MIN(BH55,BH58+BH60),0)</f>
        <v>0</v>
      </c>
      <c r="BI61" s="24">
        <f>IF(BI4=Assumptions!$E$175,-MIN(BI55,BI58+BI60),0)</f>
        <v>0</v>
      </c>
      <c r="BJ61" s="24">
        <f>IF(BJ4=Assumptions!$E$175,-MIN(BJ55,BJ58+BJ60),0)</f>
        <v>0</v>
      </c>
      <c r="BK61" s="24">
        <f>IF(BK4=Assumptions!$E$175,-MIN(BK55,BK58+BK60),0)</f>
        <v>0</v>
      </c>
      <c r="BL61" s="24">
        <f>IF(BL4=Assumptions!$E$175,-MIN(BL55,BL58+BL60),0)</f>
        <v>0</v>
      </c>
      <c r="BM61" s="24">
        <f>IF(BM4=Assumptions!$E$175,-MIN(BM55,BM58+BM60),0)</f>
        <v>0</v>
      </c>
      <c r="BN61" s="24">
        <f>IF(BN4=Assumptions!$E$175,-MIN(BN55,BN58+BN60),0)</f>
        <v>0</v>
      </c>
      <c r="BO61" s="24">
        <f>IF(BO4=Assumptions!$E$175,-MIN(BO55,BO58+BO60),0)</f>
        <v>-16670620.52986739</v>
      </c>
      <c r="BP61" s="24">
        <f>IF(BP4=Assumptions!$E$175,-MIN(BP55,BP58+BP60),0)</f>
        <v>0</v>
      </c>
      <c r="BQ61" s="24">
        <f>IF(BQ4=Assumptions!$E$175,-MIN(BQ55,BQ58+BQ60),0)</f>
        <v>0</v>
      </c>
      <c r="BR61" s="24">
        <f>IF(BR4=Assumptions!$E$175,-MIN(BR55,BR58+BR60),0)</f>
        <v>0</v>
      </c>
      <c r="BS61" s="24">
        <f>IF(BS4=Assumptions!$E$175,-MIN(BS55,BS58+BS60),0)</f>
        <v>0</v>
      </c>
      <c r="BT61" s="24">
        <f>IF(BT4=Assumptions!$E$175,-MIN(BT55,BT58+BT60),0)</f>
        <v>0</v>
      </c>
      <c r="BU61" s="24">
        <f>IF(BU4=Assumptions!$E$175,-MIN(BU55,BU58+BU60),0)</f>
        <v>0</v>
      </c>
      <c r="BV61" s="24">
        <f>IF(BV4=Assumptions!$E$175,-MIN(BV55,BV58+BV60),0)</f>
        <v>0</v>
      </c>
      <c r="BW61" s="24">
        <f>IF(BW4=Assumptions!$E$175,-MIN(BW55,BW58+BW60),0)</f>
        <v>0</v>
      </c>
      <c r="BX61" s="24">
        <f>IF(BX4=Assumptions!$E$175,-MIN(BX55,BX58+BX60),0)</f>
        <v>0</v>
      </c>
      <c r="BY61" s="24">
        <f>IF(BY4=Assumptions!$E$175,-MIN(BY55,BY58+BY60),0)</f>
        <v>0</v>
      </c>
      <c r="BZ61" s="24">
        <f>IF(BZ4=Assumptions!$E$175,-MIN(BZ55,BZ58+BZ60),0)</f>
        <v>0</v>
      </c>
      <c r="CA61" s="24">
        <f>IF(CA4=Assumptions!$E$175,-MIN(CA55,CA58+CA60),0)</f>
        <v>0</v>
      </c>
      <c r="CB61" s="24">
        <f>IF(CB4=Assumptions!$E$175,-MIN(CB55,CB58+CB60),0)</f>
        <v>0</v>
      </c>
      <c r="CC61" s="24">
        <f>IF(CC4=Assumptions!$E$175,-MIN(CC55,CC58+CC60),0)</f>
        <v>0</v>
      </c>
      <c r="CD61" s="24">
        <f>IF(CD4=Assumptions!$E$175,-MIN(CD55,CD58+CD60),0)</f>
        <v>0</v>
      </c>
      <c r="CE61" s="24">
        <f>IF(CE4=Assumptions!$E$175,-MIN(CE55,CE58+CE60),0)</f>
        <v>0</v>
      </c>
      <c r="CF61" s="24">
        <f>IF(CF4=Assumptions!$E$175,-MIN(CF55,CF58+CF60),0)</f>
        <v>0</v>
      </c>
      <c r="CG61" s="24">
        <f>IF(CG4=Assumptions!$E$175,-MIN(CG55,CG58+CG60),0)</f>
        <v>0</v>
      </c>
      <c r="CH61" s="24">
        <f>IF(CH4=Assumptions!$E$175,-MIN(CH55,CH58+CH60),0)</f>
        <v>0</v>
      </c>
      <c r="CI61" s="24">
        <f>IF(CI4=Assumptions!$E$175,-MIN(CI55,CI58+CI60),0)</f>
        <v>0</v>
      </c>
      <c r="CJ61" s="24">
        <f>IF(CJ4=Assumptions!$E$175,-MIN(CJ55,CJ58+CJ60),0)</f>
        <v>0</v>
      </c>
      <c r="CK61" s="24">
        <f>IF(CK4=Assumptions!$E$175,-MIN(CK55,CK58+CK60),0)</f>
        <v>0</v>
      </c>
      <c r="CL61" s="24">
        <f>IF(CL4=Assumptions!$E$175,-MIN(CL55,CL58+CL60),0)</f>
        <v>0</v>
      </c>
      <c r="CM61" s="24">
        <f>IF(CM4=Assumptions!$E$175,-MIN(CM55,CM58+CM60),0)</f>
        <v>0</v>
      </c>
      <c r="CN61" s="24">
        <f>IF(CN4=Assumptions!$E$175,-MIN(CN55,CN58+CN60),0)</f>
        <v>0</v>
      </c>
      <c r="CO61" s="24">
        <f>IF(CO4=Assumptions!$E$175,-MIN(CO55,CO58+CO60),0)</f>
        <v>0</v>
      </c>
      <c r="CP61" s="24">
        <f>IF(CP4=Assumptions!$E$175,-MIN(CP55,CP58+CP60),0)</f>
        <v>0</v>
      </c>
      <c r="CQ61" s="24">
        <f>IF(CQ4=Assumptions!$E$175,-MIN(CQ55,CQ58+CQ60),0)</f>
        <v>0</v>
      </c>
      <c r="CR61" s="24">
        <f>IF(CR4=Assumptions!$E$175,-MIN(CR55,CR58+CR60),0)</f>
        <v>0</v>
      </c>
      <c r="CS61" s="24">
        <f>IF(CS4=Assumptions!$E$175,-MIN(CS55,CS58+CS60),0)</f>
        <v>0</v>
      </c>
      <c r="CT61" s="24">
        <f>IF(CT4=Assumptions!$E$175,-MIN(CT55,CT58+CT60),0)</f>
        <v>0</v>
      </c>
      <c r="CU61" s="24">
        <f>IF(CU4=Assumptions!$E$175,-MIN(CU55,CU58+CU60),0)</f>
        <v>0</v>
      </c>
      <c r="CV61" s="24">
        <f>IF(CV4=Assumptions!$E$175,-MIN(CV55,CV58+CV60),0)</f>
        <v>0</v>
      </c>
      <c r="CW61" s="24">
        <f>IF(CW4=Assumptions!$E$175,-MIN(CW55,CW58+CW60),0)</f>
        <v>0</v>
      </c>
      <c r="CX61" s="24">
        <f>IF(CX4=Assumptions!$E$175,-MIN(CX55,CX58+CX60),0)</f>
        <v>0</v>
      </c>
      <c r="CY61" s="24">
        <f>IF(CY4=Assumptions!$E$175,-MIN(CY55,CY58+CY60),0)</f>
        <v>0</v>
      </c>
      <c r="CZ61" s="24">
        <f>IF(CZ4=Assumptions!$E$175,-MIN(CZ55,CZ58+CZ60),0)</f>
        <v>0</v>
      </c>
      <c r="DA61" s="24">
        <f>IF(DA4=Assumptions!$E$175,-MIN(DA55,DA58+DA60),0)</f>
        <v>0</v>
      </c>
      <c r="DB61" s="24">
        <f>IF(DB4=Assumptions!$E$175,-MIN(DB55,DB58+DB60),0)</f>
        <v>0</v>
      </c>
      <c r="DC61" s="24">
        <f>IF(DC4=Assumptions!$E$175,-MIN(DC55,DC58+DC60),0)</f>
        <v>0</v>
      </c>
      <c r="DD61" s="24">
        <f>IF(DD4=Assumptions!$E$175,-MIN(DD55,DD58+DD60),0)</f>
        <v>0</v>
      </c>
      <c r="DE61" s="24">
        <f>IF(DE4=Assumptions!$E$175,-MIN(DE55,DE58+DE60),0)</f>
        <v>0</v>
      </c>
      <c r="DF61" s="24">
        <f>IF(DF4=Assumptions!$E$175,-MIN(DF55,DF58+DF60),0)</f>
        <v>0</v>
      </c>
      <c r="DG61" s="24">
        <f>IF(DG4=Assumptions!$E$175,-MIN(DG55,DG58+DG60),0)</f>
        <v>0</v>
      </c>
      <c r="DH61" s="24">
        <f>IF(DH4=Assumptions!$E$175,-MIN(DH55,DH58+DH60),0)</f>
        <v>0</v>
      </c>
      <c r="DI61" s="24">
        <f>IF(DI4=Assumptions!$E$175,-MIN(DI55,DI58+DI60),0)</f>
        <v>0</v>
      </c>
      <c r="DJ61" s="24">
        <f>IF(DJ4=Assumptions!$E$175,-MIN(DJ55,DJ58+DJ60),0)</f>
        <v>0</v>
      </c>
      <c r="DK61" s="24">
        <f>IF(DK4=Assumptions!$E$175,-MIN(DK55,DK58+DK60),0)</f>
        <v>0</v>
      </c>
      <c r="DL61" s="24">
        <f>IF(DL4=Assumptions!$E$175,-MIN(DL55,DL58+DL60),0)</f>
        <v>0</v>
      </c>
      <c r="DM61" s="24">
        <f>IF(DM4=Assumptions!$E$175,-MIN(DM55,DM58+DM60),0)</f>
        <v>0</v>
      </c>
      <c r="DN61" s="24">
        <f>IF(DN4=Assumptions!$E$175,-MIN(DN55,DN58+DN60),0)</f>
        <v>0</v>
      </c>
      <c r="DO61" s="24">
        <f>IF(DO4=Assumptions!$E$175,-MIN(DO55,DO58+DO60),0)</f>
        <v>0</v>
      </c>
      <c r="DP61" s="24">
        <f>IF(DP4=Assumptions!$E$175,-MIN(DP55,DP58+DP60),0)</f>
        <v>0</v>
      </c>
      <c r="DQ61" s="24">
        <f>IF(DQ4=Assumptions!$E$175,-MIN(DQ55,DQ58+DQ60),0)</f>
        <v>0</v>
      </c>
      <c r="DR61" s="24">
        <f>IF(DR4=Assumptions!$E$175,-MIN(DR55,DR58+DR60),0)</f>
        <v>0</v>
      </c>
      <c r="DS61" s="24">
        <f>IF(DS4=Assumptions!$E$175,-MIN(DS55,DS58+DS60),0)</f>
        <v>0</v>
      </c>
      <c r="DT61" s="24">
        <f>IF(DT4=Assumptions!$E$175,-MIN(DT55,DT58+DT60),0)</f>
        <v>0</v>
      </c>
      <c r="DU61" s="24">
        <f>IF(DU4=Assumptions!$E$175,-MIN(DU55,DU58+DU60),0)</f>
        <v>0</v>
      </c>
      <c r="DV61" s="24">
        <f>IF(DV4=Assumptions!$E$175,-MIN(DV55,DV58+DV60),0)</f>
        <v>0</v>
      </c>
      <c r="DW61" s="24">
        <f>IF(DW4=Assumptions!$E$175,-MIN(DW55,DW58+DW60),0)</f>
        <v>0</v>
      </c>
      <c r="DX61" s="24">
        <f>IF(DX4=Assumptions!$E$175,-MIN(DX55,DX58+DX60),0)</f>
        <v>0</v>
      </c>
      <c r="DY61" s="24">
        <f>IF(DY4=Assumptions!$E$175,-MIN(DY55,DY58+DY60),0)</f>
        <v>0</v>
      </c>
      <c r="DZ61" s="24">
        <f>IF(DZ4=Assumptions!$E$175,-MIN(DZ55,DZ58+DZ60),0)</f>
        <v>0</v>
      </c>
      <c r="EA61" s="24">
        <f>IF(EA4=Assumptions!$E$175,-MIN(EA55,EA58+EA60),0)</f>
        <v>0</v>
      </c>
      <c r="EB61" s="24">
        <f>IF(EB4=Assumptions!$E$175,-MIN(EB55,EB58+EB60),0)</f>
        <v>0</v>
      </c>
      <c r="EC61" s="24">
        <f>IF(EC4=Assumptions!$E$175,-MIN(EC55,EC58+EC60),0)</f>
        <v>0</v>
      </c>
      <c r="ED61" s="24">
        <f>IF(ED4=Assumptions!$E$175,-MIN(ED55,ED58+ED60),0)</f>
        <v>0</v>
      </c>
      <c r="EE61" s="24">
        <f>IF(EE4=Assumptions!$E$175,-MIN(EE55,EE58+EE60),0)</f>
        <v>0</v>
      </c>
      <c r="EF61" s="24">
        <f>IF(EF4=Assumptions!$E$175,-MIN(EF55,EF58+EF60),0)</f>
        <v>0</v>
      </c>
      <c r="EG61" s="24">
        <f>IF(EG4=Assumptions!$E$175,-MIN(EG55,EG58+EG60),0)</f>
        <v>0</v>
      </c>
      <c r="EH61" s="24">
        <f>IF(EH4=Assumptions!$E$175,-MIN(EH55,EH58+EH60),0)</f>
        <v>0</v>
      </c>
      <c r="EI61" s="24">
        <f>IF(EI4=Assumptions!$E$175,-MIN(EI55,EI58+EI60),0)</f>
        <v>0</v>
      </c>
      <c r="EM61" s="1" t="s">
        <v>178</v>
      </c>
    </row>
    <row r="62" spans="2:143" x14ac:dyDescent="0.45">
      <c r="D62" s="1" t="s">
        <v>153</v>
      </c>
      <c r="G62" s="24">
        <f t="shared" ref="G62:S62" si="79">+G80</f>
        <v>0</v>
      </c>
      <c r="H62" s="24">
        <f t="shared" si="79"/>
        <v>0</v>
      </c>
      <c r="I62" s="24">
        <f t="shared" si="79"/>
        <v>0</v>
      </c>
      <c r="J62" s="24">
        <f t="shared" si="79"/>
        <v>0</v>
      </c>
      <c r="K62" s="24">
        <f t="shared" si="79"/>
        <v>0</v>
      </c>
      <c r="L62" s="24">
        <f t="shared" si="79"/>
        <v>0</v>
      </c>
      <c r="M62" s="24">
        <f t="shared" si="79"/>
        <v>0</v>
      </c>
      <c r="N62" s="24">
        <f t="shared" si="79"/>
        <v>0</v>
      </c>
      <c r="O62" s="24">
        <f t="shared" si="79"/>
        <v>0</v>
      </c>
      <c r="P62" s="24">
        <f t="shared" si="79"/>
        <v>0</v>
      </c>
      <c r="Q62" s="24">
        <f t="shared" si="79"/>
        <v>0</v>
      </c>
      <c r="R62" s="24">
        <f t="shared" si="79"/>
        <v>0</v>
      </c>
      <c r="S62" s="24">
        <f t="shared" si="79"/>
        <v>0</v>
      </c>
      <c r="T62" s="24">
        <f>+T80</f>
        <v>0</v>
      </c>
      <c r="U62" s="24">
        <f>+U80</f>
        <v>0</v>
      </c>
      <c r="V62" s="24">
        <f>+V80</f>
        <v>0</v>
      </c>
      <c r="W62" s="24">
        <f>+W80</f>
        <v>0</v>
      </c>
      <c r="X62" s="24">
        <f t="shared" ref="X62:BM62" si="80">+X80</f>
        <v>0</v>
      </c>
      <c r="Y62" s="24">
        <f t="shared" si="80"/>
        <v>0</v>
      </c>
      <c r="Z62" s="24">
        <f t="shared" si="80"/>
        <v>0</v>
      </c>
      <c r="AA62" s="24">
        <f t="shared" si="80"/>
        <v>0</v>
      </c>
      <c r="AB62" s="24">
        <f t="shared" si="80"/>
        <v>0</v>
      </c>
      <c r="AC62" s="24">
        <f t="shared" si="80"/>
        <v>0</v>
      </c>
      <c r="AD62" s="24">
        <f t="shared" si="80"/>
        <v>0</v>
      </c>
      <c r="AE62" s="24">
        <f t="shared" si="80"/>
        <v>0</v>
      </c>
      <c r="AF62" s="24">
        <f t="shared" si="80"/>
        <v>0</v>
      </c>
      <c r="AG62" s="24">
        <f t="shared" si="80"/>
        <v>0</v>
      </c>
      <c r="AH62" s="24">
        <f t="shared" si="80"/>
        <v>0</v>
      </c>
      <c r="AI62" s="24">
        <f t="shared" si="80"/>
        <v>0</v>
      </c>
      <c r="AJ62" s="24">
        <f t="shared" si="80"/>
        <v>0</v>
      </c>
      <c r="AK62" s="24">
        <f t="shared" si="80"/>
        <v>0</v>
      </c>
      <c r="AL62" s="24">
        <f t="shared" si="80"/>
        <v>0</v>
      </c>
      <c r="AM62" s="24">
        <f t="shared" si="80"/>
        <v>0</v>
      </c>
      <c r="AN62" s="24">
        <f t="shared" si="80"/>
        <v>0</v>
      </c>
      <c r="AO62" s="24">
        <f t="shared" si="80"/>
        <v>0</v>
      </c>
      <c r="AP62" s="24">
        <f t="shared" si="80"/>
        <v>0</v>
      </c>
      <c r="AQ62" s="24">
        <f t="shared" si="80"/>
        <v>0</v>
      </c>
      <c r="AR62" s="24">
        <f t="shared" si="80"/>
        <v>81449.312300895908</v>
      </c>
      <c r="AS62" s="24">
        <f t="shared" si="80"/>
        <v>81363.569035070017</v>
      </c>
      <c r="AT62" s="24">
        <f t="shared" si="80"/>
        <v>81277.418028575921</v>
      </c>
      <c r="AU62" s="24">
        <f t="shared" si="80"/>
        <v>81190.857342457282</v>
      </c>
      <c r="AV62" s="24">
        <f t="shared" si="80"/>
        <v>81103.885028537188</v>
      </c>
      <c r="AW62" s="24">
        <f t="shared" si="80"/>
        <v>81016.499129374584</v>
      </c>
      <c r="AX62" s="24">
        <f t="shared" si="80"/>
        <v>80928.697678219949</v>
      </c>
      <c r="AY62" s="24">
        <f t="shared" si="80"/>
        <v>80840.478698971216</v>
      </c>
      <c r="AZ62" s="24">
        <f t="shared" si="80"/>
        <v>80751.840206129185</v>
      </c>
      <c r="BA62" s="24">
        <f t="shared" si="80"/>
        <v>80662.780204752911</v>
      </c>
      <c r="BB62" s="24">
        <f t="shared" si="80"/>
        <v>80573.296690414776</v>
      </c>
      <c r="BC62" s="24">
        <f t="shared" si="80"/>
        <v>80483.387649155338</v>
      </c>
      <c r="BD62" s="24">
        <f t="shared" si="80"/>
        <v>80393.051057438046</v>
      </c>
      <c r="BE62" s="24">
        <f t="shared" si="80"/>
        <v>80302.284882103719</v>
      </c>
      <c r="BF62" s="24">
        <f t="shared" si="80"/>
        <v>80211.087080324767</v>
      </c>
      <c r="BG62" s="24">
        <f t="shared" si="80"/>
        <v>80119.455599559136</v>
      </c>
      <c r="BH62" s="24">
        <f t="shared" si="80"/>
        <v>80027.388377504278</v>
      </c>
      <c r="BI62" s="24">
        <f t="shared" si="80"/>
        <v>79934.883342050569</v>
      </c>
      <c r="BJ62" s="24">
        <f t="shared" si="80"/>
        <v>79841.938411234762</v>
      </c>
      <c r="BK62" s="24">
        <f t="shared" si="80"/>
        <v>79748.551493193096</v>
      </c>
      <c r="BL62" s="24">
        <f t="shared" si="80"/>
        <v>79654.720486114296</v>
      </c>
      <c r="BM62" s="24">
        <f t="shared" si="80"/>
        <v>79560.443278192135</v>
      </c>
      <c r="BN62" s="24">
        <f t="shared" ref="BN62:CF62" si="81">+BN80</f>
        <v>79465.717747577975</v>
      </c>
      <c r="BO62" s="24">
        <f t="shared" si="81"/>
        <v>79370.541762333058</v>
      </c>
      <c r="BP62" s="24">
        <f t="shared" si="81"/>
        <v>0</v>
      </c>
      <c r="BQ62" s="24">
        <f t="shared" si="81"/>
        <v>0</v>
      </c>
      <c r="BR62" s="24">
        <f t="shared" si="81"/>
        <v>0</v>
      </c>
      <c r="BS62" s="24">
        <f t="shared" si="81"/>
        <v>0</v>
      </c>
      <c r="BT62" s="24">
        <f t="shared" si="81"/>
        <v>0</v>
      </c>
      <c r="BU62" s="24">
        <f t="shared" si="81"/>
        <v>0</v>
      </c>
      <c r="BV62" s="24">
        <f t="shared" si="81"/>
        <v>0</v>
      </c>
      <c r="BW62" s="24">
        <f t="shared" si="81"/>
        <v>0</v>
      </c>
      <c r="BX62" s="24">
        <f t="shared" si="81"/>
        <v>0</v>
      </c>
      <c r="BY62" s="24">
        <f t="shared" si="81"/>
        <v>0</v>
      </c>
      <c r="BZ62" s="24">
        <f t="shared" si="81"/>
        <v>0</v>
      </c>
      <c r="CA62" s="24">
        <f t="shared" si="81"/>
        <v>0</v>
      </c>
      <c r="CB62" s="24">
        <f t="shared" si="81"/>
        <v>0</v>
      </c>
      <c r="CC62" s="24">
        <f t="shared" si="81"/>
        <v>0</v>
      </c>
      <c r="CD62" s="24">
        <f t="shared" si="81"/>
        <v>0</v>
      </c>
      <c r="CE62" s="24">
        <f t="shared" si="81"/>
        <v>0</v>
      </c>
      <c r="CF62" s="24">
        <f t="shared" si="81"/>
        <v>0</v>
      </c>
      <c r="CG62" s="24">
        <f t="shared" ref="CG62:CV62" si="82">+CG80</f>
        <v>0</v>
      </c>
      <c r="CH62" s="24">
        <f t="shared" si="82"/>
        <v>0</v>
      </c>
      <c r="CI62" s="24">
        <f t="shared" si="82"/>
        <v>0</v>
      </c>
      <c r="CJ62" s="24">
        <f t="shared" si="82"/>
        <v>0</v>
      </c>
      <c r="CK62" s="24">
        <f t="shared" si="82"/>
        <v>0</v>
      </c>
      <c r="CL62" s="24">
        <f t="shared" si="82"/>
        <v>0</v>
      </c>
      <c r="CM62" s="24">
        <f t="shared" si="82"/>
        <v>0</v>
      </c>
      <c r="CN62" s="24">
        <f t="shared" si="82"/>
        <v>0</v>
      </c>
      <c r="CO62" s="24">
        <f t="shared" si="82"/>
        <v>0</v>
      </c>
      <c r="CP62" s="24">
        <f t="shared" si="82"/>
        <v>0</v>
      </c>
      <c r="CQ62" s="24">
        <f t="shared" si="82"/>
        <v>0</v>
      </c>
      <c r="CR62" s="24">
        <f t="shared" si="82"/>
        <v>0</v>
      </c>
      <c r="CS62" s="24">
        <f t="shared" si="82"/>
        <v>0</v>
      </c>
      <c r="CT62" s="24">
        <f t="shared" si="82"/>
        <v>0</v>
      </c>
      <c r="CU62" s="24">
        <f t="shared" si="82"/>
        <v>0</v>
      </c>
      <c r="CV62" s="24">
        <f t="shared" si="82"/>
        <v>0</v>
      </c>
      <c r="CW62" s="24">
        <f t="shared" ref="CW62:EI62" si="83">+CW80</f>
        <v>0</v>
      </c>
      <c r="CX62" s="24">
        <f t="shared" si="83"/>
        <v>0</v>
      </c>
      <c r="CY62" s="24">
        <f t="shared" si="83"/>
        <v>0</v>
      </c>
      <c r="CZ62" s="24">
        <f t="shared" si="83"/>
        <v>0</v>
      </c>
      <c r="DA62" s="24">
        <f t="shared" si="83"/>
        <v>0</v>
      </c>
      <c r="DB62" s="24">
        <f t="shared" si="83"/>
        <v>0</v>
      </c>
      <c r="DC62" s="24">
        <f t="shared" si="83"/>
        <v>0</v>
      </c>
      <c r="DD62" s="24">
        <f t="shared" si="83"/>
        <v>0</v>
      </c>
      <c r="DE62" s="24">
        <f t="shared" si="83"/>
        <v>0</v>
      </c>
      <c r="DF62" s="24">
        <f t="shared" si="83"/>
        <v>0</v>
      </c>
      <c r="DG62" s="24">
        <f t="shared" si="83"/>
        <v>0</v>
      </c>
      <c r="DH62" s="24">
        <f t="shared" si="83"/>
        <v>0</v>
      </c>
      <c r="DI62" s="24">
        <f t="shared" si="83"/>
        <v>0</v>
      </c>
      <c r="DJ62" s="24">
        <f t="shared" si="83"/>
        <v>0</v>
      </c>
      <c r="DK62" s="24">
        <f t="shared" si="83"/>
        <v>0</v>
      </c>
      <c r="DL62" s="24">
        <f t="shared" si="83"/>
        <v>0</v>
      </c>
      <c r="DM62" s="24">
        <f t="shared" si="83"/>
        <v>0</v>
      </c>
      <c r="DN62" s="24">
        <f t="shared" si="83"/>
        <v>0</v>
      </c>
      <c r="DO62" s="24">
        <f t="shared" si="83"/>
        <v>0</v>
      </c>
      <c r="DP62" s="24">
        <f t="shared" si="83"/>
        <v>0</v>
      </c>
      <c r="DQ62" s="24">
        <f t="shared" si="83"/>
        <v>0</v>
      </c>
      <c r="DR62" s="24">
        <f t="shared" si="83"/>
        <v>0</v>
      </c>
      <c r="DS62" s="24">
        <f t="shared" si="83"/>
        <v>0</v>
      </c>
      <c r="DT62" s="24">
        <f t="shared" si="83"/>
        <v>0</v>
      </c>
      <c r="DU62" s="24">
        <f t="shared" si="83"/>
        <v>0</v>
      </c>
      <c r="DV62" s="24">
        <f t="shared" si="83"/>
        <v>0</v>
      </c>
      <c r="DW62" s="24">
        <f t="shared" si="83"/>
        <v>0</v>
      </c>
      <c r="DX62" s="24">
        <f t="shared" si="83"/>
        <v>0</v>
      </c>
      <c r="DY62" s="24">
        <f t="shared" si="83"/>
        <v>0</v>
      </c>
      <c r="DZ62" s="24">
        <f t="shared" si="83"/>
        <v>0</v>
      </c>
      <c r="EA62" s="24">
        <f t="shared" si="83"/>
        <v>0</v>
      </c>
      <c r="EB62" s="24">
        <f t="shared" si="83"/>
        <v>0</v>
      </c>
      <c r="EC62" s="24">
        <f t="shared" si="83"/>
        <v>0</v>
      </c>
      <c r="ED62" s="24">
        <f t="shared" si="83"/>
        <v>0</v>
      </c>
      <c r="EE62" s="24">
        <f t="shared" si="83"/>
        <v>0</v>
      </c>
      <c r="EF62" s="24">
        <f t="shared" si="83"/>
        <v>0</v>
      </c>
      <c r="EG62" s="24">
        <f t="shared" si="83"/>
        <v>0</v>
      </c>
      <c r="EH62" s="24">
        <f t="shared" si="83"/>
        <v>0</v>
      </c>
      <c r="EI62" s="24">
        <f t="shared" si="83"/>
        <v>0</v>
      </c>
      <c r="EM62" s="1" t="s">
        <v>178</v>
      </c>
    </row>
    <row r="63" spans="2:143" s="8" customFormat="1" x14ac:dyDescent="0.45">
      <c r="D63" s="4" t="s">
        <v>35</v>
      </c>
      <c r="E63" s="4"/>
      <c r="F63" s="4"/>
      <c r="G63" s="26">
        <f t="shared" ref="G63:S63" si="84">SUM(G58:G61)</f>
        <v>0</v>
      </c>
      <c r="H63" s="26">
        <f t="shared" si="84"/>
        <v>0</v>
      </c>
      <c r="I63" s="26">
        <f t="shared" si="84"/>
        <v>0</v>
      </c>
      <c r="J63" s="26">
        <f t="shared" si="84"/>
        <v>0</v>
      </c>
      <c r="K63" s="26">
        <f t="shared" si="84"/>
        <v>0</v>
      </c>
      <c r="L63" s="26">
        <f t="shared" si="84"/>
        <v>0</v>
      </c>
      <c r="M63" s="26">
        <f t="shared" si="84"/>
        <v>0</v>
      </c>
      <c r="N63" s="26">
        <f t="shared" si="84"/>
        <v>0</v>
      </c>
      <c r="O63" s="26">
        <f t="shared" si="84"/>
        <v>0</v>
      </c>
      <c r="P63" s="26">
        <f t="shared" si="84"/>
        <v>0</v>
      </c>
      <c r="Q63" s="26">
        <f t="shared" si="84"/>
        <v>0</v>
      </c>
      <c r="R63" s="26">
        <f t="shared" si="84"/>
        <v>0</v>
      </c>
      <c r="S63" s="26">
        <f t="shared" si="84"/>
        <v>0</v>
      </c>
      <c r="T63" s="26">
        <f>SUM(T58:T61)</f>
        <v>0</v>
      </c>
      <c r="U63" s="26">
        <f>SUM(U58:U61)</f>
        <v>0</v>
      </c>
      <c r="V63" s="26">
        <f>SUM(V58:V61)</f>
        <v>0</v>
      </c>
      <c r="W63" s="26">
        <f>SUM(W58:W61)</f>
        <v>0</v>
      </c>
      <c r="X63" s="26">
        <f t="shared" ref="X63:BM63" si="85">SUM(X58:X61)</f>
        <v>0</v>
      </c>
      <c r="Y63" s="26">
        <f t="shared" si="85"/>
        <v>0</v>
      </c>
      <c r="Z63" s="26">
        <f t="shared" si="85"/>
        <v>0</v>
      </c>
      <c r="AA63" s="26">
        <f t="shared" si="85"/>
        <v>0</v>
      </c>
      <c r="AB63" s="26">
        <f t="shared" si="85"/>
        <v>0</v>
      </c>
      <c r="AC63" s="26">
        <f t="shared" si="85"/>
        <v>0</v>
      </c>
      <c r="AD63" s="26">
        <f t="shared" si="85"/>
        <v>0</v>
      </c>
      <c r="AE63" s="26">
        <f t="shared" si="85"/>
        <v>0</v>
      </c>
      <c r="AF63" s="26">
        <f t="shared" si="85"/>
        <v>0</v>
      </c>
      <c r="AG63" s="26">
        <f t="shared" si="85"/>
        <v>0</v>
      </c>
      <c r="AH63" s="26">
        <f t="shared" si="85"/>
        <v>0</v>
      </c>
      <c r="AI63" s="26">
        <f t="shared" si="85"/>
        <v>0</v>
      </c>
      <c r="AJ63" s="26">
        <f t="shared" si="85"/>
        <v>0</v>
      </c>
      <c r="AK63" s="26">
        <f t="shared" si="85"/>
        <v>0</v>
      </c>
      <c r="AL63" s="26">
        <f t="shared" si="85"/>
        <v>0</v>
      </c>
      <c r="AM63" s="26">
        <f t="shared" si="85"/>
        <v>0</v>
      </c>
      <c r="AN63" s="26">
        <f t="shared" si="85"/>
        <v>0</v>
      </c>
      <c r="AO63" s="26">
        <f t="shared" si="85"/>
        <v>0</v>
      </c>
      <c r="AP63" s="26">
        <f t="shared" si="85"/>
        <v>0</v>
      </c>
      <c r="AQ63" s="26">
        <f t="shared" si="85"/>
        <v>17127872.151652358</v>
      </c>
      <c r="AR63" s="26">
        <f t="shared" si="85"/>
        <v>17109841.309482623</v>
      </c>
      <c r="AS63" s="26">
        <f t="shared" si="85"/>
        <v>17091724.724047061</v>
      </c>
      <c r="AT63" s="26">
        <f t="shared" si="85"/>
        <v>17073521.987605006</v>
      </c>
      <c r="AU63" s="26">
        <f t="shared" si="85"/>
        <v>17055232.690476831</v>
      </c>
      <c r="AV63" s="26">
        <f t="shared" si="85"/>
        <v>17036856.421034738</v>
      </c>
      <c r="AW63" s="26">
        <f t="shared" si="85"/>
        <v>17018392.765693482</v>
      </c>
      <c r="AX63" s="26">
        <f t="shared" si="85"/>
        <v>16999841.308901072</v>
      </c>
      <c r="AY63" s="26">
        <f t="shared" si="85"/>
        <v>16981201.63312941</v>
      </c>
      <c r="AZ63" s="26">
        <f t="shared" si="85"/>
        <v>16962473.318864908</v>
      </c>
      <c r="BA63" s="26">
        <f t="shared" si="85"/>
        <v>16943655.944599029</v>
      </c>
      <c r="BB63" s="26">
        <f t="shared" si="85"/>
        <v>16924749.086818814</v>
      </c>
      <c r="BC63" s="26">
        <f t="shared" si="85"/>
        <v>16905752.31999734</v>
      </c>
      <c r="BD63" s="26">
        <f t="shared" si="85"/>
        <v>16886665.216584146</v>
      </c>
      <c r="BE63" s="26">
        <f t="shared" si="85"/>
        <v>16867487.346995618</v>
      </c>
      <c r="BF63" s="26">
        <f t="shared" si="85"/>
        <v>16848218.27960531</v>
      </c>
      <c r="BG63" s="26">
        <f t="shared" si="85"/>
        <v>16828857.580734238</v>
      </c>
      <c r="BH63" s="26">
        <f t="shared" si="85"/>
        <v>16809404.814641111</v>
      </c>
      <c r="BI63" s="26">
        <f t="shared" si="85"/>
        <v>16789859.543512531</v>
      </c>
      <c r="BJ63" s="26">
        <f t="shared" si="85"/>
        <v>16770221.327453135</v>
      </c>
      <c r="BK63" s="26">
        <f t="shared" si="85"/>
        <v>16750489.724475697</v>
      </c>
      <c r="BL63" s="26">
        <f t="shared" si="85"/>
        <v>16730664.29049118</v>
      </c>
      <c r="BM63" s="26">
        <f t="shared" si="85"/>
        <v>16710744.579298742</v>
      </c>
      <c r="BN63" s="26">
        <f t="shared" ref="BN63:CF63" si="86">SUM(BN58:BN61)</f>
        <v>16690730.142575689</v>
      </c>
      <c r="BO63" s="26">
        <f t="shared" si="86"/>
        <v>0</v>
      </c>
      <c r="BP63" s="26">
        <f t="shared" si="86"/>
        <v>0</v>
      </c>
      <c r="BQ63" s="26">
        <f t="shared" si="86"/>
        <v>0</v>
      </c>
      <c r="BR63" s="26">
        <f t="shared" si="86"/>
        <v>0</v>
      </c>
      <c r="BS63" s="26">
        <f t="shared" si="86"/>
        <v>0</v>
      </c>
      <c r="BT63" s="26">
        <f t="shared" si="86"/>
        <v>0</v>
      </c>
      <c r="BU63" s="26">
        <f t="shared" si="86"/>
        <v>0</v>
      </c>
      <c r="BV63" s="26">
        <f t="shared" si="86"/>
        <v>0</v>
      </c>
      <c r="BW63" s="26">
        <f t="shared" si="86"/>
        <v>0</v>
      </c>
      <c r="BX63" s="26">
        <f t="shared" si="86"/>
        <v>0</v>
      </c>
      <c r="BY63" s="26">
        <f t="shared" si="86"/>
        <v>0</v>
      </c>
      <c r="BZ63" s="26">
        <f t="shared" si="86"/>
        <v>0</v>
      </c>
      <c r="CA63" s="26">
        <f t="shared" si="86"/>
        <v>0</v>
      </c>
      <c r="CB63" s="26">
        <f t="shared" si="86"/>
        <v>0</v>
      </c>
      <c r="CC63" s="26">
        <f t="shared" si="86"/>
        <v>0</v>
      </c>
      <c r="CD63" s="26">
        <f t="shared" si="86"/>
        <v>0</v>
      </c>
      <c r="CE63" s="26">
        <f t="shared" si="86"/>
        <v>0</v>
      </c>
      <c r="CF63" s="26">
        <f t="shared" si="86"/>
        <v>0</v>
      </c>
      <c r="CG63" s="26">
        <f t="shared" ref="CG63:CV63" si="87">SUM(CG58:CG61)</f>
        <v>0</v>
      </c>
      <c r="CH63" s="26">
        <f t="shared" si="87"/>
        <v>0</v>
      </c>
      <c r="CI63" s="26">
        <f t="shared" si="87"/>
        <v>0</v>
      </c>
      <c r="CJ63" s="26">
        <f t="shared" si="87"/>
        <v>0</v>
      </c>
      <c r="CK63" s="26">
        <f t="shared" si="87"/>
        <v>0</v>
      </c>
      <c r="CL63" s="26">
        <f t="shared" si="87"/>
        <v>0</v>
      </c>
      <c r="CM63" s="26">
        <f t="shared" si="87"/>
        <v>0</v>
      </c>
      <c r="CN63" s="26">
        <f t="shared" si="87"/>
        <v>0</v>
      </c>
      <c r="CO63" s="26">
        <f t="shared" si="87"/>
        <v>0</v>
      </c>
      <c r="CP63" s="26">
        <f t="shared" si="87"/>
        <v>0</v>
      </c>
      <c r="CQ63" s="26">
        <f t="shared" si="87"/>
        <v>0</v>
      </c>
      <c r="CR63" s="26">
        <f t="shared" si="87"/>
        <v>0</v>
      </c>
      <c r="CS63" s="26">
        <f t="shared" si="87"/>
        <v>0</v>
      </c>
      <c r="CT63" s="26">
        <f t="shared" si="87"/>
        <v>0</v>
      </c>
      <c r="CU63" s="26">
        <f t="shared" si="87"/>
        <v>0</v>
      </c>
      <c r="CV63" s="26">
        <f t="shared" si="87"/>
        <v>0</v>
      </c>
      <c r="CW63" s="26">
        <f t="shared" ref="CW63:EI63" si="88">SUM(CW58:CW61)</f>
        <v>0</v>
      </c>
      <c r="CX63" s="26">
        <f t="shared" si="88"/>
        <v>0</v>
      </c>
      <c r="CY63" s="26">
        <f t="shared" si="88"/>
        <v>0</v>
      </c>
      <c r="CZ63" s="26">
        <f t="shared" si="88"/>
        <v>0</v>
      </c>
      <c r="DA63" s="26">
        <f t="shared" si="88"/>
        <v>0</v>
      </c>
      <c r="DB63" s="26">
        <f t="shared" si="88"/>
        <v>0</v>
      </c>
      <c r="DC63" s="26">
        <f t="shared" si="88"/>
        <v>0</v>
      </c>
      <c r="DD63" s="26">
        <f t="shared" si="88"/>
        <v>0</v>
      </c>
      <c r="DE63" s="26">
        <f t="shared" si="88"/>
        <v>0</v>
      </c>
      <c r="DF63" s="26">
        <f t="shared" si="88"/>
        <v>0</v>
      </c>
      <c r="DG63" s="26">
        <f t="shared" si="88"/>
        <v>0</v>
      </c>
      <c r="DH63" s="26">
        <f t="shared" si="88"/>
        <v>0</v>
      </c>
      <c r="DI63" s="26">
        <f t="shared" si="88"/>
        <v>0</v>
      </c>
      <c r="DJ63" s="26">
        <f t="shared" si="88"/>
        <v>0</v>
      </c>
      <c r="DK63" s="26">
        <f t="shared" si="88"/>
        <v>0</v>
      </c>
      <c r="DL63" s="26">
        <f t="shared" si="88"/>
        <v>0</v>
      </c>
      <c r="DM63" s="26">
        <f t="shared" si="88"/>
        <v>0</v>
      </c>
      <c r="DN63" s="26">
        <f t="shared" si="88"/>
        <v>0</v>
      </c>
      <c r="DO63" s="26">
        <f t="shared" si="88"/>
        <v>0</v>
      </c>
      <c r="DP63" s="26">
        <f t="shared" si="88"/>
        <v>0</v>
      </c>
      <c r="DQ63" s="26">
        <f t="shared" si="88"/>
        <v>0</v>
      </c>
      <c r="DR63" s="26">
        <f t="shared" si="88"/>
        <v>0</v>
      </c>
      <c r="DS63" s="26">
        <f t="shared" si="88"/>
        <v>0</v>
      </c>
      <c r="DT63" s="26">
        <f t="shared" si="88"/>
        <v>0</v>
      </c>
      <c r="DU63" s="26">
        <f t="shared" si="88"/>
        <v>0</v>
      </c>
      <c r="DV63" s="26">
        <f t="shared" si="88"/>
        <v>0</v>
      </c>
      <c r="DW63" s="26">
        <f t="shared" si="88"/>
        <v>0</v>
      </c>
      <c r="DX63" s="26">
        <f t="shared" si="88"/>
        <v>0</v>
      </c>
      <c r="DY63" s="26">
        <f t="shared" si="88"/>
        <v>0</v>
      </c>
      <c r="DZ63" s="26">
        <f t="shared" si="88"/>
        <v>0</v>
      </c>
      <c r="EA63" s="26">
        <f t="shared" si="88"/>
        <v>0</v>
      </c>
      <c r="EB63" s="26">
        <f t="shared" si="88"/>
        <v>0</v>
      </c>
      <c r="EC63" s="26">
        <f t="shared" si="88"/>
        <v>0</v>
      </c>
      <c r="ED63" s="26">
        <f t="shared" si="88"/>
        <v>0</v>
      </c>
      <c r="EE63" s="26">
        <f t="shared" si="88"/>
        <v>0</v>
      </c>
      <c r="EF63" s="26">
        <f t="shared" si="88"/>
        <v>0</v>
      </c>
      <c r="EG63" s="26">
        <f t="shared" si="88"/>
        <v>0</v>
      </c>
      <c r="EH63" s="26">
        <f t="shared" si="88"/>
        <v>0</v>
      </c>
      <c r="EI63" s="26">
        <f t="shared" si="88"/>
        <v>0</v>
      </c>
      <c r="EM63" s="1" t="s">
        <v>178</v>
      </c>
    </row>
    <row r="64" spans="2:143" s="8" customFormat="1" x14ac:dyDescent="0.45"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M64" s="1"/>
    </row>
    <row r="65" spans="2:143" s="8" customFormat="1" x14ac:dyDescent="0.45">
      <c r="B65" s="41">
        <f>-SUMIFS(G65:EI65,G65:EI65,"&lt;0")</f>
        <v>6344243.785970591</v>
      </c>
      <c r="D65" s="132" t="s">
        <v>163</v>
      </c>
      <c r="E65" s="133"/>
      <c r="F65" s="133"/>
      <c r="G65" s="134">
        <f t="shared" ref="G65:AL65" si="89">SUM(-G51,G54:G55,-G62,G60:G61)</f>
        <v>-5340556.2753367089</v>
      </c>
      <c r="H65" s="134">
        <f t="shared" si="89"/>
        <v>-569804.32988103991</v>
      </c>
      <c r="I65" s="134">
        <f t="shared" si="89"/>
        <v>-23000.084770252099</v>
      </c>
      <c r="J65" s="134">
        <f t="shared" si="89"/>
        <v>-22797.632163189854</v>
      </c>
      <c r="K65" s="134">
        <f t="shared" si="89"/>
        <v>-25138.056482749358</v>
      </c>
      <c r="L65" s="134">
        <f>SUM(-L51,L54:L55,-L62,L60:L61)</f>
        <v>-90096.793688026431</v>
      </c>
      <c r="M65" s="134">
        <f t="shared" si="89"/>
        <v>-55903.983695067538</v>
      </c>
      <c r="N65" s="134">
        <f t="shared" si="89"/>
        <v>-28621.80292063862</v>
      </c>
      <c r="O65" s="134">
        <f t="shared" si="89"/>
        <v>-26498.426952647682</v>
      </c>
      <c r="P65" s="134">
        <f t="shared" si="89"/>
        <v>-24336.988402844778</v>
      </c>
      <c r="Q65" s="134">
        <f t="shared" si="89"/>
        <v>-44437.853922404611</v>
      </c>
      <c r="R65" s="134">
        <f t="shared" si="89"/>
        <v>-22149.030540580876</v>
      </c>
      <c r="S65" s="134">
        <f t="shared" si="89"/>
        <v>-12480.128874373666</v>
      </c>
      <c r="T65" s="134">
        <f t="shared" si="89"/>
        <v>-8904.4082025057469</v>
      </c>
      <c r="U65" s="134">
        <f t="shared" si="89"/>
        <v>-5395.9723528621962</v>
      </c>
      <c r="V65" s="134">
        <f t="shared" si="89"/>
        <v>-2477.3834220336248</v>
      </c>
      <c r="W65" s="134">
        <f t="shared" si="89"/>
        <v>-449.08010653081146</v>
      </c>
      <c r="X65" s="134">
        <f t="shared" si="89"/>
        <v>-459.62238643601086</v>
      </c>
      <c r="Y65" s="134">
        <f t="shared" si="89"/>
        <v>-871.27666593259164</v>
      </c>
      <c r="Z65" s="134">
        <f t="shared" si="89"/>
        <v>-432.74456733686202</v>
      </c>
      <c r="AA65" s="134">
        <f t="shared" si="89"/>
        <v>-353.06197942024119</v>
      </c>
      <c r="AB65" s="134">
        <f t="shared" si="89"/>
        <v>3300.1774115721055</v>
      </c>
      <c r="AC65" s="134">
        <f t="shared" si="89"/>
        <v>8759.3818019891914</v>
      </c>
      <c r="AD65" s="134">
        <f t="shared" si="89"/>
        <v>12982.802301877402</v>
      </c>
      <c r="AE65" s="134">
        <f t="shared" si="89"/>
        <v>-39078.848657008006</v>
      </c>
      <c r="AF65" s="134">
        <f t="shared" si="89"/>
        <v>21337.220022338552</v>
      </c>
      <c r="AG65" s="134">
        <f t="shared" si="89"/>
        <v>19015.164821339305</v>
      </c>
      <c r="AH65" s="134">
        <f t="shared" si="89"/>
        <v>19958.153016681776</v>
      </c>
      <c r="AI65" s="134">
        <f t="shared" si="89"/>
        <v>27001.926192569576</v>
      </c>
      <c r="AJ65" s="134">
        <f t="shared" si="89"/>
        <v>34074.135070553093</v>
      </c>
      <c r="AK65" s="134">
        <f t="shared" si="89"/>
        <v>41174.866683233398</v>
      </c>
      <c r="AL65" s="134">
        <f t="shared" si="89"/>
        <v>43607.728141871296</v>
      </c>
      <c r="AM65" s="134">
        <f t="shared" ref="AM65:BR65" si="90">SUM(-AM51,AM54:AM55,-AM62,AM60:AM61)</f>
        <v>43875.133477684954</v>
      </c>
      <c r="AN65" s="134">
        <f t="shared" si="90"/>
        <v>9038.365024571649</v>
      </c>
      <c r="AO65" s="134">
        <f t="shared" si="90"/>
        <v>51423.838813546288</v>
      </c>
      <c r="AP65" s="134">
        <f t="shared" si="90"/>
        <v>51692.962408230829</v>
      </c>
      <c r="AQ65" s="134">
        <f t="shared" si="90"/>
        <v>7241526.2094415054</v>
      </c>
      <c r="AR65" s="134">
        <f t="shared" si="90"/>
        <v>25680.855176416786</v>
      </c>
      <c r="AS65" s="134">
        <f t="shared" si="90"/>
        <v>25951.708030902664</v>
      </c>
      <c r="AT65" s="134">
        <f t="shared" si="90"/>
        <v>26223.139762054983</v>
      </c>
      <c r="AU65" s="134">
        <f t="shared" si="90"/>
        <v>26495.151602574522</v>
      </c>
      <c r="AV65" s="134">
        <f t="shared" si="90"/>
        <v>26767.744787769221</v>
      </c>
      <c r="AW65" s="134">
        <f t="shared" si="90"/>
        <v>27040.920555560286</v>
      </c>
      <c r="AX65" s="134">
        <f t="shared" si="90"/>
        <v>27314.680146489343</v>
      </c>
      <c r="AY65" s="134">
        <f t="shared" si="90"/>
        <v>27589.024803720811</v>
      </c>
      <c r="AZ65" s="134">
        <f t="shared" si="90"/>
        <v>27863.95577305133</v>
      </c>
      <c r="BA65" s="134">
        <f t="shared" si="90"/>
        <v>28139.474302912338</v>
      </c>
      <c r="BB65" s="134">
        <f t="shared" si="90"/>
        <v>28415.581644375881</v>
      </c>
      <c r="BC65" s="134">
        <f t="shared" si="90"/>
        <v>28692.279051161324</v>
      </c>
      <c r="BD65" s="134">
        <f t="shared" si="90"/>
        <v>28969.567779641238</v>
      </c>
      <c r="BE65" s="134">
        <f t="shared" si="90"/>
        <v>29247.449088844998</v>
      </c>
      <c r="BF65" s="134">
        <f t="shared" si="90"/>
        <v>29525.924240465924</v>
      </c>
      <c r="BG65" s="134">
        <f t="shared" si="90"/>
        <v>29804.994498866909</v>
      </c>
      <c r="BH65" s="134">
        <f t="shared" si="90"/>
        <v>30084.661131085188</v>
      </c>
      <c r="BI65" s="134">
        <f t="shared" si="90"/>
        <v>30364.925406838182</v>
      </c>
      <c r="BJ65" s="134">
        <f t="shared" si="90"/>
        <v>30645.788598530118</v>
      </c>
      <c r="BK65" s="134">
        <f t="shared" si="90"/>
        <v>30927.251981256042</v>
      </c>
      <c r="BL65" s="134">
        <f t="shared" si="90"/>
        <v>31209.316832808978</v>
      </c>
      <c r="BM65" s="134">
        <f t="shared" si="90"/>
        <v>31491.98443368536</v>
      </c>
      <c r="BN65" s="134">
        <f t="shared" si="90"/>
        <v>31775.25606708898</v>
      </c>
      <c r="BO65" s="134">
        <f t="shared" si="90"/>
        <v>9688616.9496053997</v>
      </c>
      <c r="BP65" s="134">
        <f t="shared" si="90"/>
        <v>0</v>
      </c>
      <c r="BQ65" s="134">
        <f t="shared" si="90"/>
        <v>0</v>
      </c>
      <c r="BR65" s="134">
        <f t="shared" si="90"/>
        <v>0</v>
      </c>
      <c r="BS65" s="134">
        <f t="shared" ref="BS65:CV65" si="91">SUM(-BS51,BS54:BS55,-BS62,BS60:BS61)</f>
        <v>0</v>
      </c>
      <c r="BT65" s="134">
        <f t="shared" si="91"/>
        <v>0</v>
      </c>
      <c r="BU65" s="134">
        <f t="shared" si="91"/>
        <v>0</v>
      </c>
      <c r="BV65" s="134">
        <f t="shared" si="91"/>
        <v>0</v>
      </c>
      <c r="BW65" s="134">
        <f t="shared" si="91"/>
        <v>0</v>
      </c>
      <c r="BX65" s="134">
        <f t="shared" si="91"/>
        <v>0</v>
      </c>
      <c r="BY65" s="134">
        <f t="shared" si="91"/>
        <v>0</v>
      </c>
      <c r="BZ65" s="134">
        <f t="shared" si="91"/>
        <v>0</v>
      </c>
      <c r="CA65" s="134">
        <f t="shared" si="91"/>
        <v>0</v>
      </c>
      <c r="CB65" s="134">
        <f t="shared" si="91"/>
        <v>0</v>
      </c>
      <c r="CC65" s="134">
        <f t="shared" si="91"/>
        <v>0</v>
      </c>
      <c r="CD65" s="134">
        <f t="shared" si="91"/>
        <v>0</v>
      </c>
      <c r="CE65" s="134">
        <f t="shared" si="91"/>
        <v>0</v>
      </c>
      <c r="CF65" s="134">
        <f t="shared" si="91"/>
        <v>0</v>
      </c>
      <c r="CG65" s="134">
        <f t="shared" si="91"/>
        <v>0</v>
      </c>
      <c r="CH65" s="134">
        <f t="shared" si="91"/>
        <v>0</v>
      </c>
      <c r="CI65" s="134">
        <f t="shared" si="91"/>
        <v>0</v>
      </c>
      <c r="CJ65" s="134">
        <f t="shared" si="91"/>
        <v>0</v>
      </c>
      <c r="CK65" s="134">
        <f t="shared" si="91"/>
        <v>0</v>
      </c>
      <c r="CL65" s="134">
        <f t="shared" si="91"/>
        <v>0</v>
      </c>
      <c r="CM65" s="134">
        <f t="shared" si="91"/>
        <v>0</v>
      </c>
      <c r="CN65" s="134">
        <f t="shared" si="91"/>
        <v>0</v>
      </c>
      <c r="CO65" s="134">
        <f t="shared" si="91"/>
        <v>0</v>
      </c>
      <c r="CP65" s="134">
        <f t="shared" si="91"/>
        <v>0</v>
      </c>
      <c r="CQ65" s="134">
        <f t="shared" si="91"/>
        <v>0</v>
      </c>
      <c r="CR65" s="134">
        <f t="shared" si="91"/>
        <v>0</v>
      </c>
      <c r="CS65" s="134">
        <f t="shared" si="91"/>
        <v>0</v>
      </c>
      <c r="CT65" s="134">
        <f t="shared" si="91"/>
        <v>0</v>
      </c>
      <c r="CU65" s="134">
        <f t="shared" si="91"/>
        <v>0</v>
      </c>
      <c r="CV65" s="134">
        <f t="shared" si="91"/>
        <v>0</v>
      </c>
      <c r="CW65" s="134">
        <f t="shared" ref="CW65:EI65" si="92">SUM(-CW51,CW54:CW55,-CW62,CW60:CW61)</f>
        <v>0</v>
      </c>
      <c r="CX65" s="134">
        <f t="shared" si="92"/>
        <v>0</v>
      </c>
      <c r="CY65" s="134">
        <f t="shared" si="92"/>
        <v>0</v>
      </c>
      <c r="CZ65" s="134">
        <f t="shared" si="92"/>
        <v>0</v>
      </c>
      <c r="DA65" s="134">
        <f t="shared" si="92"/>
        <v>0</v>
      </c>
      <c r="DB65" s="134">
        <f t="shared" si="92"/>
        <v>0</v>
      </c>
      <c r="DC65" s="134">
        <f t="shared" si="92"/>
        <v>0</v>
      </c>
      <c r="DD65" s="134">
        <f t="shared" si="92"/>
        <v>0</v>
      </c>
      <c r="DE65" s="134">
        <f t="shared" si="92"/>
        <v>0</v>
      </c>
      <c r="DF65" s="134">
        <f t="shared" si="92"/>
        <v>0</v>
      </c>
      <c r="DG65" s="134">
        <f t="shared" si="92"/>
        <v>0</v>
      </c>
      <c r="DH65" s="134">
        <f t="shared" si="92"/>
        <v>0</v>
      </c>
      <c r="DI65" s="134">
        <f t="shared" si="92"/>
        <v>0</v>
      </c>
      <c r="DJ65" s="134">
        <f t="shared" si="92"/>
        <v>0</v>
      </c>
      <c r="DK65" s="134">
        <f t="shared" si="92"/>
        <v>0</v>
      </c>
      <c r="DL65" s="134">
        <f t="shared" si="92"/>
        <v>0</v>
      </c>
      <c r="DM65" s="134">
        <f t="shared" si="92"/>
        <v>0</v>
      </c>
      <c r="DN65" s="134">
        <f t="shared" si="92"/>
        <v>0</v>
      </c>
      <c r="DO65" s="134">
        <f t="shared" si="92"/>
        <v>0</v>
      </c>
      <c r="DP65" s="134">
        <f t="shared" si="92"/>
        <v>0</v>
      </c>
      <c r="DQ65" s="134">
        <f t="shared" si="92"/>
        <v>0</v>
      </c>
      <c r="DR65" s="134">
        <f t="shared" si="92"/>
        <v>0</v>
      </c>
      <c r="DS65" s="134">
        <f t="shared" si="92"/>
        <v>0</v>
      </c>
      <c r="DT65" s="134">
        <f t="shared" si="92"/>
        <v>0</v>
      </c>
      <c r="DU65" s="134">
        <f t="shared" si="92"/>
        <v>0</v>
      </c>
      <c r="DV65" s="134">
        <f t="shared" si="92"/>
        <v>0</v>
      </c>
      <c r="DW65" s="134">
        <f t="shared" si="92"/>
        <v>0</v>
      </c>
      <c r="DX65" s="134">
        <f t="shared" si="92"/>
        <v>0</v>
      </c>
      <c r="DY65" s="134">
        <f t="shared" si="92"/>
        <v>0</v>
      </c>
      <c r="DZ65" s="134">
        <f t="shared" si="92"/>
        <v>0</v>
      </c>
      <c r="EA65" s="134">
        <f t="shared" si="92"/>
        <v>0</v>
      </c>
      <c r="EB65" s="134">
        <f t="shared" si="92"/>
        <v>0</v>
      </c>
      <c r="EC65" s="134">
        <f t="shared" si="92"/>
        <v>0</v>
      </c>
      <c r="ED65" s="134">
        <f t="shared" si="92"/>
        <v>0</v>
      </c>
      <c r="EE65" s="134">
        <f t="shared" si="92"/>
        <v>0</v>
      </c>
      <c r="EF65" s="134">
        <f t="shared" si="92"/>
        <v>0</v>
      </c>
      <c r="EG65" s="134">
        <f t="shared" si="92"/>
        <v>0</v>
      </c>
      <c r="EH65" s="134">
        <f t="shared" si="92"/>
        <v>0</v>
      </c>
      <c r="EI65" s="134">
        <f t="shared" si="92"/>
        <v>0</v>
      </c>
      <c r="EM65" s="1" t="s">
        <v>178</v>
      </c>
    </row>
    <row r="66" spans="2:143" x14ac:dyDescent="0.45">
      <c r="B66" s="24">
        <f>+G66</f>
        <v>-6794409.477995934</v>
      </c>
      <c r="D66" s="129" t="s">
        <v>141</v>
      </c>
      <c r="G66" s="130">
        <f>SUM(B51:B51)</f>
        <v>-6794409.477995934</v>
      </c>
      <c r="H66" s="222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19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M66" s="1" t="s">
        <v>178</v>
      </c>
    </row>
    <row r="67" spans="2:143" x14ac:dyDescent="0.45">
      <c r="B67" s="24">
        <f>+G67</f>
        <v>11183197.171935132</v>
      </c>
      <c r="D67" s="129" t="s">
        <v>142</v>
      </c>
      <c r="G67" s="130">
        <f>SUMIF(G65:EI65,"&gt;0",G65:EI65)+G66</f>
        <v>11183197.171935132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M67" s="1" t="s">
        <v>178</v>
      </c>
    </row>
    <row r="68" spans="2:143" x14ac:dyDescent="0.45">
      <c r="D68" s="129" t="s">
        <v>164</v>
      </c>
      <c r="G68" s="156">
        <f>XIRR(G65:EI65,$G$2:$EI$2)</f>
        <v>0.30392408967018125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19"/>
      <c r="AS68" s="24"/>
      <c r="AT68" s="24"/>
      <c r="AU68" s="24"/>
      <c r="AV68" s="24"/>
      <c r="AW68" s="24"/>
      <c r="AX68" s="24"/>
      <c r="AY68" s="185"/>
      <c r="AZ68" s="185"/>
      <c r="BA68" s="185"/>
      <c r="BB68" s="185"/>
      <c r="BC68" s="185"/>
      <c r="BD68" s="185"/>
      <c r="BE68" s="185"/>
      <c r="BF68" s="185"/>
      <c r="BG68" s="185"/>
      <c r="BH68" s="185"/>
      <c r="BI68" s="185"/>
      <c r="BJ68" s="185"/>
      <c r="BK68" s="185"/>
      <c r="BL68" s="185"/>
      <c r="BM68" s="185"/>
      <c r="BN68" s="185"/>
      <c r="BO68" s="185"/>
      <c r="BP68" s="185"/>
      <c r="BQ68" s="185"/>
      <c r="BR68" s="185"/>
      <c r="BS68" s="185"/>
      <c r="BT68" s="185"/>
      <c r="BU68" s="185"/>
      <c r="BV68" s="185"/>
      <c r="BW68" s="185"/>
      <c r="BX68" s="185"/>
      <c r="BY68" s="185"/>
      <c r="BZ68" s="185"/>
      <c r="CA68" s="185"/>
      <c r="CB68" s="185"/>
      <c r="CC68" s="185"/>
      <c r="CD68" s="185"/>
      <c r="CE68" s="185"/>
      <c r="CF68" s="185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M68" s="1" t="s">
        <v>178</v>
      </c>
    </row>
    <row r="69" spans="2:143" x14ac:dyDescent="0.45">
      <c r="D69" s="131" t="s">
        <v>165</v>
      </c>
      <c r="E69" s="2"/>
      <c r="F69" s="2"/>
      <c r="G69" s="157">
        <f>-(G67-G66)/G66</f>
        <v>2.6459410060804438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M69" s="1" t="s">
        <v>178</v>
      </c>
    </row>
    <row r="70" spans="2:143" x14ac:dyDescent="0.45"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M70" s="1" t="s">
        <v>178</v>
      </c>
    </row>
    <row r="71" spans="2:143" x14ac:dyDescent="0.45"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M71" s="1" t="s">
        <v>178</v>
      </c>
    </row>
    <row r="72" spans="2:143" x14ac:dyDescent="0.45">
      <c r="D72" s="1" t="s">
        <v>40</v>
      </c>
      <c r="G72" s="40">
        <f>IFERROR(INDEX('1-month Term SOFR'!$Q$12:$Q$132,MATCH(Model!G$2,'1-month Term SOFR'!$O$12:$O$132,0)),F72)</f>
        <v>4.1257700000000001E-2</v>
      </c>
      <c r="H72" s="40">
        <f>IFERROR(INDEX('1-month Term SOFR'!$Q$12:$Q$132,MATCH(Model!H$2,'1-month Term SOFR'!$O$12:$O$132,0)),G72)</f>
        <v>4.0362500000000003E-2</v>
      </c>
      <c r="I72" s="40">
        <f>IFERROR(INDEX('1-month Term SOFR'!$Q$12:$Q$132,MATCH(Model!I$2,'1-month Term SOFR'!$O$12:$O$132,0)),H72)</f>
        <v>3.9592599999999999E-2</v>
      </c>
      <c r="J72" s="40">
        <f>IFERROR(INDEX('1-month Term SOFR'!$Q$12:$Q$132,MATCH(Model!J$2,'1-month Term SOFR'!$O$12:$O$132,0)),I72)</f>
        <v>3.8102499999999997E-2</v>
      </c>
      <c r="K72" s="40">
        <f>IFERROR(INDEX('1-month Term SOFR'!$Q$12:$Q$132,MATCH(Model!K$2,'1-month Term SOFR'!$O$12:$O$132,0)),J72)</f>
        <v>3.78538E-2</v>
      </c>
      <c r="L72" s="40">
        <f>IFERROR(INDEX('1-month Term SOFR'!$Q$12:$Q$132,MATCH(Model!L$2,'1-month Term SOFR'!$O$12:$O$132,0)),K72)</f>
        <v>3.7851799999999998E-2</v>
      </c>
      <c r="M72" s="40">
        <f>IFERROR(INDEX('1-month Term SOFR'!$Q$12:$Q$132,MATCH(Model!M$2,'1-month Term SOFR'!$O$12:$O$132,0)),L72)</f>
        <v>3.6711399999999998E-2</v>
      </c>
      <c r="N72" s="40">
        <f>IFERROR(INDEX('1-month Term SOFR'!$Q$12:$Q$132,MATCH(Model!N$2,'1-month Term SOFR'!$O$12:$O$132,0)),M72)</f>
        <v>3.6445499999999999E-2</v>
      </c>
      <c r="O72" s="40">
        <f>IFERROR(INDEX('1-month Term SOFR'!$Q$12:$Q$132,MATCH(Model!O$2,'1-month Term SOFR'!$O$12:$O$132,0)),N72)</f>
        <v>3.644E-2</v>
      </c>
      <c r="P72" s="40">
        <f>IFERROR(INDEX('1-month Term SOFR'!$Q$12:$Q$132,MATCH(Model!P$2,'1-month Term SOFR'!$O$12:$O$132,0)),O72)</f>
        <v>3.5883900000000003E-2</v>
      </c>
      <c r="Q72" s="40">
        <f>IFERROR(INDEX('1-month Term SOFR'!$Q$12:$Q$132,MATCH(Model!Q$2,'1-month Term SOFR'!$O$12:$O$132,0)),P72)</f>
        <v>3.5726399999999998E-2</v>
      </c>
      <c r="R72" s="40">
        <f>IFERROR(INDEX('1-month Term SOFR'!$Q$12:$Q$132,MATCH(Model!R$2,'1-month Term SOFR'!$O$12:$O$132,0)),Q72)</f>
        <v>3.5728200000000002E-2</v>
      </c>
      <c r="S72" s="40">
        <f>IFERROR(INDEX('1-month Term SOFR'!$Q$12:$Q$132,MATCH(Model!S$2,'1-month Term SOFR'!$O$12:$O$132,0)),R72)</f>
        <v>3.5572600000000003E-2</v>
      </c>
      <c r="T72" s="40">
        <f>IFERROR(INDEX('1-month Term SOFR'!$Q$12:$Q$132,MATCH(Model!T$2,'1-month Term SOFR'!$O$12:$O$132,0)),S72)</f>
        <v>3.5496800000000002E-2</v>
      </c>
      <c r="U72" s="40">
        <f>IFERROR(INDEX('1-month Term SOFR'!$Q$12:$Q$132,MATCH(Model!U$2,'1-month Term SOFR'!$O$12:$O$132,0)),T72)</f>
        <v>3.5473600000000001E-2</v>
      </c>
      <c r="V72" s="40">
        <f>IFERROR(INDEX('1-month Term SOFR'!$Q$12:$Q$132,MATCH(Model!V$2,'1-month Term SOFR'!$O$12:$O$132,0)),U72)</f>
        <v>3.5467800000000001E-2</v>
      </c>
      <c r="W72" s="40">
        <f>IFERROR(INDEX('1-month Term SOFR'!$Q$12:$Q$132,MATCH(Model!W$2,'1-month Term SOFR'!$O$12:$O$132,0)),V72)</f>
        <v>3.54767E-2</v>
      </c>
      <c r="X72" s="40">
        <f>IFERROR(INDEX('1-month Term SOFR'!$Q$12:$Q$132,MATCH(Model!X$2,'1-month Term SOFR'!$O$12:$O$132,0)),W72)</f>
        <v>3.5506299999999998E-2</v>
      </c>
      <c r="Y72" s="40">
        <f>IFERROR(INDEX('1-month Term SOFR'!$Q$12:$Q$132,MATCH(Model!Y$2,'1-month Term SOFR'!$O$12:$O$132,0)),X72)</f>
        <v>3.5545899999999998E-2</v>
      </c>
      <c r="Z72" s="40">
        <f>IFERROR(INDEX('1-month Term SOFR'!$Q$12:$Q$132,MATCH(Model!Z$2,'1-month Term SOFR'!$O$12:$O$132,0)),Y72)</f>
        <v>3.5608000000000001E-2</v>
      </c>
      <c r="AA72" s="40">
        <f>IFERROR(INDEX('1-month Term SOFR'!$Q$12:$Q$132,MATCH(Model!AA$2,'1-month Term SOFR'!$O$12:$O$132,0)),Z72)</f>
        <v>3.5678099999999997E-2</v>
      </c>
      <c r="AB72" s="40">
        <f>IFERROR(INDEX('1-month Term SOFR'!$Q$12:$Q$132,MATCH(Model!AB$2,'1-month Term SOFR'!$O$12:$O$132,0)),AA72)</f>
        <v>3.5775300000000003E-2</v>
      </c>
      <c r="AC72" s="40">
        <f>IFERROR(INDEX('1-month Term SOFR'!$Q$12:$Q$132,MATCH(Model!AC$2,'1-month Term SOFR'!$O$12:$O$132,0)),AB72)</f>
        <v>3.5866599999999998E-2</v>
      </c>
      <c r="AD72" s="40">
        <f>IFERROR(INDEX('1-month Term SOFR'!$Q$12:$Q$132,MATCH(Model!AD$2,'1-month Term SOFR'!$O$12:$O$132,0)),AC72)</f>
        <v>3.5957900000000001E-2</v>
      </c>
      <c r="AE72" s="40">
        <f>IFERROR(INDEX('1-month Term SOFR'!$Q$12:$Q$132,MATCH(Model!AE$2,'1-month Term SOFR'!$O$12:$O$132,0)),AD72)</f>
        <v>3.6051E-2</v>
      </c>
      <c r="AF72" s="40">
        <f>IFERROR(INDEX('1-month Term SOFR'!$Q$12:$Q$132,MATCH(Model!AF$2,'1-month Term SOFR'!$O$12:$O$132,0)),AE72)</f>
        <v>3.61432E-2</v>
      </c>
      <c r="AG72" s="40">
        <f>IFERROR(INDEX('1-month Term SOFR'!$Q$12:$Q$132,MATCH(Model!AG$2,'1-month Term SOFR'!$O$12:$O$132,0)),AF72)</f>
        <v>3.6238100000000002E-2</v>
      </c>
      <c r="AH72" s="40">
        <f>IFERROR(INDEX('1-month Term SOFR'!$Q$12:$Q$132,MATCH(Model!AH$2,'1-month Term SOFR'!$O$12:$O$132,0)),AG72)</f>
        <v>3.6324500000000003E-2</v>
      </c>
      <c r="AI72" s="40">
        <f>IFERROR(INDEX('1-month Term SOFR'!$Q$12:$Q$132,MATCH(Model!AI$2,'1-month Term SOFR'!$O$12:$O$132,0)),AH72)</f>
        <v>3.6411399999999997E-2</v>
      </c>
      <c r="AJ72" s="40">
        <f>IFERROR(INDEX('1-month Term SOFR'!$Q$12:$Q$132,MATCH(Model!AJ$2,'1-month Term SOFR'!$O$12:$O$132,0)),AI72)</f>
        <v>3.6499999999999998E-2</v>
      </c>
      <c r="AK72" s="40">
        <f>IFERROR(INDEX('1-month Term SOFR'!$Q$12:$Q$132,MATCH(Model!AK$2,'1-month Term SOFR'!$O$12:$O$132,0)),AJ72)</f>
        <v>3.6587700000000001E-2</v>
      </c>
      <c r="AL72" s="40">
        <f>IFERROR(INDEX('1-month Term SOFR'!$Q$12:$Q$132,MATCH(Model!AL$2,'1-month Term SOFR'!$O$12:$O$132,0)),AK72)</f>
        <v>3.6668899999999997E-2</v>
      </c>
      <c r="AM72" s="40">
        <f>IFERROR(INDEX('1-month Term SOFR'!$Q$12:$Q$132,MATCH(Model!AM$2,'1-month Term SOFR'!$O$12:$O$132,0)),AL72)</f>
        <v>3.6754799999999997E-2</v>
      </c>
      <c r="AN72" s="40">
        <f>IFERROR(INDEX('1-month Term SOFR'!$Q$12:$Q$132,MATCH(Model!AN$2,'1-month Term SOFR'!$O$12:$O$132,0)),AM72)</f>
        <v>3.6839299999999998E-2</v>
      </c>
      <c r="AO72" s="40">
        <f>IFERROR(INDEX('1-month Term SOFR'!$Q$12:$Q$132,MATCH(Model!AO$2,'1-month Term SOFR'!$O$12:$O$132,0)),AN72)</f>
        <v>3.6912300000000002E-2</v>
      </c>
      <c r="AP72" s="40">
        <f>IFERROR(INDEX('1-month Term SOFR'!$Q$12:$Q$132,MATCH(Model!AP$2,'1-month Term SOFR'!$O$12:$O$132,0)),AO72)</f>
        <v>3.6993999999999999E-2</v>
      </c>
      <c r="AQ72" s="40">
        <f>IFERROR(INDEX('1-month Term SOFR'!$Q$12:$Q$132,MATCH(Model!AQ$2,'1-month Term SOFR'!$O$12:$O$132,0)),AP72)</f>
        <v>3.7064399999999997E-2</v>
      </c>
      <c r="AR72" s="40">
        <f>IFERROR(INDEX('1-month Term SOFR'!$Q$12:$Q$132,MATCH(Model!AR$2,'1-month Term SOFR'!$O$12:$O$132,0)),AQ72)</f>
        <v>3.71335E-2</v>
      </c>
      <c r="AS72" s="40">
        <f>IFERROR(INDEX('1-month Term SOFR'!$Q$12:$Q$132,MATCH(Model!AS$2,'1-month Term SOFR'!$O$12:$O$132,0)),AR72)</f>
        <v>3.7200499999999997E-2</v>
      </c>
      <c r="AT72" s="40">
        <f>IFERROR(INDEX('1-month Term SOFR'!$Q$12:$Q$132,MATCH(Model!AT$2,'1-month Term SOFR'!$O$12:$O$132,0)),AS72)</f>
        <v>3.7261000000000002E-2</v>
      </c>
      <c r="AU72" s="40">
        <f>IFERROR(INDEX('1-month Term SOFR'!$Q$12:$Q$132,MATCH(Model!AU$2,'1-month Term SOFR'!$O$12:$O$132,0)),AT72)</f>
        <v>3.7327300000000001E-2</v>
      </c>
      <c r="AV72" s="40">
        <f>IFERROR(INDEX('1-month Term SOFR'!$Q$12:$Q$132,MATCH(Model!AV$2,'1-month Term SOFR'!$O$12:$O$132,0)),AU72)</f>
        <v>3.7378399999999999E-2</v>
      </c>
      <c r="AW72" s="40">
        <f>IFERROR(INDEX('1-month Term SOFR'!$Q$12:$Q$132,MATCH(Model!AW$2,'1-month Term SOFR'!$O$12:$O$132,0)),AV72)</f>
        <v>3.7428400000000001E-2</v>
      </c>
      <c r="AX72" s="40">
        <f>IFERROR(INDEX('1-month Term SOFR'!$Q$12:$Q$132,MATCH(Model!AX$2,'1-month Term SOFR'!$O$12:$O$132,0)),AW72)</f>
        <v>3.7479899999999997E-2</v>
      </c>
      <c r="AY72" s="40">
        <f>IFERROR(INDEX('1-month Term SOFR'!$Q$12:$Q$132,MATCH(Model!AY$2,'1-month Term SOFR'!$O$12:$O$132,0)),AX72)</f>
        <v>3.7515800000000002E-2</v>
      </c>
      <c r="AZ72" s="40">
        <f>IFERROR(INDEX('1-month Term SOFR'!$Q$12:$Q$132,MATCH(Model!AZ$2,'1-month Term SOFR'!$O$12:$O$132,0)),AY72)</f>
        <v>3.7561900000000002E-2</v>
      </c>
      <c r="BA72" s="40">
        <f>IFERROR(INDEX('1-month Term SOFR'!$Q$12:$Q$132,MATCH(Model!BA$2,'1-month Term SOFR'!$O$12:$O$132,0)),AZ72)</f>
        <v>3.7599800000000003E-2</v>
      </c>
      <c r="BB72" s="40">
        <f>IFERROR(INDEX('1-month Term SOFR'!$Q$12:$Q$132,MATCH(Model!BB$2,'1-month Term SOFR'!$O$12:$O$132,0)),BA72)</f>
        <v>3.7643299999999998E-2</v>
      </c>
      <c r="BC72" s="40">
        <f>IFERROR(INDEX('1-month Term SOFR'!$Q$12:$Q$132,MATCH(Model!BC$2,'1-month Term SOFR'!$O$12:$O$132,0)),BB72)</f>
        <v>3.76832E-2</v>
      </c>
      <c r="BD72" s="40">
        <f>IFERROR(INDEX('1-month Term SOFR'!$Q$12:$Q$132,MATCH(Model!BD$2,'1-month Term SOFR'!$O$12:$O$132,0)),BC72)</f>
        <v>3.7732599999999998E-2</v>
      </c>
      <c r="BE72" s="40">
        <f>IFERROR(INDEX('1-month Term SOFR'!$Q$12:$Q$132,MATCH(Model!BE$2,'1-month Term SOFR'!$O$12:$O$132,0)),BD72)</f>
        <v>3.7773099999999997E-2</v>
      </c>
      <c r="BF72" s="40">
        <f>IFERROR(INDEX('1-month Term SOFR'!$Q$12:$Q$132,MATCH(Model!BF$2,'1-month Term SOFR'!$O$12:$O$132,0)),BE72)</f>
        <v>3.7810999999999997E-2</v>
      </c>
      <c r="BG72" s="40">
        <f>IFERROR(INDEX('1-month Term SOFR'!$Q$12:$Q$132,MATCH(Model!BG$2,'1-month Term SOFR'!$O$12:$O$132,0)),BF72)</f>
        <v>3.7861300000000001E-2</v>
      </c>
      <c r="BH72" s="40">
        <f>IFERROR(INDEX('1-month Term SOFR'!$Q$12:$Q$132,MATCH(Model!BH$2,'1-month Term SOFR'!$O$12:$O$132,0)),BG72)</f>
        <v>3.7900000000000003E-2</v>
      </c>
      <c r="BI72" s="40">
        <f>IFERROR(INDEX('1-month Term SOFR'!$Q$12:$Q$132,MATCH(Model!BI$2,'1-month Term SOFR'!$O$12:$O$132,0)),BH72)</f>
        <v>3.7942700000000003E-2</v>
      </c>
      <c r="BJ72" s="40">
        <f>IFERROR(INDEX('1-month Term SOFR'!$Q$12:$Q$132,MATCH(Model!BJ$2,'1-month Term SOFR'!$O$12:$O$132,0)),BI72)</f>
        <v>3.7987199999999999E-2</v>
      </c>
      <c r="BK72" s="40">
        <f>IFERROR(INDEX('1-month Term SOFR'!$Q$12:$Q$132,MATCH(Model!BK$2,'1-month Term SOFR'!$O$12:$O$132,0)),BJ72)</f>
        <v>3.8023800000000003E-2</v>
      </c>
      <c r="BL72" s="40">
        <f>IFERROR(INDEX('1-month Term SOFR'!$Q$12:$Q$132,MATCH(Model!BL$2,'1-month Term SOFR'!$O$12:$O$132,0)),BK72)</f>
        <v>3.8072599999999998E-2</v>
      </c>
      <c r="BM72" s="40">
        <f>IFERROR(INDEX('1-month Term SOFR'!$Q$12:$Q$132,MATCH(Model!BM$2,'1-month Term SOFR'!$O$12:$O$132,0)),BL72)</f>
        <v>3.8119599999999997E-2</v>
      </c>
      <c r="BN72" s="40">
        <f>IFERROR(INDEX('1-month Term SOFR'!$Q$12:$Q$132,MATCH(Model!BN$2,'1-month Term SOFR'!$O$12:$O$132,0)),BM72)</f>
        <v>3.8161800000000003E-2</v>
      </c>
      <c r="BO72" s="40">
        <f>IFERROR(INDEX('1-month Term SOFR'!$Q$12:$Q$132,MATCH(Model!BO$2,'1-month Term SOFR'!$O$12:$O$132,0)),BN72)</f>
        <v>3.81991E-2</v>
      </c>
      <c r="BP72" s="40">
        <f>IFERROR(INDEX('1-month Term SOFR'!$Q$12:$Q$132,MATCH(Model!BP$2,'1-month Term SOFR'!$O$12:$O$132,0)),BO72)</f>
        <v>3.82452E-2</v>
      </c>
      <c r="BQ72" s="40">
        <f>IFERROR(INDEX('1-month Term SOFR'!$Q$12:$Q$132,MATCH(Model!BQ$2,'1-month Term SOFR'!$O$12:$O$132,0)),BP72)</f>
        <v>3.8285199999999998E-2</v>
      </c>
      <c r="BR72" s="40">
        <f>IFERROR(INDEX('1-month Term SOFR'!$Q$12:$Q$132,MATCH(Model!BR$2,'1-month Term SOFR'!$O$12:$O$132,0)),BQ72)</f>
        <v>3.83217E-2</v>
      </c>
      <c r="BS72" s="40">
        <f>IFERROR(INDEX('1-month Term SOFR'!$Q$12:$Q$132,MATCH(Model!BS$2,'1-month Term SOFR'!$O$12:$O$132,0)),BR72)</f>
        <v>3.83656E-2</v>
      </c>
      <c r="BT72" s="40">
        <f>IFERROR(INDEX('1-month Term SOFR'!$Q$12:$Q$132,MATCH(Model!BT$2,'1-month Term SOFR'!$O$12:$O$132,0)),BS72)</f>
        <v>3.84006E-2</v>
      </c>
      <c r="BU72" s="40">
        <f>IFERROR(INDEX('1-month Term SOFR'!$Q$12:$Q$132,MATCH(Model!BU$2,'1-month Term SOFR'!$O$12:$O$132,0)),BT72)</f>
        <v>3.8444399999999997E-2</v>
      </c>
      <c r="BV72" s="40">
        <f>IFERROR(INDEX('1-month Term SOFR'!$Q$12:$Q$132,MATCH(Model!BV$2,'1-month Term SOFR'!$O$12:$O$132,0)),BU72)</f>
        <v>3.8479100000000002E-2</v>
      </c>
      <c r="BW72" s="40">
        <f>IFERROR(INDEX('1-month Term SOFR'!$Q$12:$Q$132,MATCH(Model!BW$2,'1-month Term SOFR'!$O$12:$O$132,0)),BV72)</f>
        <v>3.8505600000000001E-2</v>
      </c>
      <c r="BX72" s="40">
        <f>IFERROR(INDEX('1-month Term SOFR'!$Q$12:$Q$132,MATCH(Model!BX$2,'1-month Term SOFR'!$O$12:$O$132,0)),BW72)</f>
        <v>3.8553999999999998E-2</v>
      </c>
      <c r="BY72" s="40">
        <f>IFERROR(INDEX('1-month Term SOFR'!$Q$12:$Q$132,MATCH(Model!BY$2,'1-month Term SOFR'!$O$12:$O$132,0)),BX72)</f>
        <v>3.8582199999999997E-2</v>
      </c>
      <c r="BZ72" s="40">
        <f>IFERROR(INDEX('1-month Term SOFR'!$Q$12:$Q$132,MATCH(Model!BZ$2,'1-month Term SOFR'!$O$12:$O$132,0)),BY72)</f>
        <v>3.86161E-2</v>
      </c>
      <c r="CA72" s="40">
        <f>IFERROR(INDEX('1-month Term SOFR'!$Q$12:$Q$132,MATCH(Model!CA$2,'1-month Term SOFR'!$O$12:$O$132,0)),BZ72)</f>
        <v>3.8646199999999999E-2</v>
      </c>
      <c r="CB72" s="40">
        <f>IFERROR(INDEX('1-month Term SOFR'!$Q$12:$Q$132,MATCH(Model!CB$2,'1-month Term SOFR'!$O$12:$O$132,0)),CA72)</f>
        <v>3.8680899999999997E-2</v>
      </c>
      <c r="CC72" s="40">
        <f>IFERROR(INDEX('1-month Term SOFR'!$Q$12:$Q$132,MATCH(Model!CC$2,'1-month Term SOFR'!$O$12:$O$132,0)),CB72)</f>
        <v>3.8713200000000003E-2</v>
      </c>
      <c r="CD72" s="40">
        <f>IFERROR(INDEX('1-month Term SOFR'!$Q$12:$Q$132,MATCH(Model!CD$2,'1-month Term SOFR'!$O$12:$O$132,0)),CC72)</f>
        <v>3.875E-2</v>
      </c>
      <c r="CE72" s="40">
        <f>IFERROR(INDEX('1-month Term SOFR'!$Q$12:$Q$132,MATCH(Model!CE$2,'1-month Term SOFR'!$O$12:$O$132,0)),CD72)</f>
        <v>3.8777699999999998E-2</v>
      </c>
      <c r="CF72" s="40">
        <f>IFERROR(INDEX('1-month Term SOFR'!$Q$12:$Q$132,MATCH(Model!CF$2,'1-month Term SOFR'!$O$12:$O$132,0)),CE72)</f>
        <v>3.8803200000000003E-2</v>
      </c>
      <c r="CG72" s="40">
        <f>IFERROR(INDEX('1-month Term SOFR'!$Q$12:$Q$132,MATCH(Model!CG$2,'1-month Term SOFR'!$O$12:$O$132,0)),CF72)</f>
        <v>3.8835799999999997E-2</v>
      </c>
      <c r="CH72" s="40">
        <f>IFERROR(INDEX('1-month Term SOFR'!$Q$12:$Q$132,MATCH(Model!CH$2,'1-month Term SOFR'!$O$12:$O$132,0)),CG72)</f>
        <v>3.8862800000000003E-2</v>
      </c>
      <c r="CI72" s="40">
        <f>IFERROR(INDEX('1-month Term SOFR'!$Q$12:$Q$132,MATCH(Model!CI$2,'1-month Term SOFR'!$O$12:$O$132,0)),CH72)</f>
        <v>3.8884700000000001E-2</v>
      </c>
      <c r="CJ72" s="40">
        <f>IFERROR(INDEX('1-month Term SOFR'!$Q$12:$Q$132,MATCH(Model!CJ$2,'1-month Term SOFR'!$O$12:$O$132,0)),CI72)</f>
        <v>3.8917899999999998E-2</v>
      </c>
      <c r="CK72" s="40">
        <f>IFERROR(INDEX('1-month Term SOFR'!$Q$12:$Q$132,MATCH(Model!CK$2,'1-month Term SOFR'!$O$12:$O$132,0)),CJ72)</f>
        <v>3.8941400000000001E-2</v>
      </c>
      <c r="CL72" s="40">
        <f>IFERROR(INDEX('1-month Term SOFR'!$Q$12:$Q$132,MATCH(Model!CL$2,'1-month Term SOFR'!$O$12:$O$132,0)),CK72)</f>
        <v>3.8970400000000002E-2</v>
      </c>
      <c r="CM72" s="40">
        <f>IFERROR(INDEX('1-month Term SOFR'!$Q$12:$Q$132,MATCH(Model!CM$2,'1-month Term SOFR'!$O$12:$O$132,0)),CL72)</f>
        <v>3.8999300000000001E-2</v>
      </c>
      <c r="CN72" s="40">
        <f>IFERROR(INDEX('1-month Term SOFR'!$Q$12:$Q$132,MATCH(Model!CN$2,'1-month Term SOFR'!$O$12:$O$132,0)),CM72)</f>
        <v>3.9028599999999997E-2</v>
      </c>
      <c r="CO72" s="40">
        <f>IFERROR(INDEX('1-month Term SOFR'!$Q$12:$Q$132,MATCH(Model!CO$2,'1-month Term SOFR'!$O$12:$O$132,0)),CN72)</f>
        <v>3.9062800000000002E-2</v>
      </c>
      <c r="CP72" s="40">
        <f>IFERROR(INDEX('1-month Term SOFR'!$Q$12:$Q$132,MATCH(Model!CP$2,'1-month Term SOFR'!$O$12:$O$132,0)),CO72)</f>
        <v>3.9087499999999997E-2</v>
      </c>
      <c r="CQ72" s="40">
        <f>IFERROR(INDEX('1-month Term SOFR'!$Q$12:$Q$132,MATCH(Model!CQ$2,'1-month Term SOFR'!$O$12:$O$132,0)),CP72)</f>
        <v>3.9119099999999997E-2</v>
      </c>
      <c r="CR72" s="40">
        <f>IFERROR(INDEX('1-month Term SOFR'!$Q$12:$Q$132,MATCH(Model!CR$2,'1-month Term SOFR'!$O$12:$O$132,0)),CQ72)</f>
        <v>3.9150699999999997E-2</v>
      </c>
      <c r="CS72" s="40">
        <f>IFERROR(INDEX('1-month Term SOFR'!$Q$12:$Q$132,MATCH(Model!CS$2,'1-month Term SOFR'!$O$12:$O$132,0)),CR72)</f>
        <v>3.91829E-2</v>
      </c>
      <c r="CT72" s="40">
        <f>IFERROR(INDEX('1-month Term SOFR'!$Q$12:$Q$132,MATCH(Model!CT$2,'1-month Term SOFR'!$O$12:$O$132,0)),CS72)</f>
        <v>3.9213499999999998E-2</v>
      </c>
      <c r="CU72" s="40">
        <f>IFERROR(INDEX('1-month Term SOFR'!$Q$12:$Q$132,MATCH(Model!CU$2,'1-month Term SOFR'!$O$12:$O$132,0)),CT72)</f>
        <v>3.9238700000000001E-2</v>
      </c>
      <c r="CV72" s="40">
        <f>IFERROR(INDEX('1-month Term SOFR'!$Q$12:$Q$132,MATCH(Model!CV$2,'1-month Term SOFR'!$O$12:$O$132,0)),CU72)</f>
        <v>3.9277300000000001E-2</v>
      </c>
      <c r="CW72" s="40">
        <f>IFERROR(INDEX('1-month Term SOFR'!$Q$12:$Q$132,MATCH(Model!CW$2,'1-month Term SOFR'!$O$12:$O$132,0)),CV72)</f>
        <v>3.9308900000000001E-2</v>
      </c>
      <c r="CX72" s="40">
        <f>IFERROR(INDEX('1-month Term SOFR'!$Q$12:$Q$132,MATCH(Model!CX$2,'1-month Term SOFR'!$O$12:$O$132,0)),CW72)</f>
        <v>3.9350799999999998E-2</v>
      </c>
      <c r="CY72" s="40">
        <f>IFERROR(INDEX('1-month Term SOFR'!$Q$12:$Q$132,MATCH(Model!CY$2,'1-month Term SOFR'!$O$12:$O$132,0)),CX72)</f>
        <v>3.93803E-2</v>
      </c>
      <c r="CZ72" s="40">
        <f>IFERROR(INDEX('1-month Term SOFR'!$Q$12:$Q$132,MATCH(Model!CZ$2,'1-month Term SOFR'!$O$12:$O$132,0)),CY72)</f>
        <v>3.9415600000000002E-2</v>
      </c>
      <c r="DA72" s="40">
        <f>IFERROR(INDEX('1-month Term SOFR'!$Q$12:$Q$132,MATCH(Model!DA$2,'1-month Term SOFR'!$O$12:$O$132,0)),CZ72)</f>
        <v>3.9454799999999998E-2</v>
      </c>
      <c r="DB72" s="40">
        <f>IFERROR(INDEX('1-month Term SOFR'!$Q$12:$Q$132,MATCH(Model!DB$2,'1-month Term SOFR'!$O$12:$O$132,0)),DA72)</f>
        <v>3.9487599999999998E-2</v>
      </c>
      <c r="DC72" s="40">
        <f>IFERROR(INDEX('1-month Term SOFR'!$Q$12:$Q$132,MATCH(Model!DC$2,'1-month Term SOFR'!$O$12:$O$132,0)),DB72)</f>
        <v>3.9533899999999997E-2</v>
      </c>
      <c r="DD72" s="40">
        <f>IFERROR(INDEX('1-month Term SOFR'!$Q$12:$Q$132,MATCH(Model!DD$2,'1-month Term SOFR'!$O$12:$O$132,0)),DC72)</f>
        <v>3.9564700000000001E-2</v>
      </c>
      <c r="DE72" s="40">
        <f>IFERROR(INDEX('1-month Term SOFR'!$Q$12:$Q$132,MATCH(Model!DE$2,'1-month Term SOFR'!$O$12:$O$132,0)),DD72)</f>
        <v>3.9602499999999999E-2</v>
      </c>
      <c r="DF72" s="40">
        <f>IFERROR(INDEX('1-month Term SOFR'!$Q$12:$Q$132,MATCH(Model!DF$2,'1-month Term SOFR'!$O$12:$O$132,0)),DE72)</f>
        <v>3.9646199999999999E-2</v>
      </c>
      <c r="DG72" s="40">
        <f>IFERROR(INDEX('1-month Term SOFR'!$Q$12:$Q$132,MATCH(Model!DG$2,'1-month Term SOFR'!$O$12:$O$132,0)),DF72)</f>
        <v>3.9674500000000001E-2</v>
      </c>
      <c r="DH72" s="40">
        <f>IFERROR(INDEX('1-month Term SOFR'!$Q$12:$Q$132,MATCH(Model!DH$2,'1-month Term SOFR'!$O$12:$O$132,0)),DG72)</f>
        <v>3.9719499999999998E-2</v>
      </c>
      <c r="DI72" s="40">
        <f>IFERROR(INDEX('1-month Term SOFR'!$Q$12:$Q$132,MATCH(Model!DI$2,'1-month Term SOFR'!$O$12:$O$132,0)),DH72)</f>
        <v>3.9754999999999999E-2</v>
      </c>
      <c r="DJ72" s="40">
        <f>IFERROR(INDEX('1-month Term SOFR'!$Q$12:$Q$132,MATCH(Model!DJ$2,'1-month Term SOFR'!$O$12:$O$132,0)),DI72)</f>
        <v>3.9800799999999997E-2</v>
      </c>
      <c r="DK72" s="40">
        <f>IFERROR(INDEX('1-month Term SOFR'!$Q$12:$Q$132,MATCH(Model!DK$2,'1-month Term SOFR'!$O$12:$O$132,0)),DJ72)</f>
        <v>3.9838499999999999E-2</v>
      </c>
      <c r="DL72" s="40">
        <f>IFERROR(INDEX('1-month Term SOFR'!$Q$12:$Q$132,MATCH(Model!DL$2,'1-month Term SOFR'!$O$12:$O$132,0)),DK72)</f>
        <v>3.9881199999999999E-2</v>
      </c>
      <c r="DM72" s="40">
        <f>IFERROR(INDEX('1-month Term SOFR'!$Q$12:$Q$132,MATCH(Model!DM$2,'1-month Term SOFR'!$O$12:$O$132,0)),DL72)</f>
        <v>3.9924300000000003E-2</v>
      </c>
      <c r="DN72" s="40">
        <f>IFERROR(INDEX('1-month Term SOFR'!$Q$12:$Q$132,MATCH(Model!DN$2,'1-month Term SOFR'!$O$12:$O$132,0)),DM72)</f>
        <v>3.9965100000000003E-2</v>
      </c>
      <c r="DO72" s="40">
        <f>IFERROR(INDEX('1-month Term SOFR'!$Q$12:$Q$132,MATCH(Model!DO$2,'1-month Term SOFR'!$O$12:$O$132,0)),DN72)</f>
        <v>4.0016700000000002E-2</v>
      </c>
      <c r="DP72" s="40">
        <f>IFERROR(INDEX('1-month Term SOFR'!$Q$12:$Q$132,MATCH(Model!DP$2,'1-month Term SOFR'!$O$12:$O$132,0)),DO72)</f>
        <v>4.0055599999999997E-2</v>
      </c>
      <c r="DQ72" s="40">
        <f>IFERROR(INDEX('1-month Term SOFR'!$Q$12:$Q$132,MATCH(Model!DQ$2,'1-month Term SOFR'!$O$12:$O$132,0)),DP72)</f>
        <v>4.0099500000000003E-2</v>
      </c>
      <c r="DR72" s="40">
        <f>IFERROR(INDEX('1-month Term SOFR'!$Q$12:$Q$132,MATCH(Model!DR$2,'1-month Term SOFR'!$O$12:$O$132,0)),DQ72)</f>
        <v>4.0148400000000001E-2</v>
      </c>
      <c r="DS72" s="40">
        <f>IFERROR(INDEX('1-month Term SOFR'!$Q$12:$Q$132,MATCH(Model!DS$2,'1-month Term SOFR'!$O$12:$O$132,0)),DR72)</f>
        <v>4.0184400000000002E-2</v>
      </c>
      <c r="DT72" s="40">
        <f>IFERROR(INDEX('1-month Term SOFR'!$Q$12:$Q$132,MATCH(Model!DT$2,'1-month Term SOFR'!$O$12:$O$132,0)),DS72)</f>
        <v>4.02355E-2</v>
      </c>
      <c r="DU72" s="40">
        <f>IFERROR(INDEX('1-month Term SOFR'!$Q$12:$Q$132,MATCH(Model!DU$2,'1-month Term SOFR'!$O$12:$O$132,0)),DT72)</f>
        <v>4.02355E-2</v>
      </c>
      <c r="DV72" s="40">
        <f>IFERROR(INDEX('1-month Term SOFR'!$Q$12:$Q$132,MATCH(Model!DV$2,'1-month Term SOFR'!$O$12:$O$132,0)),DU72)</f>
        <v>4.02355E-2</v>
      </c>
      <c r="DW72" s="40">
        <f>IFERROR(INDEX('1-month Term SOFR'!$Q$12:$Q$132,MATCH(Model!DW$2,'1-month Term SOFR'!$O$12:$O$132,0)),DV72)</f>
        <v>4.02355E-2</v>
      </c>
      <c r="DX72" s="40">
        <f>IFERROR(INDEX('1-month Term SOFR'!$Q$12:$Q$132,MATCH(Model!DX$2,'1-month Term SOFR'!$O$12:$O$132,0)),DW72)</f>
        <v>4.02355E-2</v>
      </c>
      <c r="DY72" s="40">
        <f>IFERROR(INDEX('1-month Term SOFR'!$Q$12:$Q$132,MATCH(Model!DY$2,'1-month Term SOFR'!$O$12:$O$132,0)),DX72)</f>
        <v>4.02355E-2</v>
      </c>
      <c r="DZ72" s="40">
        <f>IFERROR(INDEX('1-month Term SOFR'!$Q$12:$Q$132,MATCH(Model!DZ$2,'1-month Term SOFR'!$O$12:$O$132,0)),DY72)</f>
        <v>4.02355E-2</v>
      </c>
      <c r="EA72" s="40">
        <f>IFERROR(INDEX('1-month Term SOFR'!$Q$12:$Q$132,MATCH(Model!EA$2,'1-month Term SOFR'!$O$12:$O$132,0)),DZ72)</f>
        <v>4.02355E-2</v>
      </c>
      <c r="EB72" s="40">
        <f>IFERROR(INDEX('1-month Term SOFR'!$Q$12:$Q$132,MATCH(Model!EB$2,'1-month Term SOFR'!$O$12:$O$132,0)),EA72)</f>
        <v>4.02355E-2</v>
      </c>
      <c r="EC72" s="40">
        <f>IFERROR(INDEX('1-month Term SOFR'!$Q$12:$Q$132,MATCH(Model!EC$2,'1-month Term SOFR'!$O$12:$O$132,0)),EB72)</f>
        <v>4.02355E-2</v>
      </c>
      <c r="ED72" s="40">
        <f>IFERROR(INDEX('1-month Term SOFR'!$Q$12:$Q$132,MATCH(Model!ED$2,'1-month Term SOFR'!$O$12:$O$132,0)),EC72)</f>
        <v>4.02355E-2</v>
      </c>
      <c r="EE72" s="40">
        <f>IFERROR(INDEX('1-month Term SOFR'!$Q$12:$Q$132,MATCH(Model!EE$2,'1-month Term SOFR'!$O$12:$O$132,0)),ED72)</f>
        <v>4.02355E-2</v>
      </c>
      <c r="EF72" s="40">
        <f>IFERROR(INDEX('1-month Term SOFR'!$Q$12:$Q$132,MATCH(Model!EF$2,'1-month Term SOFR'!$O$12:$O$132,0)),EE72)</f>
        <v>4.02355E-2</v>
      </c>
      <c r="EG72" s="40">
        <f>IFERROR(INDEX('1-month Term SOFR'!$Q$12:$Q$132,MATCH(Model!EG$2,'1-month Term SOFR'!$O$12:$O$132,0)),EF72)</f>
        <v>4.02355E-2</v>
      </c>
      <c r="EH72" s="40">
        <f>IFERROR(INDEX('1-month Term SOFR'!$Q$12:$Q$132,MATCH(Model!EH$2,'1-month Term SOFR'!$O$12:$O$132,0)),EG72)</f>
        <v>4.02355E-2</v>
      </c>
      <c r="EI72" s="40">
        <f>IFERROR(INDEX('1-month Term SOFR'!$Q$12:$Q$132,MATCH(Model!EI$2,'1-month Term SOFR'!$O$12:$O$132,0)),EH72)</f>
        <v>4.02355E-2</v>
      </c>
      <c r="EM72" s="1" t="s">
        <v>178</v>
      </c>
    </row>
    <row r="73" spans="2:143" x14ac:dyDescent="0.45"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M73" s="1" t="s">
        <v>178</v>
      </c>
    </row>
    <row r="74" spans="2:143" s="8" customFormat="1" x14ac:dyDescent="0.45">
      <c r="D74" s="8" t="s">
        <v>360</v>
      </c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M74" s="1" t="s">
        <v>178</v>
      </c>
    </row>
    <row r="75" spans="2:143" x14ac:dyDescent="0.45">
      <c r="D75" s="1" t="s">
        <v>42</v>
      </c>
      <c r="G75" s="40">
        <f>Assumptions!$L$29</f>
        <v>7.4999999999999997E-2</v>
      </c>
      <c r="H75" s="40">
        <f>Assumptions!$L$29</f>
        <v>7.4999999999999997E-2</v>
      </c>
      <c r="I75" s="40">
        <f>Assumptions!$L$29</f>
        <v>7.4999999999999997E-2</v>
      </c>
      <c r="J75" s="40">
        <f>Assumptions!$L$29</f>
        <v>7.4999999999999997E-2</v>
      </c>
      <c r="K75" s="40">
        <f>Assumptions!$L$29</f>
        <v>7.4999999999999997E-2</v>
      </c>
      <c r="L75" s="40">
        <f>Assumptions!$L$29</f>
        <v>7.4999999999999997E-2</v>
      </c>
      <c r="M75" s="40">
        <f>Assumptions!$L$29</f>
        <v>7.4999999999999997E-2</v>
      </c>
      <c r="N75" s="40">
        <f>Assumptions!$L$29</f>
        <v>7.4999999999999997E-2</v>
      </c>
      <c r="O75" s="40">
        <f>Assumptions!$L$29</f>
        <v>7.4999999999999997E-2</v>
      </c>
      <c r="P75" s="40">
        <f>Assumptions!$L$29</f>
        <v>7.4999999999999997E-2</v>
      </c>
      <c r="Q75" s="40">
        <f>Assumptions!$L$29</f>
        <v>7.4999999999999997E-2</v>
      </c>
      <c r="R75" s="40">
        <f>Assumptions!$L$29</f>
        <v>7.4999999999999997E-2</v>
      </c>
      <c r="S75" s="40">
        <f>Assumptions!$L$29</f>
        <v>7.4999999999999997E-2</v>
      </c>
      <c r="T75" s="40">
        <f>Assumptions!$L$29</f>
        <v>7.4999999999999997E-2</v>
      </c>
      <c r="U75" s="40">
        <f>Assumptions!$L$29</f>
        <v>7.4999999999999997E-2</v>
      </c>
      <c r="V75" s="40">
        <f>Assumptions!$L$29</f>
        <v>7.4999999999999997E-2</v>
      </c>
      <c r="W75" s="40">
        <f>Assumptions!$L$29</f>
        <v>7.4999999999999997E-2</v>
      </c>
      <c r="X75" s="40">
        <f>Assumptions!$L$29</f>
        <v>7.4999999999999997E-2</v>
      </c>
      <c r="Y75" s="40">
        <f>Assumptions!$L$29</f>
        <v>7.4999999999999997E-2</v>
      </c>
      <c r="Z75" s="40">
        <f>Assumptions!$L$29</f>
        <v>7.4999999999999997E-2</v>
      </c>
      <c r="AA75" s="40">
        <f>Assumptions!$L$29</f>
        <v>7.4999999999999997E-2</v>
      </c>
      <c r="AB75" s="40">
        <f>Assumptions!$L$29</f>
        <v>7.4999999999999997E-2</v>
      </c>
      <c r="AC75" s="40">
        <f>Assumptions!$L$29</f>
        <v>7.4999999999999997E-2</v>
      </c>
      <c r="AD75" s="40">
        <f>Assumptions!$L$29</f>
        <v>7.4999999999999997E-2</v>
      </c>
      <c r="AE75" s="40">
        <f>Assumptions!$L$29</f>
        <v>7.4999999999999997E-2</v>
      </c>
      <c r="AF75" s="40">
        <f>Assumptions!$L$29</f>
        <v>7.4999999999999997E-2</v>
      </c>
      <c r="AG75" s="40">
        <f>Assumptions!$L$29</f>
        <v>7.4999999999999997E-2</v>
      </c>
      <c r="AH75" s="40">
        <f>Assumptions!$L$29</f>
        <v>7.4999999999999997E-2</v>
      </c>
      <c r="AI75" s="40">
        <f>Assumptions!$L$29</f>
        <v>7.4999999999999997E-2</v>
      </c>
      <c r="AJ75" s="40">
        <f>Assumptions!$L$29</f>
        <v>7.4999999999999997E-2</v>
      </c>
      <c r="AK75" s="40">
        <f>Assumptions!$L$29</f>
        <v>7.4999999999999997E-2</v>
      </c>
      <c r="AL75" s="40">
        <f>Assumptions!$L$29</f>
        <v>7.4999999999999997E-2</v>
      </c>
      <c r="AM75" s="40">
        <f>Assumptions!$L$29</f>
        <v>7.4999999999999997E-2</v>
      </c>
      <c r="AN75" s="40">
        <f>Assumptions!$L$29</f>
        <v>7.4999999999999997E-2</v>
      </c>
      <c r="AO75" s="40">
        <f>Assumptions!$L$29</f>
        <v>7.4999999999999997E-2</v>
      </c>
      <c r="AP75" s="40">
        <f>Assumptions!$L$29</f>
        <v>7.4999999999999997E-2</v>
      </c>
      <c r="AQ75" s="40">
        <f>Assumptions!$L$29</f>
        <v>7.4999999999999997E-2</v>
      </c>
      <c r="AR75" s="40">
        <f>Assumptions!$L$29</f>
        <v>7.4999999999999997E-2</v>
      </c>
      <c r="AS75" s="40">
        <f>Assumptions!$L$29</f>
        <v>7.4999999999999997E-2</v>
      </c>
      <c r="AT75" s="40">
        <f>Assumptions!$L$29</f>
        <v>7.4999999999999997E-2</v>
      </c>
      <c r="AU75" s="40">
        <f>Assumptions!$L$29</f>
        <v>7.4999999999999997E-2</v>
      </c>
      <c r="AV75" s="40">
        <f>Assumptions!$L$29</f>
        <v>7.4999999999999997E-2</v>
      </c>
      <c r="AW75" s="40">
        <f>Assumptions!$L$29</f>
        <v>7.4999999999999997E-2</v>
      </c>
      <c r="AX75" s="40">
        <f>Assumptions!$L$29</f>
        <v>7.4999999999999997E-2</v>
      </c>
      <c r="AY75" s="40">
        <f>Assumptions!$L$29</f>
        <v>7.4999999999999997E-2</v>
      </c>
      <c r="AZ75" s="40">
        <f>Assumptions!$L$29</f>
        <v>7.4999999999999997E-2</v>
      </c>
      <c r="BA75" s="40">
        <f>Assumptions!$L$29</f>
        <v>7.4999999999999997E-2</v>
      </c>
      <c r="BB75" s="40">
        <f>Assumptions!$L$29</f>
        <v>7.4999999999999997E-2</v>
      </c>
      <c r="BC75" s="40">
        <f>Assumptions!$L$29</f>
        <v>7.4999999999999997E-2</v>
      </c>
      <c r="BD75" s="40">
        <f>Assumptions!$L$29</f>
        <v>7.4999999999999997E-2</v>
      </c>
      <c r="BE75" s="40">
        <f>Assumptions!$L$29</f>
        <v>7.4999999999999997E-2</v>
      </c>
      <c r="BF75" s="40">
        <f>Assumptions!$L$29</f>
        <v>7.4999999999999997E-2</v>
      </c>
      <c r="BG75" s="40">
        <f>Assumptions!$L$29</f>
        <v>7.4999999999999997E-2</v>
      </c>
      <c r="BH75" s="40">
        <f>Assumptions!$L$29</f>
        <v>7.4999999999999997E-2</v>
      </c>
      <c r="BI75" s="40">
        <f>Assumptions!$L$29</f>
        <v>7.4999999999999997E-2</v>
      </c>
      <c r="BJ75" s="40">
        <f>Assumptions!$L$29</f>
        <v>7.4999999999999997E-2</v>
      </c>
      <c r="BK75" s="40">
        <f>Assumptions!$L$29</f>
        <v>7.4999999999999997E-2</v>
      </c>
      <c r="BL75" s="40">
        <f>Assumptions!$L$29</f>
        <v>7.4999999999999997E-2</v>
      </c>
      <c r="BM75" s="40">
        <f>Assumptions!$L$29</f>
        <v>7.4999999999999997E-2</v>
      </c>
      <c r="BN75" s="40">
        <f>Assumptions!$L$29</f>
        <v>7.4999999999999997E-2</v>
      </c>
      <c r="BO75" s="40">
        <f>Assumptions!$L$29</f>
        <v>7.4999999999999997E-2</v>
      </c>
      <c r="BP75" s="40">
        <f>Assumptions!$L$29</f>
        <v>7.4999999999999997E-2</v>
      </c>
      <c r="BQ75" s="40">
        <f>Assumptions!$L$29</f>
        <v>7.4999999999999997E-2</v>
      </c>
      <c r="BR75" s="40">
        <f>Assumptions!$L$29</f>
        <v>7.4999999999999997E-2</v>
      </c>
      <c r="BS75" s="40">
        <f>Assumptions!$L$29</f>
        <v>7.4999999999999997E-2</v>
      </c>
      <c r="BT75" s="40">
        <f>Assumptions!$L$29</f>
        <v>7.4999999999999997E-2</v>
      </c>
      <c r="BU75" s="40">
        <f>Assumptions!$L$29</f>
        <v>7.4999999999999997E-2</v>
      </c>
      <c r="BV75" s="40">
        <f>Assumptions!$L$29</f>
        <v>7.4999999999999997E-2</v>
      </c>
      <c r="BW75" s="40">
        <f>Assumptions!$L$29</f>
        <v>7.4999999999999997E-2</v>
      </c>
      <c r="BX75" s="40">
        <f>Assumptions!$L$29</f>
        <v>7.4999999999999997E-2</v>
      </c>
      <c r="BY75" s="40">
        <f>Assumptions!$L$29</f>
        <v>7.4999999999999997E-2</v>
      </c>
      <c r="BZ75" s="40">
        <f>Assumptions!$L$29</f>
        <v>7.4999999999999997E-2</v>
      </c>
      <c r="CA75" s="40">
        <f>Assumptions!$L$29</f>
        <v>7.4999999999999997E-2</v>
      </c>
      <c r="CB75" s="40">
        <f>Assumptions!$L$29</f>
        <v>7.4999999999999997E-2</v>
      </c>
      <c r="CC75" s="40">
        <f>Assumptions!$L$29</f>
        <v>7.4999999999999997E-2</v>
      </c>
      <c r="CD75" s="40">
        <f>Assumptions!$L$29</f>
        <v>7.4999999999999997E-2</v>
      </c>
      <c r="CE75" s="40">
        <f>Assumptions!$L$29</f>
        <v>7.4999999999999997E-2</v>
      </c>
      <c r="CF75" s="40">
        <f>Assumptions!$L$29</f>
        <v>7.4999999999999997E-2</v>
      </c>
      <c r="CG75" s="40">
        <f>Assumptions!$L$29</f>
        <v>7.4999999999999997E-2</v>
      </c>
      <c r="CH75" s="40">
        <f>Assumptions!$L$29</f>
        <v>7.4999999999999997E-2</v>
      </c>
      <c r="CI75" s="40">
        <f>Assumptions!$L$29</f>
        <v>7.4999999999999997E-2</v>
      </c>
      <c r="CJ75" s="40">
        <f>Assumptions!$L$29</f>
        <v>7.4999999999999997E-2</v>
      </c>
      <c r="CK75" s="40">
        <f>Assumptions!$L$29</f>
        <v>7.4999999999999997E-2</v>
      </c>
      <c r="CL75" s="40">
        <f>Assumptions!$L$29</f>
        <v>7.4999999999999997E-2</v>
      </c>
      <c r="CM75" s="40">
        <f>Assumptions!$L$29</f>
        <v>7.4999999999999997E-2</v>
      </c>
      <c r="CN75" s="40">
        <f>Assumptions!$L$29</f>
        <v>7.4999999999999997E-2</v>
      </c>
      <c r="CO75" s="40">
        <f>Assumptions!$L$29</f>
        <v>7.4999999999999997E-2</v>
      </c>
      <c r="CP75" s="40">
        <f>Assumptions!$L$29</f>
        <v>7.4999999999999997E-2</v>
      </c>
      <c r="CQ75" s="40">
        <f>Assumptions!$L$29</f>
        <v>7.4999999999999997E-2</v>
      </c>
      <c r="CR75" s="40">
        <f>Assumptions!$L$29</f>
        <v>7.4999999999999997E-2</v>
      </c>
      <c r="CS75" s="40">
        <f>Assumptions!$L$29</f>
        <v>7.4999999999999997E-2</v>
      </c>
      <c r="CT75" s="40">
        <f>Assumptions!$L$29</f>
        <v>7.4999999999999997E-2</v>
      </c>
      <c r="CU75" s="40">
        <f>Assumptions!$L$29</f>
        <v>7.4999999999999997E-2</v>
      </c>
      <c r="CV75" s="40">
        <f>Assumptions!$L$29</f>
        <v>7.4999999999999997E-2</v>
      </c>
      <c r="CW75" s="40">
        <f>Assumptions!$L$29</f>
        <v>7.4999999999999997E-2</v>
      </c>
      <c r="CX75" s="40">
        <f>Assumptions!$L$29</f>
        <v>7.4999999999999997E-2</v>
      </c>
      <c r="CY75" s="40">
        <f>Assumptions!$L$29</f>
        <v>7.4999999999999997E-2</v>
      </c>
      <c r="CZ75" s="40">
        <f>Assumptions!$L$29</f>
        <v>7.4999999999999997E-2</v>
      </c>
      <c r="DA75" s="40">
        <f>Assumptions!$L$29</f>
        <v>7.4999999999999997E-2</v>
      </c>
      <c r="DB75" s="40">
        <f>Assumptions!$L$29</f>
        <v>7.4999999999999997E-2</v>
      </c>
      <c r="DC75" s="40">
        <f>Assumptions!$L$29</f>
        <v>7.4999999999999997E-2</v>
      </c>
      <c r="DD75" s="40">
        <f>Assumptions!$L$29</f>
        <v>7.4999999999999997E-2</v>
      </c>
      <c r="DE75" s="40">
        <f>Assumptions!$L$29</f>
        <v>7.4999999999999997E-2</v>
      </c>
      <c r="DF75" s="40">
        <f>Assumptions!$L$29</f>
        <v>7.4999999999999997E-2</v>
      </c>
      <c r="DG75" s="40">
        <f>Assumptions!$L$29</f>
        <v>7.4999999999999997E-2</v>
      </c>
      <c r="DH75" s="40">
        <f>Assumptions!$L$29</f>
        <v>7.4999999999999997E-2</v>
      </c>
      <c r="DI75" s="40">
        <f>Assumptions!$L$29</f>
        <v>7.4999999999999997E-2</v>
      </c>
      <c r="DJ75" s="40">
        <f>Assumptions!$L$29</f>
        <v>7.4999999999999997E-2</v>
      </c>
      <c r="DK75" s="40">
        <f>Assumptions!$L$29</f>
        <v>7.4999999999999997E-2</v>
      </c>
      <c r="DL75" s="40">
        <f>Assumptions!$L$29</f>
        <v>7.4999999999999997E-2</v>
      </c>
      <c r="DM75" s="40">
        <f>Assumptions!$L$29</f>
        <v>7.4999999999999997E-2</v>
      </c>
      <c r="DN75" s="40">
        <f>Assumptions!$L$29</f>
        <v>7.4999999999999997E-2</v>
      </c>
      <c r="DO75" s="40">
        <f>Assumptions!$L$29</f>
        <v>7.4999999999999997E-2</v>
      </c>
      <c r="DP75" s="40">
        <f>Assumptions!$L$29</f>
        <v>7.4999999999999997E-2</v>
      </c>
      <c r="DQ75" s="40">
        <f>Assumptions!$L$29</f>
        <v>7.4999999999999997E-2</v>
      </c>
      <c r="DR75" s="40">
        <f>Assumptions!$L$29</f>
        <v>7.4999999999999997E-2</v>
      </c>
      <c r="DS75" s="40">
        <f>Assumptions!$L$29</f>
        <v>7.4999999999999997E-2</v>
      </c>
      <c r="DT75" s="40">
        <f>Assumptions!$L$29</f>
        <v>7.4999999999999997E-2</v>
      </c>
      <c r="DU75" s="40">
        <f>Assumptions!$L$29</f>
        <v>7.4999999999999997E-2</v>
      </c>
      <c r="DV75" s="40">
        <f>Assumptions!$L$29</f>
        <v>7.4999999999999997E-2</v>
      </c>
      <c r="DW75" s="40">
        <f>Assumptions!$L$29</f>
        <v>7.4999999999999997E-2</v>
      </c>
      <c r="DX75" s="40">
        <f>Assumptions!$L$29</f>
        <v>7.4999999999999997E-2</v>
      </c>
      <c r="DY75" s="40">
        <f>Assumptions!$L$29</f>
        <v>7.4999999999999997E-2</v>
      </c>
      <c r="DZ75" s="40">
        <f>Assumptions!$L$29</f>
        <v>7.4999999999999997E-2</v>
      </c>
      <c r="EA75" s="40">
        <f>Assumptions!$L$29</f>
        <v>7.4999999999999997E-2</v>
      </c>
      <c r="EB75" s="40">
        <f>Assumptions!$L$29</f>
        <v>7.4999999999999997E-2</v>
      </c>
      <c r="EC75" s="40">
        <f>Assumptions!$L$29</f>
        <v>7.4999999999999997E-2</v>
      </c>
      <c r="ED75" s="40">
        <f>Assumptions!$L$29</f>
        <v>7.4999999999999997E-2</v>
      </c>
      <c r="EE75" s="40">
        <f>Assumptions!$L$29</f>
        <v>7.4999999999999997E-2</v>
      </c>
      <c r="EF75" s="40">
        <f>Assumptions!$L$29</f>
        <v>7.4999999999999997E-2</v>
      </c>
      <c r="EG75" s="40">
        <f>Assumptions!$L$29</f>
        <v>7.4999999999999997E-2</v>
      </c>
      <c r="EH75" s="40">
        <f>Assumptions!$L$29</f>
        <v>7.4999999999999997E-2</v>
      </c>
      <c r="EI75" s="40">
        <f>Assumptions!$L$29</f>
        <v>7.4999999999999997E-2</v>
      </c>
      <c r="EM75" s="1" t="s">
        <v>178</v>
      </c>
    </row>
    <row r="76" spans="2:143" x14ac:dyDescent="0.45">
      <c r="D76" s="3" t="s">
        <v>41</v>
      </c>
      <c r="E76" s="3"/>
      <c r="F76" s="3"/>
      <c r="G76" s="25">
        <f>-IFERROR(INDEX('Debt Schedule'!$G$12:$G$108,MATCH(Model!G4,'Debt Schedule'!$B$12:$B$108,0)),0)</f>
        <v>0</v>
      </c>
      <c r="H76" s="25">
        <f>-IFERROR(INDEX('Debt Schedule'!$G$12:$G$108,MATCH(Model!H4,'Debt Schedule'!$B$12:$B$108,0)),0)</f>
        <v>-65187.499999999993</v>
      </c>
      <c r="I76" s="25">
        <f>-IFERROR(INDEX('Debt Schedule'!$G$12:$G$108,MATCH(Model!I4,'Debt Schedule'!$B$12:$B$108,0)),0)</f>
        <v>-65139.121417237147</v>
      </c>
      <c r="J76" s="25">
        <f>-IFERROR(INDEX('Debt Schedule'!$G$12:$G$108,MATCH(Model!J4,'Debt Schedule'!$B$12:$B$108,0)),0)</f>
        <v>-65090.440468332046</v>
      </c>
      <c r="K76" s="25">
        <f>-IFERROR(INDEX('Debt Schedule'!$G$12:$G$108,MATCH(Model!K4,'Debt Schedule'!$B$12:$B$108,0)),0)</f>
        <v>-65041.455263496275</v>
      </c>
      <c r="L76" s="25">
        <f>-IFERROR(INDEX('Debt Schedule'!$G$12:$G$108,MATCH(Model!L4,'Debt Schedule'!$B$12:$B$108,0)),0)</f>
        <v>-64992.163901130276</v>
      </c>
      <c r="M76" s="25">
        <f>-IFERROR(INDEX('Debt Schedule'!$G$12:$G$108,MATCH(Model!M4,'Debt Schedule'!$B$12:$B$108,0)),0)</f>
        <v>-64942.564467749507</v>
      </c>
      <c r="N76" s="25">
        <f>-IFERROR(INDEX('Debt Schedule'!$G$12:$G$108,MATCH(Model!N4,'Debt Schedule'!$B$12:$B$108,0)),0)</f>
        <v>-64892.655037910103</v>
      </c>
      <c r="O76" s="25">
        <f>-IFERROR(INDEX('Debt Schedule'!$G$12:$G$108,MATCH(Model!O4,'Debt Schedule'!$B$12:$B$108,0)),0)</f>
        <v>-64842.43367413419</v>
      </c>
      <c r="P76" s="25">
        <f>-IFERROR(INDEX('Debt Schedule'!$G$12:$G$108,MATCH(Model!P4,'Debt Schedule'!$B$12:$B$108,0)),0)</f>
        <v>-64791.898426834683</v>
      </c>
      <c r="Q76" s="25">
        <f>-IFERROR(INDEX('Debt Schedule'!$G$12:$G$108,MATCH(Model!Q4,'Debt Schedule'!$B$12:$B$108,0)),0)</f>
        <v>-64741.047334239571</v>
      </c>
      <c r="R76" s="25">
        <f>-IFERROR(INDEX('Debt Schedule'!$G$12:$G$108,MATCH(Model!R4,'Debt Schedule'!$B$12:$B$108,0)),0)</f>
        <v>-64689.878422315713</v>
      </c>
      <c r="S76" s="25">
        <f>-IFERROR(INDEX('Debt Schedule'!$G$12:$G$108,MATCH(Model!S4,'Debt Schedule'!$B$12:$B$108,0)),0)</f>
        <v>-64638.389704692359</v>
      </c>
      <c r="T76" s="25">
        <f>-IFERROR(INDEX('Debt Schedule'!$G$12:$G$108,MATCH(Model!T4,'Debt Schedule'!$B$12:$B$108,0)),0)</f>
        <v>-64586.579182583831</v>
      </c>
      <c r="U76" s="25">
        <f>-IFERROR(INDEX('Debt Schedule'!$G$12:$G$108,MATCH(Model!U4,'Debt Schedule'!$B$12:$B$108,0)),0)</f>
        <v>-64534.444844712147</v>
      </c>
      <c r="V76" s="25">
        <f>-IFERROR(INDEX('Debt Schedule'!$G$12:$G$108,MATCH(Model!V4,'Debt Schedule'!$B$12:$B$108,0)),0)</f>
        <v>-64481.984667228753</v>
      </c>
      <c r="W76" s="25">
        <f>-IFERROR(INDEX('Debt Schedule'!$G$12:$G$108,MATCH(Model!W4,'Debt Schedule'!$B$12:$B$108,0)),0)</f>
        <v>-64429.196613636086</v>
      </c>
      <c r="X76" s="25">
        <f>-IFERROR(INDEX('Debt Schedule'!$G$12:$G$108,MATCH(Model!X4,'Debt Schedule'!$B$12:$B$108,0)),0)</f>
        <v>-64376.078634708465</v>
      </c>
      <c r="Y76" s="25">
        <f>-IFERROR(INDEX('Debt Schedule'!$G$12:$G$108,MATCH(Model!Y4,'Debt Schedule'!$B$12:$B$108,0)),0)</f>
        <v>-64322.628668412552</v>
      </c>
      <c r="Z76" s="25">
        <f>-IFERROR(INDEX('Debt Schedule'!$G$12:$G$108,MATCH(Model!Z4,'Debt Schedule'!$B$12:$B$108,0)),0)</f>
        <v>-64268.844639827294</v>
      </c>
      <c r="AA76" s="25">
        <f>-IFERROR(INDEX('Debt Schedule'!$G$12:$G$108,MATCH(Model!AA4,'Debt Schedule'!$B$12:$B$108,0)),0)</f>
        <v>-64214.724461063364</v>
      </c>
      <c r="AB76" s="25">
        <f>-IFERROR(INDEX('Debt Schedule'!$G$12:$G$108,MATCH(Model!AB4,'Debt Schedule'!$B$12:$B$108,0)),0)</f>
        <v>-64160.266031182167</v>
      </c>
      <c r="AC76" s="25">
        <f>-IFERROR(INDEX('Debt Schedule'!$G$12:$G$108,MATCH(Model!AC4,'Debt Schedule'!$B$12:$B$108,0)),0)</f>
        <v>-64105.467236114215</v>
      </c>
      <c r="AD76" s="25">
        <f>-IFERROR(INDEX('Debt Schedule'!$G$12:$G$108,MATCH(Model!AD4,'Debt Schedule'!$B$12:$B$108,0)),0)</f>
        <v>-64050.32594857709</v>
      </c>
      <c r="AE76" s="25">
        <f>-IFERROR(INDEX('Debt Schedule'!$G$12:$G$108,MATCH(Model!AE4,'Debt Schedule'!$B$12:$B$108,0)),0)</f>
        <v>-63994.840027992839</v>
      </c>
      <c r="AF76" s="25">
        <f>-IFERROR(INDEX('Debt Schedule'!$G$12:$G$108,MATCH(Model!AF4,'Debt Schedule'!$B$12:$B$108,0)),0)</f>
        <v>-63939.007320404955</v>
      </c>
      <c r="AG76" s="25">
        <f>-IFERROR(INDEX('Debt Schedule'!$G$12:$G$108,MATCH(Model!AG4,'Debt Schedule'!$B$12:$B$108,0)),0)</f>
        <v>-63882.82565839465</v>
      </c>
      <c r="AH76" s="25">
        <f>-IFERROR(INDEX('Debt Schedule'!$G$12:$G$108,MATCH(Model!AH4,'Debt Schedule'!$B$12:$B$108,0)),0)</f>
        <v>-63826.292860996778</v>
      </c>
      <c r="AI76" s="25">
        <f>-IFERROR(INDEX('Debt Schedule'!$G$12:$G$108,MATCH(Model!AI4,'Debt Schedule'!$B$12:$B$108,0)),0)</f>
        <v>-63769.406733615157</v>
      </c>
      <c r="AJ76" s="25">
        <f>-IFERROR(INDEX('Debt Schedule'!$G$12:$G$108,MATCH(Model!AJ4,'Debt Schedule'!$B$12:$B$108,0)),0)</f>
        <v>-63712.165067937407</v>
      </c>
      <c r="AK76" s="25">
        <f>-IFERROR(INDEX('Debt Schedule'!$G$12:$G$108,MATCH(Model!AK4,'Debt Schedule'!$B$12:$B$108,0)),0)</f>
        <v>-63654.565641849178</v>
      </c>
      <c r="AL76" s="25">
        <f>-IFERROR(INDEX('Debt Schedule'!$G$12:$G$108,MATCH(Model!AL4,'Debt Schedule'!$B$12:$B$108,0)),0)</f>
        <v>-63596.606219347901</v>
      </c>
      <c r="AM76" s="25">
        <f>-IFERROR(INDEX('Debt Schedule'!$G$12:$G$108,MATCH(Model!AM4,'Debt Schedule'!$B$12:$B$108,0)),0)</f>
        <v>-63538.284550455974</v>
      </c>
      <c r="AN76" s="25">
        <f>-IFERROR(INDEX('Debt Schedule'!$G$12:$G$108,MATCH(Model!AN4,'Debt Schedule'!$B$12:$B$108,0)),0)</f>
        <v>-63479.598371133485</v>
      </c>
      <c r="AO76" s="25">
        <f>-IFERROR(INDEX('Debt Schedule'!$G$12:$G$108,MATCH(Model!AO4,'Debt Schedule'!$B$12:$B$108,0)),0)</f>
        <v>-63420.545403190219</v>
      </c>
      <c r="AP76" s="25">
        <f>-IFERROR(INDEX('Debt Schedule'!$G$12:$G$108,MATCH(Model!AP4,'Debt Schedule'!$B$12:$B$108,0)),0)</f>
        <v>-63361.12335419732</v>
      </c>
      <c r="AQ76" s="25">
        <f>-IFERROR(INDEX('Debt Schedule'!$G$12:$G$108,MATCH(Model!AQ4,'Debt Schedule'!$B$12:$B$108,0)),0)</f>
        <v>-63301.329917398209</v>
      </c>
      <c r="AR76" s="25">
        <f>-IFERROR(INDEX('Debt Schedule'!$G$12:$G$108,MATCH(Model!AR4,'Debt Schedule'!$B$12:$B$108,0)),0)</f>
        <v>0</v>
      </c>
      <c r="AS76" s="25">
        <f>-IFERROR(INDEX('Debt Schedule'!$G$12:$G$108,MATCH(Model!AS4,'Debt Schedule'!$B$12:$B$108,0)),0)</f>
        <v>0</v>
      </c>
      <c r="AT76" s="25">
        <f>-IFERROR(INDEX('Debt Schedule'!$G$12:$G$108,MATCH(Model!AT4,'Debt Schedule'!$B$12:$B$108,0)),0)</f>
        <v>0</v>
      </c>
      <c r="AU76" s="25">
        <f>-IFERROR(INDEX('Debt Schedule'!$G$12:$G$108,MATCH(Model!AU4,'Debt Schedule'!$B$12:$B$108,0)),0)</f>
        <v>0</v>
      </c>
      <c r="AV76" s="25">
        <f>-IFERROR(INDEX('Debt Schedule'!$G$12:$G$108,MATCH(Model!AV4,'Debt Schedule'!$B$12:$B$108,0)),0)</f>
        <v>0</v>
      </c>
      <c r="AW76" s="25">
        <f>-IFERROR(INDEX('Debt Schedule'!$G$12:$G$108,MATCH(Model!AW4,'Debt Schedule'!$B$12:$B$108,0)),0)</f>
        <v>0</v>
      </c>
      <c r="AX76" s="25">
        <f>-IFERROR(INDEX('Debt Schedule'!$G$12:$G$108,MATCH(Model!AX4,'Debt Schedule'!$B$12:$B$108,0)),0)</f>
        <v>0</v>
      </c>
      <c r="AY76" s="25">
        <f>-IFERROR(INDEX('Debt Schedule'!$G$12:$G$108,MATCH(Model!AY4,'Debt Schedule'!$B$12:$B$108,0)),0)</f>
        <v>0</v>
      </c>
      <c r="AZ76" s="25">
        <f>-IFERROR(INDEX('Debt Schedule'!$G$12:$G$108,MATCH(Model!AZ4,'Debt Schedule'!$B$12:$B$108,0)),0)</f>
        <v>0</v>
      </c>
      <c r="BA76" s="25">
        <f>-IFERROR(INDEX('Debt Schedule'!$G$12:$G$108,MATCH(Model!BA4,'Debt Schedule'!$B$12:$B$108,0)),0)</f>
        <v>0</v>
      </c>
      <c r="BB76" s="25">
        <f>-IFERROR(INDEX('Debt Schedule'!$G$12:$G$108,MATCH(Model!BB4,'Debt Schedule'!$B$12:$B$108,0)),0)</f>
        <v>0</v>
      </c>
      <c r="BC76" s="25">
        <f>-IFERROR(INDEX('Debt Schedule'!$G$12:$G$108,MATCH(Model!BC4,'Debt Schedule'!$B$12:$B$108,0)),0)</f>
        <v>0</v>
      </c>
      <c r="BD76" s="25">
        <f>-IFERROR(INDEX('Debt Schedule'!$G$12:$G$108,MATCH(Model!BD4,'Debt Schedule'!$B$12:$B$108,0)),0)</f>
        <v>0</v>
      </c>
      <c r="BE76" s="25">
        <f>-IFERROR(INDEX('Debt Schedule'!$G$12:$G$108,MATCH(Model!BE4,'Debt Schedule'!$B$12:$B$108,0)),0)</f>
        <v>0</v>
      </c>
      <c r="BF76" s="25">
        <f>-IFERROR(INDEX('Debt Schedule'!$G$12:$G$108,MATCH(Model!BF4,'Debt Schedule'!$B$12:$B$108,0)),0)</f>
        <v>0</v>
      </c>
      <c r="BG76" s="25">
        <f>-IFERROR(INDEX('Debt Schedule'!$G$12:$G$108,MATCH(Model!BG4,'Debt Schedule'!$B$12:$B$108,0)),0)</f>
        <v>0</v>
      </c>
      <c r="BH76" s="25">
        <f>-IFERROR(INDEX('Debt Schedule'!$G$12:$G$108,MATCH(Model!BH4,'Debt Schedule'!$B$12:$B$108,0)),0)</f>
        <v>0</v>
      </c>
      <c r="BI76" s="25">
        <f>-IFERROR(INDEX('Debt Schedule'!$G$12:$G$108,MATCH(Model!BI4,'Debt Schedule'!$B$12:$B$108,0)),0)</f>
        <v>0</v>
      </c>
      <c r="BJ76" s="25">
        <f>-IFERROR(INDEX('Debt Schedule'!$G$12:$G$108,MATCH(Model!BJ4,'Debt Schedule'!$B$12:$B$108,0)),0)</f>
        <v>0</v>
      </c>
      <c r="BK76" s="25">
        <f>-IFERROR(INDEX('Debt Schedule'!$G$12:$G$108,MATCH(Model!BK4,'Debt Schedule'!$B$12:$B$108,0)),0)</f>
        <v>0</v>
      </c>
      <c r="BL76" s="25">
        <f>-IFERROR(INDEX('Debt Schedule'!$G$12:$G$108,MATCH(Model!BL4,'Debt Schedule'!$B$12:$B$108,0)),0)</f>
        <v>0</v>
      </c>
      <c r="BM76" s="25">
        <f>-IFERROR(INDEX('Debt Schedule'!$G$12:$G$108,MATCH(Model!BM4,'Debt Schedule'!$B$12:$B$108,0)),0)</f>
        <v>0</v>
      </c>
      <c r="BN76" s="25">
        <f>-IFERROR(INDEX('Debt Schedule'!$G$12:$G$108,MATCH(Model!BN4,'Debt Schedule'!$B$12:$B$108,0)),0)</f>
        <v>0</v>
      </c>
      <c r="BO76" s="25">
        <f>-IFERROR(INDEX('Debt Schedule'!$G$12:$G$108,MATCH(Model!BO4,'Debt Schedule'!$B$12:$B$108,0)),0)</f>
        <v>0</v>
      </c>
      <c r="BP76" s="25">
        <f>-IFERROR(INDEX('Debt Schedule'!$G$12:$G$108,MATCH(Model!BP4,'Debt Schedule'!$B$12:$B$108,0)),0)</f>
        <v>0</v>
      </c>
      <c r="BQ76" s="25">
        <f>-IFERROR(INDEX('Debt Schedule'!$G$12:$G$108,MATCH(Model!BQ4,'Debt Schedule'!$B$12:$B$108,0)),0)</f>
        <v>0</v>
      </c>
      <c r="BR76" s="25">
        <f>-IFERROR(INDEX('Debt Schedule'!$G$12:$G$108,MATCH(Model!BR4,'Debt Schedule'!$B$12:$B$108,0)),0)</f>
        <v>0</v>
      </c>
      <c r="BS76" s="25">
        <f>-IFERROR(INDEX('Debt Schedule'!$G$12:$G$108,MATCH(Model!BS4,'Debt Schedule'!$B$12:$B$108,0)),0)</f>
        <v>0</v>
      </c>
      <c r="BT76" s="25">
        <f>-IFERROR(INDEX('Debt Schedule'!$G$12:$G$108,MATCH(Model!BT4,'Debt Schedule'!$B$12:$B$108,0)),0)</f>
        <v>0</v>
      </c>
      <c r="BU76" s="25">
        <f>-IFERROR(INDEX('Debt Schedule'!$G$12:$G$108,MATCH(Model!BU4,'Debt Schedule'!$B$12:$B$108,0)),0)</f>
        <v>0</v>
      </c>
      <c r="BV76" s="25">
        <f>-IFERROR(INDEX('Debt Schedule'!$G$12:$G$108,MATCH(Model!BV4,'Debt Schedule'!$B$12:$B$108,0)),0)</f>
        <v>0</v>
      </c>
      <c r="BW76" s="25">
        <f>-IFERROR(INDEX('Debt Schedule'!$G$12:$G$108,MATCH(Model!BW4,'Debt Schedule'!$B$12:$B$108,0)),0)</f>
        <v>0</v>
      </c>
      <c r="BX76" s="25">
        <f>-IFERROR(INDEX('Debt Schedule'!$G$12:$G$108,MATCH(Model!BX4,'Debt Schedule'!$B$12:$B$108,0)),0)</f>
        <v>0</v>
      </c>
      <c r="BY76" s="25">
        <f>-IFERROR(INDEX('Debt Schedule'!$G$12:$G$108,MATCH(Model!BY4,'Debt Schedule'!$B$12:$B$108,0)),0)</f>
        <v>0</v>
      </c>
      <c r="BZ76" s="25">
        <f>-IFERROR(INDEX('Debt Schedule'!$G$12:$G$108,MATCH(Model!BZ4,'Debt Schedule'!$B$12:$B$108,0)),0)</f>
        <v>0</v>
      </c>
      <c r="CA76" s="25">
        <f>-IFERROR(INDEX('Debt Schedule'!$G$12:$G$108,MATCH(Model!CA4,'Debt Schedule'!$B$12:$B$108,0)),0)</f>
        <v>0</v>
      </c>
      <c r="CB76" s="25">
        <f>-IFERROR(INDEX('Debt Schedule'!$G$12:$G$108,MATCH(Model!CB4,'Debt Schedule'!$B$12:$B$108,0)),0)</f>
        <v>0</v>
      </c>
      <c r="CC76" s="25">
        <f>-IFERROR(INDEX('Debt Schedule'!$G$12:$G$108,MATCH(Model!CC4,'Debt Schedule'!$B$12:$B$108,0)),0)</f>
        <v>0</v>
      </c>
      <c r="CD76" s="25">
        <f>-IFERROR(INDEX('Debt Schedule'!$G$12:$G$108,MATCH(Model!CD4,'Debt Schedule'!$B$12:$B$108,0)),0)</f>
        <v>0</v>
      </c>
      <c r="CE76" s="25">
        <f>-IFERROR(INDEX('Debt Schedule'!$G$12:$G$108,MATCH(Model!CE4,'Debt Schedule'!$B$12:$B$108,0)),0)</f>
        <v>0</v>
      </c>
      <c r="CF76" s="25">
        <f>-IFERROR(INDEX('Debt Schedule'!$G$12:$G$108,MATCH(Model!CF4,'Debt Schedule'!$B$12:$B$108,0)),0)</f>
        <v>0</v>
      </c>
      <c r="CG76" s="25">
        <f>-IFERROR(INDEX('Debt Schedule'!$G$12:$G$108,MATCH(Model!CG4,'Debt Schedule'!$B$12:$B$108,0)),0)</f>
        <v>0</v>
      </c>
      <c r="CH76" s="25">
        <f>-IFERROR(INDEX('Debt Schedule'!$G$12:$G$108,MATCH(Model!CH4,'Debt Schedule'!$B$12:$B$108,0)),0)</f>
        <v>0</v>
      </c>
      <c r="CI76" s="25">
        <f>-IFERROR(INDEX('Debt Schedule'!$G$12:$G$108,MATCH(Model!CI4,'Debt Schedule'!$B$12:$B$108,0)),0)</f>
        <v>0</v>
      </c>
      <c r="CJ76" s="25">
        <f>-IFERROR(INDEX('Debt Schedule'!$G$12:$G$108,MATCH(Model!CJ4,'Debt Schedule'!$B$12:$B$108,0)),0)</f>
        <v>0</v>
      </c>
      <c r="CK76" s="25">
        <f>-IFERROR(INDEX('Debt Schedule'!$G$12:$G$108,MATCH(Model!CK4,'Debt Schedule'!$B$12:$B$108,0)),0)</f>
        <v>0</v>
      </c>
      <c r="CL76" s="25">
        <f>-IFERROR(INDEX('Debt Schedule'!$G$12:$G$108,MATCH(Model!CL4,'Debt Schedule'!$B$12:$B$108,0)),0)</f>
        <v>0</v>
      </c>
      <c r="CM76" s="25">
        <f>-IFERROR(INDEX('Debt Schedule'!$G$12:$G$108,MATCH(Model!CM4,'Debt Schedule'!$B$12:$B$108,0)),0)</f>
        <v>0</v>
      </c>
      <c r="CN76" s="25">
        <f>-IFERROR(INDEX('Debt Schedule'!$G$12:$G$108,MATCH(Model!CN4,'Debt Schedule'!$B$12:$B$108,0)),0)</f>
        <v>0</v>
      </c>
      <c r="CO76" s="25">
        <f>-IFERROR(INDEX('Debt Schedule'!$G$12:$G$108,MATCH(Model!CO4,'Debt Schedule'!$B$12:$B$108,0)),0)</f>
        <v>0</v>
      </c>
      <c r="CP76" s="25">
        <f>-IFERROR(INDEX('Debt Schedule'!$G$12:$G$108,MATCH(Model!CP4,'Debt Schedule'!$B$12:$B$108,0)),0)</f>
        <v>0</v>
      </c>
      <c r="CQ76" s="25">
        <f>-IFERROR(INDEX('Debt Schedule'!$G$12:$G$108,MATCH(Model!CQ4,'Debt Schedule'!$B$12:$B$108,0)),0)</f>
        <v>0</v>
      </c>
      <c r="CR76" s="25">
        <f>-IFERROR(INDEX('Debt Schedule'!$G$12:$G$108,MATCH(Model!CR4,'Debt Schedule'!$B$12:$B$108,0)),0)</f>
        <v>0</v>
      </c>
      <c r="CS76" s="25">
        <f>-IFERROR(INDEX('Debt Schedule'!$G$12:$G$108,MATCH(Model!CS4,'Debt Schedule'!$B$12:$B$108,0)),0)</f>
        <v>0</v>
      </c>
      <c r="CT76" s="25">
        <f>-IFERROR(INDEX('Debt Schedule'!$G$12:$G$108,MATCH(Model!CT4,'Debt Schedule'!$B$12:$B$108,0)),0)</f>
        <v>0</v>
      </c>
      <c r="CU76" s="25">
        <f>-IFERROR(INDEX('Debt Schedule'!$G$12:$G$108,MATCH(Model!CU4,'Debt Schedule'!$B$12:$B$108,0)),0)</f>
        <v>0</v>
      </c>
      <c r="CV76" s="25">
        <f>-IFERROR(INDEX('Debt Schedule'!$G$12:$G$108,MATCH(Model!CV4,'Debt Schedule'!$B$12:$B$108,0)),0)</f>
        <v>0</v>
      </c>
      <c r="CW76" s="25">
        <f>-IFERROR(INDEX('Debt Schedule'!$G$12:$G$108,MATCH(Model!CW4,'Debt Schedule'!$B$12:$B$108,0)),0)</f>
        <v>0</v>
      </c>
      <c r="CX76" s="25">
        <f>-IFERROR(INDEX('Debt Schedule'!$G$12:$G$108,MATCH(Model!CX4,'Debt Schedule'!$B$12:$B$108,0)),0)</f>
        <v>0</v>
      </c>
      <c r="CY76" s="25">
        <f>-IFERROR(INDEX('Debt Schedule'!$G$12:$G$108,MATCH(Model!CY4,'Debt Schedule'!$B$12:$B$108,0)),0)</f>
        <v>0</v>
      </c>
      <c r="CZ76" s="25">
        <f>-IFERROR(INDEX('Debt Schedule'!$G$12:$G$108,MATCH(Model!CZ4,'Debt Schedule'!$B$12:$B$108,0)),0)</f>
        <v>0</v>
      </c>
      <c r="DA76" s="25">
        <f>-IFERROR(INDEX('Debt Schedule'!$G$12:$G$108,MATCH(Model!DA4,'Debt Schedule'!$B$12:$B$108,0)),0)</f>
        <v>0</v>
      </c>
      <c r="DB76" s="25">
        <f>-IFERROR(INDEX('Debt Schedule'!$G$12:$G$108,MATCH(Model!DB4,'Debt Schedule'!$B$12:$B$108,0)),0)</f>
        <v>0</v>
      </c>
      <c r="DC76" s="25">
        <f>-IFERROR(INDEX('Debt Schedule'!$G$12:$G$108,MATCH(Model!DC4,'Debt Schedule'!$B$12:$B$108,0)),0)</f>
        <v>0</v>
      </c>
      <c r="DD76" s="25">
        <f>-IFERROR(INDEX('Debt Schedule'!$G$12:$G$108,MATCH(Model!DD4,'Debt Schedule'!$B$12:$B$108,0)),0)</f>
        <v>0</v>
      </c>
      <c r="DE76" s="25">
        <f>-IFERROR(INDEX('Debt Schedule'!$G$12:$G$108,MATCH(Model!DE4,'Debt Schedule'!$B$12:$B$108,0)),0)</f>
        <v>0</v>
      </c>
      <c r="DF76" s="25">
        <f>-IFERROR(INDEX('Debt Schedule'!$G$12:$G$108,MATCH(Model!DF4,'Debt Schedule'!$B$12:$B$108,0)),0)</f>
        <v>0</v>
      </c>
      <c r="DG76" s="25">
        <f>-IFERROR(INDEX('Debt Schedule'!$G$12:$G$108,MATCH(Model!DG4,'Debt Schedule'!$B$12:$B$108,0)),0)</f>
        <v>0</v>
      </c>
      <c r="DH76" s="25">
        <f>-IFERROR(INDEX('Debt Schedule'!$G$12:$G$108,MATCH(Model!DH4,'Debt Schedule'!$B$12:$B$108,0)),0)</f>
        <v>0</v>
      </c>
      <c r="DI76" s="25">
        <f>-IFERROR(INDEX('Debt Schedule'!$G$12:$G$108,MATCH(Model!DI4,'Debt Schedule'!$B$12:$B$108,0)),0)</f>
        <v>0</v>
      </c>
      <c r="DJ76" s="25">
        <f>-IFERROR(INDEX('Debt Schedule'!$G$12:$G$108,MATCH(Model!DJ4,'Debt Schedule'!$B$12:$B$108,0)),0)</f>
        <v>0</v>
      </c>
      <c r="DK76" s="25">
        <f>-IFERROR(INDEX('Debt Schedule'!$G$12:$G$108,MATCH(Model!DK4,'Debt Schedule'!$B$12:$B$108,0)),0)</f>
        <v>0</v>
      </c>
      <c r="DL76" s="25">
        <f>-IFERROR(INDEX('Debt Schedule'!$G$12:$G$108,MATCH(Model!DL4,'Debt Schedule'!$B$12:$B$108,0)),0)</f>
        <v>0</v>
      </c>
      <c r="DM76" s="25">
        <f>-IFERROR(INDEX('Debt Schedule'!$G$12:$G$108,MATCH(Model!DM4,'Debt Schedule'!$B$12:$B$108,0)),0)</f>
        <v>0</v>
      </c>
      <c r="DN76" s="25">
        <f>-IFERROR(INDEX('Debt Schedule'!$G$12:$G$108,MATCH(Model!DN4,'Debt Schedule'!$B$12:$B$108,0)),0)</f>
        <v>0</v>
      </c>
      <c r="DO76" s="25">
        <f>-IFERROR(INDEX('Debt Schedule'!$G$12:$G$108,MATCH(Model!DO4,'Debt Schedule'!$B$12:$B$108,0)),0)</f>
        <v>0</v>
      </c>
      <c r="DP76" s="25">
        <f>-IFERROR(INDEX('Debt Schedule'!$G$12:$G$108,MATCH(Model!DP4,'Debt Schedule'!$B$12:$B$108,0)),0)</f>
        <v>0</v>
      </c>
      <c r="DQ76" s="25">
        <f>-IFERROR(INDEX('Debt Schedule'!$G$12:$G$108,MATCH(Model!DQ4,'Debt Schedule'!$B$12:$B$108,0)),0)</f>
        <v>0</v>
      </c>
      <c r="DR76" s="25">
        <f>-IFERROR(INDEX('Debt Schedule'!$G$12:$G$108,MATCH(Model!DR4,'Debt Schedule'!$B$12:$B$108,0)),0)</f>
        <v>0</v>
      </c>
      <c r="DS76" s="25">
        <f>-IFERROR(INDEX('Debt Schedule'!$G$12:$G$108,MATCH(Model!DS4,'Debt Schedule'!$B$12:$B$108,0)),0)</f>
        <v>0</v>
      </c>
      <c r="DT76" s="25">
        <f>-IFERROR(INDEX('Debt Schedule'!$G$12:$G$108,MATCH(Model!DT4,'Debt Schedule'!$B$12:$B$108,0)),0)</f>
        <v>0</v>
      </c>
      <c r="DU76" s="25">
        <f>-IFERROR(INDEX('Debt Schedule'!$G$12:$G$108,MATCH(Model!DU4,'Debt Schedule'!$B$12:$B$108,0)),0)</f>
        <v>0</v>
      </c>
      <c r="DV76" s="25">
        <f>-IFERROR(INDEX('Debt Schedule'!$G$12:$G$108,MATCH(Model!DV4,'Debt Schedule'!$B$12:$B$108,0)),0)</f>
        <v>0</v>
      </c>
      <c r="DW76" s="25">
        <f>-IFERROR(INDEX('Debt Schedule'!$G$12:$G$108,MATCH(Model!DW4,'Debt Schedule'!$B$12:$B$108,0)),0)</f>
        <v>0</v>
      </c>
      <c r="DX76" s="25">
        <f>-IFERROR(INDEX('Debt Schedule'!$G$12:$G$108,MATCH(Model!DX4,'Debt Schedule'!$B$12:$B$108,0)),0)</f>
        <v>0</v>
      </c>
      <c r="DY76" s="25">
        <f>-IFERROR(INDEX('Debt Schedule'!$G$12:$G$108,MATCH(Model!DY4,'Debt Schedule'!$B$12:$B$108,0)),0)</f>
        <v>0</v>
      </c>
      <c r="DZ76" s="25">
        <f>-IFERROR(INDEX('Debt Schedule'!$G$12:$G$108,MATCH(Model!DZ4,'Debt Schedule'!$B$12:$B$108,0)),0)</f>
        <v>0</v>
      </c>
      <c r="EA76" s="25">
        <f>-IFERROR(INDEX('Debt Schedule'!$G$12:$G$108,MATCH(Model!EA4,'Debt Schedule'!$B$12:$B$108,0)),0)</f>
        <v>0</v>
      </c>
      <c r="EB76" s="25">
        <f>-IFERROR(INDEX('Debt Schedule'!$G$12:$G$108,MATCH(Model!EB4,'Debt Schedule'!$B$12:$B$108,0)),0)</f>
        <v>0</v>
      </c>
      <c r="EC76" s="25">
        <f>-IFERROR(INDEX('Debt Schedule'!$G$12:$G$108,MATCH(Model!EC4,'Debt Schedule'!$B$12:$B$108,0)),0)</f>
        <v>0</v>
      </c>
      <c r="ED76" s="25">
        <f>-IFERROR(INDEX('Debt Schedule'!$G$12:$G$108,MATCH(Model!ED4,'Debt Schedule'!$B$12:$B$108,0)),0)</f>
        <v>0</v>
      </c>
      <c r="EE76" s="25">
        <f>-IFERROR(INDEX('Debt Schedule'!$G$12:$G$108,MATCH(Model!EE4,'Debt Schedule'!$B$12:$B$108,0)),0)</f>
        <v>0</v>
      </c>
      <c r="EF76" s="25">
        <f>-IFERROR(INDEX('Debt Schedule'!$G$12:$G$108,MATCH(Model!EF4,'Debt Schedule'!$B$12:$B$108,0)),0)</f>
        <v>0</v>
      </c>
      <c r="EG76" s="25">
        <f>-IFERROR(INDEX('Debt Schedule'!$G$12:$G$108,MATCH(Model!EG4,'Debt Schedule'!$B$12:$B$108,0)),0)</f>
        <v>0</v>
      </c>
      <c r="EH76" s="25">
        <f>-IFERROR(INDEX('Debt Schedule'!$G$12:$G$108,MATCH(Model!EH4,'Debt Schedule'!$B$12:$B$108,0)),0)</f>
        <v>0</v>
      </c>
      <c r="EI76" s="25">
        <f>-IFERROR(INDEX('Debt Schedule'!$G$12:$G$108,MATCH(Model!EI4,'Debt Schedule'!$B$12:$B$108,0)),0)</f>
        <v>0</v>
      </c>
      <c r="EM76" s="1" t="s">
        <v>178</v>
      </c>
    </row>
    <row r="77" spans="2:143" x14ac:dyDescent="0.45"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M77" s="1" t="s">
        <v>178</v>
      </c>
    </row>
    <row r="78" spans="2:143" x14ac:dyDescent="0.45">
      <c r="D78" s="8" t="s">
        <v>154</v>
      </c>
      <c r="E78" s="8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M78" s="1" t="s">
        <v>178</v>
      </c>
    </row>
    <row r="79" spans="2:143" x14ac:dyDescent="0.45">
      <c r="D79" s="1" t="s">
        <v>42</v>
      </c>
      <c r="G79" s="40">
        <f>+Assumptions!$G$37</f>
        <v>5.7064400000000001E-2</v>
      </c>
      <c r="H79" s="40">
        <f>+Assumptions!$G$37</f>
        <v>5.7064400000000001E-2</v>
      </c>
      <c r="I79" s="40">
        <f>+Assumptions!$G$37</f>
        <v>5.7064400000000001E-2</v>
      </c>
      <c r="J79" s="40">
        <f>+Assumptions!$G$37</f>
        <v>5.7064400000000001E-2</v>
      </c>
      <c r="K79" s="40">
        <f>+Assumptions!$G$37</f>
        <v>5.7064400000000001E-2</v>
      </c>
      <c r="L79" s="40">
        <f>+Assumptions!$G$37</f>
        <v>5.7064400000000001E-2</v>
      </c>
      <c r="M79" s="40">
        <f>+Assumptions!$G$37</f>
        <v>5.7064400000000001E-2</v>
      </c>
      <c r="N79" s="40">
        <f>+Assumptions!$G$37</f>
        <v>5.7064400000000001E-2</v>
      </c>
      <c r="O79" s="40">
        <f>+Assumptions!$G$37</f>
        <v>5.7064400000000001E-2</v>
      </c>
      <c r="P79" s="40">
        <f>+Assumptions!$G$37</f>
        <v>5.7064400000000001E-2</v>
      </c>
      <c r="Q79" s="40">
        <f>+Assumptions!$G$37</f>
        <v>5.7064400000000001E-2</v>
      </c>
      <c r="R79" s="40">
        <f>+Assumptions!$G$37</f>
        <v>5.7064400000000001E-2</v>
      </c>
      <c r="S79" s="40">
        <f>+Assumptions!$G$37</f>
        <v>5.7064400000000001E-2</v>
      </c>
      <c r="T79" s="40">
        <f>+Assumptions!$G$37</f>
        <v>5.7064400000000001E-2</v>
      </c>
      <c r="U79" s="40">
        <f>+Assumptions!$G$37</f>
        <v>5.7064400000000001E-2</v>
      </c>
      <c r="V79" s="40">
        <f>+Assumptions!$G$37</f>
        <v>5.7064400000000001E-2</v>
      </c>
      <c r="W79" s="40">
        <f>+Assumptions!$G$37</f>
        <v>5.7064400000000001E-2</v>
      </c>
      <c r="X79" s="40">
        <f>+Assumptions!$G$37</f>
        <v>5.7064400000000001E-2</v>
      </c>
      <c r="Y79" s="40">
        <f>+Assumptions!$G$37</f>
        <v>5.7064400000000001E-2</v>
      </c>
      <c r="Z79" s="40">
        <f>+Assumptions!$G$37</f>
        <v>5.7064400000000001E-2</v>
      </c>
      <c r="AA79" s="40">
        <f>+Assumptions!$G$37</f>
        <v>5.7064400000000001E-2</v>
      </c>
      <c r="AB79" s="40">
        <f>+Assumptions!$G$37</f>
        <v>5.7064400000000001E-2</v>
      </c>
      <c r="AC79" s="40">
        <f>+Assumptions!$G$37</f>
        <v>5.7064400000000001E-2</v>
      </c>
      <c r="AD79" s="40">
        <f>+Assumptions!$G$37</f>
        <v>5.7064400000000001E-2</v>
      </c>
      <c r="AE79" s="40">
        <f>+Assumptions!$G$37</f>
        <v>5.7064400000000001E-2</v>
      </c>
      <c r="AF79" s="40">
        <f>+Assumptions!$G$37</f>
        <v>5.7064400000000001E-2</v>
      </c>
      <c r="AG79" s="40">
        <f>+Assumptions!$G$37</f>
        <v>5.7064400000000001E-2</v>
      </c>
      <c r="AH79" s="40">
        <f>+Assumptions!$G$37</f>
        <v>5.7064400000000001E-2</v>
      </c>
      <c r="AI79" s="40">
        <f>+Assumptions!$G$37</f>
        <v>5.7064400000000001E-2</v>
      </c>
      <c r="AJ79" s="40">
        <f>+Assumptions!$G$37</f>
        <v>5.7064400000000001E-2</v>
      </c>
      <c r="AK79" s="40">
        <f>+Assumptions!$G$37</f>
        <v>5.7064400000000001E-2</v>
      </c>
      <c r="AL79" s="40">
        <f>+Assumptions!$G$37</f>
        <v>5.7064400000000001E-2</v>
      </c>
      <c r="AM79" s="40">
        <f>+Assumptions!$G$37</f>
        <v>5.7064400000000001E-2</v>
      </c>
      <c r="AN79" s="40">
        <f>+Assumptions!$G$37</f>
        <v>5.7064400000000001E-2</v>
      </c>
      <c r="AO79" s="40">
        <f>+Assumptions!$G$37</f>
        <v>5.7064400000000001E-2</v>
      </c>
      <c r="AP79" s="40">
        <f>+Assumptions!$G$37</f>
        <v>5.7064400000000001E-2</v>
      </c>
      <c r="AQ79" s="40">
        <f>+Assumptions!$G$37</f>
        <v>5.7064400000000001E-2</v>
      </c>
      <c r="AR79" s="40">
        <f>+Assumptions!$G$37</f>
        <v>5.7064400000000001E-2</v>
      </c>
      <c r="AS79" s="40">
        <f>+Assumptions!$G$37</f>
        <v>5.7064400000000001E-2</v>
      </c>
      <c r="AT79" s="40">
        <f>+Assumptions!$G$37</f>
        <v>5.7064400000000001E-2</v>
      </c>
      <c r="AU79" s="40">
        <f>+Assumptions!$G$37</f>
        <v>5.7064400000000001E-2</v>
      </c>
      <c r="AV79" s="40">
        <f>+Assumptions!$G$37</f>
        <v>5.7064400000000001E-2</v>
      </c>
      <c r="AW79" s="40">
        <f>+Assumptions!$G$37</f>
        <v>5.7064400000000001E-2</v>
      </c>
      <c r="AX79" s="40">
        <f>+Assumptions!$G$37</f>
        <v>5.7064400000000001E-2</v>
      </c>
      <c r="AY79" s="40">
        <f>+Assumptions!$G$37</f>
        <v>5.7064400000000001E-2</v>
      </c>
      <c r="AZ79" s="40">
        <f>+Assumptions!$G$37</f>
        <v>5.7064400000000001E-2</v>
      </c>
      <c r="BA79" s="40">
        <f>+Assumptions!$G$37</f>
        <v>5.7064400000000001E-2</v>
      </c>
      <c r="BB79" s="40">
        <f>+Assumptions!$G$37</f>
        <v>5.7064400000000001E-2</v>
      </c>
      <c r="BC79" s="40">
        <f>+Assumptions!$G$37</f>
        <v>5.7064400000000001E-2</v>
      </c>
      <c r="BD79" s="40">
        <f>+Assumptions!$G$37</f>
        <v>5.7064400000000001E-2</v>
      </c>
      <c r="BE79" s="40">
        <f>+Assumptions!$G$37</f>
        <v>5.7064400000000001E-2</v>
      </c>
      <c r="BF79" s="40">
        <f>+Assumptions!$G$37</f>
        <v>5.7064400000000001E-2</v>
      </c>
      <c r="BG79" s="40">
        <f>+Assumptions!$G$37</f>
        <v>5.7064400000000001E-2</v>
      </c>
      <c r="BH79" s="40">
        <f>+Assumptions!$G$37</f>
        <v>5.7064400000000001E-2</v>
      </c>
      <c r="BI79" s="40">
        <f>+Assumptions!$G$37</f>
        <v>5.7064400000000001E-2</v>
      </c>
      <c r="BJ79" s="40">
        <f>+Assumptions!$G$37</f>
        <v>5.7064400000000001E-2</v>
      </c>
      <c r="BK79" s="40">
        <f>+Assumptions!$G$37</f>
        <v>5.7064400000000001E-2</v>
      </c>
      <c r="BL79" s="40">
        <f>+Assumptions!$G$37</f>
        <v>5.7064400000000001E-2</v>
      </c>
      <c r="BM79" s="40">
        <f>+Assumptions!$G$37</f>
        <v>5.7064400000000001E-2</v>
      </c>
      <c r="BN79" s="40">
        <f>+Assumptions!$G$37</f>
        <v>5.7064400000000001E-2</v>
      </c>
      <c r="BO79" s="40">
        <f>+Assumptions!$G$37</f>
        <v>5.7064400000000001E-2</v>
      </c>
      <c r="BP79" s="40">
        <f>+Assumptions!$G$37</f>
        <v>5.7064400000000001E-2</v>
      </c>
      <c r="BQ79" s="40">
        <f>+Assumptions!$G$37</f>
        <v>5.7064400000000001E-2</v>
      </c>
      <c r="BR79" s="40">
        <f>+Assumptions!$G$37</f>
        <v>5.7064400000000001E-2</v>
      </c>
      <c r="BS79" s="40">
        <f>+Assumptions!$G$37</f>
        <v>5.7064400000000001E-2</v>
      </c>
      <c r="BT79" s="40">
        <f>+Assumptions!$G$37</f>
        <v>5.7064400000000001E-2</v>
      </c>
      <c r="BU79" s="40">
        <f>+Assumptions!$G$37</f>
        <v>5.7064400000000001E-2</v>
      </c>
      <c r="BV79" s="40">
        <f>+Assumptions!$G$37</f>
        <v>5.7064400000000001E-2</v>
      </c>
      <c r="BW79" s="40">
        <f>+Assumptions!$G$37</f>
        <v>5.7064400000000001E-2</v>
      </c>
      <c r="BX79" s="40">
        <f>+Assumptions!$G$37</f>
        <v>5.7064400000000001E-2</v>
      </c>
      <c r="BY79" s="40">
        <f>+Assumptions!$G$37</f>
        <v>5.7064400000000001E-2</v>
      </c>
      <c r="BZ79" s="40">
        <f>+Assumptions!$G$37</f>
        <v>5.7064400000000001E-2</v>
      </c>
      <c r="CA79" s="40">
        <f>+Assumptions!$G$37</f>
        <v>5.7064400000000001E-2</v>
      </c>
      <c r="CB79" s="40">
        <f>+Assumptions!$G$37</f>
        <v>5.7064400000000001E-2</v>
      </c>
      <c r="CC79" s="40">
        <f>+Assumptions!$G$37</f>
        <v>5.7064400000000001E-2</v>
      </c>
      <c r="CD79" s="40">
        <f>+Assumptions!$G$37</f>
        <v>5.7064400000000001E-2</v>
      </c>
      <c r="CE79" s="40">
        <f>+Assumptions!$G$37</f>
        <v>5.7064400000000001E-2</v>
      </c>
      <c r="CF79" s="40">
        <f>+Assumptions!$G$37</f>
        <v>5.7064400000000001E-2</v>
      </c>
      <c r="CG79" s="40">
        <f>+Assumptions!$G$37</f>
        <v>5.7064400000000001E-2</v>
      </c>
      <c r="CH79" s="40">
        <f>+Assumptions!$G$37</f>
        <v>5.7064400000000001E-2</v>
      </c>
      <c r="CI79" s="40">
        <f>+Assumptions!$G$37</f>
        <v>5.7064400000000001E-2</v>
      </c>
      <c r="CJ79" s="40">
        <f>+Assumptions!$G$37</f>
        <v>5.7064400000000001E-2</v>
      </c>
      <c r="CK79" s="40">
        <f>+Assumptions!$G$37</f>
        <v>5.7064400000000001E-2</v>
      </c>
      <c r="CL79" s="40">
        <f>+Assumptions!$G$37</f>
        <v>5.7064400000000001E-2</v>
      </c>
      <c r="CM79" s="40">
        <f>+Assumptions!$G$37</f>
        <v>5.7064400000000001E-2</v>
      </c>
      <c r="CN79" s="40">
        <f>+Assumptions!$G$37</f>
        <v>5.7064400000000001E-2</v>
      </c>
      <c r="CO79" s="40">
        <f>+Assumptions!$G$37</f>
        <v>5.7064400000000001E-2</v>
      </c>
      <c r="CP79" s="40">
        <f>+Assumptions!$G$37</f>
        <v>5.7064400000000001E-2</v>
      </c>
      <c r="CQ79" s="40">
        <f>+Assumptions!$G$37</f>
        <v>5.7064400000000001E-2</v>
      </c>
      <c r="CR79" s="40">
        <f>+Assumptions!$G$37</f>
        <v>5.7064400000000001E-2</v>
      </c>
      <c r="CS79" s="40">
        <f>+Assumptions!$G$37</f>
        <v>5.7064400000000001E-2</v>
      </c>
      <c r="CT79" s="40">
        <f>+Assumptions!$G$37</f>
        <v>5.7064400000000001E-2</v>
      </c>
      <c r="CU79" s="40">
        <f>+Assumptions!$G$37</f>
        <v>5.7064400000000001E-2</v>
      </c>
      <c r="CV79" s="40">
        <f>+Assumptions!$G$37</f>
        <v>5.7064400000000001E-2</v>
      </c>
      <c r="CW79" s="40">
        <f>+Assumptions!$G$37</f>
        <v>5.7064400000000001E-2</v>
      </c>
      <c r="CX79" s="40">
        <f>+Assumptions!$G$37</f>
        <v>5.7064400000000001E-2</v>
      </c>
      <c r="CY79" s="40">
        <f>+Assumptions!$G$37</f>
        <v>5.7064400000000001E-2</v>
      </c>
      <c r="CZ79" s="40">
        <f>+Assumptions!$G$37</f>
        <v>5.7064400000000001E-2</v>
      </c>
      <c r="DA79" s="40">
        <f>+Assumptions!$G$37</f>
        <v>5.7064400000000001E-2</v>
      </c>
      <c r="DB79" s="40">
        <f>+Assumptions!$G$37</f>
        <v>5.7064400000000001E-2</v>
      </c>
      <c r="DC79" s="40">
        <f>+Assumptions!$G$37</f>
        <v>5.7064400000000001E-2</v>
      </c>
      <c r="DD79" s="40">
        <f>+Assumptions!$G$37</f>
        <v>5.7064400000000001E-2</v>
      </c>
      <c r="DE79" s="40">
        <f>+Assumptions!$G$37</f>
        <v>5.7064400000000001E-2</v>
      </c>
      <c r="DF79" s="40">
        <f>+Assumptions!$G$37</f>
        <v>5.7064400000000001E-2</v>
      </c>
      <c r="DG79" s="40">
        <f>+Assumptions!$G$37</f>
        <v>5.7064400000000001E-2</v>
      </c>
      <c r="DH79" s="40">
        <f>+Assumptions!$G$37</f>
        <v>5.7064400000000001E-2</v>
      </c>
      <c r="DI79" s="40">
        <f>+Assumptions!$G$37</f>
        <v>5.7064400000000001E-2</v>
      </c>
      <c r="DJ79" s="40">
        <f>+Assumptions!$G$37</f>
        <v>5.7064400000000001E-2</v>
      </c>
      <c r="DK79" s="40">
        <f>+Assumptions!$G$37</f>
        <v>5.7064400000000001E-2</v>
      </c>
      <c r="DL79" s="40">
        <f>+Assumptions!$G$37</f>
        <v>5.7064400000000001E-2</v>
      </c>
      <c r="DM79" s="40">
        <f>+Assumptions!$G$37</f>
        <v>5.7064400000000001E-2</v>
      </c>
      <c r="DN79" s="40">
        <f>+Assumptions!$G$37</f>
        <v>5.7064400000000001E-2</v>
      </c>
      <c r="DO79" s="40">
        <f>+Assumptions!$G$37</f>
        <v>5.7064400000000001E-2</v>
      </c>
      <c r="DP79" s="40">
        <f>+Assumptions!$G$37</f>
        <v>5.7064400000000001E-2</v>
      </c>
      <c r="DQ79" s="40">
        <f>+Assumptions!$G$37</f>
        <v>5.7064400000000001E-2</v>
      </c>
      <c r="DR79" s="40">
        <f>+Assumptions!$G$37</f>
        <v>5.7064400000000001E-2</v>
      </c>
      <c r="DS79" s="40">
        <f>+Assumptions!$G$37</f>
        <v>5.7064400000000001E-2</v>
      </c>
      <c r="DT79" s="40">
        <f>+Assumptions!$G$37</f>
        <v>5.7064400000000001E-2</v>
      </c>
      <c r="DU79" s="40">
        <f>+Assumptions!$G$37</f>
        <v>5.7064400000000001E-2</v>
      </c>
      <c r="DV79" s="40">
        <f>+Assumptions!$G$37</f>
        <v>5.7064400000000001E-2</v>
      </c>
      <c r="DW79" s="40">
        <f>+Assumptions!$G$37</f>
        <v>5.7064400000000001E-2</v>
      </c>
      <c r="DX79" s="40">
        <f>+Assumptions!$G$37</f>
        <v>5.7064400000000001E-2</v>
      </c>
      <c r="DY79" s="40">
        <f>+Assumptions!$G$37</f>
        <v>5.7064400000000001E-2</v>
      </c>
      <c r="DZ79" s="40">
        <f>+Assumptions!$G$37</f>
        <v>5.7064400000000001E-2</v>
      </c>
      <c r="EA79" s="40">
        <f>+Assumptions!$G$37</f>
        <v>5.7064400000000001E-2</v>
      </c>
      <c r="EB79" s="40">
        <f>+Assumptions!$G$37</f>
        <v>5.7064400000000001E-2</v>
      </c>
      <c r="EC79" s="40">
        <f>+Assumptions!$G$37</f>
        <v>5.7064400000000001E-2</v>
      </c>
      <c r="ED79" s="40">
        <f>+Assumptions!$G$37</f>
        <v>5.7064400000000001E-2</v>
      </c>
      <c r="EE79" s="40">
        <f>+Assumptions!$G$37</f>
        <v>5.7064400000000001E-2</v>
      </c>
      <c r="EF79" s="40">
        <f>+Assumptions!$G$37</f>
        <v>5.7064400000000001E-2</v>
      </c>
      <c r="EG79" s="40">
        <f>+Assumptions!$G$37</f>
        <v>5.7064400000000001E-2</v>
      </c>
      <c r="EH79" s="40">
        <f>+Assumptions!$G$37</f>
        <v>5.7064400000000001E-2</v>
      </c>
      <c r="EI79" s="40">
        <f>+Assumptions!$G$37</f>
        <v>5.7064400000000001E-2</v>
      </c>
      <c r="EM79" s="1" t="s">
        <v>178</v>
      </c>
    </row>
    <row r="80" spans="2:143" x14ac:dyDescent="0.45">
      <c r="D80" s="3" t="s">
        <v>41</v>
      </c>
      <c r="E80" s="3"/>
      <c r="F80" s="3"/>
      <c r="G80" s="25">
        <f>-IFERROR(INDEX('Debt Schedule'!$Q$12:$Q$108,MATCH(Model!G4,'Debt Schedule'!$M$12:$M$108,0)),0)</f>
        <v>0</v>
      </c>
      <c r="H80" s="25">
        <f>-IFERROR(INDEX('Debt Schedule'!$Q$12:$Q$108,MATCH(Model!H4,'Debt Schedule'!$M$12:$M$108,0)),0)</f>
        <v>0</v>
      </c>
      <c r="I80" s="25">
        <f>-IFERROR(INDEX('Debt Schedule'!$Q$12:$Q$108,MATCH(Model!I4,'Debt Schedule'!$M$12:$M$108,0)),0)</f>
        <v>0</v>
      </c>
      <c r="J80" s="25">
        <f>-IFERROR(INDEX('Debt Schedule'!$Q$12:$Q$108,MATCH(Model!J4,'Debt Schedule'!$M$12:$M$108,0)),0)</f>
        <v>0</v>
      </c>
      <c r="K80" s="25">
        <f>-IFERROR(INDEX('Debt Schedule'!$Q$12:$Q$108,MATCH(Model!K4,'Debt Schedule'!$M$12:$M$108,0)),0)</f>
        <v>0</v>
      </c>
      <c r="L80" s="25">
        <f>-IFERROR(INDEX('Debt Schedule'!$Q$12:$Q$108,MATCH(Model!L4,'Debt Schedule'!$M$12:$M$108,0)),0)</f>
        <v>0</v>
      </c>
      <c r="M80" s="25">
        <f>-IFERROR(INDEX('Debt Schedule'!$Q$12:$Q$108,MATCH(Model!M4,'Debt Schedule'!$M$12:$M$108,0)),0)</f>
        <v>0</v>
      </c>
      <c r="N80" s="25">
        <f>-IFERROR(INDEX('Debt Schedule'!$Q$12:$Q$108,MATCH(Model!N4,'Debt Schedule'!$M$12:$M$108,0)),0)</f>
        <v>0</v>
      </c>
      <c r="O80" s="25">
        <f>-IFERROR(INDEX('Debt Schedule'!$Q$12:$Q$108,MATCH(Model!O4,'Debt Schedule'!$M$12:$M$108,0)),0)</f>
        <v>0</v>
      </c>
      <c r="P80" s="25">
        <f>-IFERROR(INDEX('Debt Schedule'!$Q$12:$Q$108,MATCH(Model!P4,'Debt Schedule'!$M$12:$M$108,0)),0)</f>
        <v>0</v>
      </c>
      <c r="Q80" s="25">
        <f>-IFERROR(INDEX('Debt Schedule'!$Q$12:$Q$108,MATCH(Model!Q4,'Debt Schedule'!$M$12:$M$108,0)),0)</f>
        <v>0</v>
      </c>
      <c r="R80" s="25">
        <f>-IFERROR(INDEX('Debt Schedule'!$Q$12:$Q$108,MATCH(Model!R4,'Debt Schedule'!$M$12:$M$108,0)),0)</f>
        <v>0</v>
      </c>
      <c r="S80" s="25">
        <f>-IFERROR(INDEX('Debt Schedule'!$Q$12:$Q$108,MATCH(Model!S4,'Debt Schedule'!$M$12:$M$108,0)),0)</f>
        <v>0</v>
      </c>
      <c r="T80" s="25">
        <f>-IFERROR(INDEX('Debt Schedule'!$Q$12:$Q$108,MATCH(Model!T4,'Debt Schedule'!$M$12:$M$108,0)),0)</f>
        <v>0</v>
      </c>
      <c r="U80" s="25">
        <f>-IFERROR(INDEX('Debt Schedule'!$Q$12:$Q$108,MATCH(Model!U4,'Debt Schedule'!$M$12:$M$108,0)),0)</f>
        <v>0</v>
      </c>
      <c r="V80" s="25">
        <f>-IFERROR(INDEX('Debt Schedule'!$Q$12:$Q$108,MATCH(Model!V4,'Debt Schedule'!$M$12:$M$108,0)),0)</f>
        <v>0</v>
      </c>
      <c r="W80" s="25">
        <f>-IFERROR(INDEX('Debt Schedule'!$Q$12:$Q$108,MATCH(Model!W4,'Debt Schedule'!$M$12:$M$108,0)),0)</f>
        <v>0</v>
      </c>
      <c r="X80" s="25">
        <f>-IFERROR(INDEX('Debt Schedule'!$Q$12:$Q$108,MATCH(Model!X4,'Debt Schedule'!$M$12:$M$108,0)),0)</f>
        <v>0</v>
      </c>
      <c r="Y80" s="25">
        <f>-IFERROR(INDEX('Debt Schedule'!$Q$12:$Q$108,MATCH(Model!Y4,'Debt Schedule'!$M$12:$M$108,0)),0)</f>
        <v>0</v>
      </c>
      <c r="Z80" s="25">
        <f>-IFERROR(INDEX('Debt Schedule'!$Q$12:$Q$108,MATCH(Model!Z4,'Debt Schedule'!$M$12:$M$108,0)),0)</f>
        <v>0</v>
      </c>
      <c r="AA80" s="25">
        <f>-IFERROR(INDEX('Debt Schedule'!$Q$12:$Q$108,MATCH(Model!AA4,'Debt Schedule'!$M$12:$M$108,0)),0)</f>
        <v>0</v>
      </c>
      <c r="AB80" s="25">
        <f>-IFERROR(INDEX('Debt Schedule'!$Q$12:$Q$108,MATCH(Model!AB4,'Debt Schedule'!$M$12:$M$108,0)),0)</f>
        <v>0</v>
      </c>
      <c r="AC80" s="25">
        <f>-IFERROR(INDEX('Debt Schedule'!$Q$12:$Q$108,MATCH(Model!AC4,'Debt Schedule'!$M$12:$M$108,0)),0)</f>
        <v>0</v>
      </c>
      <c r="AD80" s="25">
        <f>-IFERROR(INDEX('Debt Schedule'!$Q$12:$Q$108,MATCH(Model!AD4,'Debt Schedule'!$M$12:$M$108,0)),0)</f>
        <v>0</v>
      </c>
      <c r="AE80" s="25">
        <f>-IFERROR(INDEX('Debt Schedule'!$Q$12:$Q$108,MATCH(Model!AE4,'Debt Schedule'!$M$12:$M$108,0)),0)</f>
        <v>0</v>
      </c>
      <c r="AF80" s="25">
        <f>-IFERROR(INDEX('Debt Schedule'!$Q$12:$Q$108,MATCH(Model!AF4,'Debt Schedule'!$M$12:$M$108,0)),0)</f>
        <v>0</v>
      </c>
      <c r="AG80" s="25">
        <f>-IFERROR(INDEX('Debt Schedule'!$Q$12:$Q$108,MATCH(Model!AG4,'Debt Schedule'!$M$12:$M$108,0)),0)</f>
        <v>0</v>
      </c>
      <c r="AH80" s="25">
        <f>-IFERROR(INDEX('Debt Schedule'!$Q$12:$Q$108,MATCH(Model!AH4,'Debt Schedule'!$M$12:$M$108,0)),0)</f>
        <v>0</v>
      </c>
      <c r="AI80" s="25">
        <f>-IFERROR(INDEX('Debt Schedule'!$Q$12:$Q$108,MATCH(Model!AI4,'Debt Schedule'!$M$12:$M$108,0)),0)</f>
        <v>0</v>
      </c>
      <c r="AJ80" s="25">
        <f>-IFERROR(INDEX('Debt Schedule'!$Q$12:$Q$108,MATCH(Model!AJ4,'Debt Schedule'!$M$12:$M$108,0)),0)</f>
        <v>0</v>
      </c>
      <c r="AK80" s="25">
        <f>-IFERROR(INDEX('Debt Schedule'!$Q$12:$Q$108,MATCH(Model!AK4,'Debt Schedule'!$M$12:$M$108,0)),0)</f>
        <v>0</v>
      </c>
      <c r="AL80" s="25">
        <f>-IFERROR(INDEX('Debt Schedule'!$Q$12:$Q$108,MATCH(Model!AL4,'Debt Schedule'!$M$12:$M$108,0)),0)</f>
        <v>0</v>
      </c>
      <c r="AM80" s="25">
        <f>-IFERROR(INDEX('Debt Schedule'!$Q$12:$Q$108,MATCH(Model!AM4,'Debt Schedule'!$M$12:$M$108,0)),0)</f>
        <v>0</v>
      </c>
      <c r="AN80" s="25">
        <f>-IFERROR(INDEX('Debt Schedule'!$Q$12:$Q$108,MATCH(Model!AN4,'Debt Schedule'!$M$12:$M$108,0)),0)</f>
        <v>0</v>
      </c>
      <c r="AO80" s="25">
        <f>-IFERROR(INDEX('Debt Schedule'!$Q$12:$Q$108,MATCH(Model!AO4,'Debt Schedule'!$M$12:$M$108,0)),0)</f>
        <v>0</v>
      </c>
      <c r="AP80" s="25">
        <f>-IFERROR(INDEX('Debt Schedule'!$Q$12:$Q$108,MATCH(Model!AP4,'Debt Schedule'!$M$12:$M$108,0)),0)</f>
        <v>0</v>
      </c>
      <c r="AQ80" s="25">
        <f>-IFERROR(INDEX('Debt Schedule'!$Q$12:$Q$108,MATCH(Model!AQ4,'Debt Schedule'!$M$12:$M$108,0)),0)</f>
        <v>0</v>
      </c>
      <c r="AR80" s="25">
        <f>-IFERROR(INDEX('Debt Schedule'!$Q$12:$Q$108,MATCH(Model!AR4,'Debt Schedule'!$M$12:$M$108,0)),0)</f>
        <v>81449.312300895908</v>
      </c>
      <c r="AS80" s="25">
        <f>-IFERROR(INDEX('Debt Schedule'!$Q$12:$Q$108,MATCH(Model!AS4,'Debt Schedule'!$M$12:$M$108,0)),0)</f>
        <v>81363.569035070017</v>
      </c>
      <c r="AT80" s="25">
        <f>-IFERROR(INDEX('Debt Schedule'!$Q$12:$Q$108,MATCH(Model!AT4,'Debt Schedule'!$M$12:$M$108,0)),0)</f>
        <v>81277.418028575921</v>
      </c>
      <c r="AU80" s="25">
        <f>-IFERROR(INDEX('Debt Schedule'!$Q$12:$Q$108,MATCH(Model!AU4,'Debt Schedule'!$M$12:$M$108,0)),0)</f>
        <v>81190.857342457282</v>
      </c>
      <c r="AV80" s="25">
        <f>-IFERROR(INDEX('Debt Schedule'!$Q$12:$Q$108,MATCH(Model!AV4,'Debt Schedule'!$M$12:$M$108,0)),0)</f>
        <v>81103.885028537188</v>
      </c>
      <c r="AW80" s="25">
        <f>-IFERROR(INDEX('Debt Schedule'!$Q$12:$Q$108,MATCH(Model!AW4,'Debt Schedule'!$M$12:$M$108,0)),0)</f>
        <v>81016.499129374584</v>
      </c>
      <c r="AX80" s="25">
        <f>-IFERROR(INDEX('Debt Schedule'!$Q$12:$Q$108,MATCH(Model!AX4,'Debt Schedule'!$M$12:$M$108,0)),0)</f>
        <v>80928.697678219949</v>
      </c>
      <c r="AY80" s="25">
        <f>-IFERROR(INDEX('Debt Schedule'!$Q$12:$Q$108,MATCH(Model!AY4,'Debt Schedule'!$M$12:$M$108,0)),0)</f>
        <v>80840.478698971216</v>
      </c>
      <c r="AZ80" s="25">
        <f>-IFERROR(INDEX('Debt Schedule'!$Q$12:$Q$108,MATCH(Model!AZ4,'Debt Schedule'!$M$12:$M$108,0)),0)</f>
        <v>80751.840206129185</v>
      </c>
      <c r="BA80" s="25">
        <f>-IFERROR(INDEX('Debt Schedule'!$Q$12:$Q$108,MATCH(Model!BA4,'Debt Schedule'!$M$12:$M$108,0)),0)</f>
        <v>80662.780204752911</v>
      </c>
      <c r="BB80" s="25">
        <f>-IFERROR(INDEX('Debt Schedule'!$Q$12:$Q$108,MATCH(Model!BB4,'Debt Schedule'!$M$12:$M$108,0)),0)</f>
        <v>80573.296690414776</v>
      </c>
      <c r="BC80" s="25">
        <f>-IFERROR(INDEX('Debt Schedule'!$Q$12:$Q$108,MATCH(Model!BC4,'Debt Schedule'!$M$12:$M$108,0)),0)</f>
        <v>80483.387649155338</v>
      </c>
      <c r="BD80" s="25">
        <f>-IFERROR(INDEX('Debt Schedule'!$Q$12:$Q$108,MATCH(Model!BD4,'Debt Schedule'!$M$12:$M$108,0)),0)</f>
        <v>80393.051057438046</v>
      </c>
      <c r="BE80" s="25">
        <f>-IFERROR(INDEX('Debt Schedule'!$Q$12:$Q$108,MATCH(Model!BE4,'Debt Schedule'!$M$12:$M$108,0)),0)</f>
        <v>80302.284882103719</v>
      </c>
      <c r="BF80" s="25">
        <f>-IFERROR(INDEX('Debt Schedule'!$Q$12:$Q$108,MATCH(Model!BF4,'Debt Schedule'!$M$12:$M$108,0)),0)</f>
        <v>80211.087080324767</v>
      </c>
      <c r="BG80" s="25">
        <f>-IFERROR(INDEX('Debt Schedule'!$Q$12:$Q$108,MATCH(Model!BG4,'Debt Schedule'!$M$12:$M$108,0)),0)</f>
        <v>80119.455599559136</v>
      </c>
      <c r="BH80" s="25">
        <f>-IFERROR(INDEX('Debt Schedule'!$Q$12:$Q$108,MATCH(Model!BH4,'Debt Schedule'!$M$12:$M$108,0)),0)</f>
        <v>80027.388377504278</v>
      </c>
      <c r="BI80" s="25">
        <f>-IFERROR(INDEX('Debt Schedule'!$Q$12:$Q$108,MATCH(Model!BI4,'Debt Schedule'!$M$12:$M$108,0)),0)</f>
        <v>79934.883342050569</v>
      </c>
      <c r="BJ80" s="25">
        <f>-IFERROR(INDEX('Debt Schedule'!$Q$12:$Q$108,MATCH(Model!BJ4,'Debt Schedule'!$M$12:$M$108,0)),0)</f>
        <v>79841.938411234762</v>
      </c>
      <c r="BK80" s="25">
        <f>-IFERROR(INDEX('Debt Schedule'!$Q$12:$Q$108,MATCH(Model!BK4,'Debt Schedule'!$M$12:$M$108,0)),0)</f>
        <v>79748.551493193096</v>
      </c>
      <c r="BL80" s="25">
        <f>-IFERROR(INDEX('Debt Schedule'!$Q$12:$Q$108,MATCH(Model!BL4,'Debt Schedule'!$M$12:$M$108,0)),0)</f>
        <v>79654.720486114296</v>
      </c>
      <c r="BM80" s="25">
        <f>-IFERROR(INDEX('Debt Schedule'!$Q$12:$Q$108,MATCH(Model!BM4,'Debt Schedule'!$M$12:$M$108,0)),0)</f>
        <v>79560.443278192135</v>
      </c>
      <c r="BN80" s="25">
        <f>-IFERROR(INDEX('Debt Schedule'!$Q$12:$Q$108,MATCH(Model!BN4,'Debt Schedule'!$M$12:$M$108,0)),0)</f>
        <v>79465.717747577975</v>
      </c>
      <c r="BO80" s="25">
        <f>-IFERROR(INDEX('Debt Schedule'!$Q$12:$Q$108,MATCH(Model!BO4,'Debt Schedule'!$M$12:$M$108,0)),0)</f>
        <v>79370.541762333058</v>
      </c>
      <c r="BP80" s="25">
        <f>-IFERROR(INDEX('Debt Schedule'!$Q$12:$Q$108,MATCH(Model!BP4,'Debt Schedule'!$M$12:$M$108,0)),0)</f>
        <v>0</v>
      </c>
      <c r="BQ80" s="25">
        <f>-IFERROR(INDEX('Debt Schedule'!$Q$12:$Q$108,MATCH(Model!BQ4,'Debt Schedule'!$M$12:$M$108,0)),0)</f>
        <v>0</v>
      </c>
      <c r="BR80" s="25">
        <f>-IFERROR(INDEX('Debt Schedule'!$Q$12:$Q$108,MATCH(Model!BR4,'Debt Schedule'!$M$12:$M$108,0)),0)</f>
        <v>0</v>
      </c>
      <c r="BS80" s="25">
        <f>-IFERROR(INDEX('Debt Schedule'!$Q$12:$Q$108,MATCH(Model!BS4,'Debt Schedule'!$M$12:$M$108,0)),0)</f>
        <v>0</v>
      </c>
      <c r="BT80" s="25">
        <f>-IFERROR(INDEX('Debt Schedule'!$Q$12:$Q$108,MATCH(Model!BT4,'Debt Schedule'!$M$12:$M$108,0)),0)</f>
        <v>0</v>
      </c>
      <c r="BU80" s="25">
        <f>-IFERROR(INDEX('Debt Schedule'!$Q$12:$Q$108,MATCH(Model!BU4,'Debt Schedule'!$M$12:$M$108,0)),0)</f>
        <v>0</v>
      </c>
      <c r="BV80" s="25">
        <f>-IFERROR(INDEX('Debt Schedule'!$Q$12:$Q$108,MATCH(Model!BV4,'Debt Schedule'!$M$12:$M$108,0)),0)</f>
        <v>0</v>
      </c>
      <c r="BW80" s="25">
        <f>-IFERROR(INDEX('Debt Schedule'!$Q$12:$Q$108,MATCH(Model!BW4,'Debt Schedule'!$M$12:$M$108,0)),0)</f>
        <v>0</v>
      </c>
      <c r="BX80" s="25">
        <f>-IFERROR(INDEX('Debt Schedule'!$Q$12:$Q$108,MATCH(Model!BX4,'Debt Schedule'!$M$12:$M$108,0)),0)</f>
        <v>0</v>
      </c>
      <c r="BY80" s="25">
        <f>-IFERROR(INDEX('Debt Schedule'!$Q$12:$Q$108,MATCH(Model!BY4,'Debt Schedule'!$M$12:$M$108,0)),0)</f>
        <v>0</v>
      </c>
      <c r="BZ80" s="25">
        <f>-IFERROR(INDEX('Debt Schedule'!$Q$12:$Q$108,MATCH(Model!BZ4,'Debt Schedule'!$M$12:$M$108,0)),0)</f>
        <v>0</v>
      </c>
      <c r="CA80" s="25">
        <f>-IFERROR(INDEX('Debt Schedule'!$Q$12:$Q$108,MATCH(Model!CA4,'Debt Schedule'!$M$12:$M$108,0)),0)</f>
        <v>0</v>
      </c>
      <c r="CB80" s="25">
        <f>-IFERROR(INDEX('Debt Schedule'!$Q$12:$Q$108,MATCH(Model!CB4,'Debt Schedule'!$M$12:$M$108,0)),0)</f>
        <v>0</v>
      </c>
      <c r="CC80" s="25">
        <f>-IFERROR(INDEX('Debt Schedule'!$Q$12:$Q$108,MATCH(Model!CC4,'Debt Schedule'!$M$12:$M$108,0)),0)</f>
        <v>0</v>
      </c>
      <c r="CD80" s="25">
        <f>-IFERROR(INDEX('Debt Schedule'!$Q$12:$Q$108,MATCH(Model!CD4,'Debt Schedule'!$M$12:$M$108,0)),0)</f>
        <v>0</v>
      </c>
      <c r="CE80" s="25">
        <f>-IFERROR(INDEX('Debt Schedule'!$Q$12:$Q$108,MATCH(Model!CE4,'Debt Schedule'!$M$12:$M$108,0)),0)</f>
        <v>0</v>
      </c>
      <c r="CF80" s="25">
        <f>-IFERROR(INDEX('Debt Schedule'!$Q$12:$Q$108,MATCH(Model!CF4,'Debt Schedule'!$M$12:$M$108,0)),0)</f>
        <v>0</v>
      </c>
      <c r="CG80" s="25">
        <f>-IFERROR(INDEX('Debt Schedule'!$Q$12:$Q$108,MATCH(Model!CG4,'Debt Schedule'!$M$12:$M$108,0)),0)</f>
        <v>0</v>
      </c>
      <c r="CH80" s="25">
        <f>-IFERROR(INDEX('Debt Schedule'!$Q$12:$Q$108,MATCH(Model!CH4,'Debt Schedule'!$M$12:$M$108,0)),0)</f>
        <v>0</v>
      </c>
      <c r="CI80" s="25">
        <f>-IFERROR(INDEX('Debt Schedule'!$Q$12:$Q$108,MATCH(Model!CI4,'Debt Schedule'!$M$12:$M$108,0)),0)</f>
        <v>0</v>
      </c>
      <c r="CJ80" s="25">
        <f>-IFERROR(INDEX('Debt Schedule'!$Q$12:$Q$108,MATCH(Model!CJ4,'Debt Schedule'!$M$12:$M$108,0)),0)</f>
        <v>0</v>
      </c>
      <c r="CK80" s="25">
        <f>-IFERROR(INDEX('Debt Schedule'!$Q$12:$Q$108,MATCH(Model!CK4,'Debt Schedule'!$M$12:$M$108,0)),0)</f>
        <v>0</v>
      </c>
      <c r="CL80" s="25">
        <f>-IFERROR(INDEX('Debt Schedule'!$Q$12:$Q$108,MATCH(Model!CL4,'Debt Schedule'!$M$12:$M$108,0)),0)</f>
        <v>0</v>
      </c>
      <c r="CM80" s="25">
        <f>-IFERROR(INDEX('Debt Schedule'!$Q$12:$Q$108,MATCH(Model!CM4,'Debt Schedule'!$M$12:$M$108,0)),0)</f>
        <v>0</v>
      </c>
      <c r="CN80" s="25">
        <f>-IFERROR(INDEX('Debt Schedule'!$Q$12:$Q$108,MATCH(Model!CN4,'Debt Schedule'!$M$12:$M$108,0)),0)</f>
        <v>0</v>
      </c>
      <c r="CO80" s="25">
        <f>-IFERROR(INDEX('Debt Schedule'!$Q$12:$Q$108,MATCH(Model!CO4,'Debt Schedule'!$M$12:$M$108,0)),0)</f>
        <v>0</v>
      </c>
      <c r="CP80" s="25">
        <f>-IFERROR(INDEX('Debt Schedule'!$Q$12:$Q$108,MATCH(Model!CP4,'Debt Schedule'!$M$12:$M$108,0)),0)</f>
        <v>0</v>
      </c>
      <c r="CQ80" s="25">
        <f>-IFERROR(INDEX('Debt Schedule'!$Q$12:$Q$108,MATCH(Model!CQ4,'Debt Schedule'!$M$12:$M$108,0)),0)</f>
        <v>0</v>
      </c>
      <c r="CR80" s="25">
        <f>-IFERROR(INDEX('Debt Schedule'!$Q$12:$Q$108,MATCH(Model!CR4,'Debt Schedule'!$M$12:$M$108,0)),0)</f>
        <v>0</v>
      </c>
      <c r="CS80" s="25">
        <f>-IFERROR(INDEX('Debt Schedule'!$Q$12:$Q$108,MATCH(Model!CS4,'Debt Schedule'!$M$12:$M$108,0)),0)</f>
        <v>0</v>
      </c>
      <c r="CT80" s="25">
        <f>-IFERROR(INDEX('Debt Schedule'!$Q$12:$Q$108,MATCH(Model!CT4,'Debt Schedule'!$M$12:$M$108,0)),0)</f>
        <v>0</v>
      </c>
      <c r="CU80" s="25">
        <f>-IFERROR(INDEX('Debt Schedule'!$Q$12:$Q$108,MATCH(Model!CU4,'Debt Schedule'!$M$12:$M$108,0)),0)</f>
        <v>0</v>
      </c>
      <c r="CV80" s="25">
        <f>-IFERROR(INDEX('Debt Schedule'!$Q$12:$Q$108,MATCH(Model!CV4,'Debt Schedule'!$M$12:$M$108,0)),0)</f>
        <v>0</v>
      </c>
      <c r="CW80" s="25">
        <f>-IFERROR(INDEX('Debt Schedule'!$Q$12:$Q$108,MATCH(Model!CW4,'Debt Schedule'!$M$12:$M$108,0)),0)</f>
        <v>0</v>
      </c>
      <c r="CX80" s="25">
        <f>-IFERROR(INDEX('Debt Schedule'!$Q$12:$Q$108,MATCH(Model!CX4,'Debt Schedule'!$M$12:$M$108,0)),0)</f>
        <v>0</v>
      </c>
      <c r="CY80" s="25">
        <f>-IFERROR(INDEX('Debt Schedule'!$Q$12:$Q$108,MATCH(Model!CY4,'Debt Schedule'!$M$12:$M$108,0)),0)</f>
        <v>0</v>
      </c>
      <c r="CZ80" s="25">
        <f>-IFERROR(INDEX('Debt Schedule'!$Q$12:$Q$108,MATCH(Model!CZ4,'Debt Schedule'!$M$12:$M$108,0)),0)</f>
        <v>0</v>
      </c>
      <c r="DA80" s="25">
        <f>-IFERROR(INDEX('Debt Schedule'!$Q$12:$Q$108,MATCH(Model!DA4,'Debt Schedule'!$M$12:$M$108,0)),0)</f>
        <v>0</v>
      </c>
      <c r="DB80" s="25">
        <f>-IFERROR(INDEX('Debt Schedule'!$Q$12:$Q$108,MATCH(Model!DB4,'Debt Schedule'!$M$12:$M$108,0)),0)</f>
        <v>0</v>
      </c>
      <c r="DC80" s="25">
        <f>-IFERROR(INDEX('Debt Schedule'!$Q$12:$Q$108,MATCH(Model!DC4,'Debt Schedule'!$M$12:$M$108,0)),0)</f>
        <v>0</v>
      </c>
      <c r="DD80" s="25">
        <f>-IFERROR(INDEX('Debt Schedule'!$Q$12:$Q$108,MATCH(Model!DD4,'Debt Schedule'!$M$12:$M$108,0)),0)</f>
        <v>0</v>
      </c>
      <c r="DE80" s="25">
        <f>-IFERROR(INDEX('Debt Schedule'!$Q$12:$Q$108,MATCH(Model!DE4,'Debt Schedule'!$M$12:$M$108,0)),0)</f>
        <v>0</v>
      </c>
      <c r="DF80" s="25">
        <f>-IFERROR(INDEX('Debt Schedule'!$Q$12:$Q$108,MATCH(Model!DF4,'Debt Schedule'!$M$12:$M$108,0)),0)</f>
        <v>0</v>
      </c>
      <c r="DG80" s="25">
        <f>-IFERROR(INDEX('Debt Schedule'!$Q$12:$Q$108,MATCH(Model!DG4,'Debt Schedule'!$M$12:$M$108,0)),0)</f>
        <v>0</v>
      </c>
      <c r="DH80" s="25">
        <f>-IFERROR(INDEX('Debt Schedule'!$Q$12:$Q$108,MATCH(Model!DH4,'Debt Schedule'!$M$12:$M$108,0)),0)</f>
        <v>0</v>
      </c>
      <c r="DI80" s="25">
        <f>-IFERROR(INDEX('Debt Schedule'!$Q$12:$Q$108,MATCH(Model!DI4,'Debt Schedule'!$M$12:$M$108,0)),0)</f>
        <v>0</v>
      </c>
      <c r="DJ80" s="25">
        <f>-IFERROR(INDEX('Debt Schedule'!$Q$12:$Q$108,MATCH(Model!DJ4,'Debt Schedule'!$M$12:$M$108,0)),0)</f>
        <v>0</v>
      </c>
      <c r="DK80" s="25">
        <f>-IFERROR(INDEX('Debt Schedule'!$Q$12:$Q$108,MATCH(Model!DK4,'Debt Schedule'!$M$12:$M$108,0)),0)</f>
        <v>0</v>
      </c>
      <c r="DL80" s="25">
        <f>-IFERROR(INDEX('Debt Schedule'!$Q$12:$Q$108,MATCH(Model!DL4,'Debt Schedule'!$M$12:$M$108,0)),0)</f>
        <v>0</v>
      </c>
      <c r="DM80" s="25">
        <f>-IFERROR(INDEX('Debt Schedule'!$Q$12:$Q$108,MATCH(Model!DM4,'Debt Schedule'!$M$12:$M$108,0)),0)</f>
        <v>0</v>
      </c>
      <c r="DN80" s="25">
        <f>-IFERROR(INDEX('Debt Schedule'!$Q$12:$Q$108,MATCH(Model!DN4,'Debt Schedule'!$M$12:$M$108,0)),0)</f>
        <v>0</v>
      </c>
      <c r="DO80" s="25">
        <f>-IFERROR(INDEX('Debt Schedule'!$Q$12:$Q$108,MATCH(Model!DO4,'Debt Schedule'!$M$12:$M$108,0)),0)</f>
        <v>0</v>
      </c>
      <c r="DP80" s="25">
        <f>-IFERROR(INDEX('Debt Schedule'!$Q$12:$Q$108,MATCH(Model!DP4,'Debt Schedule'!$M$12:$M$108,0)),0)</f>
        <v>0</v>
      </c>
      <c r="DQ80" s="25">
        <f>-IFERROR(INDEX('Debt Schedule'!$Q$12:$Q$108,MATCH(Model!DQ4,'Debt Schedule'!$M$12:$M$108,0)),0)</f>
        <v>0</v>
      </c>
      <c r="DR80" s="25">
        <f>-IFERROR(INDEX('Debt Schedule'!$Q$12:$Q$108,MATCH(Model!DR4,'Debt Schedule'!$M$12:$M$108,0)),0)</f>
        <v>0</v>
      </c>
      <c r="DS80" s="25">
        <f>-IFERROR(INDEX('Debt Schedule'!$Q$12:$Q$108,MATCH(Model!DS4,'Debt Schedule'!$M$12:$M$108,0)),0)</f>
        <v>0</v>
      </c>
      <c r="DT80" s="25">
        <f>-IFERROR(INDEX('Debt Schedule'!$Q$12:$Q$108,MATCH(Model!DT4,'Debt Schedule'!$M$12:$M$108,0)),0)</f>
        <v>0</v>
      </c>
      <c r="DU80" s="25">
        <f>-IFERROR(INDEX('Debt Schedule'!$Q$12:$Q$108,MATCH(Model!DU4,'Debt Schedule'!$M$12:$M$108,0)),0)</f>
        <v>0</v>
      </c>
      <c r="DV80" s="25">
        <f>-IFERROR(INDEX('Debt Schedule'!$Q$12:$Q$108,MATCH(Model!DV4,'Debt Schedule'!$M$12:$M$108,0)),0)</f>
        <v>0</v>
      </c>
      <c r="DW80" s="25">
        <f>-IFERROR(INDEX('Debt Schedule'!$Q$12:$Q$108,MATCH(Model!DW4,'Debt Schedule'!$M$12:$M$108,0)),0)</f>
        <v>0</v>
      </c>
      <c r="DX80" s="25">
        <f>-IFERROR(INDEX('Debt Schedule'!$Q$12:$Q$108,MATCH(Model!DX4,'Debt Schedule'!$M$12:$M$108,0)),0)</f>
        <v>0</v>
      </c>
      <c r="DY80" s="25">
        <f>-IFERROR(INDEX('Debt Schedule'!$Q$12:$Q$108,MATCH(Model!DY4,'Debt Schedule'!$M$12:$M$108,0)),0)</f>
        <v>0</v>
      </c>
      <c r="DZ80" s="25">
        <f>-IFERROR(INDEX('Debt Schedule'!$Q$12:$Q$108,MATCH(Model!DZ4,'Debt Schedule'!$M$12:$M$108,0)),0)</f>
        <v>0</v>
      </c>
      <c r="EA80" s="25">
        <f>-IFERROR(INDEX('Debt Schedule'!$Q$12:$Q$108,MATCH(Model!EA4,'Debt Schedule'!$M$12:$M$108,0)),0)</f>
        <v>0</v>
      </c>
      <c r="EB80" s="25">
        <f>-IFERROR(INDEX('Debt Schedule'!$Q$12:$Q$108,MATCH(Model!EB4,'Debt Schedule'!$M$12:$M$108,0)),0)</f>
        <v>0</v>
      </c>
      <c r="EC80" s="25">
        <f>-IFERROR(INDEX('Debt Schedule'!$Q$12:$Q$108,MATCH(Model!EC4,'Debt Schedule'!$M$12:$M$108,0)),0)</f>
        <v>0</v>
      </c>
      <c r="ED80" s="25">
        <f>-IFERROR(INDEX('Debt Schedule'!$Q$12:$Q$108,MATCH(Model!ED4,'Debt Schedule'!$M$12:$M$108,0)),0)</f>
        <v>0</v>
      </c>
      <c r="EE80" s="25">
        <f>-IFERROR(INDEX('Debt Schedule'!$Q$12:$Q$108,MATCH(Model!EE4,'Debt Schedule'!$M$12:$M$108,0)),0)</f>
        <v>0</v>
      </c>
      <c r="EF80" s="25">
        <f>-IFERROR(INDEX('Debt Schedule'!$Q$12:$Q$108,MATCH(Model!EF4,'Debt Schedule'!$M$12:$M$108,0)),0)</f>
        <v>0</v>
      </c>
      <c r="EG80" s="25">
        <f>-IFERROR(INDEX('Debt Schedule'!$Q$12:$Q$108,MATCH(Model!EG4,'Debt Schedule'!$M$12:$M$108,0)),0)</f>
        <v>0</v>
      </c>
      <c r="EH80" s="25">
        <f>-IFERROR(INDEX('Debt Schedule'!$Q$12:$Q$108,MATCH(Model!EH4,'Debt Schedule'!$M$12:$M$108,0)),0)</f>
        <v>0</v>
      </c>
      <c r="EI80" s="25">
        <f>-IFERROR(INDEX('Debt Schedule'!$Q$12:$Q$108,MATCH(Model!EI4,'Debt Schedule'!$M$12:$M$108,0)),0)</f>
        <v>0</v>
      </c>
      <c r="EM80" s="1" t="s">
        <v>178</v>
      </c>
    </row>
    <row r="81" spans="2:143" x14ac:dyDescent="0.45"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M81" s="1" t="s">
        <v>178</v>
      </c>
    </row>
    <row r="82" spans="2:143" x14ac:dyDescent="0.45"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M82" s="1" t="s">
        <v>178</v>
      </c>
    </row>
    <row r="83" spans="2:143" x14ac:dyDescent="0.45">
      <c r="D83" s="8" t="s">
        <v>169</v>
      </c>
      <c r="E83" s="8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M83" s="1" t="s">
        <v>178</v>
      </c>
    </row>
    <row r="84" spans="2:143" x14ac:dyDescent="0.45">
      <c r="F84" s="47" t="s">
        <v>172</v>
      </c>
      <c r="G84" s="24"/>
      <c r="H84" s="167" t="s">
        <v>169</v>
      </c>
      <c r="I84" s="168"/>
      <c r="J84" s="168" t="s">
        <v>170</v>
      </c>
      <c r="K84" s="168" t="s">
        <v>171</v>
      </c>
      <c r="L84" s="168" t="s">
        <v>177</v>
      </c>
      <c r="M84" s="24"/>
      <c r="N84" s="476"/>
      <c r="O84" s="426"/>
      <c r="P84" s="426"/>
      <c r="Q84" s="426"/>
      <c r="R84" s="426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M84" s="1" t="s">
        <v>178</v>
      </c>
    </row>
    <row r="85" spans="2:143" x14ac:dyDescent="0.45">
      <c r="D85" s="3" t="s">
        <v>171</v>
      </c>
      <c r="E85" s="3"/>
      <c r="F85" s="164">
        <f>+Assumptions!K3</f>
        <v>0.1</v>
      </c>
      <c r="G85" s="24"/>
      <c r="H85" s="24" t="s">
        <v>173</v>
      </c>
      <c r="I85" s="53"/>
      <c r="J85" s="278">
        <f>+F86</f>
        <v>0.9</v>
      </c>
      <c r="K85" s="278">
        <f>+F85</f>
        <v>0.1</v>
      </c>
      <c r="L85" s="170">
        <v>0.1</v>
      </c>
      <c r="M85" s="24"/>
      <c r="N85" s="476"/>
      <c r="O85" s="426"/>
      <c r="P85" s="477"/>
      <c r="Q85" s="477"/>
      <c r="R85" s="478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M85" s="1" t="s">
        <v>178</v>
      </c>
    </row>
    <row r="86" spans="2:143" x14ac:dyDescent="0.45">
      <c r="D86" s="1" t="s">
        <v>170</v>
      </c>
      <c r="F86" s="165">
        <f>+Assumptions!K4</f>
        <v>0.9</v>
      </c>
      <c r="G86" s="24"/>
      <c r="H86" s="24" t="s">
        <v>174</v>
      </c>
      <c r="I86" s="53"/>
      <c r="J86" s="169">
        <f>1-K86</f>
        <v>0.85</v>
      </c>
      <c r="K86" s="170">
        <v>0.15</v>
      </c>
      <c r="L86" s="170">
        <v>0.15</v>
      </c>
      <c r="M86" s="24"/>
      <c r="N86" s="476"/>
      <c r="O86" s="426"/>
      <c r="P86" s="165"/>
      <c r="Q86" s="478"/>
      <c r="R86" s="478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M86" s="1" t="s">
        <v>178</v>
      </c>
    </row>
    <row r="87" spans="2:143" x14ac:dyDescent="0.45">
      <c r="D87" s="2" t="s">
        <v>31</v>
      </c>
      <c r="E87" s="2"/>
      <c r="F87" s="166">
        <f>SUM(F85:F86)</f>
        <v>1</v>
      </c>
      <c r="G87" s="24"/>
      <c r="H87" s="24" t="s">
        <v>175</v>
      </c>
      <c r="I87" s="53"/>
      <c r="J87" s="169">
        <f>1-K87</f>
        <v>0.8</v>
      </c>
      <c r="K87" s="170">
        <v>0.2</v>
      </c>
      <c r="L87" s="170">
        <v>0.2</v>
      </c>
      <c r="M87" s="24"/>
      <c r="N87" s="476"/>
      <c r="O87" s="426"/>
      <c r="P87" s="165"/>
      <c r="Q87" s="478"/>
      <c r="R87" s="478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M87" s="1" t="s">
        <v>178</v>
      </c>
    </row>
    <row r="88" spans="2:143" x14ac:dyDescent="0.45">
      <c r="F88" s="47"/>
      <c r="G88" s="24"/>
      <c r="H88" s="167" t="s">
        <v>176</v>
      </c>
      <c r="I88" s="168"/>
      <c r="J88" s="166">
        <f>1-K88</f>
        <v>0.7</v>
      </c>
      <c r="K88" s="171">
        <v>0.3</v>
      </c>
      <c r="L88" s="166">
        <f>+L87</f>
        <v>0.2</v>
      </c>
      <c r="M88" s="24"/>
      <c r="N88" s="476"/>
      <c r="O88" s="426"/>
      <c r="P88" s="165"/>
      <c r="Q88" s="478"/>
      <c r="R88" s="165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M88" s="1" t="s">
        <v>178</v>
      </c>
    </row>
    <row r="89" spans="2:143" x14ac:dyDescent="0.45">
      <c r="G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M89" s="1" t="s">
        <v>178</v>
      </c>
    </row>
    <row r="90" spans="2:143" x14ac:dyDescent="0.45">
      <c r="B90" s="24"/>
      <c r="G90" s="24"/>
      <c r="H90" s="24"/>
      <c r="I90" s="53"/>
      <c r="J90" s="53"/>
      <c r="K90" s="53"/>
      <c r="L90" s="53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M90" s="1" t="s">
        <v>178</v>
      </c>
    </row>
    <row r="91" spans="2:143" x14ac:dyDescent="0.45">
      <c r="D91" s="74" t="s">
        <v>208</v>
      </c>
      <c r="E91" s="2"/>
      <c r="F91" s="2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  <c r="BS91" s="167"/>
      <c r="BT91" s="167"/>
      <c r="BU91" s="167"/>
      <c r="BV91" s="167"/>
      <c r="BW91" s="167"/>
      <c r="BX91" s="167"/>
      <c r="BY91" s="167"/>
      <c r="BZ91" s="167"/>
      <c r="CA91" s="167"/>
      <c r="CB91" s="167"/>
      <c r="CC91" s="167"/>
      <c r="CD91" s="167"/>
      <c r="CE91" s="167"/>
      <c r="CF91" s="167"/>
      <c r="CG91" s="167"/>
      <c r="CH91" s="167"/>
      <c r="CI91" s="167"/>
      <c r="CJ91" s="167"/>
      <c r="CK91" s="167"/>
      <c r="CL91" s="167"/>
      <c r="CM91" s="167"/>
      <c r="CN91" s="167"/>
      <c r="CO91" s="167"/>
      <c r="CP91" s="167"/>
      <c r="CQ91" s="167"/>
      <c r="CR91" s="167"/>
      <c r="CS91" s="167"/>
      <c r="CT91" s="167"/>
      <c r="CU91" s="167"/>
      <c r="CV91" s="167"/>
      <c r="CW91" s="167"/>
      <c r="CX91" s="167"/>
      <c r="CY91" s="167"/>
      <c r="CZ91" s="167"/>
      <c r="DA91" s="167"/>
      <c r="DB91" s="167"/>
      <c r="DC91" s="167"/>
      <c r="DD91" s="167"/>
      <c r="DE91" s="167"/>
      <c r="DF91" s="167"/>
      <c r="DG91" s="167"/>
      <c r="DH91" s="167"/>
      <c r="DI91" s="167"/>
      <c r="DJ91" s="167"/>
      <c r="DK91" s="167"/>
      <c r="DL91" s="167"/>
      <c r="DM91" s="167"/>
      <c r="DN91" s="167"/>
      <c r="DO91" s="167"/>
      <c r="DP91" s="167"/>
      <c r="DQ91" s="167"/>
      <c r="DR91" s="167"/>
      <c r="DS91" s="167"/>
      <c r="DT91" s="167"/>
      <c r="DU91" s="167"/>
      <c r="DV91" s="167"/>
      <c r="DW91" s="167"/>
      <c r="DX91" s="167"/>
      <c r="DY91" s="167"/>
      <c r="DZ91" s="167"/>
      <c r="EA91" s="167"/>
      <c r="EB91" s="167"/>
      <c r="EC91" s="167"/>
      <c r="ED91" s="167"/>
      <c r="EE91" s="167"/>
      <c r="EF91" s="167"/>
      <c r="EG91" s="167"/>
      <c r="EH91" s="167"/>
      <c r="EI91" s="167"/>
      <c r="EM91" s="1" t="s">
        <v>178</v>
      </c>
    </row>
    <row r="92" spans="2:143" x14ac:dyDescent="0.45">
      <c r="B92" s="24"/>
      <c r="D92" s="172" t="s">
        <v>179</v>
      </c>
      <c r="E92" s="173"/>
      <c r="F92" s="173"/>
      <c r="G92" s="173">
        <f t="shared" ref="G92:AL92" si="93">SUM(-G125,G141,G159,G167)*$F$86</f>
        <v>0</v>
      </c>
      <c r="H92" s="173">
        <f t="shared" si="93"/>
        <v>0</v>
      </c>
      <c r="I92" s="173">
        <f t="shared" si="93"/>
        <v>0</v>
      </c>
      <c r="J92" s="173">
        <f t="shared" si="93"/>
        <v>0</v>
      </c>
      <c r="K92" s="173">
        <f t="shared" si="93"/>
        <v>0</v>
      </c>
      <c r="L92" s="173">
        <f t="shared" si="93"/>
        <v>0</v>
      </c>
      <c r="M92" s="173">
        <f t="shared" si="93"/>
        <v>0</v>
      </c>
      <c r="N92" s="173">
        <f t="shared" si="93"/>
        <v>0</v>
      </c>
      <c r="O92" s="173">
        <f t="shared" si="93"/>
        <v>0</v>
      </c>
      <c r="P92" s="173">
        <f t="shared" si="93"/>
        <v>0</v>
      </c>
      <c r="Q92" s="173">
        <f t="shared" si="93"/>
        <v>0</v>
      </c>
      <c r="R92" s="173">
        <f t="shared" si="93"/>
        <v>0</v>
      </c>
      <c r="S92" s="173">
        <f t="shared" si="93"/>
        <v>0</v>
      </c>
      <c r="T92" s="173">
        <f t="shared" si="93"/>
        <v>0</v>
      </c>
      <c r="U92" s="173">
        <f t="shared" si="93"/>
        <v>0</v>
      </c>
      <c r="V92" s="173">
        <f t="shared" si="93"/>
        <v>0</v>
      </c>
      <c r="W92" s="173">
        <f t="shared" si="93"/>
        <v>0</v>
      </c>
      <c r="X92" s="173">
        <f t="shared" si="93"/>
        <v>0</v>
      </c>
      <c r="Y92" s="173">
        <f t="shared" si="93"/>
        <v>0</v>
      </c>
      <c r="Z92" s="173">
        <f t="shared" si="93"/>
        <v>0</v>
      </c>
      <c r="AA92" s="173">
        <f t="shared" si="93"/>
        <v>0</v>
      </c>
      <c r="AB92" s="173">
        <f t="shared" si="93"/>
        <v>2573.3531338412931</v>
      </c>
      <c r="AC92" s="173">
        <f t="shared" si="93"/>
        <v>7470.6602680020487</v>
      </c>
      <c r="AD92" s="173">
        <f t="shared" si="93"/>
        <v>11259.504411881655</v>
      </c>
      <c r="AE92" s="173">
        <f t="shared" si="93"/>
        <v>0</v>
      </c>
      <c r="AF92" s="173">
        <f t="shared" si="93"/>
        <v>18772.751860219942</v>
      </c>
      <c r="AG92" s="173">
        <f t="shared" si="93"/>
        <v>16689.728667255895</v>
      </c>
      <c r="AH92" s="173">
        <f t="shared" si="93"/>
        <v>17535.523209494881</v>
      </c>
      <c r="AI92" s="173">
        <f t="shared" si="93"/>
        <v>23854.054355659449</v>
      </c>
      <c r="AJ92" s="173">
        <f t="shared" si="93"/>
        <v>30198.094549770653</v>
      </c>
      <c r="AK92" s="173">
        <f t="shared" si="93"/>
        <v>36567.721868956556</v>
      </c>
      <c r="AL92" s="173">
        <f t="shared" si="93"/>
        <v>38749.663003630274</v>
      </c>
      <c r="AM92" s="173">
        <f t="shared" ref="AM92:BR92" si="94">SUM(-AM125,AM141,AM159,AM167)*$F$86</f>
        <v>38989.326038972817</v>
      </c>
      <c r="AN92" s="173">
        <f t="shared" si="94"/>
        <v>7635.2306406901089</v>
      </c>
      <c r="AO92" s="173">
        <f t="shared" si="94"/>
        <v>45781.151232578733</v>
      </c>
      <c r="AP92" s="173">
        <f t="shared" si="94"/>
        <v>46022.35461777317</v>
      </c>
      <c r="AQ92" s="173">
        <f t="shared" si="94"/>
        <v>6452535.7076209607</v>
      </c>
      <c r="AR92" s="173">
        <f t="shared" si="94"/>
        <v>18619.535774045158</v>
      </c>
      <c r="AS92" s="173">
        <f t="shared" si="94"/>
        <v>18819.450502370331</v>
      </c>
      <c r="AT92" s="173">
        <f t="shared" si="94"/>
        <v>19019.792593527196</v>
      </c>
      <c r="AU92" s="173">
        <f t="shared" si="94"/>
        <v>19220.56295773248</v>
      </c>
      <c r="AV92" s="173">
        <f t="shared" si="94"/>
        <v>19421.7625071283</v>
      </c>
      <c r="AW92" s="173">
        <f t="shared" si="94"/>
        <v>19623.392155786627</v>
      </c>
      <c r="AX92" s="173">
        <f t="shared" si="94"/>
        <v>19825.452819714614</v>
      </c>
      <c r="AY92" s="173">
        <f t="shared" si="94"/>
        <v>20027.945416856302</v>
      </c>
      <c r="AZ92" s="173">
        <f t="shared" si="94"/>
        <v>20230.870867099628</v>
      </c>
      <c r="BA92" s="173">
        <f t="shared" si="94"/>
        <v>20434.230092278289</v>
      </c>
      <c r="BB92" s="173">
        <f t="shared" si="94"/>
        <v>20638.024016176063</v>
      </c>
      <c r="BC92" s="173">
        <f t="shared" si="94"/>
        <v>20842.253564531751</v>
      </c>
      <c r="BD92" s="173">
        <f t="shared" si="94"/>
        <v>21046.91966504353</v>
      </c>
      <c r="BE92" s="173">
        <f t="shared" si="94"/>
        <v>21252.023247371606</v>
      </c>
      <c r="BF92" s="173">
        <f t="shared" si="94"/>
        <v>21457.565243143483</v>
      </c>
      <c r="BG92" s="173">
        <f t="shared" si="94"/>
        <v>21663.546585958142</v>
      </c>
      <c r="BH92" s="173">
        <f t="shared" si="94"/>
        <v>21869.968211389543</v>
      </c>
      <c r="BI92" s="173">
        <f t="shared" si="94"/>
        <v>22076.831056990937</v>
      </c>
      <c r="BJ92" s="173">
        <f t="shared" si="94"/>
        <v>22284.136062299782</v>
      </c>
      <c r="BK92" s="173">
        <f t="shared" si="94"/>
        <v>22491.884168840665</v>
      </c>
      <c r="BL92" s="173">
        <f t="shared" si="94"/>
        <v>22700.076320130644</v>
      </c>
      <c r="BM92" s="173">
        <f t="shared" si="94"/>
        <v>22908.713461683205</v>
      </c>
      <c r="BN92" s="173">
        <f t="shared" si="94"/>
        <v>23117.796541011223</v>
      </c>
      <c r="BO92" s="173">
        <f t="shared" si="94"/>
        <v>6229108.5286030108</v>
      </c>
      <c r="BP92" s="173">
        <f t="shared" si="94"/>
        <v>0</v>
      </c>
      <c r="BQ92" s="173">
        <f t="shared" si="94"/>
        <v>-630.32451526291152</v>
      </c>
      <c r="BR92" s="173">
        <f t="shared" si="94"/>
        <v>-631.59448946983741</v>
      </c>
      <c r="BS92" s="173">
        <f t="shared" ref="BS92:CX92" si="95">SUM(-BS125,BS141,BS159,BS167)*$F$86</f>
        <v>-632.8670301405366</v>
      </c>
      <c r="BT92" s="173">
        <f t="shared" si="95"/>
        <v>-634.14214249720715</v>
      </c>
      <c r="BU92" s="173">
        <f t="shared" si="95"/>
        <v>-635.41983177270697</v>
      </c>
      <c r="BV92" s="173">
        <f t="shared" si="95"/>
        <v>-636.70010321057077</v>
      </c>
      <c r="BW92" s="173">
        <f t="shared" si="95"/>
        <v>-637.98296206503403</v>
      </c>
      <c r="BX92" s="173">
        <f t="shared" si="95"/>
        <v>-639.26841360104743</v>
      </c>
      <c r="BY92" s="173">
        <f t="shared" si="95"/>
        <v>-640.55646309431359</v>
      </c>
      <c r="BZ92" s="173">
        <f t="shared" si="95"/>
        <v>-641.84711583129342</v>
      </c>
      <c r="CA92" s="173">
        <f t="shared" si="95"/>
        <v>-643.14037710924083</v>
      </c>
      <c r="CB92" s="173">
        <f t="shared" si="95"/>
        <v>-644.43625223621518</v>
      </c>
      <c r="CC92" s="173">
        <f t="shared" si="95"/>
        <v>-645.73474653110918</v>
      </c>
      <c r="CD92" s="173">
        <f t="shared" si="95"/>
        <v>-647.03586532366751</v>
      </c>
      <c r="CE92" s="173">
        <f t="shared" si="95"/>
        <v>-648.33961395451206</v>
      </c>
      <c r="CF92" s="173">
        <f t="shared" si="95"/>
        <v>-649.64599777516366</v>
      </c>
      <c r="CG92" s="173">
        <f t="shared" si="95"/>
        <v>-650.95502214806061</v>
      </c>
      <c r="CH92" s="173">
        <f t="shared" si="95"/>
        <v>-652.26669244658558</v>
      </c>
      <c r="CI92" s="173">
        <f t="shared" si="95"/>
        <v>-653.58101405508705</v>
      </c>
      <c r="CJ92" s="173">
        <f t="shared" si="95"/>
        <v>-654.8979923688978</v>
      </c>
      <c r="CK92" s="173">
        <f t="shared" si="95"/>
        <v>-656.21763279436425</v>
      </c>
      <c r="CL92" s="173">
        <f t="shared" si="95"/>
        <v>-657.53994074886543</v>
      </c>
      <c r="CM92" s="173">
        <f t="shared" si="95"/>
        <v>-658.86492166083053</v>
      </c>
      <c r="CN92" s="173">
        <f t="shared" si="95"/>
        <v>-660.19258096977092</v>
      </c>
      <c r="CO92" s="173">
        <f t="shared" si="95"/>
        <v>-661.52292412629743</v>
      </c>
      <c r="CP92" s="173">
        <f t="shared" si="95"/>
        <v>-662.85595659214118</v>
      </c>
      <c r="CQ92" s="173">
        <f t="shared" si="95"/>
        <v>-664.19168384018292</v>
      </c>
      <c r="CR92" s="173">
        <f t="shared" si="95"/>
        <v>-665.53011135446752</v>
      </c>
      <c r="CS92" s="173">
        <f t="shared" si="95"/>
        <v>-666.87124463023611</v>
      </c>
      <c r="CT92" s="173">
        <f t="shared" si="95"/>
        <v>-668.21508917393919</v>
      </c>
      <c r="CU92" s="173">
        <f t="shared" si="95"/>
        <v>-669.56165050326751</v>
      </c>
      <c r="CV92" s="173">
        <f t="shared" si="95"/>
        <v>-670.91093414717</v>
      </c>
      <c r="CW92" s="173">
        <f t="shared" si="95"/>
        <v>-672.26294564588193</v>
      </c>
      <c r="CX92" s="173">
        <f t="shared" si="95"/>
        <v>-673.61769055093885</v>
      </c>
      <c r="CY92" s="173">
        <f t="shared" ref="CY92:EI92" si="96">SUM(-CY125,CY141,CY159,CY167)*$F$86</f>
        <v>-674.97517442521212</v>
      </c>
      <c r="CZ92" s="173">
        <f t="shared" si="96"/>
        <v>-676.33540284292076</v>
      </c>
      <c r="DA92" s="173">
        <f t="shared" si="96"/>
        <v>-677.6983813896627</v>
      </c>
      <c r="DB92" s="173">
        <f t="shared" si="96"/>
        <v>-679.06411566243162</v>
      </c>
      <c r="DC92" s="173">
        <f t="shared" si="96"/>
        <v>-680.43261126964831</v>
      </c>
      <c r="DD92" s="173">
        <f t="shared" si="96"/>
        <v>-681.80387383117329</v>
      </c>
      <c r="DE92" s="173">
        <f t="shared" si="96"/>
        <v>-683.17790897833947</v>
      </c>
      <c r="DF92" s="173">
        <f t="shared" si="96"/>
        <v>-684.55472235397144</v>
      </c>
      <c r="DG92" s="173">
        <f t="shared" si="96"/>
        <v>-685.93431961241265</v>
      </c>
      <c r="DH92" s="173">
        <f t="shared" si="96"/>
        <v>-687.3167064195402</v>
      </c>
      <c r="DI92" s="173">
        <f t="shared" si="96"/>
        <v>-688.70188845279699</v>
      </c>
      <c r="DJ92" s="173">
        <f t="shared" si="96"/>
        <v>-690.08987140121678</v>
      </c>
      <c r="DK92" s="173">
        <f t="shared" si="96"/>
        <v>-691.48066096543562</v>
      </c>
      <c r="DL92" s="173">
        <f t="shared" si="96"/>
        <v>-692.87426285773029</v>
      </c>
      <c r="DM92" s="173">
        <f t="shared" si="96"/>
        <v>-694.2706828020348</v>
      </c>
      <c r="DN92" s="173">
        <f t="shared" si="96"/>
        <v>-695.66992653396198</v>
      </c>
      <c r="DO92" s="173">
        <f t="shared" si="96"/>
        <v>-697.07199980083431</v>
      </c>
      <c r="DP92" s="173">
        <f t="shared" si="96"/>
        <v>-698.47690836169534</v>
      </c>
      <c r="DQ92" s="173">
        <f t="shared" si="96"/>
        <v>-699.88465798735695</v>
      </c>
      <c r="DR92" s="173">
        <f t="shared" si="96"/>
        <v>-701.29525446039293</v>
      </c>
      <c r="DS92" s="173">
        <f t="shared" si="96"/>
        <v>-702.7087035751897</v>
      </c>
      <c r="DT92" s="173">
        <f t="shared" si="96"/>
        <v>-704.12501113795372</v>
      </c>
      <c r="DU92" s="173">
        <f t="shared" si="96"/>
        <v>-705.54418296674623</v>
      </c>
      <c r="DV92" s="173">
        <f t="shared" si="96"/>
        <v>-706.96622489150013</v>
      </c>
      <c r="DW92" s="173">
        <f t="shared" si="96"/>
        <v>-708.39114275404324</v>
      </c>
      <c r="DX92" s="173">
        <f t="shared" si="96"/>
        <v>-709.81894240813187</v>
      </c>
      <c r="DY92" s="173">
        <f t="shared" si="96"/>
        <v>-711.2496297194707</v>
      </c>
      <c r="DZ92" s="173">
        <f t="shared" si="96"/>
        <v>-712.68321056572961</v>
      </c>
      <c r="EA92" s="173">
        <f t="shared" si="96"/>
        <v>-714.11969083657686</v>
      </c>
      <c r="EB92" s="173">
        <f t="shared" si="96"/>
        <v>-715.55907643370563</v>
      </c>
      <c r="EC92" s="173">
        <f t="shared" si="96"/>
        <v>-717.0013732708527</v>
      </c>
      <c r="ED92" s="173">
        <f t="shared" si="96"/>
        <v>-718.44658727381773</v>
      </c>
      <c r="EE92" s="173">
        <f t="shared" si="96"/>
        <v>-719.89472438050507</v>
      </c>
      <c r="EF92" s="173">
        <f t="shared" si="96"/>
        <v>-721.34579054093388</v>
      </c>
      <c r="EG92" s="173">
        <f t="shared" si="96"/>
        <v>-722.79979171726893</v>
      </c>
      <c r="EH92" s="173">
        <f t="shared" si="96"/>
        <v>-724.256733883837</v>
      </c>
      <c r="EI92" s="173">
        <f t="shared" si="96"/>
        <v>-725.7166230271705</v>
      </c>
      <c r="EJ92" s="24"/>
      <c r="EK92" s="24"/>
      <c r="EL92" s="24"/>
      <c r="EM92" s="1" t="s">
        <v>178</v>
      </c>
    </row>
    <row r="93" spans="2:143" x14ac:dyDescent="0.45">
      <c r="B93" s="24"/>
      <c r="D93" s="172" t="s">
        <v>180</v>
      </c>
      <c r="E93" s="173"/>
      <c r="F93" s="173"/>
      <c r="G93" s="173">
        <f t="shared" ref="G93:AL93" si="97">-SUM(G120)*$F$86</f>
        <v>-6114968.5301963408</v>
      </c>
      <c r="H93" s="173">
        <f t="shared" si="97"/>
        <v>0</v>
      </c>
      <c r="I93" s="173">
        <f t="shared" si="97"/>
        <v>0</v>
      </c>
      <c r="J93" s="173">
        <f t="shared" si="97"/>
        <v>0</v>
      </c>
      <c r="K93" s="173">
        <f t="shared" si="97"/>
        <v>0</v>
      </c>
      <c r="L93" s="173">
        <f t="shared" si="97"/>
        <v>0</v>
      </c>
      <c r="M93" s="173">
        <f t="shared" si="97"/>
        <v>0</v>
      </c>
      <c r="N93" s="173">
        <f t="shared" si="97"/>
        <v>0</v>
      </c>
      <c r="O93" s="173">
        <f t="shared" si="97"/>
        <v>0</v>
      </c>
      <c r="P93" s="173">
        <f t="shared" si="97"/>
        <v>0</v>
      </c>
      <c r="Q93" s="173">
        <f t="shared" si="97"/>
        <v>0</v>
      </c>
      <c r="R93" s="173">
        <f t="shared" si="97"/>
        <v>0</v>
      </c>
      <c r="S93" s="173">
        <f t="shared" si="97"/>
        <v>0</v>
      </c>
      <c r="T93" s="173">
        <f t="shared" si="97"/>
        <v>0</v>
      </c>
      <c r="U93" s="173">
        <f t="shared" si="97"/>
        <v>0</v>
      </c>
      <c r="V93" s="173">
        <f t="shared" si="97"/>
        <v>0</v>
      </c>
      <c r="W93" s="173">
        <f t="shared" si="97"/>
        <v>0</v>
      </c>
      <c r="X93" s="173">
        <f t="shared" si="97"/>
        <v>0</v>
      </c>
      <c r="Y93" s="173">
        <f t="shared" si="97"/>
        <v>0</v>
      </c>
      <c r="Z93" s="173">
        <f t="shared" si="97"/>
        <v>0</v>
      </c>
      <c r="AA93" s="173">
        <f t="shared" si="97"/>
        <v>0</v>
      </c>
      <c r="AB93" s="173">
        <f t="shared" si="97"/>
        <v>0</v>
      </c>
      <c r="AC93" s="173">
        <f t="shared" si="97"/>
        <v>0</v>
      </c>
      <c r="AD93" s="173">
        <f t="shared" si="97"/>
        <v>0</v>
      </c>
      <c r="AE93" s="173">
        <f t="shared" si="97"/>
        <v>0</v>
      </c>
      <c r="AF93" s="173">
        <f t="shared" si="97"/>
        <v>0</v>
      </c>
      <c r="AG93" s="173">
        <f t="shared" si="97"/>
        <v>0</v>
      </c>
      <c r="AH93" s="173">
        <f t="shared" si="97"/>
        <v>0</v>
      </c>
      <c r="AI93" s="173">
        <f t="shared" si="97"/>
        <v>0</v>
      </c>
      <c r="AJ93" s="173">
        <f t="shared" si="97"/>
        <v>0</v>
      </c>
      <c r="AK93" s="173">
        <f t="shared" si="97"/>
        <v>0</v>
      </c>
      <c r="AL93" s="173">
        <f t="shared" si="97"/>
        <v>0</v>
      </c>
      <c r="AM93" s="173">
        <f t="shared" ref="AM93:BR93" si="98">-SUM(AM120)*$F$86</f>
        <v>0</v>
      </c>
      <c r="AN93" s="173">
        <f t="shared" si="98"/>
        <v>0</v>
      </c>
      <c r="AO93" s="173">
        <f t="shared" si="98"/>
        <v>0</v>
      </c>
      <c r="AP93" s="173">
        <f t="shared" si="98"/>
        <v>0</v>
      </c>
      <c r="AQ93" s="173">
        <f t="shared" si="98"/>
        <v>0</v>
      </c>
      <c r="AR93" s="173">
        <f t="shared" si="98"/>
        <v>0</v>
      </c>
      <c r="AS93" s="173">
        <f t="shared" si="98"/>
        <v>0</v>
      </c>
      <c r="AT93" s="173">
        <f t="shared" si="98"/>
        <v>0</v>
      </c>
      <c r="AU93" s="173">
        <f t="shared" si="98"/>
        <v>0</v>
      </c>
      <c r="AV93" s="173">
        <f t="shared" si="98"/>
        <v>0</v>
      </c>
      <c r="AW93" s="173">
        <f t="shared" si="98"/>
        <v>0</v>
      </c>
      <c r="AX93" s="173">
        <f t="shared" si="98"/>
        <v>0</v>
      </c>
      <c r="AY93" s="173">
        <f t="shared" si="98"/>
        <v>0</v>
      </c>
      <c r="AZ93" s="173">
        <f t="shared" si="98"/>
        <v>0</v>
      </c>
      <c r="BA93" s="173">
        <f t="shared" si="98"/>
        <v>0</v>
      </c>
      <c r="BB93" s="173">
        <f t="shared" si="98"/>
        <v>0</v>
      </c>
      <c r="BC93" s="173">
        <f t="shared" si="98"/>
        <v>0</v>
      </c>
      <c r="BD93" s="173">
        <f t="shared" si="98"/>
        <v>0</v>
      </c>
      <c r="BE93" s="173">
        <f t="shared" si="98"/>
        <v>0</v>
      </c>
      <c r="BF93" s="173">
        <f t="shared" si="98"/>
        <v>0</v>
      </c>
      <c r="BG93" s="173">
        <f t="shared" si="98"/>
        <v>0</v>
      </c>
      <c r="BH93" s="173">
        <f t="shared" si="98"/>
        <v>0</v>
      </c>
      <c r="BI93" s="173">
        <f t="shared" si="98"/>
        <v>0</v>
      </c>
      <c r="BJ93" s="173">
        <f t="shared" si="98"/>
        <v>0</v>
      </c>
      <c r="BK93" s="173">
        <f t="shared" si="98"/>
        <v>0</v>
      </c>
      <c r="BL93" s="173">
        <f t="shared" si="98"/>
        <v>0</v>
      </c>
      <c r="BM93" s="173">
        <f t="shared" si="98"/>
        <v>0</v>
      </c>
      <c r="BN93" s="173">
        <f t="shared" si="98"/>
        <v>0</v>
      </c>
      <c r="BO93" s="173">
        <f t="shared" si="98"/>
        <v>0</v>
      </c>
      <c r="BP93" s="173">
        <f t="shared" si="98"/>
        <v>0</v>
      </c>
      <c r="BQ93" s="173">
        <f t="shared" si="98"/>
        <v>0</v>
      </c>
      <c r="BR93" s="173">
        <f t="shared" si="98"/>
        <v>0</v>
      </c>
      <c r="BS93" s="173">
        <f t="shared" ref="BS93:CX93" si="99">-SUM(BS120)*$F$86</f>
        <v>0</v>
      </c>
      <c r="BT93" s="173">
        <f t="shared" si="99"/>
        <v>0</v>
      </c>
      <c r="BU93" s="173">
        <f t="shared" si="99"/>
        <v>0</v>
      </c>
      <c r="BV93" s="173">
        <f t="shared" si="99"/>
        <v>0</v>
      </c>
      <c r="BW93" s="173">
        <f t="shared" si="99"/>
        <v>0</v>
      </c>
      <c r="BX93" s="173">
        <f t="shared" si="99"/>
        <v>0</v>
      </c>
      <c r="BY93" s="173">
        <f t="shared" si="99"/>
        <v>0</v>
      </c>
      <c r="BZ93" s="173">
        <f t="shared" si="99"/>
        <v>0</v>
      </c>
      <c r="CA93" s="173">
        <f t="shared" si="99"/>
        <v>0</v>
      </c>
      <c r="CB93" s="173">
        <f t="shared" si="99"/>
        <v>0</v>
      </c>
      <c r="CC93" s="173">
        <f t="shared" si="99"/>
        <v>0</v>
      </c>
      <c r="CD93" s="173">
        <f t="shared" si="99"/>
        <v>0</v>
      </c>
      <c r="CE93" s="173">
        <f t="shared" si="99"/>
        <v>0</v>
      </c>
      <c r="CF93" s="173">
        <f t="shared" si="99"/>
        <v>0</v>
      </c>
      <c r="CG93" s="173">
        <f t="shared" si="99"/>
        <v>0</v>
      </c>
      <c r="CH93" s="173">
        <f t="shared" si="99"/>
        <v>0</v>
      </c>
      <c r="CI93" s="173">
        <f t="shared" si="99"/>
        <v>0</v>
      </c>
      <c r="CJ93" s="173">
        <f t="shared" si="99"/>
        <v>0</v>
      </c>
      <c r="CK93" s="173">
        <f t="shared" si="99"/>
        <v>0</v>
      </c>
      <c r="CL93" s="173">
        <f t="shared" si="99"/>
        <v>0</v>
      </c>
      <c r="CM93" s="173">
        <f t="shared" si="99"/>
        <v>0</v>
      </c>
      <c r="CN93" s="173">
        <f t="shared" si="99"/>
        <v>0</v>
      </c>
      <c r="CO93" s="173">
        <f t="shared" si="99"/>
        <v>0</v>
      </c>
      <c r="CP93" s="173">
        <f t="shared" si="99"/>
        <v>0</v>
      </c>
      <c r="CQ93" s="173">
        <f t="shared" si="99"/>
        <v>0</v>
      </c>
      <c r="CR93" s="173">
        <f t="shared" si="99"/>
        <v>0</v>
      </c>
      <c r="CS93" s="173">
        <f t="shared" si="99"/>
        <v>0</v>
      </c>
      <c r="CT93" s="173">
        <f t="shared" si="99"/>
        <v>0</v>
      </c>
      <c r="CU93" s="173">
        <f t="shared" si="99"/>
        <v>0</v>
      </c>
      <c r="CV93" s="173">
        <f t="shared" si="99"/>
        <v>0</v>
      </c>
      <c r="CW93" s="173">
        <f t="shared" si="99"/>
        <v>0</v>
      </c>
      <c r="CX93" s="173">
        <f t="shared" si="99"/>
        <v>0</v>
      </c>
      <c r="CY93" s="173">
        <f t="shared" ref="CY93:EI93" si="100">-SUM(CY120)*$F$86</f>
        <v>0</v>
      </c>
      <c r="CZ93" s="173">
        <f t="shared" si="100"/>
        <v>0</v>
      </c>
      <c r="DA93" s="173">
        <f t="shared" si="100"/>
        <v>0</v>
      </c>
      <c r="DB93" s="173">
        <f t="shared" si="100"/>
        <v>0</v>
      </c>
      <c r="DC93" s="173">
        <f t="shared" si="100"/>
        <v>0</v>
      </c>
      <c r="DD93" s="173">
        <f t="shared" si="100"/>
        <v>0</v>
      </c>
      <c r="DE93" s="173">
        <f t="shared" si="100"/>
        <v>0</v>
      </c>
      <c r="DF93" s="173">
        <f t="shared" si="100"/>
        <v>0</v>
      </c>
      <c r="DG93" s="173">
        <f t="shared" si="100"/>
        <v>0</v>
      </c>
      <c r="DH93" s="173">
        <f t="shared" si="100"/>
        <v>0</v>
      </c>
      <c r="DI93" s="173">
        <f t="shared" si="100"/>
        <v>0</v>
      </c>
      <c r="DJ93" s="173">
        <f t="shared" si="100"/>
        <v>0</v>
      </c>
      <c r="DK93" s="173">
        <f t="shared" si="100"/>
        <v>0</v>
      </c>
      <c r="DL93" s="173">
        <f t="shared" si="100"/>
        <v>0</v>
      </c>
      <c r="DM93" s="173">
        <f t="shared" si="100"/>
        <v>0</v>
      </c>
      <c r="DN93" s="173">
        <f t="shared" si="100"/>
        <v>0</v>
      </c>
      <c r="DO93" s="173">
        <f t="shared" si="100"/>
        <v>0</v>
      </c>
      <c r="DP93" s="173">
        <f t="shared" si="100"/>
        <v>0</v>
      </c>
      <c r="DQ93" s="173">
        <f t="shared" si="100"/>
        <v>0</v>
      </c>
      <c r="DR93" s="173">
        <f t="shared" si="100"/>
        <v>0</v>
      </c>
      <c r="DS93" s="173">
        <f t="shared" si="100"/>
        <v>0</v>
      </c>
      <c r="DT93" s="173">
        <f t="shared" si="100"/>
        <v>0</v>
      </c>
      <c r="DU93" s="173">
        <f t="shared" si="100"/>
        <v>0</v>
      </c>
      <c r="DV93" s="173">
        <f t="shared" si="100"/>
        <v>0</v>
      </c>
      <c r="DW93" s="173">
        <f t="shared" si="100"/>
        <v>0</v>
      </c>
      <c r="DX93" s="173">
        <f t="shared" si="100"/>
        <v>0</v>
      </c>
      <c r="DY93" s="173">
        <f t="shared" si="100"/>
        <v>0</v>
      </c>
      <c r="DZ93" s="173">
        <f t="shared" si="100"/>
        <v>0</v>
      </c>
      <c r="EA93" s="173">
        <f t="shared" si="100"/>
        <v>0</v>
      </c>
      <c r="EB93" s="173">
        <f t="shared" si="100"/>
        <v>0</v>
      </c>
      <c r="EC93" s="173">
        <f t="shared" si="100"/>
        <v>0</v>
      </c>
      <c r="ED93" s="173">
        <f t="shared" si="100"/>
        <v>0</v>
      </c>
      <c r="EE93" s="173">
        <f t="shared" si="100"/>
        <v>0</v>
      </c>
      <c r="EF93" s="173">
        <f t="shared" si="100"/>
        <v>0</v>
      </c>
      <c r="EG93" s="173">
        <f t="shared" si="100"/>
        <v>0</v>
      </c>
      <c r="EH93" s="173">
        <f t="shared" si="100"/>
        <v>0</v>
      </c>
      <c r="EI93" s="173">
        <f t="shared" si="100"/>
        <v>0</v>
      </c>
      <c r="EJ93" s="24"/>
      <c r="EK93" s="24"/>
      <c r="EL93" s="24"/>
      <c r="EM93" s="1" t="s">
        <v>178</v>
      </c>
    </row>
    <row r="94" spans="2:143" s="78" customFormat="1" x14ac:dyDescent="0.45">
      <c r="B94" s="236"/>
      <c r="D94" s="183" t="s">
        <v>181</v>
      </c>
      <c r="E94" s="184"/>
      <c r="F94" s="184"/>
      <c r="G94" s="184">
        <f>SUM(G92:G93)</f>
        <v>-6114968.5301963408</v>
      </c>
      <c r="H94" s="184">
        <f t="shared" ref="H94:BS94" si="101">SUM(H92:H93)</f>
        <v>0</v>
      </c>
      <c r="I94" s="184">
        <f t="shared" si="101"/>
        <v>0</v>
      </c>
      <c r="J94" s="184">
        <f t="shared" si="101"/>
        <v>0</v>
      </c>
      <c r="K94" s="184">
        <f t="shared" si="101"/>
        <v>0</v>
      </c>
      <c r="L94" s="184">
        <f t="shared" si="101"/>
        <v>0</v>
      </c>
      <c r="M94" s="184">
        <f t="shared" si="101"/>
        <v>0</v>
      </c>
      <c r="N94" s="184">
        <f t="shared" si="101"/>
        <v>0</v>
      </c>
      <c r="O94" s="184">
        <f t="shared" si="101"/>
        <v>0</v>
      </c>
      <c r="P94" s="184">
        <f t="shared" si="101"/>
        <v>0</v>
      </c>
      <c r="Q94" s="184">
        <f t="shared" si="101"/>
        <v>0</v>
      </c>
      <c r="R94" s="184">
        <f t="shared" si="101"/>
        <v>0</v>
      </c>
      <c r="S94" s="184">
        <f t="shared" si="101"/>
        <v>0</v>
      </c>
      <c r="T94" s="184">
        <f t="shared" si="101"/>
        <v>0</v>
      </c>
      <c r="U94" s="184">
        <f t="shared" si="101"/>
        <v>0</v>
      </c>
      <c r="V94" s="184">
        <f t="shared" si="101"/>
        <v>0</v>
      </c>
      <c r="W94" s="184">
        <f t="shared" si="101"/>
        <v>0</v>
      </c>
      <c r="X94" s="184">
        <f t="shared" si="101"/>
        <v>0</v>
      </c>
      <c r="Y94" s="184">
        <f t="shared" si="101"/>
        <v>0</v>
      </c>
      <c r="Z94" s="184">
        <f t="shared" si="101"/>
        <v>0</v>
      </c>
      <c r="AA94" s="184">
        <f t="shared" si="101"/>
        <v>0</v>
      </c>
      <c r="AB94" s="184">
        <f t="shared" si="101"/>
        <v>2573.3531338412931</v>
      </c>
      <c r="AC94" s="184">
        <f t="shared" si="101"/>
        <v>7470.6602680020487</v>
      </c>
      <c r="AD94" s="184">
        <f t="shared" si="101"/>
        <v>11259.504411881655</v>
      </c>
      <c r="AE94" s="184">
        <f t="shared" si="101"/>
        <v>0</v>
      </c>
      <c r="AF94" s="184">
        <f t="shared" si="101"/>
        <v>18772.751860219942</v>
      </c>
      <c r="AG94" s="184">
        <f t="shared" si="101"/>
        <v>16689.728667255895</v>
      </c>
      <c r="AH94" s="184">
        <f t="shared" si="101"/>
        <v>17535.523209494881</v>
      </c>
      <c r="AI94" s="184">
        <f t="shared" si="101"/>
        <v>23854.054355659449</v>
      </c>
      <c r="AJ94" s="184">
        <f t="shared" si="101"/>
        <v>30198.094549770653</v>
      </c>
      <c r="AK94" s="184">
        <f t="shared" si="101"/>
        <v>36567.721868956556</v>
      </c>
      <c r="AL94" s="184">
        <f t="shared" si="101"/>
        <v>38749.663003630274</v>
      </c>
      <c r="AM94" s="184">
        <f t="shared" si="101"/>
        <v>38989.326038972817</v>
      </c>
      <c r="AN94" s="184">
        <f t="shared" si="101"/>
        <v>7635.2306406901089</v>
      </c>
      <c r="AO94" s="184">
        <f t="shared" si="101"/>
        <v>45781.151232578733</v>
      </c>
      <c r="AP94" s="184">
        <f t="shared" si="101"/>
        <v>46022.35461777317</v>
      </c>
      <c r="AQ94" s="184">
        <f t="shared" si="101"/>
        <v>6452535.7076209607</v>
      </c>
      <c r="AR94" s="184">
        <f t="shared" si="101"/>
        <v>18619.535774045158</v>
      </c>
      <c r="AS94" s="184">
        <f t="shared" si="101"/>
        <v>18819.450502370331</v>
      </c>
      <c r="AT94" s="184">
        <f t="shared" si="101"/>
        <v>19019.792593527196</v>
      </c>
      <c r="AU94" s="184">
        <f t="shared" si="101"/>
        <v>19220.56295773248</v>
      </c>
      <c r="AV94" s="184">
        <f t="shared" si="101"/>
        <v>19421.7625071283</v>
      </c>
      <c r="AW94" s="184">
        <f t="shared" si="101"/>
        <v>19623.392155786627</v>
      </c>
      <c r="AX94" s="184">
        <f t="shared" si="101"/>
        <v>19825.452819714614</v>
      </c>
      <c r="AY94" s="184">
        <f t="shared" si="101"/>
        <v>20027.945416856302</v>
      </c>
      <c r="AZ94" s="184">
        <f t="shared" si="101"/>
        <v>20230.870867099628</v>
      </c>
      <c r="BA94" s="184">
        <f t="shared" si="101"/>
        <v>20434.230092278289</v>
      </c>
      <c r="BB94" s="184">
        <f t="shared" si="101"/>
        <v>20638.024016176063</v>
      </c>
      <c r="BC94" s="184">
        <f t="shared" si="101"/>
        <v>20842.253564531751</v>
      </c>
      <c r="BD94" s="184">
        <f t="shared" si="101"/>
        <v>21046.91966504353</v>
      </c>
      <c r="BE94" s="184">
        <f t="shared" si="101"/>
        <v>21252.023247371606</v>
      </c>
      <c r="BF94" s="184">
        <f t="shared" si="101"/>
        <v>21457.565243143483</v>
      </c>
      <c r="BG94" s="184">
        <f t="shared" si="101"/>
        <v>21663.546585958142</v>
      </c>
      <c r="BH94" s="184">
        <f t="shared" si="101"/>
        <v>21869.968211389543</v>
      </c>
      <c r="BI94" s="184">
        <f t="shared" si="101"/>
        <v>22076.831056990937</v>
      </c>
      <c r="BJ94" s="184">
        <f t="shared" si="101"/>
        <v>22284.136062299782</v>
      </c>
      <c r="BK94" s="184">
        <f t="shared" si="101"/>
        <v>22491.884168840665</v>
      </c>
      <c r="BL94" s="184">
        <f t="shared" si="101"/>
        <v>22700.076320130644</v>
      </c>
      <c r="BM94" s="184">
        <f t="shared" si="101"/>
        <v>22908.713461683205</v>
      </c>
      <c r="BN94" s="184">
        <f t="shared" si="101"/>
        <v>23117.796541011223</v>
      </c>
      <c r="BO94" s="184">
        <f t="shared" si="101"/>
        <v>6229108.5286030108</v>
      </c>
      <c r="BP94" s="184">
        <f t="shared" si="101"/>
        <v>0</v>
      </c>
      <c r="BQ94" s="184">
        <f t="shared" si="101"/>
        <v>-630.32451526291152</v>
      </c>
      <c r="BR94" s="184">
        <f t="shared" si="101"/>
        <v>-631.59448946983741</v>
      </c>
      <c r="BS94" s="184">
        <f t="shared" si="101"/>
        <v>-632.8670301405366</v>
      </c>
      <c r="BT94" s="184">
        <f t="shared" ref="BT94:CV94" si="102">SUM(BT92:BT93)</f>
        <v>-634.14214249720715</v>
      </c>
      <c r="BU94" s="184">
        <f t="shared" si="102"/>
        <v>-635.41983177270697</v>
      </c>
      <c r="BV94" s="184">
        <f t="shared" si="102"/>
        <v>-636.70010321057077</v>
      </c>
      <c r="BW94" s="184">
        <f t="shared" si="102"/>
        <v>-637.98296206503403</v>
      </c>
      <c r="BX94" s="184">
        <f t="shared" si="102"/>
        <v>-639.26841360104743</v>
      </c>
      <c r="BY94" s="184">
        <f t="shared" si="102"/>
        <v>-640.55646309431359</v>
      </c>
      <c r="BZ94" s="184">
        <f t="shared" si="102"/>
        <v>-641.84711583129342</v>
      </c>
      <c r="CA94" s="184">
        <f t="shared" si="102"/>
        <v>-643.14037710924083</v>
      </c>
      <c r="CB94" s="184">
        <f t="shared" si="102"/>
        <v>-644.43625223621518</v>
      </c>
      <c r="CC94" s="184">
        <f t="shared" si="102"/>
        <v>-645.73474653110918</v>
      </c>
      <c r="CD94" s="184">
        <f t="shared" si="102"/>
        <v>-647.03586532366751</v>
      </c>
      <c r="CE94" s="184">
        <f t="shared" si="102"/>
        <v>-648.33961395451206</v>
      </c>
      <c r="CF94" s="184">
        <f t="shared" si="102"/>
        <v>-649.64599777516366</v>
      </c>
      <c r="CG94" s="184">
        <f t="shared" si="102"/>
        <v>-650.95502214806061</v>
      </c>
      <c r="CH94" s="184">
        <f t="shared" si="102"/>
        <v>-652.26669244658558</v>
      </c>
      <c r="CI94" s="184">
        <f t="shared" si="102"/>
        <v>-653.58101405508705</v>
      </c>
      <c r="CJ94" s="184">
        <f t="shared" si="102"/>
        <v>-654.8979923688978</v>
      </c>
      <c r="CK94" s="184">
        <f t="shared" si="102"/>
        <v>-656.21763279436425</v>
      </c>
      <c r="CL94" s="184">
        <f t="shared" si="102"/>
        <v>-657.53994074886543</v>
      </c>
      <c r="CM94" s="184">
        <f t="shared" si="102"/>
        <v>-658.86492166083053</v>
      </c>
      <c r="CN94" s="184">
        <f t="shared" si="102"/>
        <v>-660.19258096977092</v>
      </c>
      <c r="CO94" s="184">
        <f t="shared" si="102"/>
        <v>-661.52292412629743</v>
      </c>
      <c r="CP94" s="184">
        <f t="shared" si="102"/>
        <v>-662.85595659214118</v>
      </c>
      <c r="CQ94" s="184">
        <f t="shared" si="102"/>
        <v>-664.19168384018292</v>
      </c>
      <c r="CR94" s="184">
        <f t="shared" si="102"/>
        <v>-665.53011135446752</v>
      </c>
      <c r="CS94" s="184">
        <f t="shared" si="102"/>
        <v>-666.87124463023611</v>
      </c>
      <c r="CT94" s="184">
        <f t="shared" si="102"/>
        <v>-668.21508917393919</v>
      </c>
      <c r="CU94" s="184">
        <f t="shared" si="102"/>
        <v>-669.56165050326751</v>
      </c>
      <c r="CV94" s="184">
        <f t="shared" si="102"/>
        <v>-670.91093414717</v>
      </c>
      <c r="CW94" s="184">
        <f t="shared" ref="CW94:EI94" si="103">SUM(CW92:CW93)</f>
        <v>-672.26294564588193</v>
      </c>
      <c r="CX94" s="184">
        <f t="shared" si="103"/>
        <v>-673.61769055093885</v>
      </c>
      <c r="CY94" s="184">
        <f t="shared" si="103"/>
        <v>-674.97517442521212</v>
      </c>
      <c r="CZ94" s="184">
        <f t="shared" si="103"/>
        <v>-676.33540284292076</v>
      </c>
      <c r="DA94" s="184">
        <f t="shared" si="103"/>
        <v>-677.6983813896627</v>
      </c>
      <c r="DB94" s="184">
        <f t="shared" si="103"/>
        <v>-679.06411566243162</v>
      </c>
      <c r="DC94" s="184">
        <f t="shared" si="103"/>
        <v>-680.43261126964831</v>
      </c>
      <c r="DD94" s="184">
        <f t="shared" si="103"/>
        <v>-681.80387383117329</v>
      </c>
      <c r="DE94" s="184">
        <f t="shared" si="103"/>
        <v>-683.17790897833947</v>
      </c>
      <c r="DF94" s="184">
        <f t="shared" si="103"/>
        <v>-684.55472235397144</v>
      </c>
      <c r="DG94" s="184">
        <f t="shared" si="103"/>
        <v>-685.93431961241265</v>
      </c>
      <c r="DH94" s="184">
        <f t="shared" si="103"/>
        <v>-687.3167064195402</v>
      </c>
      <c r="DI94" s="184">
        <f t="shared" si="103"/>
        <v>-688.70188845279699</v>
      </c>
      <c r="DJ94" s="184">
        <f t="shared" si="103"/>
        <v>-690.08987140121678</v>
      </c>
      <c r="DK94" s="184">
        <f t="shared" si="103"/>
        <v>-691.48066096543562</v>
      </c>
      <c r="DL94" s="184">
        <f t="shared" si="103"/>
        <v>-692.87426285773029</v>
      </c>
      <c r="DM94" s="184">
        <f t="shared" si="103"/>
        <v>-694.2706828020348</v>
      </c>
      <c r="DN94" s="184">
        <f t="shared" si="103"/>
        <v>-695.66992653396198</v>
      </c>
      <c r="DO94" s="184">
        <f t="shared" si="103"/>
        <v>-697.07199980083431</v>
      </c>
      <c r="DP94" s="184">
        <f t="shared" si="103"/>
        <v>-698.47690836169534</v>
      </c>
      <c r="DQ94" s="184">
        <f t="shared" si="103"/>
        <v>-699.88465798735695</v>
      </c>
      <c r="DR94" s="184">
        <f t="shared" si="103"/>
        <v>-701.29525446039293</v>
      </c>
      <c r="DS94" s="184">
        <f t="shared" si="103"/>
        <v>-702.7087035751897</v>
      </c>
      <c r="DT94" s="184">
        <f t="shared" si="103"/>
        <v>-704.12501113795372</v>
      </c>
      <c r="DU94" s="184">
        <f t="shared" si="103"/>
        <v>-705.54418296674623</v>
      </c>
      <c r="DV94" s="184">
        <f t="shared" si="103"/>
        <v>-706.96622489150013</v>
      </c>
      <c r="DW94" s="184">
        <f t="shared" si="103"/>
        <v>-708.39114275404324</v>
      </c>
      <c r="DX94" s="184">
        <f t="shared" si="103"/>
        <v>-709.81894240813187</v>
      </c>
      <c r="DY94" s="184">
        <f t="shared" si="103"/>
        <v>-711.2496297194707</v>
      </c>
      <c r="DZ94" s="184">
        <f t="shared" si="103"/>
        <v>-712.68321056572961</v>
      </c>
      <c r="EA94" s="184">
        <f t="shared" si="103"/>
        <v>-714.11969083657686</v>
      </c>
      <c r="EB94" s="184">
        <f t="shared" si="103"/>
        <v>-715.55907643370563</v>
      </c>
      <c r="EC94" s="184">
        <f t="shared" si="103"/>
        <v>-717.0013732708527</v>
      </c>
      <c r="ED94" s="184">
        <f t="shared" si="103"/>
        <v>-718.44658727381773</v>
      </c>
      <c r="EE94" s="184">
        <f t="shared" si="103"/>
        <v>-719.89472438050507</v>
      </c>
      <c r="EF94" s="184">
        <f t="shared" si="103"/>
        <v>-721.34579054093388</v>
      </c>
      <c r="EG94" s="184">
        <f t="shared" si="103"/>
        <v>-722.79979171726893</v>
      </c>
      <c r="EH94" s="184">
        <f t="shared" si="103"/>
        <v>-724.256733883837</v>
      </c>
      <c r="EI94" s="184">
        <f t="shared" si="103"/>
        <v>-725.7166230271705</v>
      </c>
      <c r="EJ94" s="176"/>
      <c r="EK94" s="176"/>
      <c r="EL94" s="176"/>
      <c r="EM94" s="1" t="s">
        <v>178</v>
      </c>
    </row>
    <row r="95" spans="2:143" x14ac:dyDescent="0.45">
      <c r="B95" s="154"/>
      <c r="D95" s="172" t="s">
        <v>182</v>
      </c>
      <c r="E95" s="181">
        <f>XIRR(G94:EI94,$G$2:$EI$2)</f>
        <v>0.22809813618659974</v>
      </c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3"/>
      <c r="AR95" s="173"/>
      <c r="AS95" s="173"/>
      <c r="AT95" s="173"/>
      <c r="AU95" s="173"/>
      <c r="AV95" s="173"/>
      <c r="AW95" s="173"/>
      <c r="AX95" s="173"/>
      <c r="AY95" s="173"/>
      <c r="AZ95" s="173"/>
      <c r="BA95" s="173"/>
      <c r="BB95" s="173"/>
      <c r="BC95" s="173"/>
      <c r="BD95" s="173"/>
      <c r="BE95" s="173"/>
      <c r="BF95" s="173"/>
      <c r="BG95" s="173"/>
      <c r="BH95" s="173"/>
      <c r="BI95" s="173"/>
      <c r="BJ95" s="173"/>
      <c r="BK95" s="173"/>
      <c r="BL95" s="173"/>
      <c r="BM95" s="173"/>
      <c r="BN95" s="173"/>
      <c r="BO95" s="173"/>
      <c r="BP95" s="173"/>
      <c r="BQ95" s="173"/>
      <c r="BR95" s="173"/>
      <c r="BS95" s="173"/>
      <c r="BT95" s="173"/>
      <c r="BU95" s="173"/>
      <c r="BV95" s="173"/>
      <c r="BW95" s="173"/>
      <c r="BX95" s="173"/>
      <c r="BY95" s="173"/>
      <c r="BZ95" s="173"/>
      <c r="CA95" s="173"/>
      <c r="CB95" s="173"/>
      <c r="CC95" s="173"/>
      <c r="CD95" s="173"/>
      <c r="CE95" s="173"/>
      <c r="CF95" s="173"/>
      <c r="CG95" s="173"/>
      <c r="CH95" s="173"/>
      <c r="CI95" s="173"/>
      <c r="CJ95" s="173"/>
      <c r="CK95" s="173"/>
      <c r="CL95" s="173"/>
      <c r="CM95" s="173"/>
      <c r="CN95" s="173"/>
      <c r="CO95" s="173"/>
      <c r="CP95" s="173"/>
      <c r="CQ95" s="173"/>
      <c r="CR95" s="173"/>
      <c r="CS95" s="173"/>
      <c r="CT95" s="173"/>
      <c r="CU95" s="173"/>
      <c r="CV95" s="173"/>
      <c r="CW95" s="173"/>
      <c r="CX95" s="173"/>
      <c r="CY95" s="173"/>
      <c r="CZ95" s="173"/>
      <c r="DA95" s="173"/>
      <c r="DB95" s="173"/>
      <c r="DC95" s="173"/>
      <c r="DD95" s="173"/>
      <c r="DE95" s="173"/>
      <c r="DF95" s="173"/>
      <c r="DG95" s="173"/>
      <c r="DH95" s="173"/>
      <c r="DI95" s="173"/>
      <c r="DJ95" s="173"/>
      <c r="DK95" s="173"/>
      <c r="DL95" s="173"/>
      <c r="DM95" s="173"/>
      <c r="DN95" s="173"/>
      <c r="DO95" s="173"/>
      <c r="DP95" s="173"/>
      <c r="DQ95" s="173"/>
      <c r="DR95" s="173"/>
      <c r="DS95" s="173"/>
      <c r="DT95" s="173"/>
      <c r="DU95" s="173"/>
      <c r="DV95" s="173"/>
      <c r="DW95" s="173"/>
      <c r="DX95" s="173"/>
      <c r="DY95" s="173"/>
      <c r="DZ95" s="173"/>
      <c r="EA95" s="173"/>
      <c r="EB95" s="173"/>
      <c r="EC95" s="173"/>
      <c r="ED95" s="173"/>
      <c r="EE95" s="173"/>
      <c r="EF95" s="173"/>
      <c r="EG95" s="173"/>
      <c r="EH95" s="173"/>
      <c r="EI95" s="173"/>
      <c r="EJ95" s="24"/>
      <c r="EK95" s="24"/>
      <c r="EL95" s="24"/>
      <c r="EM95" s="1" t="s">
        <v>178</v>
      </c>
    </row>
    <row r="96" spans="2:143" x14ac:dyDescent="0.45">
      <c r="B96" s="154"/>
      <c r="D96" s="174" t="s">
        <v>183</v>
      </c>
      <c r="E96" s="182">
        <f>-SUM(G92:EI92)/SUM(G93:EI93)</f>
        <v>2.2003834022616564</v>
      </c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  <c r="BD96" s="175"/>
      <c r="BE96" s="175"/>
      <c r="BF96" s="175"/>
      <c r="BG96" s="175"/>
      <c r="BH96" s="175"/>
      <c r="BI96" s="175"/>
      <c r="BJ96" s="175"/>
      <c r="BK96" s="175"/>
      <c r="BL96" s="175"/>
      <c r="BM96" s="175"/>
      <c r="BN96" s="175"/>
      <c r="BO96" s="175"/>
      <c r="BP96" s="175"/>
      <c r="BQ96" s="175"/>
      <c r="BR96" s="175"/>
      <c r="BS96" s="175"/>
      <c r="BT96" s="175"/>
      <c r="BU96" s="175"/>
      <c r="BV96" s="175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175"/>
      <c r="DE96" s="175"/>
      <c r="DF96" s="175"/>
      <c r="DG96" s="175"/>
      <c r="DH96" s="175"/>
      <c r="DI96" s="175"/>
      <c r="DJ96" s="175"/>
      <c r="DK96" s="175"/>
      <c r="DL96" s="175"/>
      <c r="DM96" s="175"/>
      <c r="DN96" s="175"/>
      <c r="DO96" s="175"/>
      <c r="DP96" s="175"/>
      <c r="DQ96" s="175"/>
      <c r="DR96" s="175"/>
      <c r="DS96" s="175"/>
      <c r="DT96" s="175"/>
      <c r="DU96" s="175"/>
      <c r="DV96" s="175"/>
      <c r="DW96" s="175"/>
      <c r="DX96" s="175"/>
      <c r="DY96" s="175"/>
      <c r="DZ96" s="175"/>
      <c r="EA96" s="175"/>
      <c r="EB96" s="175"/>
      <c r="EC96" s="175"/>
      <c r="ED96" s="175"/>
      <c r="EE96" s="175"/>
      <c r="EF96" s="175"/>
      <c r="EG96" s="175"/>
      <c r="EH96" s="175"/>
      <c r="EI96" s="175"/>
      <c r="EJ96" s="24"/>
      <c r="EK96" s="24"/>
      <c r="EL96" s="24"/>
      <c r="EM96" s="1" t="s">
        <v>178</v>
      </c>
    </row>
    <row r="97" spans="2:143" x14ac:dyDescent="0.45">
      <c r="B97" s="15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1" t="s">
        <v>178</v>
      </c>
    </row>
    <row r="98" spans="2:143" x14ac:dyDescent="0.45">
      <c r="B98" s="219"/>
      <c r="D98" s="74" t="s">
        <v>209</v>
      </c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7"/>
      <c r="BJ98" s="167"/>
      <c r="BK98" s="167"/>
      <c r="BL98" s="167"/>
      <c r="BM98" s="167"/>
      <c r="BN98" s="167"/>
      <c r="BO98" s="167"/>
      <c r="BP98" s="167"/>
      <c r="BQ98" s="167"/>
      <c r="BR98" s="167"/>
      <c r="BS98" s="167"/>
      <c r="BT98" s="167"/>
      <c r="BU98" s="167"/>
      <c r="BV98" s="167"/>
      <c r="BW98" s="167"/>
      <c r="BX98" s="167"/>
      <c r="BY98" s="167"/>
      <c r="BZ98" s="167"/>
      <c r="CA98" s="167"/>
      <c r="CB98" s="167"/>
      <c r="CC98" s="167"/>
      <c r="CD98" s="167"/>
      <c r="CE98" s="167"/>
      <c r="CF98" s="167"/>
      <c r="CG98" s="167"/>
      <c r="CH98" s="167"/>
      <c r="CI98" s="167"/>
      <c r="CJ98" s="167"/>
      <c r="CK98" s="167"/>
      <c r="CL98" s="167"/>
      <c r="CM98" s="167"/>
      <c r="CN98" s="167"/>
      <c r="CO98" s="167"/>
      <c r="CP98" s="167"/>
      <c r="CQ98" s="167"/>
      <c r="CR98" s="167"/>
      <c r="CS98" s="167"/>
      <c r="CT98" s="167"/>
      <c r="CU98" s="167"/>
      <c r="CV98" s="167"/>
      <c r="CW98" s="167"/>
      <c r="CX98" s="167"/>
      <c r="CY98" s="167"/>
      <c r="CZ98" s="167"/>
      <c r="DA98" s="167"/>
      <c r="DB98" s="167"/>
      <c r="DC98" s="167"/>
      <c r="DD98" s="167"/>
      <c r="DE98" s="167"/>
      <c r="DF98" s="167"/>
      <c r="DG98" s="167"/>
      <c r="DH98" s="167"/>
      <c r="DI98" s="167"/>
      <c r="DJ98" s="167"/>
      <c r="DK98" s="167"/>
      <c r="DL98" s="167"/>
      <c r="DM98" s="167"/>
      <c r="DN98" s="167"/>
      <c r="DO98" s="167"/>
      <c r="DP98" s="167"/>
      <c r="DQ98" s="167"/>
      <c r="DR98" s="167"/>
      <c r="DS98" s="167"/>
      <c r="DT98" s="167"/>
      <c r="DU98" s="167"/>
      <c r="DV98" s="167"/>
      <c r="DW98" s="167"/>
      <c r="DX98" s="167"/>
      <c r="DY98" s="167"/>
      <c r="DZ98" s="167"/>
      <c r="EA98" s="167"/>
      <c r="EB98" s="167"/>
      <c r="EC98" s="167"/>
      <c r="ED98" s="167"/>
      <c r="EE98" s="167"/>
      <c r="EF98" s="167"/>
      <c r="EG98" s="167"/>
      <c r="EH98" s="167"/>
      <c r="EI98" s="167"/>
      <c r="EJ98" s="24"/>
      <c r="EK98" s="24"/>
      <c r="EL98" s="24"/>
      <c r="EM98" s="1" t="s">
        <v>178</v>
      </c>
    </row>
    <row r="99" spans="2:143" x14ac:dyDescent="0.45">
      <c r="B99" s="24"/>
      <c r="D99" s="172" t="s">
        <v>179</v>
      </c>
      <c r="E99" s="173"/>
      <c r="F99" s="173"/>
      <c r="G99" s="173">
        <f>SUM(G142,G160,G165)+(G92/$F$86*$F$85)</f>
        <v>0</v>
      </c>
      <c r="H99" s="173">
        <f t="shared" ref="H99:AL99" si="104">SUM(H142,H160,H165)+(H92/$F$86*$F$85)</f>
        <v>0</v>
      </c>
      <c r="I99" s="173">
        <f t="shared" si="104"/>
        <v>0</v>
      </c>
      <c r="J99" s="173">
        <f t="shared" si="104"/>
        <v>0</v>
      </c>
      <c r="K99" s="173">
        <f t="shared" si="104"/>
        <v>0</v>
      </c>
      <c r="L99" s="173">
        <f t="shared" si="104"/>
        <v>0</v>
      </c>
      <c r="M99" s="173">
        <f t="shared" si="104"/>
        <v>0</v>
      </c>
      <c r="N99" s="173">
        <f t="shared" si="104"/>
        <v>0</v>
      </c>
      <c r="O99" s="173">
        <f t="shared" si="104"/>
        <v>0</v>
      </c>
      <c r="P99" s="173">
        <f t="shared" si="104"/>
        <v>0</v>
      </c>
      <c r="Q99" s="173">
        <f t="shared" si="104"/>
        <v>0</v>
      </c>
      <c r="R99" s="173">
        <f t="shared" si="104"/>
        <v>0</v>
      </c>
      <c r="S99" s="173">
        <f t="shared" si="104"/>
        <v>0</v>
      </c>
      <c r="T99" s="173">
        <f t="shared" si="104"/>
        <v>0</v>
      </c>
      <c r="U99" s="173">
        <f t="shared" si="104"/>
        <v>0</v>
      </c>
      <c r="V99" s="173">
        <f t="shared" si="104"/>
        <v>0</v>
      </c>
      <c r="W99" s="173">
        <f t="shared" si="104"/>
        <v>0</v>
      </c>
      <c r="X99" s="173">
        <f t="shared" si="104"/>
        <v>0</v>
      </c>
      <c r="Y99" s="173">
        <f t="shared" si="104"/>
        <v>0</v>
      </c>
      <c r="Z99" s="173">
        <f t="shared" si="104"/>
        <v>0</v>
      </c>
      <c r="AA99" s="173">
        <f t="shared" si="104"/>
        <v>0</v>
      </c>
      <c r="AB99" s="173">
        <f t="shared" si="104"/>
        <v>726.82427773081213</v>
      </c>
      <c r="AC99" s="173">
        <f t="shared" si="104"/>
        <v>1288.7215339871429</v>
      </c>
      <c r="AD99" s="173">
        <f t="shared" si="104"/>
        <v>1723.2978899957475</v>
      </c>
      <c r="AE99" s="173">
        <f t="shared" si="104"/>
        <v>0</v>
      </c>
      <c r="AF99" s="173">
        <f t="shared" si="104"/>
        <v>2564.4681621186082</v>
      </c>
      <c r="AG99" s="173">
        <f t="shared" si="104"/>
        <v>2325.4361540834097</v>
      </c>
      <c r="AH99" s="173">
        <f t="shared" si="104"/>
        <v>2422.6298071868946</v>
      </c>
      <c r="AI99" s="173">
        <f t="shared" si="104"/>
        <v>3147.8718369101275</v>
      </c>
      <c r="AJ99" s="173">
        <f t="shared" si="104"/>
        <v>3876.0405207824419</v>
      </c>
      <c r="AK99" s="173">
        <f t="shared" si="104"/>
        <v>4607.1448142768377</v>
      </c>
      <c r="AL99" s="173">
        <f t="shared" si="104"/>
        <v>4858.0651382410233</v>
      </c>
      <c r="AM99" s="173">
        <f t="shared" ref="AM99:BR99" si="105">SUM(AM142,AM160,AM165)+(AM92/$F$86*$F$85)</f>
        <v>4885.8074387121442</v>
      </c>
      <c r="AN99" s="173">
        <f t="shared" si="105"/>
        <v>1403.134383881541</v>
      </c>
      <c r="AO99" s="173">
        <f t="shared" si="105"/>
        <v>5642.6875809675621</v>
      </c>
      <c r="AP99" s="173">
        <f t="shared" si="105"/>
        <v>5670.6077904576605</v>
      </c>
      <c r="AQ99" s="173">
        <f t="shared" si="105"/>
        <v>788990.50182054471</v>
      </c>
      <c r="AR99" s="173">
        <f t="shared" si="105"/>
        <v>7061.3194023716269</v>
      </c>
      <c r="AS99" s="173">
        <f t="shared" si="105"/>
        <v>7132.257528532331</v>
      </c>
      <c r="AT99" s="173">
        <f t="shared" si="105"/>
        <v>7203.3471685277891</v>
      </c>
      <c r="AU99" s="173">
        <f t="shared" si="105"/>
        <v>7274.5886448420424</v>
      </c>
      <c r="AV99" s="173">
        <f t="shared" si="105"/>
        <v>7345.9822806409211</v>
      </c>
      <c r="AW99" s="173">
        <f t="shared" si="105"/>
        <v>7417.5283997736569</v>
      </c>
      <c r="AX99" s="173">
        <f t="shared" si="105"/>
        <v>7489.2273267747278</v>
      </c>
      <c r="AY99" s="173">
        <f t="shared" si="105"/>
        <v>7561.0793868645069</v>
      </c>
      <c r="AZ99" s="173">
        <f t="shared" si="105"/>
        <v>7633.0849059517022</v>
      </c>
      <c r="BA99" s="173">
        <f t="shared" si="105"/>
        <v>7705.2442106340504</v>
      </c>
      <c r="BB99" s="173">
        <f t="shared" si="105"/>
        <v>7777.5576281998183</v>
      </c>
      <c r="BC99" s="173">
        <f t="shared" si="105"/>
        <v>7850.0254866295709</v>
      </c>
      <c r="BD99" s="173">
        <f t="shared" si="105"/>
        <v>7922.6481145977086</v>
      </c>
      <c r="BE99" s="173">
        <f t="shared" si="105"/>
        <v>7995.4258414733931</v>
      </c>
      <c r="BF99" s="173">
        <f t="shared" si="105"/>
        <v>8068.3589973224389</v>
      </c>
      <c r="BG99" s="173">
        <f t="shared" si="105"/>
        <v>8141.4479129087613</v>
      </c>
      <c r="BH99" s="173">
        <f t="shared" si="105"/>
        <v>8214.6929196956444</v>
      </c>
      <c r="BI99" s="173">
        <f t="shared" si="105"/>
        <v>8288.0943498472407</v>
      </c>
      <c r="BJ99" s="173">
        <f t="shared" si="105"/>
        <v>8361.6525362303382</v>
      </c>
      <c r="BK99" s="173">
        <f t="shared" si="105"/>
        <v>8435.3678124153739</v>
      </c>
      <c r="BL99" s="173">
        <f t="shared" si="105"/>
        <v>8509.2405126783324</v>
      </c>
      <c r="BM99" s="173">
        <f t="shared" si="105"/>
        <v>8583.2709720021485</v>
      </c>
      <c r="BN99" s="173">
        <f t="shared" si="105"/>
        <v>8657.4595260777569</v>
      </c>
      <c r="BO99" s="173">
        <f>SUM(BO142,BO160,BO165)+(BO92/$F$86*$F$85)</f>
        <v>3459508.4210023871</v>
      </c>
      <c r="BP99" s="173">
        <f t="shared" si="105"/>
        <v>0</v>
      </c>
      <c r="BQ99" s="173">
        <f t="shared" si="105"/>
        <v>630.32451526291129</v>
      </c>
      <c r="BR99" s="173">
        <f t="shared" si="105"/>
        <v>631.5944894698373</v>
      </c>
      <c r="BS99" s="173">
        <f t="shared" ref="BS99:CX99" si="106">SUM(BS142,BS160,BS165)+(BS92/$F$86*$F$85)</f>
        <v>632.86703014053592</v>
      </c>
      <c r="BT99" s="173">
        <f t="shared" si="106"/>
        <v>634.14214249720715</v>
      </c>
      <c r="BU99" s="173">
        <f t="shared" si="106"/>
        <v>635.41983177270674</v>
      </c>
      <c r="BV99" s="173">
        <f t="shared" si="106"/>
        <v>636.700103210571</v>
      </c>
      <c r="BW99" s="173">
        <f t="shared" si="106"/>
        <v>637.98296206503312</v>
      </c>
      <c r="BX99" s="173">
        <f t="shared" si="106"/>
        <v>639.26841360104731</v>
      </c>
      <c r="BY99" s="173">
        <f t="shared" si="106"/>
        <v>640.55646309431324</v>
      </c>
      <c r="BZ99" s="173">
        <f t="shared" si="106"/>
        <v>641.84711583129285</v>
      </c>
      <c r="CA99" s="173">
        <f t="shared" si="106"/>
        <v>643.14037710924117</v>
      </c>
      <c r="CB99" s="173">
        <f t="shared" si="106"/>
        <v>644.43625223621473</v>
      </c>
      <c r="CC99" s="173">
        <f t="shared" si="106"/>
        <v>645.73474653110929</v>
      </c>
      <c r="CD99" s="173">
        <f t="shared" si="106"/>
        <v>647.03586532366785</v>
      </c>
      <c r="CE99" s="173">
        <f t="shared" si="106"/>
        <v>648.33961395451229</v>
      </c>
      <c r="CF99" s="173">
        <f t="shared" si="106"/>
        <v>649.64599777516378</v>
      </c>
      <c r="CG99" s="173">
        <f t="shared" si="106"/>
        <v>650.95502214806083</v>
      </c>
      <c r="CH99" s="173">
        <f t="shared" si="106"/>
        <v>652.26669244658547</v>
      </c>
      <c r="CI99" s="173">
        <f t="shared" si="106"/>
        <v>653.58101405508637</v>
      </c>
      <c r="CJ99" s="173">
        <f t="shared" si="106"/>
        <v>654.89799236889792</v>
      </c>
      <c r="CK99" s="173">
        <f t="shared" si="106"/>
        <v>656.21763279436402</v>
      </c>
      <c r="CL99" s="173">
        <f t="shared" si="106"/>
        <v>657.53994074886532</v>
      </c>
      <c r="CM99" s="173">
        <f t="shared" si="106"/>
        <v>658.86492166083065</v>
      </c>
      <c r="CN99" s="173">
        <f t="shared" si="106"/>
        <v>660.1925809697708</v>
      </c>
      <c r="CO99" s="173">
        <f t="shared" si="106"/>
        <v>661.52292412629663</v>
      </c>
      <c r="CP99" s="173">
        <f t="shared" si="106"/>
        <v>662.85595659214027</v>
      </c>
      <c r="CQ99" s="173">
        <f t="shared" si="106"/>
        <v>664.19168384018303</v>
      </c>
      <c r="CR99" s="173">
        <f t="shared" si="106"/>
        <v>665.53011135446695</v>
      </c>
      <c r="CS99" s="173">
        <f t="shared" si="106"/>
        <v>666.87124463023622</v>
      </c>
      <c r="CT99" s="173">
        <f t="shared" si="106"/>
        <v>668.21508917393919</v>
      </c>
      <c r="CU99" s="173">
        <f t="shared" si="106"/>
        <v>669.56165050326797</v>
      </c>
      <c r="CV99" s="173">
        <f t="shared" si="106"/>
        <v>670.91093414716966</v>
      </c>
      <c r="CW99" s="173">
        <f t="shared" si="106"/>
        <v>672.26294564588181</v>
      </c>
      <c r="CX99" s="173">
        <f t="shared" si="106"/>
        <v>673.61769055093907</v>
      </c>
      <c r="CY99" s="173">
        <f t="shared" ref="CY99:EI99" si="107">SUM(CY142,CY160,CY165)+(CY92/$F$86*$F$85)</f>
        <v>674.97517442521143</v>
      </c>
      <c r="CZ99" s="173">
        <f t="shared" si="107"/>
        <v>676.33540284291996</v>
      </c>
      <c r="DA99" s="173">
        <f t="shared" si="107"/>
        <v>677.69838138966247</v>
      </c>
      <c r="DB99" s="173">
        <f t="shared" si="107"/>
        <v>679.06411566243128</v>
      </c>
      <c r="DC99" s="173">
        <f t="shared" si="107"/>
        <v>680.43261126964853</v>
      </c>
      <c r="DD99" s="173">
        <f t="shared" si="107"/>
        <v>681.80387383117295</v>
      </c>
      <c r="DE99" s="173">
        <f t="shared" si="107"/>
        <v>683.17790897833947</v>
      </c>
      <c r="DF99" s="173">
        <f t="shared" si="107"/>
        <v>684.55472235397178</v>
      </c>
      <c r="DG99" s="173">
        <f t="shared" si="107"/>
        <v>685.93431961241254</v>
      </c>
      <c r="DH99" s="173">
        <f t="shared" si="107"/>
        <v>687.31670641954042</v>
      </c>
      <c r="DI99" s="173">
        <f t="shared" si="107"/>
        <v>688.70188845279665</v>
      </c>
      <c r="DJ99" s="173">
        <f t="shared" si="107"/>
        <v>690.08987140121621</v>
      </c>
      <c r="DK99" s="173">
        <f t="shared" si="107"/>
        <v>691.4806609654355</v>
      </c>
      <c r="DL99" s="173">
        <f t="shared" si="107"/>
        <v>692.87426285773006</v>
      </c>
      <c r="DM99" s="173">
        <f t="shared" si="107"/>
        <v>694.27068280203457</v>
      </c>
      <c r="DN99" s="173">
        <f t="shared" si="107"/>
        <v>695.6699265339621</v>
      </c>
      <c r="DO99" s="173">
        <f t="shared" si="107"/>
        <v>697.07199980083431</v>
      </c>
      <c r="DP99" s="173">
        <f t="shared" si="107"/>
        <v>698.47690836169568</v>
      </c>
      <c r="DQ99" s="173">
        <f t="shared" si="107"/>
        <v>699.88465798735649</v>
      </c>
      <c r="DR99" s="173">
        <f t="shared" si="107"/>
        <v>701.29525446039293</v>
      </c>
      <c r="DS99" s="173">
        <f t="shared" si="107"/>
        <v>702.70870357518902</v>
      </c>
      <c r="DT99" s="173">
        <f t="shared" si="107"/>
        <v>704.12501113795383</v>
      </c>
      <c r="DU99" s="173">
        <f t="shared" si="107"/>
        <v>705.54418296674555</v>
      </c>
      <c r="DV99" s="173">
        <f t="shared" si="107"/>
        <v>706.96622489149968</v>
      </c>
      <c r="DW99" s="173">
        <f t="shared" si="107"/>
        <v>708.39114275404324</v>
      </c>
      <c r="DX99" s="173">
        <f t="shared" si="107"/>
        <v>709.81894240813222</v>
      </c>
      <c r="DY99" s="173">
        <f t="shared" si="107"/>
        <v>711.24962971947048</v>
      </c>
      <c r="DZ99" s="173">
        <f t="shared" si="107"/>
        <v>712.68321056572893</v>
      </c>
      <c r="EA99" s="173">
        <f t="shared" si="107"/>
        <v>714.11969083657641</v>
      </c>
      <c r="EB99" s="173">
        <f t="shared" si="107"/>
        <v>715.55907643370551</v>
      </c>
      <c r="EC99" s="173">
        <f t="shared" si="107"/>
        <v>717.00137327085201</v>
      </c>
      <c r="ED99" s="173">
        <f t="shared" si="107"/>
        <v>718.44658727381739</v>
      </c>
      <c r="EE99" s="173">
        <f t="shared" si="107"/>
        <v>719.89472438050507</v>
      </c>
      <c r="EF99" s="173">
        <f t="shared" si="107"/>
        <v>721.34579054093342</v>
      </c>
      <c r="EG99" s="173">
        <f t="shared" si="107"/>
        <v>722.79979171726859</v>
      </c>
      <c r="EH99" s="173">
        <f t="shared" si="107"/>
        <v>724.25673388383711</v>
      </c>
      <c r="EI99" s="173">
        <f t="shared" si="107"/>
        <v>725.71662302717107</v>
      </c>
      <c r="EJ99" s="24"/>
      <c r="EK99" s="24"/>
      <c r="EL99" s="24"/>
      <c r="EM99" s="1" t="s">
        <v>178</v>
      </c>
    </row>
    <row r="100" spans="2:143" x14ac:dyDescent="0.45">
      <c r="B100" s="24"/>
      <c r="D100" s="172" t="s">
        <v>180</v>
      </c>
      <c r="E100" s="173"/>
      <c r="F100" s="173"/>
      <c r="G100" s="173">
        <f t="shared" ref="G100:AL100" si="108">-G120*$F$85</f>
        <v>-679440.94779959344</v>
      </c>
      <c r="H100" s="173">
        <f t="shared" si="108"/>
        <v>0</v>
      </c>
      <c r="I100" s="173">
        <f t="shared" si="108"/>
        <v>0</v>
      </c>
      <c r="J100" s="173">
        <f t="shared" si="108"/>
        <v>0</v>
      </c>
      <c r="K100" s="173">
        <f t="shared" si="108"/>
        <v>0</v>
      </c>
      <c r="L100" s="173">
        <f t="shared" si="108"/>
        <v>0</v>
      </c>
      <c r="M100" s="173">
        <f t="shared" si="108"/>
        <v>0</v>
      </c>
      <c r="N100" s="173">
        <f t="shared" si="108"/>
        <v>0</v>
      </c>
      <c r="O100" s="173">
        <f t="shared" si="108"/>
        <v>0</v>
      </c>
      <c r="P100" s="173">
        <f t="shared" si="108"/>
        <v>0</v>
      </c>
      <c r="Q100" s="173">
        <f t="shared" si="108"/>
        <v>0</v>
      </c>
      <c r="R100" s="173">
        <f t="shared" si="108"/>
        <v>0</v>
      </c>
      <c r="S100" s="173">
        <f t="shared" si="108"/>
        <v>0</v>
      </c>
      <c r="T100" s="173">
        <f t="shared" si="108"/>
        <v>0</v>
      </c>
      <c r="U100" s="173">
        <f t="shared" si="108"/>
        <v>0</v>
      </c>
      <c r="V100" s="173">
        <f t="shared" si="108"/>
        <v>0</v>
      </c>
      <c r="W100" s="173">
        <f t="shared" si="108"/>
        <v>0</v>
      </c>
      <c r="X100" s="173">
        <f t="shared" si="108"/>
        <v>0</v>
      </c>
      <c r="Y100" s="173">
        <f t="shared" si="108"/>
        <v>0</v>
      </c>
      <c r="Z100" s="173">
        <f t="shared" si="108"/>
        <v>0</v>
      </c>
      <c r="AA100" s="173">
        <f t="shared" si="108"/>
        <v>0</v>
      </c>
      <c r="AB100" s="173">
        <f t="shared" si="108"/>
        <v>0</v>
      </c>
      <c r="AC100" s="173">
        <f t="shared" si="108"/>
        <v>0</v>
      </c>
      <c r="AD100" s="173">
        <f t="shared" si="108"/>
        <v>0</v>
      </c>
      <c r="AE100" s="173">
        <f t="shared" si="108"/>
        <v>0</v>
      </c>
      <c r="AF100" s="173">
        <f t="shared" si="108"/>
        <v>0</v>
      </c>
      <c r="AG100" s="173">
        <f t="shared" si="108"/>
        <v>0</v>
      </c>
      <c r="AH100" s="173">
        <f t="shared" si="108"/>
        <v>0</v>
      </c>
      <c r="AI100" s="173">
        <f t="shared" si="108"/>
        <v>0</v>
      </c>
      <c r="AJ100" s="173">
        <f t="shared" si="108"/>
        <v>0</v>
      </c>
      <c r="AK100" s="173">
        <f t="shared" si="108"/>
        <v>0</v>
      </c>
      <c r="AL100" s="173">
        <f t="shared" si="108"/>
        <v>0</v>
      </c>
      <c r="AM100" s="173">
        <f t="shared" ref="AM100:BR100" si="109">-AM120*$F$85</f>
        <v>0</v>
      </c>
      <c r="AN100" s="173">
        <f t="shared" si="109"/>
        <v>0</v>
      </c>
      <c r="AO100" s="173">
        <f t="shared" si="109"/>
        <v>0</v>
      </c>
      <c r="AP100" s="173">
        <f t="shared" si="109"/>
        <v>0</v>
      </c>
      <c r="AQ100" s="173">
        <f t="shared" si="109"/>
        <v>0</v>
      </c>
      <c r="AR100" s="173">
        <f t="shared" si="109"/>
        <v>0</v>
      </c>
      <c r="AS100" s="173">
        <f t="shared" si="109"/>
        <v>0</v>
      </c>
      <c r="AT100" s="173">
        <f t="shared" si="109"/>
        <v>0</v>
      </c>
      <c r="AU100" s="173">
        <f t="shared" si="109"/>
        <v>0</v>
      </c>
      <c r="AV100" s="173">
        <f t="shared" si="109"/>
        <v>0</v>
      </c>
      <c r="AW100" s="173">
        <f t="shared" si="109"/>
        <v>0</v>
      </c>
      <c r="AX100" s="173">
        <f t="shared" si="109"/>
        <v>0</v>
      </c>
      <c r="AY100" s="173">
        <f t="shared" si="109"/>
        <v>0</v>
      </c>
      <c r="AZ100" s="173">
        <f t="shared" si="109"/>
        <v>0</v>
      </c>
      <c r="BA100" s="173">
        <f t="shared" si="109"/>
        <v>0</v>
      </c>
      <c r="BB100" s="173">
        <f t="shared" si="109"/>
        <v>0</v>
      </c>
      <c r="BC100" s="173">
        <f t="shared" si="109"/>
        <v>0</v>
      </c>
      <c r="BD100" s="173">
        <f t="shared" si="109"/>
        <v>0</v>
      </c>
      <c r="BE100" s="173">
        <f t="shared" si="109"/>
        <v>0</v>
      </c>
      <c r="BF100" s="173">
        <f t="shared" si="109"/>
        <v>0</v>
      </c>
      <c r="BG100" s="173">
        <f t="shared" si="109"/>
        <v>0</v>
      </c>
      <c r="BH100" s="173">
        <f t="shared" si="109"/>
        <v>0</v>
      </c>
      <c r="BI100" s="173">
        <f t="shared" si="109"/>
        <v>0</v>
      </c>
      <c r="BJ100" s="173">
        <f t="shared" si="109"/>
        <v>0</v>
      </c>
      <c r="BK100" s="173">
        <f t="shared" si="109"/>
        <v>0</v>
      </c>
      <c r="BL100" s="173">
        <f t="shared" si="109"/>
        <v>0</v>
      </c>
      <c r="BM100" s="173">
        <f t="shared" si="109"/>
        <v>0</v>
      </c>
      <c r="BN100" s="173">
        <f t="shared" si="109"/>
        <v>0</v>
      </c>
      <c r="BO100" s="173">
        <f t="shared" si="109"/>
        <v>0</v>
      </c>
      <c r="BP100" s="173">
        <f t="shared" si="109"/>
        <v>0</v>
      </c>
      <c r="BQ100" s="173">
        <f t="shared" si="109"/>
        <v>0</v>
      </c>
      <c r="BR100" s="173">
        <f t="shared" si="109"/>
        <v>0</v>
      </c>
      <c r="BS100" s="173">
        <f t="shared" ref="BS100:CX100" si="110">-BS120*$F$85</f>
        <v>0</v>
      </c>
      <c r="BT100" s="173">
        <f t="shared" si="110"/>
        <v>0</v>
      </c>
      <c r="BU100" s="173">
        <f t="shared" si="110"/>
        <v>0</v>
      </c>
      <c r="BV100" s="173">
        <f t="shared" si="110"/>
        <v>0</v>
      </c>
      <c r="BW100" s="173">
        <f t="shared" si="110"/>
        <v>0</v>
      </c>
      <c r="BX100" s="173">
        <f t="shared" si="110"/>
        <v>0</v>
      </c>
      <c r="BY100" s="173">
        <f t="shared" si="110"/>
        <v>0</v>
      </c>
      <c r="BZ100" s="173">
        <f t="shared" si="110"/>
        <v>0</v>
      </c>
      <c r="CA100" s="173">
        <f t="shared" si="110"/>
        <v>0</v>
      </c>
      <c r="CB100" s="173">
        <f t="shared" si="110"/>
        <v>0</v>
      </c>
      <c r="CC100" s="173">
        <f t="shared" si="110"/>
        <v>0</v>
      </c>
      <c r="CD100" s="173">
        <f t="shared" si="110"/>
        <v>0</v>
      </c>
      <c r="CE100" s="173">
        <f t="shared" si="110"/>
        <v>0</v>
      </c>
      <c r="CF100" s="173">
        <f t="shared" si="110"/>
        <v>0</v>
      </c>
      <c r="CG100" s="173">
        <f t="shared" si="110"/>
        <v>0</v>
      </c>
      <c r="CH100" s="173">
        <f t="shared" si="110"/>
        <v>0</v>
      </c>
      <c r="CI100" s="173">
        <f t="shared" si="110"/>
        <v>0</v>
      </c>
      <c r="CJ100" s="173">
        <f t="shared" si="110"/>
        <v>0</v>
      </c>
      <c r="CK100" s="173">
        <f t="shared" si="110"/>
        <v>0</v>
      </c>
      <c r="CL100" s="173">
        <f t="shared" si="110"/>
        <v>0</v>
      </c>
      <c r="CM100" s="173">
        <f t="shared" si="110"/>
        <v>0</v>
      </c>
      <c r="CN100" s="173">
        <f t="shared" si="110"/>
        <v>0</v>
      </c>
      <c r="CO100" s="173">
        <f t="shared" si="110"/>
        <v>0</v>
      </c>
      <c r="CP100" s="173">
        <f t="shared" si="110"/>
        <v>0</v>
      </c>
      <c r="CQ100" s="173">
        <f t="shared" si="110"/>
        <v>0</v>
      </c>
      <c r="CR100" s="173">
        <f t="shared" si="110"/>
        <v>0</v>
      </c>
      <c r="CS100" s="173">
        <f t="shared" si="110"/>
        <v>0</v>
      </c>
      <c r="CT100" s="173">
        <f t="shared" si="110"/>
        <v>0</v>
      </c>
      <c r="CU100" s="173">
        <f t="shared" si="110"/>
        <v>0</v>
      </c>
      <c r="CV100" s="173">
        <f t="shared" si="110"/>
        <v>0</v>
      </c>
      <c r="CW100" s="173">
        <f t="shared" si="110"/>
        <v>0</v>
      </c>
      <c r="CX100" s="173">
        <f t="shared" si="110"/>
        <v>0</v>
      </c>
      <c r="CY100" s="173">
        <f t="shared" ref="CY100:EI100" si="111">-CY120*$F$85</f>
        <v>0</v>
      </c>
      <c r="CZ100" s="173">
        <f t="shared" si="111"/>
        <v>0</v>
      </c>
      <c r="DA100" s="173">
        <f t="shared" si="111"/>
        <v>0</v>
      </c>
      <c r="DB100" s="173">
        <f t="shared" si="111"/>
        <v>0</v>
      </c>
      <c r="DC100" s="173">
        <f t="shared" si="111"/>
        <v>0</v>
      </c>
      <c r="DD100" s="173">
        <f t="shared" si="111"/>
        <v>0</v>
      </c>
      <c r="DE100" s="173">
        <f t="shared" si="111"/>
        <v>0</v>
      </c>
      <c r="DF100" s="173">
        <f t="shared" si="111"/>
        <v>0</v>
      </c>
      <c r="DG100" s="173">
        <f t="shared" si="111"/>
        <v>0</v>
      </c>
      <c r="DH100" s="173">
        <f t="shared" si="111"/>
        <v>0</v>
      </c>
      <c r="DI100" s="173">
        <f t="shared" si="111"/>
        <v>0</v>
      </c>
      <c r="DJ100" s="173">
        <f t="shared" si="111"/>
        <v>0</v>
      </c>
      <c r="DK100" s="173">
        <f t="shared" si="111"/>
        <v>0</v>
      </c>
      <c r="DL100" s="173">
        <f t="shared" si="111"/>
        <v>0</v>
      </c>
      <c r="DM100" s="173">
        <f t="shared" si="111"/>
        <v>0</v>
      </c>
      <c r="DN100" s="173">
        <f t="shared" si="111"/>
        <v>0</v>
      </c>
      <c r="DO100" s="173">
        <f t="shared" si="111"/>
        <v>0</v>
      </c>
      <c r="DP100" s="173">
        <f t="shared" si="111"/>
        <v>0</v>
      </c>
      <c r="DQ100" s="173">
        <f t="shared" si="111"/>
        <v>0</v>
      </c>
      <c r="DR100" s="173">
        <f t="shared" si="111"/>
        <v>0</v>
      </c>
      <c r="DS100" s="173">
        <f t="shared" si="111"/>
        <v>0</v>
      </c>
      <c r="DT100" s="173">
        <f t="shared" si="111"/>
        <v>0</v>
      </c>
      <c r="DU100" s="173">
        <f t="shared" si="111"/>
        <v>0</v>
      </c>
      <c r="DV100" s="173">
        <f t="shared" si="111"/>
        <v>0</v>
      </c>
      <c r="DW100" s="173">
        <f t="shared" si="111"/>
        <v>0</v>
      </c>
      <c r="DX100" s="173">
        <f t="shared" si="111"/>
        <v>0</v>
      </c>
      <c r="DY100" s="173">
        <f t="shared" si="111"/>
        <v>0</v>
      </c>
      <c r="DZ100" s="173">
        <f t="shared" si="111"/>
        <v>0</v>
      </c>
      <c r="EA100" s="173">
        <f t="shared" si="111"/>
        <v>0</v>
      </c>
      <c r="EB100" s="173">
        <f t="shared" si="111"/>
        <v>0</v>
      </c>
      <c r="EC100" s="173">
        <f t="shared" si="111"/>
        <v>0</v>
      </c>
      <c r="ED100" s="173">
        <f t="shared" si="111"/>
        <v>0</v>
      </c>
      <c r="EE100" s="173">
        <f t="shared" si="111"/>
        <v>0</v>
      </c>
      <c r="EF100" s="173">
        <f t="shared" si="111"/>
        <v>0</v>
      </c>
      <c r="EG100" s="173">
        <f t="shared" si="111"/>
        <v>0</v>
      </c>
      <c r="EH100" s="173">
        <f t="shared" si="111"/>
        <v>0</v>
      </c>
      <c r="EI100" s="173">
        <f t="shared" si="111"/>
        <v>0</v>
      </c>
      <c r="EJ100" s="24"/>
      <c r="EK100" s="24"/>
      <c r="EL100" s="24"/>
      <c r="EM100" s="1" t="s">
        <v>178</v>
      </c>
    </row>
    <row r="101" spans="2:143" s="78" customFormat="1" x14ac:dyDescent="0.45">
      <c r="B101" s="176"/>
      <c r="D101" s="183" t="s">
        <v>181</v>
      </c>
      <c r="E101" s="184"/>
      <c r="F101" s="184"/>
      <c r="G101" s="184">
        <f>SUM(G99:G100)</f>
        <v>-679440.94779959344</v>
      </c>
      <c r="H101" s="184">
        <f t="shared" ref="H101:BS101" si="112">SUM(H99:H100)</f>
        <v>0</v>
      </c>
      <c r="I101" s="184">
        <f t="shared" si="112"/>
        <v>0</v>
      </c>
      <c r="J101" s="184">
        <f t="shared" si="112"/>
        <v>0</v>
      </c>
      <c r="K101" s="184">
        <f t="shared" si="112"/>
        <v>0</v>
      </c>
      <c r="L101" s="184">
        <f t="shared" si="112"/>
        <v>0</v>
      </c>
      <c r="M101" s="184">
        <f t="shared" si="112"/>
        <v>0</v>
      </c>
      <c r="N101" s="184">
        <f t="shared" si="112"/>
        <v>0</v>
      </c>
      <c r="O101" s="184">
        <f t="shared" si="112"/>
        <v>0</v>
      </c>
      <c r="P101" s="184">
        <f t="shared" si="112"/>
        <v>0</v>
      </c>
      <c r="Q101" s="184">
        <f t="shared" si="112"/>
        <v>0</v>
      </c>
      <c r="R101" s="184">
        <f t="shared" si="112"/>
        <v>0</v>
      </c>
      <c r="S101" s="184">
        <f t="shared" si="112"/>
        <v>0</v>
      </c>
      <c r="T101" s="184">
        <f t="shared" si="112"/>
        <v>0</v>
      </c>
      <c r="U101" s="184">
        <f t="shared" si="112"/>
        <v>0</v>
      </c>
      <c r="V101" s="184">
        <f t="shared" si="112"/>
        <v>0</v>
      </c>
      <c r="W101" s="184">
        <f t="shared" si="112"/>
        <v>0</v>
      </c>
      <c r="X101" s="184">
        <f t="shared" si="112"/>
        <v>0</v>
      </c>
      <c r="Y101" s="184">
        <f t="shared" si="112"/>
        <v>0</v>
      </c>
      <c r="Z101" s="184">
        <f t="shared" si="112"/>
        <v>0</v>
      </c>
      <c r="AA101" s="184">
        <f t="shared" si="112"/>
        <v>0</v>
      </c>
      <c r="AB101" s="184">
        <f t="shared" si="112"/>
        <v>726.82427773081213</v>
      </c>
      <c r="AC101" s="184">
        <f t="shared" si="112"/>
        <v>1288.7215339871429</v>
      </c>
      <c r="AD101" s="184">
        <f t="shared" si="112"/>
        <v>1723.2978899957475</v>
      </c>
      <c r="AE101" s="184">
        <f t="shared" si="112"/>
        <v>0</v>
      </c>
      <c r="AF101" s="184">
        <f t="shared" si="112"/>
        <v>2564.4681621186082</v>
      </c>
      <c r="AG101" s="184">
        <f t="shared" si="112"/>
        <v>2325.4361540834097</v>
      </c>
      <c r="AH101" s="184">
        <f t="shared" si="112"/>
        <v>2422.6298071868946</v>
      </c>
      <c r="AI101" s="184">
        <f t="shared" si="112"/>
        <v>3147.8718369101275</v>
      </c>
      <c r="AJ101" s="184">
        <f t="shared" si="112"/>
        <v>3876.0405207824419</v>
      </c>
      <c r="AK101" s="184">
        <f t="shared" si="112"/>
        <v>4607.1448142768377</v>
      </c>
      <c r="AL101" s="184">
        <f t="shared" si="112"/>
        <v>4858.0651382410233</v>
      </c>
      <c r="AM101" s="184">
        <f t="shared" si="112"/>
        <v>4885.8074387121442</v>
      </c>
      <c r="AN101" s="184">
        <f t="shared" si="112"/>
        <v>1403.134383881541</v>
      </c>
      <c r="AO101" s="184">
        <f t="shared" si="112"/>
        <v>5642.6875809675621</v>
      </c>
      <c r="AP101" s="184">
        <f t="shared" si="112"/>
        <v>5670.6077904576605</v>
      </c>
      <c r="AQ101" s="184">
        <f t="shared" si="112"/>
        <v>788990.50182054471</v>
      </c>
      <c r="AR101" s="184">
        <f t="shared" si="112"/>
        <v>7061.3194023716269</v>
      </c>
      <c r="AS101" s="184">
        <f t="shared" si="112"/>
        <v>7132.257528532331</v>
      </c>
      <c r="AT101" s="184">
        <f t="shared" si="112"/>
        <v>7203.3471685277891</v>
      </c>
      <c r="AU101" s="184">
        <f t="shared" si="112"/>
        <v>7274.5886448420424</v>
      </c>
      <c r="AV101" s="184">
        <f t="shared" si="112"/>
        <v>7345.9822806409211</v>
      </c>
      <c r="AW101" s="184">
        <f t="shared" si="112"/>
        <v>7417.5283997736569</v>
      </c>
      <c r="AX101" s="184">
        <f t="shared" si="112"/>
        <v>7489.2273267747278</v>
      </c>
      <c r="AY101" s="184">
        <f t="shared" si="112"/>
        <v>7561.0793868645069</v>
      </c>
      <c r="AZ101" s="184">
        <f t="shared" si="112"/>
        <v>7633.0849059517022</v>
      </c>
      <c r="BA101" s="184">
        <f t="shared" si="112"/>
        <v>7705.2442106340504</v>
      </c>
      <c r="BB101" s="184">
        <f t="shared" si="112"/>
        <v>7777.5576281998183</v>
      </c>
      <c r="BC101" s="184">
        <f t="shared" si="112"/>
        <v>7850.0254866295709</v>
      </c>
      <c r="BD101" s="184">
        <f t="shared" si="112"/>
        <v>7922.6481145977086</v>
      </c>
      <c r="BE101" s="184">
        <f t="shared" si="112"/>
        <v>7995.4258414733931</v>
      </c>
      <c r="BF101" s="184">
        <f t="shared" si="112"/>
        <v>8068.3589973224389</v>
      </c>
      <c r="BG101" s="184">
        <f t="shared" si="112"/>
        <v>8141.4479129087613</v>
      </c>
      <c r="BH101" s="184">
        <f t="shared" si="112"/>
        <v>8214.6929196956444</v>
      </c>
      <c r="BI101" s="184">
        <f t="shared" si="112"/>
        <v>8288.0943498472407</v>
      </c>
      <c r="BJ101" s="184">
        <f t="shared" si="112"/>
        <v>8361.6525362303382</v>
      </c>
      <c r="BK101" s="184">
        <f t="shared" si="112"/>
        <v>8435.3678124153739</v>
      </c>
      <c r="BL101" s="184">
        <f t="shared" si="112"/>
        <v>8509.2405126783324</v>
      </c>
      <c r="BM101" s="184">
        <f t="shared" si="112"/>
        <v>8583.2709720021485</v>
      </c>
      <c r="BN101" s="184">
        <f t="shared" si="112"/>
        <v>8657.4595260777569</v>
      </c>
      <c r="BO101" s="184">
        <f t="shared" si="112"/>
        <v>3459508.4210023871</v>
      </c>
      <c r="BP101" s="184">
        <f t="shared" si="112"/>
        <v>0</v>
      </c>
      <c r="BQ101" s="184">
        <f t="shared" si="112"/>
        <v>630.32451526291129</v>
      </c>
      <c r="BR101" s="184">
        <f t="shared" si="112"/>
        <v>631.5944894698373</v>
      </c>
      <c r="BS101" s="184">
        <f t="shared" si="112"/>
        <v>632.86703014053592</v>
      </c>
      <c r="BT101" s="184">
        <f t="shared" ref="BT101:CV101" si="113">SUM(BT99:BT100)</f>
        <v>634.14214249720715</v>
      </c>
      <c r="BU101" s="184">
        <f t="shared" si="113"/>
        <v>635.41983177270674</v>
      </c>
      <c r="BV101" s="184">
        <f t="shared" si="113"/>
        <v>636.700103210571</v>
      </c>
      <c r="BW101" s="184">
        <f t="shared" si="113"/>
        <v>637.98296206503312</v>
      </c>
      <c r="BX101" s="184">
        <f t="shared" si="113"/>
        <v>639.26841360104731</v>
      </c>
      <c r="BY101" s="184">
        <f t="shared" si="113"/>
        <v>640.55646309431324</v>
      </c>
      <c r="BZ101" s="184">
        <f t="shared" si="113"/>
        <v>641.84711583129285</v>
      </c>
      <c r="CA101" s="184">
        <f t="shared" si="113"/>
        <v>643.14037710924117</v>
      </c>
      <c r="CB101" s="184">
        <f t="shared" si="113"/>
        <v>644.43625223621473</v>
      </c>
      <c r="CC101" s="184">
        <f t="shared" si="113"/>
        <v>645.73474653110929</v>
      </c>
      <c r="CD101" s="184">
        <f t="shared" si="113"/>
        <v>647.03586532366785</v>
      </c>
      <c r="CE101" s="184">
        <f t="shared" si="113"/>
        <v>648.33961395451229</v>
      </c>
      <c r="CF101" s="184">
        <f t="shared" si="113"/>
        <v>649.64599777516378</v>
      </c>
      <c r="CG101" s="184">
        <f t="shared" si="113"/>
        <v>650.95502214806083</v>
      </c>
      <c r="CH101" s="184">
        <f t="shared" si="113"/>
        <v>652.26669244658547</v>
      </c>
      <c r="CI101" s="184">
        <f t="shared" si="113"/>
        <v>653.58101405508637</v>
      </c>
      <c r="CJ101" s="184">
        <f t="shared" si="113"/>
        <v>654.89799236889792</v>
      </c>
      <c r="CK101" s="184">
        <f t="shared" si="113"/>
        <v>656.21763279436402</v>
      </c>
      <c r="CL101" s="184">
        <f t="shared" si="113"/>
        <v>657.53994074886532</v>
      </c>
      <c r="CM101" s="184">
        <f t="shared" si="113"/>
        <v>658.86492166083065</v>
      </c>
      <c r="CN101" s="184">
        <f t="shared" si="113"/>
        <v>660.1925809697708</v>
      </c>
      <c r="CO101" s="184">
        <f t="shared" si="113"/>
        <v>661.52292412629663</v>
      </c>
      <c r="CP101" s="184">
        <f t="shared" si="113"/>
        <v>662.85595659214027</v>
      </c>
      <c r="CQ101" s="184">
        <f t="shared" si="113"/>
        <v>664.19168384018303</v>
      </c>
      <c r="CR101" s="184">
        <f t="shared" si="113"/>
        <v>665.53011135446695</v>
      </c>
      <c r="CS101" s="184">
        <f t="shared" si="113"/>
        <v>666.87124463023622</v>
      </c>
      <c r="CT101" s="184">
        <f t="shared" si="113"/>
        <v>668.21508917393919</v>
      </c>
      <c r="CU101" s="184">
        <f t="shared" si="113"/>
        <v>669.56165050326797</v>
      </c>
      <c r="CV101" s="184">
        <f t="shared" si="113"/>
        <v>670.91093414716966</v>
      </c>
      <c r="CW101" s="184">
        <f t="shared" ref="CW101:EI101" si="114">SUM(CW99:CW100)</f>
        <v>672.26294564588181</v>
      </c>
      <c r="CX101" s="184">
        <f t="shared" si="114"/>
        <v>673.61769055093907</v>
      </c>
      <c r="CY101" s="184">
        <f t="shared" si="114"/>
        <v>674.97517442521143</v>
      </c>
      <c r="CZ101" s="184">
        <f t="shared" si="114"/>
        <v>676.33540284291996</v>
      </c>
      <c r="DA101" s="184">
        <f t="shared" si="114"/>
        <v>677.69838138966247</v>
      </c>
      <c r="DB101" s="184">
        <f t="shared" si="114"/>
        <v>679.06411566243128</v>
      </c>
      <c r="DC101" s="184">
        <f t="shared" si="114"/>
        <v>680.43261126964853</v>
      </c>
      <c r="DD101" s="184">
        <f t="shared" si="114"/>
        <v>681.80387383117295</v>
      </c>
      <c r="DE101" s="184">
        <f t="shared" si="114"/>
        <v>683.17790897833947</v>
      </c>
      <c r="DF101" s="184">
        <f t="shared" si="114"/>
        <v>684.55472235397178</v>
      </c>
      <c r="DG101" s="184">
        <f t="shared" si="114"/>
        <v>685.93431961241254</v>
      </c>
      <c r="DH101" s="184">
        <f t="shared" si="114"/>
        <v>687.31670641954042</v>
      </c>
      <c r="DI101" s="184">
        <f t="shared" si="114"/>
        <v>688.70188845279665</v>
      </c>
      <c r="DJ101" s="184">
        <f t="shared" si="114"/>
        <v>690.08987140121621</v>
      </c>
      <c r="DK101" s="184">
        <f t="shared" si="114"/>
        <v>691.4806609654355</v>
      </c>
      <c r="DL101" s="184">
        <f t="shared" si="114"/>
        <v>692.87426285773006</v>
      </c>
      <c r="DM101" s="184">
        <f t="shared" si="114"/>
        <v>694.27068280203457</v>
      </c>
      <c r="DN101" s="184">
        <f t="shared" si="114"/>
        <v>695.6699265339621</v>
      </c>
      <c r="DO101" s="184">
        <f t="shared" si="114"/>
        <v>697.07199980083431</v>
      </c>
      <c r="DP101" s="184">
        <f t="shared" si="114"/>
        <v>698.47690836169568</v>
      </c>
      <c r="DQ101" s="184">
        <f t="shared" si="114"/>
        <v>699.88465798735649</v>
      </c>
      <c r="DR101" s="184">
        <f t="shared" si="114"/>
        <v>701.29525446039293</v>
      </c>
      <c r="DS101" s="184">
        <f t="shared" si="114"/>
        <v>702.70870357518902</v>
      </c>
      <c r="DT101" s="184">
        <f t="shared" si="114"/>
        <v>704.12501113795383</v>
      </c>
      <c r="DU101" s="184">
        <f t="shared" si="114"/>
        <v>705.54418296674555</v>
      </c>
      <c r="DV101" s="184">
        <f t="shared" si="114"/>
        <v>706.96622489149968</v>
      </c>
      <c r="DW101" s="184">
        <f t="shared" si="114"/>
        <v>708.39114275404324</v>
      </c>
      <c r="DX101" s="184">
        <f t="shared" si="114"/>
        <v>709.81894240813222</v>
      </c>
      <c r="DY101" s="184">
        <f t="shared" si="114"/>
        <v>711.24962971947048</v>
      </c>
      <c r="DZ101" s="184">
        <f t="shared" si="114"/>
        <v>712.68321056572893</v>
      </c>
      <c r="EA101" s="184">
        <f t="shared" si="114"/>
        <v>714.11969083657641</v>
      </c>
      <c r="EB101" s="184">
        <f t="shared" si="114"/>
        <v>715.55907643370551</v>
      </c>
      <c r="EC101" s="184">
        <f t="shared" si="114"/>
        <v>717.00137327085201</v>
      </c>
      <c r="ED101" s="184">
        <f t="shared" si="114"/>
        <v>718.44658727381739</v>
      </c>
      <c r="EE101" s="184">
        <f t="shared" si="114"/>
        <v>719.89472438050507</v>
      </c>
      <c r="EF101" s="184">
        <f t="shared" si="114"/>
        <v>721.34579054093342</v>
      </c>
      <c r="EG101" s="184">
        <f t="shared" si="114"/>
        <v>722.79979171726859</v>
      </c>
      <c r="EH101" s="184">
        <f t="shared" si="114"/>
        <v>724.25673388383711</v>
      </c>
      <c r="EI101" s="184">
        <f t="shared" si="114"/>
        <v>725.71662302717107</v>
      </c>
      <c r="EJ101" s="176"/>
      <c r="EK101" s="176"/>
      <c r="EL101" s="176"/>
      <c r="EM101" s="1" t="s">
        <v>178</v>
      </c>
    </row>
    <row r="102" spans="2:143" x14ac:dyDescent="0.45">
      <c r="D102" s="172" t="s">
        <v>182</v>
      </c>
      <c r="E102" s="181">
        <f>XIRR(G101:EI101,$G$2:$EI$2)</f>
        <v>0.53195208907127378</v>
      </c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3"/>
      <c r="AT102" s="173"/>
      <c r="AU102" s="173"/>
      <c r="AV102" s="173"/>
      <c r="AW102" s="173"/>
      <c r="AX102" s="173"/>
      <c r="AY102" s="173"/>
      <c r="AZ102" s="173"/>
      <c r="BA102" s="173"/>
      <c r="BB102" s="173"/>
      <c r="BC102" s="173"/>
      <c r="BD102" s="173"/>
      <c r="BE102" s="173"/>
      <c r="BF102" s="173"/>
      <c r="BG102" s="173"/>
      <c r="BH102" s="173"/>
      <c r="BI102" s="173"/>
      <c r="BJ102" s="173"/>
      <c r="BK102" s="173"/>
      <c r="BL102" s="173"/>
      <c r="BM102" s="173"/>
      <c r="BN102" s="173"/>
      <c r="BO102" s="173"/>
      <c r="BP102" s="173"/>
      <c r="BQ102" s="173"/>
      <c r="BR102" s="173"/>
      <c r="BS102" s="173"/>
      <c r="BT102" s="173"/>
      <c r="BU102" s="173"/>
      <c r="BV102" s="173"/>
      <c r="BW102" s="173"/>
      <c r="BX102" s="173"/>
      <c r="BY102" s="173"/>
      <c r="BZ102" s="173"/>
      <c r="CA102" s="173"/>
      <c r="CB102" s="173"/>
      <c r="CC102" s="173"/>
      <c r="CD102" s="173"/>
      <c r="CE102" s="173"/>
      <c r="CF102" s="173"/>
      <c r="CG102" s="173"/>
      <c r="CH102" s="173"/>
      <c r="CI102" s="173"/>
      <c r="CJ102" s="173"/>
      <c r="CK102" s="173"/>
      <c r="CL102" s="173"/>
      <c r="CM102" s="173"/>
      <c r="CN102" s="173"/>
      <c r="CO102" s="173"/>
      <c r="CP102" s="173"/>
      <c r="CQ102" s="173"/>
      <c r="CR102" s="173"/>
      <c r="CS102" s="173"/>
      <c r="CT102" s="173"/>
      <c r="CU102" s="173"/>
      <c r="CV102" s="173"/>
      <c r="CW102" s="173"/>
      <c r="CX102" s="173"/>
      <c r="CY102" s="173"/>
      <c r="CZ102" s="173"/>
      <c r="DA102" s="173"/>
      <c r="DB102" s="173"/>
      <c r="DC102" s="173"/>
      <c r="DD102" s="173"/>
      <c r="DE102" s="173"/>
      <c r="DF102" s="173"/>
      <c r="DG102" s="173"/>
      <c r="DH102" s="173"/>
      <c r="DI102" s="173"/>
      <c r="DJ102" s="173"/>
      <c r="DK102" s="173"/>
      <c r="DL102" s="173"/>
      <c r="DM102" s="173"/>
      <c r="DN102" s="173"/>
      <c r="DO102" s="173"/>
      <c r="DP102" s="173"/>
      <c r="DQ102" s="173"/>
      <c r="DR102" s="173"/>
      <c r="DS102" s="173"/>
      <c r="DT102" s="173"/>
      <c r="DU102" s="173"/>
      <c r="DV102" s="173"/>
      <c r="DW102" s="173"/>
      <c r="DX102" s="173"/>
      <c r="DY102" s="173"/>
      <c r="DZ102" s="173"/>
      <c r="EA102" s="173"/>
      <c r="EB102" s="173"/>
      <c r="EC102" s="173"/>
      <c r="ED102" s="173"/>
      <c r="EE102" s="173"/>
      <c r="EF102" s="173"/>
      <c r="EG102" s="173"/>
      <c r="EH102" s="173"/>
      <c r="EI102" s="173"/>
      <c r="EJ102" s="24"/>
      <c r="EK102" s="24"/>
      <c r="EL102" s="24"/>
      <c r="EM102" s="1" t="s">
        <v>178</v>
      </c>
    </row>
    <row r="103" spans="2:143" x14ac:dyDescent="0.45">
      <c r="D103" s="174" t="s">
        <v>183</v>
      </c>
      <c r="E103" s="182">
        <f>-SUM(G99:EI99)/SUM(G100:EI100)</f>
        <v>6.6559594404495286</v>
      </c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175"/>
      <c r="BO103" s="175"/>
      <c r="BP103" s="175"/>
      <c r="BQ103" s="175"/>
      <c r="BR103" s="175"/>
      <c r="BS103" s="175"/>
      <c r="BT103" s="175"/>
      <c r="BU103" s="175"/>
      <c r="BV103" s="175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175"/>
      <c r="DE103" s="175"/>
      <c r="DF103" s="175"/>
      <c r="DG103" s="175"/>
      <c r="DH103" s="175"/>
      <c r="DI103" s="175"/>
      <c r="DJ103" s="175"/>
      <c r="DK103" s="175"/>
      <c r="DL103" s="175"/>
      <c r="DM103" s="175"/>
      <c r="DN103" s="175"/>
      <c r="DO103" s="175"/>
      <c r="DP103" s="175"/>
      <c r="DQ103" s="175"/>
      <c r="DR103" s="175"/>
      <c r="DS103" s="175"/>
      <c r="DT103" s="175"/>
      <c r="DU103" s="175"/>
      <c r="DV103" s="175"/>
      <c r="DW103" s="175"/>
      <c r="DX103" s="175"/>
      <c r="DY103" s="175"/>
      <c r="DZ103" s="175"/>
      <c r="EA103" s="175"/>
      <c r="EB103" s="175"/>
      <c r="EC103" s="175"/>
      <c r="ED103" s="175"/>
      <c r="EE103" s="175"/>
      <c r="EF103" s="175"/>
      <c r="EG103" s="175"/>
      <c r="EH103" s="175"/>
      <c r="EI103" s="175"/>
      <c r="EJ103" s="24"/>
      <c r="EK103" s="24"/>
      <c r="EL103" s="24"/>
      <c r="EM103" s="1" t="s">
        <v>178</v>
      </c>
    </row>
    <row r="104" spans="2:143" x14ac:dyDescent="0.45"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1" t="s">
        <v>178</v>
      </c>
    </row>
    <row r="105" spans="2:143" s="78" customFormat="1" x14ac:dyDescent="0.45">
      <c r="D105" s="78" t="s">
        <v>203</v>
      </c>
      <c r="E105" s="353" t="b">
        <f>E106=E107</f>
        <v>1</v>
      </c>
      <c r="F105" s="176"/>
      <c r="G105" s="353">
        <f t="shared" ref="G105:AL105" si="115">+G107-G106</f>
        <v>0</v>
      </c>
      <c r="H105" s="353">
        <f t="shared" si="115"/>
        <v>0</v>
      </c>
      <c r="I105" s="353">
        <f t="shared" si="115"/>
        <v>0</v>
      </c>
      <c r="J105" s="353">
        <f t="shared" si="115"/>
        <v>0</v>
      </c>
      <c r="K105" s="353">
        <f t="shared" si="115"/>
        <v>0</v>
      </c>
      <c r="L105" s="353">
        <f t="shared" si="115"/>
        <v>0</v>
      </c>
      <c r="M105" s="353">
        <f t="shared" si="115"/>
        <v>0</v>
      </c>
      <c r="N105" s="353">
        <f t="shared" si="115"/>
        <v>0</v>
      </c>
      <c r="O105" s="353">
        <f t="shared" si="115"/>
        <v>0</v>
      </c>
      <c r="P105" s="353">
        <f t="shared" si="115"/>
        <v>0</v>
      </c>
      <c r="Q105" s="353">
        <f t="shared" si="115"/>
        <v>0</v>
      </c>
      <c r="R105" s="353">
        <f t="shared" si="115"/>
        <v>0</v>
      </c>
      <c r="S105" s="353">
        <f t="shared" si="115"/>
        <v>0</v>
      </c>
      <c r="T105" s="353">
        <f t="shared" si="115"/>
        <v>0</v>
      </c>
      <c r="U105" s="353">
        <f t="shared" si="115"/>
        <v>0</v>
      </c>
      <c r="V105" s="353">
        <f t="shared" si="115"/>
        <v>0</v>
      </c>
      <c r="W105" s="353">
        <f t="shared" si="115"/>
        <v>0</v>
      </c>
      <c r="X105" s="353">
        <f t="shared" si="115"/>
        <v>0</v>
      </c>
      <c r="Y105" s="353">
        <f t="shared" si="115"/>
        <v>0</v>
      </c>
      <c r="Z105" s="353">
        <f t="shared" si="115"/>
        <v>0</v>
      </c>
      <c r="AA105" s="353">
        <f t="shared" si="115"/>
        <v>0</v>
      </c>
      <c r="AB105" s="353">
        <f t="shared" si="115"/>
        <v>0</v>
      </c>
      <c r="AC105" s="353">
        <f t="shared" si="115"/>
        <v>0</v>
      </c>
      <c r="AD105" s="353">
        <f t="shared" si="115"/>
        <v>0</v>
      </c>
      <c r="AE105" s="353">
        <f t="shared" si="115"/>
        <v>0</v>
      </c>
      <c r="AF105" s="353">
        <f t="shared" si="115"/>
        <v>0</v>
      </c>
      <c r="AG105" s="353">
        <f t="shared" si="115"/>
        <v>0</v>
      </c>
      <c r="AH105" s="353">
        <f t="shared" si="115"/>
        <v>0</v>
      </c>
      <c r="AI105" s="353">
        <f t="shared" si="115"/>
        <v>0</v>
      </c>
      <c r="AJ105" s="353">
        <f t="shared" si="115"/>
        <v>0</v>
      </c>
      <c r="AK105" s="353">
        <f t="shared" si="115"/>
        <v>0</v>
      </c>
      <c r="AL105" s="353">
        <f t="shared" si="115"/>
        <v>0</v>
      </c>
      <c r="AM105" s="353">
        <f t="shared" ref="AM105:BR105" si="116">+AM107-AM106</f>
        <v>0</v>
      </c>
      <c r="AN105" s="353">
        <f t="shared" si="116"/>
        <v>0</v>
      </c>
      <c r="AO105" s="353">
        <f t="shared" si="116"/>
        <v>0</v>
      </c>
      <c r="AP105" s="353">
        <f t="shared" si="116"/>
        <v>0</v>
      </c>
      <c r="AQ105" s="353">
        <f t="shared" si="116"/>
        <v>0</v>
      </c>
      <c r="AR105" s="353">
        <f t="shared" si="116"/>
        <v>0</v>
      </c>
      <c r="AS105" s="353">
        <f t="shared" si="116"/>
        <v>0</v>
      </c>
      <c r="AT105" s="353">
        <f t="shared" si="116"/>
        <v>0</v>
      </c>
      <c r="AU105" s="353">
        <f t="shared" si="116"/>
        <v>0</v>
      </c>
      <c r="AV105" s="353">
        <f t="shared" si="116"/>
        <v>0</v>
      </c>
      <c r="AW105" s="353">
        <f t="shared" si="116"/>
        <v>0</v>
      </c>
      <c r="AX105" s="353">
        <f t="shared" si="116"/>
        <v>0</v>
      </c>
      <c r="AY105" s="353">
        <f t="shared" si="116"/>
        <v>0</v>
      </c>
      <c r="AZ105" s="353">
        <f t="shared" si="116"/>
        <v>0</v>
      </c>
      <c r="BA105" s="353">
        <f t="shared" si="116"/>
        <v>0</v>
      </c>
      <c r="BB105" s="353">
        <f t="shared" si="116"/>
        <v>0</v>
      </c>
      <c r="BC105" s="353">
        <f t="shared" si="116"/>
        <v>0</v>
      </c>
      <c r="BD105" s="353">
        <f t="shared" si="116"/>
        <v>0</v>
      </c>
      <c r="BE105" s="353">
        <f t="shared" si="116"/>
        <v>0</v>
      </c>
      <c r="BF105" s="353">
        <f t="shared" si="116"/>
        <v>0</v>
      </c>
      <c r="BG105" s="353">
        <f t="shared" si="116"/>
        <v>0</v>
      </c>
      <c r="BH105" s="353">
        <f t="shared" si="116"/>
        <v>0</v>
      </c>
      <c r="BI105" s="353">
        <f t="shared" si="116"/>
        <v>0</v>
      </c>
      <c r="BJ105" s="353">
        <f t="shared" si="116"/>
        <v>0</v>
      </c>
      <c r="BK105" s="353">
        <f t="shared" si="116"/>
        <v>0</v>
      </c>
      <c r="BL105" s="353">
        <f t="shared" si="116"/>
        <v>0</v>
      </c>
      <c r="BM105" s="353">
        <f t="shared" si="116"/>
        <v>0</v>
      </c>
      <c r="BN105" s="353">
        <f t="shared" si="116"/>
        <v>0</v>
      </c>
      <c r="BO105" s="353">
        <f t="shared" si="116"/>
        <v>0</v>
      </c>
      <c r="BP105" s="353">
        <f t="shared" si="116"/>
        <v>0</v>
      </c>
      <c r="BQ105" s="353">
        <f t="shared" si="116"/>
        <v>0</v>
      </c>
      <c r="BR105" s="353">
        <f t="shared" si="116"/>
        <v>0</v>
      </c>
      <c r="BS105" s="353">
        <f t="shared" ref="BS105:CX105" si="117">+BS107-BS106</f>
        <v>0</v>
      </c>
      <c r="BT105" s="353">
        <f t="shared" si="117"/>
        <v>0</v>
      </c>
      <c r="BU105" s="353">
        <f t="shared" si="117"/>
        <v>0</v>
      </c>
      <c r="BV105" s="353">
        <f t="shared" si="117"/>
        <v>0</v>
      </c>
      <c r="BW105" s="353">
        <f t="shared" si="117"/>
        <v>-9.0949470177292824E-13</v>
      </c>
      <c r="BX105" s="353">
        <f t="shared" si="117"/>
        <v>0</v>
      </c>
      <c r="BY105" s="353">
        <f t="shared" si="117"/>
        <v>0</v>
      </c>
      <c r="BZ105" s="353">
        <f t="shared" si="117"/>
        <v>0</v>
      </c>
      <c r="CA105" s="353">
        <f t="shared" si="117"/>
        <v>0</v>
      </c>
      <c r="CB105" s="353">
        <f t="shared" si="117"/>
        <v>0</v>
      </c>
      <c r="CC105" s="353">
        <f t="shared" si="117"/>
        <v>0</v>
      </c>
      <c r="CD105" s="353">
        <f t="shared" si="117"/>
        <v>0</v>
      </c>
      <c r="CE105" s="353">
        <f t="shared" si="117"/>
        <v>0</v>
      </c>
      <c r="CF105" s="353">
        <f t="shared" si="117"/>
        <v>0</v>
      </c>
      <c r="CG105" s="353">
        <f t="shared" si="117"/>
        <v>0</v>
      </c>
      <c r="CH105" s="353">
        <f t="shared" si="117"/>
        <v>0</v>
      </c>
      <c r="CI105" s="353">
        <f t="shared" si="117"/>
        <v>0</v>
      </c>
      <c r="CJ105" s="353">
        <f t="shared" si="117"/>
        <v>0</v>
      </c>
      <c r="CK105" s="353">
        <f t="shared" si="117"/>
        <v>0</v>
      </c>
      <c r="CL105" s="353">
        <f t="shared" si="117"/>
        <v>0</v>
      </c>
      <c r="CM105" s="353">
        <f t="shared" si="117"/>
        <v>0</v>
      </c>
      <c r="CN105" s="353">
        <f t="shared" si="117"/>
        <v>0</v>
      </c>
      <c r="CO105" s="353">
        <f t="shared" si="117"/>
        <v>0</v>
      </c>
      <c r="CP105" s="353">
        <f t="shared" si="117"/>
        <v>-9.0949470177292824E-13</v>
      </c>
      <c r="CQ105" s="353">
        <f t="shared" si="117"/>
        <v>0</v>
      </c>
      <c r="CR105" s="353">
        <f t="shared" si="117"/>
        <v>0</v>
      </c>
      <c r="CS105" s="353">
        <f t="shared" si="117"/>
        <v>0</v>
      </c>
      <c r="CT105" s="353">
        <f t="shared" si="117"/>
        <v>0</v>
      </c>
      <c r="CU105" s="353">
        <f t="shared" si="117"/>
        <v>0</v>
      </c>
      <c r="CV105" s="353">
        <f t="shared" si="117"/>
        <v>0</v>
      </c>
      <c r="CW105" s="353">
        <f t="shared" si="117"/>
        <v>0</v>
      </c>
      <c r="CX105" s="353">
        <f t="shared" si="117"/>
        <v>0</v>
      </c>
      <c r="CY105" s="353">
        <f t="shared" ref="CY105:ED105" si="118">+CY107-CY106</f>
        <v>0</v>
      </c>
      <c r="CZ105" s="353">
        <f t="shared" si="118"/>
        <v>0</v>
      </c>
      <c r="DA105" s="353">
        <f t="shared" si="118"/>
        <v>0</v>
      </c>
      <c r="DB105" s="353">
        <f t="shared" si="118"/>
        <v>0</v>
      </c>
      <c r="DC105" s="353">
        <f t="shared" si="118"/>
        <v>0</v>
      </c>
      <c r="DD105" s="353">
        <f t="shared" si="118"/>
        <v>0</v>
      </c>
      <c r="DE105" s="353">
        <f t="shared" si="118"/>
        <v>0</v>
      </c>
      <c r="DF105" s="353">
        <f t="shared" si="118"/>
        <v>0</v>
      </c>
      <c r="DG105" s="353">
        <f t="shared" si="118"/>
        <v>0</v>
      </c>
      <c r="DH105" s="353">
        <f t="shared" si="118"/>
        <v>0</v>
      </c>
      <c r="DI105" s="353">
        <f t="shared" si="118"/>
        <v>0</v>
      </c>
      <c r="DJ105" s="353">
        <f t="shared" si="118"/>
        <v>0</v>
      </c>
      <c r="DK105" s="353">
        <f t="shared" si="118"/>
        <v>0</v>
      </c>
      <c r="DL105" s="353">
        <f t="shared" si="118"/>
        <v>0</v>
      </c>
      <c r="DM105" s="353">
        <f t="shared" si="118"/>
        <v>0</v>
      </c>
      <c r="DN105" s="353">
        <f t="shared" si="118"/>
        <v>0</v>
      </c>
      <c r="DO105" s="353">
        <f t="shared" si="118"/>
        <v>0</v>
      </c>
      <c r="DP105" s="353">
        <f t="shared" si="118"/>
        <v>0</v>
      </c>
      <c r="DQ105" s="353">
        <f t="shared" si="118"/>
        <v>0</v>
      </c>
      <c r="DR105" s="353">
        <f t="shared" si="118"/>
        <v>0</v>
      </c>
      <c r="DS105" s="353">
        <f t="shared" si="118"/>
        <v>0</v>
      </c>
      <c r="DT105" s="353">
        <f t="shared" si="118"/>
        <v>0</v>
      </c>
      <c r="DU105" s="353">
        <f t="shared" si="118"/>
        <v>0</v>
      </c>
      <c r="DV105" s="353">
        <f t="shared" si="118"/>
        <v>0</v>
      </c>
      <c r="DW105" s="353">
        <f t="shared" si="118"/>
        <v>0</v>
      </c>
      <c r="DX105" s="353">
        <f t="shared" si="118"/>
        <v>0</v>
      </c>
      <c r="DY105" s="353">
        <f t="shared" si="118"/>
        <v>0</v>
      </c>
      <c r="DZ105" s="353">
        <f t="shared" si="118"/>
        <v>0</v>
      </c>
      <c r="EA105" s="353">
        <f t="shared" si="118"/>
        <v>0</v>
      </c>
      <c r="EB105" s="353">
        <f t="shared" si="118"/>
        <v>0</v>
      </c>
      <c r="EC105" s="353">
        <f t="shared" si="118"/>
        <v>0</v>
      </c>
      <c r="ED105" s="353">
        <f t="shared" si="118"/>
        <v>0</v>
      </c>
      <c r="EE105" s="353">
        <f>+EE107-EE106</f>
        <v>0</v>
      </c>
      <c r="EF105" s="353">
        <f>+EF107-EF106</f>
        <v>0</v>
      </c>
      <c r="EG105" s="353">
        <f>+EG107-EG106</f>
        <v>0</v>
      </c>
      <c r="EH105" s="353">
        <f>+EH107-EH106</f>
        <v>0</v>
      </c>
      <c r="EI105" s="353">
        <f>+EI107-EI106</f>
        <v>0</v>
      </c>
      <c r="EJ105" s="176"/>
      <c r="EK105" s="176"/>
      <c r="EL105" s="176"/>
      <c r="EM105" s="78" t="s">
        <v>178</v>
      </c>
    </row>
    <row r="106" spans="2:143" x14ac:dyDescent="0.45">
      <c r="D106" s="1" t="s">
        <v>204</v>
      </c>
      <c r="E106" s="24">
        <f>SUM(G106:EI106)</f>
        <v>11183197.17193513</v>
      </c>
      <c r="F106" s="24"/>
      <c r="G106" s="24">
        <f>IF(G2=Assumptions!$F$2,SUM($B$51:$B$51),0)+MAX(0,G65)</f>
        <v>-6794409.477995934</v>
      </c>
      <c r="H106" s="24">
        <f>IF(H2=Assumptions!$F$2,SUM($B$51:$B$51),0)+MAX(0,H65)</f>
        <v>0</v>
      </c>
      <c r="I106" s="24">
        <f>IF(I2=Assumptions!$F$2,SUM($B$51:$B$51),0)+MAX(0,I65)</f>
        <v>0</v>
      </c>
      <c r="J106" s="24">
        <f>IF(J2=Assumptions!$F$2,SUM($B$51:$B$51),0)+MAX(0,J65)</f>
        <v>0</v>
      </c>
      <c r="K106" s="24">
        <f>IF(K2=Assumptions!$F$2,SUM($B$51:$B$51),0)+MAX(0,K65)</f>
        <v>0</v>
      </c>
      <c r="L106" s="24">
        <f>IF(L2=Assumptions!$F$2,SUM($B$51:$B$51),0)+MAX(0,L65)</f>
        <v>0</v>
      </c>
      <c r="M106" s="24">
        <f>IF(M2=Assumptions!$F$2,SUM($B$51:$B$51),0)+MAX(0,M65)</f>
        <v>0</v>
      </c>
      <c r="N106" s="24">
        <f>IF(N2=Assumptions!$F$2,SUM($B$51:$B$51),0)+MAX(0,N65)</f>
        <v>0</v>
      </c>
      <c r="O106" s="24">
        <f>IF(O2=Assumptions!$F$2,SUM($B$51:$B$51),0)+MAX(0,O65)</f>
        <v>0</v>
      </c>
      <c r="P106" s="24">
        <f>IF(P2=Assumptions!$F$2,SUM($B$51:$B$51),0)+MAX(0,P65)</f>
        <v>0</v>
      </c>
      <c r="Q106" s="24">
        <f>IF(Q2=Assumptions!$F$2,SUM($B$51:$B$51),0)+MAX(0,Q65)</f>
        <v>0</v>
      </c>
      <c r="R106" s="24">
        <f>IF(R2=Assumptions!$F$2,SUM($B$51:$B$51),0)+MAX(0,R65)</f>
        <v>0</v>
      </c>
      <c r="S106" s="24">
        <f>IF(S2=Assumptions!$F$2,SUM($B$51:$B$51),0)+MAX(0,S65)</f>
        <v>0</v>
      </c>
      <c r="T106" s="24">
        <f>IF(T2=Assumptions!$F$2,SUM($B$51:$B$51),0)+MAX(0,T65)</f>
        <v>0</v>
      </c>
      <c r="U106" s="24">
        <f>IF(U2=Assumptions!$F$2,SUM($B$51:$B$51),0)+MAX(0,U65)</f>
        <v>0</v>
      </c>
      <c r="V106" s="24">
        <f>IF(V2=Assumptions!$F$2,SUM($B$51:$B$51),0)+MAX(0,V65)</f>
        <v>0</v>
      </c>
      <c r="W106" s="24">
        <f>IF(W2=Assumptions!$F$2,SUM($B$51:$B$51),0)+MAX(0,W65)</f>
        <v>0</v>
      </c>
      <c r="X106" s="24">
        <f>IF(X2=Assumptions!$F$2,SUM($B$51:$B$51),0)+MAX(0,X65)</f>
        <v>0</v>
      </c>
      <c r="Y106" s="24">
        <f>IF(Y2=Assumptions!$F$2,SUM($B$51:$B$51),0)+MAX(0,Y65)</f>
        <v>0</v>
      </c>
      <c r="Z106" s="24">
        <f>IF(Z2=Assumptions!$F$2,SUM($B$51:$B$51),0)+MAX(0,Z65)</f>
        <v>0</v>
      </c>
      <c r="AA106" s="24">
        <f>IF(AA2=Assumptions!$F$2,SUM($B$51:$B$51),0)+MAX(0,AA65)</f>
        <v>0</v>
      </c>
      <c r="AB106" s="24">
        <f>IF(AB2=Assumptions!$F$2,SUM($B$51:$B$51),0)+MAX(0,AB65)</f>
        <v>3300.1774115721055</v>
      </c>
      <c r="AC106" s="24">
        <f>IF(AC2=Assumptions!$F$2,SUM($B$51:$B$51),0)+MAX(0,AC65)</f>
        <v>8759.3818019891914</v>
      </c>
      <c r="AD106" s="24">
        <f>IF(AD2=Assumptions!$F$2,SUM($B$51:$B$51),0)+MAX(0,AD65)</f>
        <v>12982.802301877402</v>
      </c>
      <c r="AE106" s="24">
        <f>IF(AE2=Assumptions!$F$2,SUM($B$51:$B$51),0)+MAX(0,AE65)</f>
        <v>0</v>
      </c>
      <c r="AF106" s="24">
        <f>IF(AF2=Assumptions!$F$2,SUM($B$51:$B$51),0)+MAX(0,AF65)</f>
        <v>21337.220022338552</v>
      </c>
      <c r="AG106" s="24">
        <f>IF(AG2=Assumptions!$F$2,SUM($B$51:$B$51),0)+MAX(0,AG65)</f>
        <v>19015.164821339305</v>
      </c>
      <c r="AH106" s="24">
        <f>IF(AH2=Assumptions!$F$2,SUM($B$51:$B$51),0)+MAX(0,AH65)</f>
        <v>19958.153016681776</v>
      </c>
      <c r="AI106" s="24">
        <f>IF(AI2=Assumptions!$F$2,SUM($B$51:$B$51),0)+MAX(0,AI65)</f>
        <v>27001.926192569576</v>
      </c>
      <c r="AJ106" s="24">
        <f>IF(AJ2=Assumptions!$F$2,SUM($B$51:$B$51),0)+MAX(0,AJ65)</f>
        <v>34074.135070553093</v>
      </c>
      <c r="AK106" s="24">
        <f>IF(AK2=Assumptions!$F$2,SUM($B$51:$B$51),0)+MAX(0,AK65)</f>
        <v>41174.866683233398</v>
      </c>
      <c r="AL106" s="24">
        <f>IF(AL2=Assumptions!$F$2,SUM($B$51:$B$51),0)+MAX(0,AL65)</f>
        <v>43607.728141871296</v>
      </c>
      <c r="AM106" s="24">
        <f>IF(AM2=Assumptions!$F$2,SUM($B$51:$B$51),0)+MAX(0,AM65)</f>
        <v>43875.133477684954</v>
      </c>
      <c r="AN106" s="24">
        <f>IF(AN2=Assumptions!$F$2,SUM($B$51:$B$51),0)+MAX(0,AN65)</f>
        <v>9038.365024571649</v>
      </c>
      <c r="AO106" s="24">
        <f>IF(AO2=Assumptions!$F$2,SUM($B$51:$B$51),0)+MAX(0,AO65)</f>
        <v>51423.838813546288</v>
      </c>
      <c r="AP106" s="24">
        <f>IF(AP2=Assumptions!$F$2,SUM($B$51:$B$51),0)+MAX(0,AP65)</f>
        <v>51692.962408230829</v>
      </c>
      <c r="AQ106" s="24">
        <f>IF(AQ2=Assumptions!$F$2,SUM($B$51:$B$51),0)+MAX(0,AQ65)</f>
        <v>7241526.2094415054</v>
      </c>
      <c r="AR106" s="24">
        <f>IF(AR2=Assumptions!$F$2,SUM($B$51:$B$51),0)+MAX(0,AR65)</f>
        <v>25680.855176416786</v>
      </c>
      <c r="AS106" s="24">
        <f>IF(AS2=Assumptions!$F$2,SUM($B$51:$B$51),0)+MAX(0,AS65)</f>
        <v>25951.708030902664</v>
      </c>
      <c r="AT106" s="24">
        <f>IF(AT2=Assumptions!$F$2,SUM($B$51:$B$51),0)+MAX(0,AT65)</f>
        <v>26223.139762054983</v>
      </c>
      <c r="AU106" s="24">
        <f>IF(AU2=Assumptions!$F$2,SUM($B$51:$B$51),0)+MAX(0,AU65)</f>
        <v>26495.151602574522</v>
      </c>
      <c r="AV106" s="24">
        <f>IF(AV2=Assumptions!$F$2,SUM($B$51:$B$51),0)+MAX(0,AV65)</f>
        <v>26767.744787769221</v>
      </c>
      <c r="AW106" s="24">
        <f>IF(AW2=Assumptions!$F$2,SUM($B$51:$B$51),0)+MAX(0,AW65)</f>
        <v>27040.920555560286</v>
      </c>
      <c r="AX106" s="24">
        <f>IF(AX2=Assumptions!$F$2,SUM($B$51:$B$51),0)+MAX(0,AX65)</f>
        <v>27314.680146489343</v>
      </c>
      <c r="AY106" s="24">
        <f>IF(AY2=Assumptions!$F$2,SUM($B$51:$B$51),0)+MAX(0,AY65)</f>
        <v>27589.024803720811</v>
      </c>
      <c r="AZ106" s="24">
        <f>IF(AZ2=Assumptions!$F$2,SUM($B$51:$B$51),0)+MAX(0,AZ65)</f>
        <v>27863.95577305133</v>
      </c>
      <c r="BA106" s="24">
        <f>IF(BA2=Assumptions!$F$2,SUM($B$51:$B$51),0)+MAX(0,BA65)</f>
        <v>28139.474302912338</v>
      </c>
      <c r="BB106" s="24">
        <f>IF(BB2=Assumptions!$F$2,SUM($B$51:$B$51),0)+MAX(0,BB65)</f>
        <v>28415.581644375881</v>
      </c>
      <c r="BC106" s="24">
        <f>IF(BC2=Assumptions!$F$2,SUM($B$51:$B$51),0)+MAX(0,BC65)</f>
        <v>28692.279051161324</v>
      </c>
      <c r="BD106" s="24">
        <f>IF(BD2=Assumptions!$F$2,SUM($B$51:$B$51),0)+MAX(0,BD65)</f>
        <v>28969.567779641238</v>
      </c>
      <c r="BE106" s="24">
        <f>IF(BE2=Assumptions!$F$2,SUM($B$51:$B$51),0)+MAX(0,BE65)</f>
        <v>29247.449088844998</v>
      </c>
      <c r="BF106" s="24">
        <f>IF(BF2=Assumptions!$F$2,SUM($B$51:$B$51),0)+MAX(0,BF65)</f>
        <v>29525.924240465924</v>
      </c>
      <c r="BG106" s="24">
        <f>IF(BG2=Assumptions!$F$2,SUM($B$51:$B$51),0)+MAX(0,BG65)</f>
        <v>29804.994498866909</v>
      </c>
      <c r="BH106" s="24">
        <f>IF(BH2=Assumptions!$F$2,SUM($B$51:$B$51),0)+MAX(0,BH65)</f>
        <v>30084.661131085188</v>
      </c>
      <c r="BI106" s="24">
        <f>IF(BI2=Assumptions!$F$2,SUM($B$51:$B$51),0)+MAX(0,BI65)</f>
        <v>30364.925406838182</v>
      </c>
      <c r="BJ106" s="24">
        <f>IF(BJ2=Assumptions!$F$2,SUM($B$51:$B$51),0)+MAX(0,BJ65)</f>
        <v>30645.788598530118</v>
      </c>
      <c r="BK106" s="24">
        <f>IF(BK2=Assumptions!$F$2,SUM($B$51:$B$51),0)+MAX(0,BK65)</f>
        <v>30927.251981256042</v>
      </c>
      <c r="BL106" s="24">
        <f>IF(BL2=Assumptions!$F$2,SUM($B$51:$B$51),0)+MAX(0,BL65)</f>
        <v>31209.316832808978</v>
      </c>
      <c r="BM106" s="24">
        <f>IF(BM2=Assumptions!$F$2,SUM($B$51:$B$51),0)+MAX(0,BM65)</f>
        <v>31491.98443368536</v>
      </c>
      <c r="BN106" s="24">
        <f>IF(BN2=Assumptions!$F$2,SUM($B$51:$B$51),0)+MAX(0,BN65)</f>
        <v>31775.25606708898</v>
      </c>
      <c r="BO106" s="24">
        <f>IF(BO2=Assumptions!$F$2,SUM($B$51:$B$51),0)+MAX(0,BO65)</f>
        <v>9688616.9496053997</v>
      </c>
      <c r="BP106" s="24">
        <f>IF(BP2=Assumptions!$F$2,SUM($B$51:$B$51),0)+MAX(0,BP65)</f>
        <v>0</v>
      </c>
      <c r="BQ106" s="24">
        <f>IF(BQ2=Assumptions!$F$2,SUM($B$51:$B$51),0)+MAX(0,BQ65)</f>
        <v>0</v>
      </c>
      <c r="BR106" s="24">
        <f>IF(BR2=Assumptions!$F$2,SUM($B$51:$B$51),0)+MAX(0,BR65)</f>
        <v>0</v>
      </c>
      <c r="BS106" s="24">
        <f>IF(BS2=Assumptions!$F$2,SUM($B$51:$B$51),0)+MAX(0,BS65)</f>
        <v>0</v>
      </c>
      <c r="BT106" s="24">
        <f>IF(BT2=Assumptions!$F$2,SUM($B$51:$B$51),0)+MAX(0,BT65)</f>
        <v>0</v>
      </c>
      <c r="BU106" s="24">
        <f>IF(BU2=Assumptions!$F$2,SUM($B$51:$B$51),0)+MAX(0,BU65)</f>
        <v>0</v>
      </c>
      <c r="BV106" s="24">
        <f>IF(BV2=Assumptions!$F$2,SUM($B$51:$B$51),0)+MAX(0,BV65)</f>
        <v>0</v>
      </c>
      <c r="BW106" s="24">
        <f>IF(BW2=Assumptions!$F$2,SUM($B$51:$B$51),0)+MAX(0,BW65)</f>
        <v>0</v>
      </c>
      <c r="BX106" s="24">
        <f>IF(BX2=Assumptions!$F$2,SUM($B$51:$B$51),0)+MAX(0,BX65)</f>
        <v>0</v>
      </c>
      <c r="BY106" s="24">
        <f>IF(BY2=Assumptions!$F$2,SUM($B$51:$B$51),0)+MAX(0,BY65)</f>
        <v>0</v>
      </c>
      <c r="BZ106" s="24">
        <f>IF(BZ2=Assumptions!$F$2,SUM($B$51:$B$51),0)+MAX(0,BZ65)</f>
        <v>0</v>
      </c>
      <c r="CA106" s="24">
        <f>IF(CA2=Assumptions!$F$2,SUM($B$51:$B$51),0)+MAX(0,CA65)</f>
        <v>0</v>
      </c>
      <c r="CB106" s="24">
        <f>IF(CB2=Assumptions!$F$2,SUM($B$51:$B$51),0)+MAX(0,CB65)</f>
        <v>0</v>
      </c>
      <c r="CC106" s="24">
        <f>IF(CC2=Assumptions!$F$2,SUM($B$51:$B$51),0)+MAX(0,CC65)</f>
        <v>0</v>
      </c>
      <c r="CD106" s="24">
        <f>IF(CD2=Assumptions!$F$2,SUM($B$51:$B$51),0)+MAX(0,CD65)</f>
        <v>0</v>
      </c>
      <c r="CE106" s="24">
        <f>IF(CE2=Assumptions!$F$2,SUM($B$51:$B$51),0)+MAX(0,CE65)</f>
        <v>0</v>
      </c>
      <c r="CF106" s="24">
        <f>IF(CF2=Assumptions!$F$2,SUM($B$51:$B$51),0)+MAX(0,CF65)</f>
        <v>0</v>
      </c>
      <c r="CG106" s="24">
        <f>IF(CG2=Assumptions!$F$2,SUM($B$51:$B$51),0)+MAX(0,CG65)</f>
        <v>0</v>
      </c>
      <c r="CH106" s="24">
        <f>IF(CH2=Assumptions!$F$2,SUM($B$51:$B$51),0)+MAX(0,CH65)</f>
        <v>0</v>
      </c>
      <c r="CI106" s="24">
        <f>IF(CI2=Assumptions!$F$2,SUM($B$51:$B$51),0)+MAX(0,CI65)</f>
        <v>0</v>
      </c>
      <c r="CJ106" s="24">
        <f>IF(CJ2=Assumptions!$F$2,SUM($B$51:$B$51),0)+MAX(0,CJ65)</f>
        <v>0</v>
      </c>
      <c r="CK106" s="24">
        <f>IF(CK2=Assumptions!$F$2,SUM($B$51:$B$51),0)+MAX(0,CK65)</f>
        <v>0</v>
      </c>
      <c r="CL106" s="24">
        <f>IF(CL2=Assumptions!$F$2,SUM($B$51:$B$51),0)+MAX(0,CL65)</f>
        <v>0</v>
      </c>
      <c r="CM106" s="24">
        <f>IF(CM2=Assumptions!$F$2,SUM($B$51:$B$51),0)+MAX(0,CM65)</f>
        <v>0</v>
      </c>
      <c r="CN106" s="24">
        <f>IF(CN2=Assumptions!$F$2,SUM($B$51:$B$51),0)+MAX(0,CN65)</f>
        <v>0</v>
      </c>
      <c r="CO106" s="24">
        <f>IF(CO2=Assumptions!$F$2,SUM($B$51:$B$51),0)+MAX(0,CO65)</f>
        <v>0</v>
      </c>
      <c r="CP106" s="24">
        <f>IF(CP2=Assumptions!$F$2,SUM($B$51:$B$51),0)+MAX(0,CP65)</f>
        <v>0</v>
      </c>
      <c r="CQ106" s="24">
        <f>IF(CQ2=Assumptions!$F$2,SUM($B$51:$B$51),0)+MAX(0,CQ65)</f>
        <v>0</v>
      </c>
      <c r="CR106" s="24">
        <f>IF(CR2=Assumptions!$F$2,SUM($B$51:$B$51),0)+MAX(0,CR65)</f>
        <v>0</v>
      </c>
      <c r="CS106" s="24">
        <f>IF(CS2=Assumptions!$F$2,SUM($B$51:$B$51),0)+MAX(0,CS65)</f>
        <v>0</v>
      </c>
      <c r="CT106" s="24">
        <f>IF(CT2=Assumptions!$F$2,SUM($B$51:$B$51),0)+MAX(0,CT65)</f>
        <v>0</v>
      </c>
      <c r="CU106" s="24">
        <f>IF(CU2=Assumptions!$F$2,SUM($B$51:$B$51),0)+MAX(0,CU65)</f>
        <v>0</v>
      </c>
      <c r="CV106" s="24">
        <f>IF(CV2=Assumptions!$F$2,SUM($B$51:$B$51),0)+MAX(0,CV65)</f>
        <v>0</v>
      </c>
      <c r="CW106" s="24">
        <f>IF(CW2=Assumptions!$F$2,SUM($B$51:$B$51),0)+MAX(0,CW65)</f>
        <v>0</v>
      </c>
      <c r="CX106" s="24">
        <f>IF(CX2=Assumptions!$F$2,SUM($B$51:$B$51),0)+MAX(0,CX65)</f>
        <v>0</v>
      </c>
      <c r="CY106" s="24">
        <f>IF(CY2=Assumptions!$F$2,SUM($B$51:$B$51),0)+MAX(0,CY65)</f>
        <v>0</v>
      </c>
      <c r="CZ106" s="24">
        <f>IF(CZ2=Assumptions!$F$2,SUM($B$51:$B$51),0)+MAX(0,CZ65)</f>
        <v>0</v>
      </c>
      <c r="DA106" s="24">
        <f>IF(DA2=Assumptions!$F$2,SUM($B$51:$B$51),0)+MAX(0,DA65)</f>
        <v>0</v>
      </c>
      <c r="DB106" s="24">
        <f>IF(DB2=Assumptions!$F$2,SUM($B$51:$B$51),0)+MAX(0,DB65)</f>
        <v>0</v>
      </c>
      <c r="DC106" s="24">
        <f>IF(DC2=Assumptions!$F$2,SUM($B$51:$B$51),0)+MAX(0,DC65)</f>
        <v>0</v>
      </c>
      <c r="DD106" s="24">
        <f>IF(DD2=Assumptions!$F$2,SUM($B$51:$B$51),0)+MAX(0,DD65)</f>
        <v>0</v>
      </c>
      <c r="DE106" s="24">
        <f>IF(DE2=Assumptions!$F$2,SUM($B$51:$B$51),0)+MAX(0,DE65)</f>
        <v>0</v>
      </c>
      <c r="DF106" s="24">
        <f>IF(DF2=Assumptions!$F$2,SUM($B$51:$B$51),0)+MAX(0,DF65)</f>
        <v>0</v>
      </c>
      <c r="DG106" s="24">
        <f>IF(DG2=Assumptions!$F$2,SUM($B$51:$B$51),0)+MAX(0,DG65)</f>
        <v>0</v>
      </c>
      <c r="DH106" s="24">
        <f>IF(DH2=Assumptions!$F$2,SUM($B$51:$B$51),0)+MAX(0,DH65)</f>
        <v>0</v>
      </c>
      <c r="DI106" s="24">
        <f>IF(DI2=Assumptions!$F$2,SUM($B$51:$B$51),0)+MAX(0,DI65)</f>
        <v>0</v>
      </c>
      <c r="DJ106" s="24">
        <f>IF(DJ2=Assumptions!$F$2,SUM($B$51:$B$51),0)+MAX(0,DJ65)</f>
        <v>0</v>
      </c>
      <c r="DK106" s="24">
        <f>IF(DK2=Assumptions!$F$2,SUM($B$51:$B$51),0)+MAX(0,DK65)</f>
        <v>0</v>
      </c>
      <c r="DL106" s="24">
        <f>IF(DL2=Assumptions!$F$2,SUM($B$51:$B$51),0)+MAX(0,DL65)</f>
        <v>0</v>
      </c>
      <c r="DM106" s="24">
        <f>IF(DM2=Assumptions!$F$2,SUM($B$51:$B$51),0)+MAX(0,DM65)</f>
        <v>0</v>
      </c>
      <c r="DN106" s="24">
        <f>IF(DN2=Assumptions!$F$2,SUM($B$51:$B$51),0)+MAX(0,DN65)</f>
        <v>0</v>
      </c>
      <c r="DO106" s="24">
        <f>IF(DO2=Assumptions!$F$2,SUM($B$51:$B$51),0)+MAX(0,DO65)</f>
        <v>0</v>
      </c>
      <c r="DP106" s="24">
        <f>IF(DP2=Assumptions!$F$2,SUM($B$51:$B$51),0)+MAX(0,DP65)</f>
        <v>0</v>
      </c>
      <c r="DQ106" s="24">
        <f>IF(DQ2=Assumptions!$F$2,SUM($B$51:$B$51),0)+MAX(0,DQ65)</f>
        <v>0</v>
      </c>
      <c r="DR106" s="24">
        <f>IF(DR2=Assumptions!$F$2,SUM($B$51:$B$51),0)+MAX(0,DR65)</f>
        <v>0</v>
      </c>
      <c r="DS106" s="24">
        <f>IF(DS2=Assumptions!$F$2,SUM($B$51:$B$51),0)+MAX(0,DS65)</f>
        <v>0</v>
      </c>
      <c r="DT106" s="24">
        <f>IF(DT2=Assumptions!$F$2,SUM($B$51:$B$51),0)+MAX(0,DT65)</f>
        <v>0</v>
      </c>
      <c r="DU106" s="24">
        <f>IF(DU2=Assumptions!$F$2,SUM($B$51:$B$51),0)+MAX(0,DU65)</f>
        <v>0</v>
      </c>
      <c r="DV106" s="24">
        <f>IF(DV2=Assumptions!$F$2,SUM($B$51:$B$51),0)+MAX(0,DV65)</f>
        <v>0</v>
      </c>
      <c r="DW106" s="24">
        <f>IF(DW2=Assumptions!$F$2,SUM($B$51:$B$51),0)+MAX(0,DW65)</f>
        <v>0</v>
      </c>
      <c r="DX106" s="24">
        <f>IF(DX2=Assumptions!$F$2,SUM($B$51:$B$51),0)+MAX(0,DX65)</f>
        <v>0</v>
      </c>
      <c r="DY106" s="24">
        <f>IF(DY2=Assumptions!$F$2,SUM($B$51:$B$51),0)+MAX(0,DY65)</f>
        <v>0</v>
      </c>
      <c r="DZ106" s="24">
        <f>IF(DZ2=Assumptions!$F$2,SUM($B$51:$B$51),0)+MAX(0,DZ65)</f>
        <v>0</v>
      </c>
      <c r="EA106" s="24">
        <f>IF(EA2=Assumptions!$F$2,SUM($B$51:$B$51),0)+MAX(0,EA65)</f>
        <v>0</v>
      </c>
      <c r="EB106" s="24">
        <f>IF(EB2=Assumptions!$F$2,SUM($B$51:$B$51),0)+MAX(0,EB65)</f>
        <v>0</v>
      </c>
      <c r="EC106" s="24">
        <f>IF(EC2=Assumptions!$F$2,SUM($B$51:$B$51),0)+MAX(0,EC65)</f>
        <v>0</v>
      </c>
      <c r="ED106" s="24">
        <f>IF(ED2=Assumptions!$F$2,SUM($B$51:$B$51),0)+MAX(0,ED65)</f>
        <v>0</v>
      </c>
      <c r="EE106" s="24">
        <f>IF(EE2=Assumptions!$F$2,SUM($B$51:$B$51),0)+MAX(0,EE65)</f>
        <v>0</v>
      </c>
      <c r="EF106" s="24">
        <f>IF(EF2=Assumptions!$F$2,SUM($B$51:$B$51),0)+MAX(0,EF65)</f>
        <v>0</v>
      </c>
      <c r="EG106" s="24">
        <f>IF(EG2=Assumptions!$F$2,SUM($B$51:$B$51),0)+MAX(0,EG65)</f>
        <v>0</v>
      </c>
      <c r="EH106" s="24">
        <f>IF(EH2=Assumptions!$F$2,SUM($B$51:$B$51),0)+MAX(0,EH65)</f>
        <v>0</v>
      </c>
      <c r="EI106" s="24">
        <f>IF(EI2=Assumptions!$F$2,SUM($B$51:$B$51),0)+MAX(0,EI65)</f>
        <v>0</v>
      </c>
      <c r="EJ106" s="24"/>
      <c r="EK106" s="24"/>
      <c r="EL106" s="24"/>
      <c r="EM106" s="1" t="s">
        <v>178</v>
      </c>
    </row>
    <row r="107" spans="2:143" x14ac:dyDescent="0.45">
      <c r="D107" s="1" t="s">
        <v>205</v>
      </c>
      <c r="E107" s="24">
        <f>SUM(G101:EI101,G94:EI94)</f>
        <v>11183197.171935132</v>
      </c>
      <c r="F107" s="24"/>
      <c r="G107" s="24">
        <f>+G94+G101</f>
        <v>-6794409.477995934</v>
      </c>
      <c r="H107" s="24">
        <f t="shared" ref="H107:BS107" si="119">+H94+H101</f>
        <v>0</v>
      </c>
      <c r="I107" s="24">
        <f t="shared" si="119"/>
        <v>0</v>
      </c>
      <c r="J107" s="24">
        <f t="shared" si="119"/>
        <v>0</v>
      </c>
      <c r="K107" s="24">
        <f t="shared" si="119"/>
        <v>0</v>
      </c>
      <c r="L107" s="24">
        <f t="shared" si="119"/>
        <v>0</v>
      </c>
      <c r="M107" s="24">
        <f t="shared" si="119"/>
        <v>0</v>
      </c>
      <c r="N107" s="24">
        <f t="shared" si="119"/>
        <v>0</v>
      </c>
      <c r="O107" s="24">
        <f t="shared" si="119"/>
        <v>0</v>
      </c>
      <c r="P107" s="24">
        <f t="shared" si="119"/>
        <v>0</v>
      </c>
      <c r="Q107" s="24">
        <f t="shared" si="119"/>
        <v>0</v>
      </c>
      <c r="R107" s="24">
        <f t="shared" si="119"/>
        <v>0</v>
      </c>
      <c r="S107" s="24">
        <f t="shared" si="119"/>
        <v>0</v>
      </c>
      <c r="T107" s="24">
        <f t="shared" si="119"/>
        <v>0</v>
      </c>
      <c r="U107" s="24">
        <f t="shared" si="119"/>
        <v>0</v>
      </c>
      <c r="V107" s="24">
        <f t="shared" si="119"/>
        <v>0</v>
      </c>
      <c r="W107" s="24">
        <f t="shared" si="119"/>
        <v>0</v>
      </c>
      <c r="X107" s="24">
        <f t="shared" si="119"/>
        <v>0</v>
      </c>
      <c r="Y107" s="24">
        <f t="shared" si="119"/>
        <v>0</v>
      </c>
      <c r="Z107" s="24">
        <f t="shared" si="119"/>
        <v>0</v>
      </c>
      <c r="AA107" s="24">
        <f t="shared" si="119"/>
        <v>0</v>
      </c>
      <c r="AB107" s="24">
        <f t="shared" si="119"/>
        <v>3300.1774115721055</v>
      </c>
      <c r="AC107" s="24">
        <f t="shared" si="119"/>
        <v>8759.3818019891914</v>
      </c>
      <c r="AD107" s="24">
        <f t="shared" si="119"/>
        <v>12982.802301877402</v>
      </c>
      <c r="AE107" s="24">
        <f t="shared" si="119"/>
        <v>0</v>
      </c>
      <c r="AF107" s="24">
        <f t="shared" si="119"/>
        <v>21337.220022338552</v>
      </c>
      <c r="AG107" s="24">
        <f t="shared" si="119"/>
        <v>19015.164821339305</v>
      </c>
      <c r="AH107" s="24">
        <f t="shared" si="119"/>
        <v>19958.153016681776</v>
      </c>
      <c r="AI107" s="24">
        <f t="shared" si="119"/>
        <v>27001.926192569576</v>
      </c>
      <c r="AJ107" s="24">
        <f t="shared" si="119"/>
        <v>34074.135070553093</v>
      </c>
      <c r="AK107" s="24">
        <f t="shared" si="119"/>
        <v>41174.866683233391</v>
      </c>
      <c r="AL107" s="24">
        <f t="shared" si="119"/>
        <v>43607.728141871296</v>
      </c>
      <c r="AM107" s="24">
        <f t="shared" si="119"/>
        <v>43875.133477684962</v>
      </c>
      <c r="AN107" s="24">
        <f t="shared" si="119"/>
        <v>9038.365024571649</v>
      </c>
      <c r="AO107" s="24">
        <f t="shared" si="119"/>
        <v>51423.838813546296</v>
      </c>
      <c r="AP107" s="24">
        <f t="shared" si="119"/>
        <v>51692.962408230829</v>
      </c>
      <c r="AQ107" s="24">
        <f t="shared" si="119"/>
        <v>7241526.2094415054</v>
      </c>
      <c r="AR107" s="24">
        <f t="shared" si="119"/>
        <v>25680.855176416786</v>
      </c>
      <c r="AS107" s="24">
        <f t="shared" si="119"/>
        <v>25951.708030902664</v>
      </c>
      <c r="AT107" s="24">
        <f t="shared" si="119"/>
        <v>26223.139762054983</v>
      </c>
      <c r="AU107" s="24">
        <f t="shared" si="119"/>
        <v>26495.151602574522</v>
      </c>
      <c r="AV107" s="24">
        <f t="shared" si="119"/>
        <v>26767.744787769221</v>
      </c>
      <c r="AW107" s="24">
        <f t="shared" si="119"/>
        <v>27040.920555560282</v>
      </c>
      <c r="AX107" s="24">
        <f t="shared" si="119"/>
        <v>27314.680146489343</v>
      </c>
      <c r="AY107" s="24">
        <f t="shared" si="119"/>
        <v>27589.024803720808</v>
      </c>
      <c r="AZ107" s="24">
        <f t="shared" si="119"/>
        <v>27863.95577305133</v>
      </c>
      <c r="BA107" s="24">
        <f t="shared" si="119"/>
        <v>28139.474302912338</v>
      </c>
      <c r="BB107" s="24">
        <f t="shared" si="119"/>
        <v>28415.581644375881</v>
      </c>
      <c r="BC107" s="24">
        <f t="shared" si="119"/>
        <v>28692.27905116132</v>
      </c>
      <c r="BD107" s="24">
        <f t="shared" si="119"/>
        <v>28969.567779641238</v>
      </c>
      <c r="BE107" s="24">
        <f t="shared" si="119"/>
        <v>29247.449088844998</v>
      </c>
      <c r="BF107" s="24">
        <f t="shared" si="119"/>
        <v>29525.924240465924</v>
      </c>
      <c r="BG107" s="24">
        <f t="shared" si="119"/>
        <v>29804.994498866901</v>
      </c>
      <c r="BH107" s="24">
        <f t="shared" si="119"/>
        <v>30084.661131085188</v>
      </c>
      <c r="BI107" s="24">
        <f t="shared" si="119"/>
        <v>30364.925406838178</v>
      </c>
      <c r="BJ107" s="24">
        <f t="shared" si="119"/>
        <v>30645.788598530118</v>
      </c>
      <c r="BK107" s="24">
        <f t="shared" si="119"/>
        <v>30927.251981256039</v>
      </c>
      <c r="BL107" s="24">
        <f t="shared" si="119"/>
        <v>31209.316832808974</v>
      </c>
      <c r="BM107" s="24">
        <f t="shared" si="119"/>
        <v>31491.984433685353</v>
      </c>
      <c r="BN107" s="24">
        <f t="shared" si="119"/>
        <v>31775.25606708898</v>
      </c>
      <c r="BO107" s="24">
        <f t="shared" si="119"/>
        <v>9688616.9496053979</v>
      </c>
      <c r="BP107" s="24">
        <f t="shared" si="119"/>
        <v>0</v>
      </c>
      <c r="BQ107" s="24">
        <f t="shared" si="119"/>
        <v>0</v>
      </c>
      <c r="BR107" s="24">
        <f t="shared" si="119"/>
        <v>0</v>
      </c>
      <c r="BS107" s="24">
        <f t="shared" si="119"/>
        <v>0</v>
      </c>
      <c r="BT107" s="24">
        <f t="shared" ref="BT107:EE107" si="120">+BT94+BT101</f>
        <v>0</v>
      </c>
      <c r="BU107" s="24">
        <f t="shared" si="120"/>
        <v>0</v>
      </c>
      <c r="BV107" s="24">
        <f t="shared" si="120"/>
        <v>0</v>
      </c>
      <c r="BW107" s="24">
        <f t="shared" si="120"/>
        <v>-9.0949470177292824E-13</v>
      </c>
      <c r="BX107" s="24">
        <f t="shared" si="120"/>
        <v>0</v>
      </c>
      <c r="BY107" s="24">
        <f t="shared" si="120"/>
        <v>0</v>
      </c>
      <c r="BZ107" s="24">
        <f t="shared" si="120"/>
        <v>0</v>
      </c>
      <c r="CA107" s="24">
        <f t="shared" si="120"/>
        <v>0</v>
      </c>
      <c r="CB107" s="24">
        <f t="shared" si="120"/>
        <v>0</v>
      </c>
      <c r="CC107" s="24">
        <f t="shared" si="120"/>
        <v>0</v>
      </c>
      <c r="CD107" s="24">
        <f t="shared" si="120"/>
        <v>0</v>
      </c>
      <c r="CE107" s="24">
        <f t="shared" si="120"/>
        <v>0</v>
      </c>
      <c r="CF107" s="24">
        <f t="shared" si="120"/>
        <v>0</v>
      </c>
      <c r="CG107" s="24">
        <f t="shared" si="120"/>
        <v>0</v>
      </c>
      <c r="CH107" s="24">
        <f t="shared" si="120"/>
        <v>0</v>
      </c>
      <c r="CI107" s="24">
        <f t="shared" si="120"/>
        <v>0</v>
      </c>
      <c r="CJ107" s="24">
        <f t="shared" si="120"/>
        <v>0</v>
      </c>
      <c r="CK107" s="24">
        <f t="shared" si="120"/>
        <v>0</v>
      </c>
      <c r="CL107" s="24">
        <f t="shared" si="120"/>
        <v>0</v>
      </c>
      <c r="CM107" s="24">
        <f t="shared" si="120"/>
        <v>0</v>
      </c>
      <c r="CN107" s="24">
        <f t="shared" si="120"/>
        <v>0</v>
      </c>
      <c r="CO107" s="24">
        <f t="shared" si="120"/>
        <v>0</v>
      </c>
      <c r="CP107" s="24">
        <f t="shared" si="120"/>
        <v>-9.0949470177292824E-13</v>
      </c>
      <c r="CQ107" s="24">
        <f t="shared" si="120"/>
        <v>0</v>
      </c>
      <c r="CR107" s="24">
        <f t="shared" si="120"/>
        <v>0</v>
      </c>
      <c r="CS107" s="24">
        <f t="shared" si="120"/>
        <v>0</v>
      </c>
      <c r="CT107" s="24">
        <f t="shared" si="120"/>
        <v>0</v>
      </c>
      <c r="CU107" s="24">
        <f t="shared" si="120"/>
        <v>0</v>
      </c>
      <c r="CV107" s="24">
        <f t="shared" si="120"/>
        <v>0</v>
      </c>
      <c r="CW107" s="24">
        <f t="shared" si="120"/>
        <v>0</v>
      </c>
      <c r="CX107" s="24">
        <f t="shared" si="120"/>
        <v>0</v>
      </c>
      <c r="CY107" s="24">
        <f t="shared" si="120"/>
        <v>0</v>
      </c>
      <c r="CZ107" s="24">
        <f t="shared" si="120"/>
        <v>0</v>
      </c>
      <c r="DA107" s="24">
        <f t="shared" si="120"/>
        <v>0</v>
      </c>
      <c r="DB107" s="24">
        <f t="shared" si="120"/>
        <v>0</v>
      </c>
      <c r="DC107" s="24">
        <f t="shared" si="120"/>
        <v>0</v>
      </c>
      <c r="DD107" s="24">
        <f t="shared" si="120"/>
        <v>0</v>
      </c>
      <c r="DE107" s="24">
        <f t="shared" si="120"/>
        <v>0</v>
      </c>
      <c r="DF107" s="24">
        <f t="shared" si="120"/>
        <v>0</v>
      </c>
      <c r="DG107" s="24">
        <f t="shared" si="120"/>
        <v>0</v>
      </c>
      <c r="DH107" s="24">
        <f t="shared" si="120"/>
        <v>0</v>
      </c>
      <c r="DI107" s="24">
        <f t="shared" si="120"/>
        <v>0</v>
      </c>
      <c r="DJ107" s="24">
        <f t="shared" si="120"/>
        <v>0</v>
      </c>
      <c r="DK107" s="24">
        <f t="shared" si="120"/>
        <v>0</v>
      </c>
      <c r="DL107" s="24">
        <f t="shared" si="120"/>
        <v>0</v>
      </c>
      <c r="DM107" s="24">
        <f t="shared" si="120"/>
        <v>0</v>
      </c>
      <c r="DN107" s="24">
        <f t="shared" si="120"/>
        <v>0</v>
      </c>
      <c r="DO107" s="24">
        <f t="shared" si="120"/>
        <v>0</v>
      </c>
      <c r="DP107" s="24">
        <f t="shared" si="120"/>
        <v>0</v>
      </c>
      <c r="DQ107" s="24">
        <f t="shared" si="120"/>
        <v>0</v>
      </c>
      <c r="DR107" s="24">
        <f t="shared" si="120"/>
        <v>0</v>
      </c>
      <c r="DS107" s="24">
        <f t="shared" si="120"/>
        <v>0</v>
      </c>
      <c r="DT107" s="24">
        <f t="shared" si="120"/>
        <v>0</v>
      </c>
      <c r="DU107" s="24">
        <f t="shared" si="120"/>
        <v>0</v>
      </c>
      <c r="DV107" s="24">
        <f t="shared" si="120"/>
        <v>0</v>
      </c>
      <c r="DW107" s="24">
        <f t="shared" si="120"/>
        <v>0</v>
      </c>
      <c r="DX107" s="24">
        <f t="shared" si="120"/>
        <v>0</v>
      </c>
      <c r="DY107" s="24">
        <f t="shared" si="120"/>
        <v>0</v>
      </c>
      <c r="DZ107" s="24">
        <f t="shared" si="120"/>
        <v>0</v>
      </c>
      <c r="EA107" s="24">
        <f t="shared" si="120"/>
        <v>0</v>
      </c>
      <c r="EB107" s="24">
        <f t="shared" si="120"/>
        <v>0</v>
      </c>
      <c r="EC107" s="24">
        <f t="shared" si="120"/>
        <v>0</v>
      </c>
      <c r="ED107" s="24">
        <f t="shared" si="120"/>
        <v>0</v>
      </c>
      <c r="EE107" s="24">
        <f t="shared" si="120"/>
        <v>0</v>
      </c>
      <c r="EF107" s="24">
        <f>+EF94+EF101</f>
        <v>0</v>
      </c>
      <c r="EG107" s="24">
        <f>+EG94+EG101</f>
        <v>0</v>
      </c>
      <c r="EH107" s="24">
        <f>+EH94+EH101</f>
        <v>0</v>
      </c>
      <c r="EI107" s="24">
        <f>+EI94+EI101</f>
        <v>0</v>
      </c>
      <c r="EJ107" s="24"/>
      <c r="EK107" s="24"/>
      <c r="EL107" s="24"/>
      <c r="EM107" s="1" t="s">
        <v>178</v>
      </c>
    </row>
    <row r="108" spans="2:143" x14ac:dyDescent="0.45"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1" t="s">
        <v>178</v>
      </c>
    </row>
    <row r="109" spans="2:143" x14ac:dyDescent="0.45">
      <c r="D109" s="1" t="s">
        <v>211</v>
      </c>
      <c r="E109" s="24"/>
      <c r="F109" s="24"/>
      <c r="G109" s="24" cm="1">
        <f t="array" ref="G109">IFERROR(INDEX('NOI Walk'!$E$31:$EF$31,,MATCH(G4,'NOI Walk'!$E$15:$EF$15,0)),0)</f>
        <v>0</v>
      </c>
      <c r="H109" s="24" cm="1">
        <f t="array" ref="H109">IFERROR(INDEX('NOI Walk'!$E$31:$EF$31,,MATCH(H4,'NOI Walk'!$E$15:$EF$15,0)),0)</f>
        <v>125330.06574000003</v>
      </c>
      <c r="I109" s="24" cm="1">
        <f t="array" ref="I109">IFERROR(INDEX('NOI Walk'!$E$31:$EF$31,,MATCH(I4,'NOI Walk'!$E$15:$EF$15,0)),0)</f>
        <v>120725.63196992248</v>
      </c>
      <c r="J109" s="24" cm="1">
        <f t="array" ref="J109">IFERROR(INDEX('NOI Walk'!$E$31:$EF$31,,MATCH(J4,'NOI Walk'!$E$15:$EF$15,0)),0)</f>
        <v>120973.76397668393</v>
      </c>
      <c r="K109" s="24" cm="1">
        <f t="array" ref="K109">IFERROR(INDEX('NOI Walk'!$E$31:$EF$31,,MATCH(K4,'NOI Walk'!$E$15:$EF$15,0)),0)</f>
        <v>118380.49154761375</v>
      </c>
      <c r="L109" s="24" cm="1">
        <f t="array" ref="L109">IFERROR(INDEX('NOI Walk'!$E$31:$EF$31,,MATCH(L4,'NOI Walk'!$E$15:$EF$15,0)),0)</f>
        <v>114264.71817918132</v>
      </c>
      <c r="M109" s="24" cm="1">
        <f t="array" ref="M109">IFERROR(INDEX('NOI Walk'!$E$31:$EF$31,,MATCH(M4,'NOI Walk'!$E$15:$EF$15,0)),0)</f>
        <v>118764.68119174556</v>
      </c>
      <c r="N109" s="24" cm="1">
        <f t="array" ref="N109">IFERROR(INDEX('NOI Walk'!$E$31:$EF$31,,MATCH(N4,'NOI Walk'!$E$15:$EF$15,0)),0)</f>
        <v>114377.39699498974</v>
      </c>
      <c r="O109" s="24" cm="1">
        <f t="array" ref="O109">IFERROR(INDEX('NOI Walk'!$E$31:$EF$31,,MATCH(O4,'NOI Walk'!$E$15:$EF$15,0)),0)</f>
        <v>116624.50097469734</v>
      </c>
      <c r="P109" s="24" cm="1">
        <f t="array" ref="P109">IFERROR(INDEX('NOI Walk'!$E$31:$EF$31,,MATCH(P4,'NOI Walk'!$E$15:$EF$15,0)),0)</f>
        <v>118911.07395094789</v>
      </c>
      <c r="Q109" s="24" cm="1">
        <f t="array" ref="Q109">IFERROR(INDEX('NOI Walk'!$E$31:$EF$31,,MATCH(Q4,'NOI Walk'!$E$15:$EF$15,0)),0)</f>
        <v>118743.73012778054</v>
      </c>
      <c r="R109" s="24" cm="1">
        <f t="array" ref="R109">IFERROR(INDEX('NOI Walk'!$E$31:$EF$31,,MATCH(R4,'NOI Walk'!$E$15:$EF$15,0)),0)</f>
        <v>121162.46925939443</v>
      </c>
      <c r="S109" s="24" cm="1">
        <f t="array" ref="S109">IFERROR(INDEX('NOI Walk'!$E$31:$EF$31,,MATCH(S4,'NOI Walk'!$E$15:$EF$15,0)),0)</f>
        <v>130226.93807209987</v>
      </c>
      <c r="T109" s="24" cm="1">
        <f t="array" ref="T109">IFERROR(INDEX('NOI Walk'!$E$31:$EF$31,,MATCH(T4,'NOI Walk'!$E$15:$EF$15,0)),0)</f>
        <v>134083.47839095801</v>
      </c>
      <c r="U109" s="24" cm="1">
        <f t="array" ref="U109">IFERROR(INDEX('NOI Walk'!$E$31:$EF$31,,MATCH(U4,'NOI Walk'!$E$15:$EF$15,0)),0)</f>
        <v>137870.06700826981</v>
      </c>
      <c r="V109" s="24" cm="1">
        <f t="array" ref="V109">IFERROR(INDEX('NOI Walk'!$E$31:$EF$31,,MATCH(V4,'NOI Walk'!$E$15:$EF$15,0)),0)</f>
        <v>141042.36736938683</v>
      </c>
      <c r="W109" s="24" cm="1">
        <f t="array" ref="W109">IFERROR(INDEX('NOI Walk'!$E$31:$EF$31,,MATCH(W4,'NOI Walk'!$E$15:$EF$15,0)),0)</f>
        <v>143189.2769595189</v>
      </c>
      <c r="X109" s="24" cm="1">
        <f t="array" ref="X109">IFERROR(INDEX('NOI Walk'!$E$31:$EF$31,,MATCH(X4,'NOI Walk'!$E$15:$EF$15,0)),0)</f>
        <v>143113.88735109073</v>
      </c>
      <c r="Y109" s="24" cm="1">
        <f t="array" ref="Y109">IFERROR(INDEX('NOI Walk'!$E$31:$EF$31,,MATCH(Y4,'NOI Walk'!$E$15:$EF$15,0)),0)</f>
        <v>142620.14952323824</v>
      </c>
      <c r="Z109" s="24" cm="1">
        <f t="array" ref="Z109">IFERROR(INDEX('NOI Walk'!$E$31:$EF$31,,MATCH(Z4,'NOI Walk'!$E$15:$EF$15,0)),0)</f>
        <v>143011.49656577068</v>
      </c>
      <c r="AA109" s="24" cm="1">
        <f t="array" ref="AA109">IFERROR(INDEX('NOI Walk'!$E$31:$EF$31,,MATCH(AA4,'NOI Walk'!$E$15:$EF$15,0)),0)</f>
        <v>143028.5133594455</v>
      </c>
      <c r="AB109" s="24" cm="1">
        <f t="array" ref="AB109">IFERROR(INDEX('NOI Walk'!$E$31:$EF$31,,MATCH(AB4,'NOI Walk'!$E$15:$EF$15,0)),0)</f>
        <v>146965.38391614871</v>
      </c>
      <c r="AC109" s="24" cm="1">
        <f t="array" ref="AC109">IFERROR(INDEX('NOI Walk'!$E$31:$EF$31,,MATCH(AC4,'NOI Walk'!$E$15:$EF$15,0)),0)</f>
        <v>152882.72362526806</v>
      </c>
      <c r="AD109" s="24" cm="1">
        <f t="array" ref="AD109">IFERROR(INDEX('NOI Walk'!$E$31:$EF$31,,MATCH(AD4,'NOI Walk'!$E$15:$EF$15,0)),0)</f>
        <v>157413.94807703968</v>
      </c>
      <c r="AE109" s="24" cm="1">
        <f t="array" ref="AE109">IFERROR(INDEX('NOI Walk'!$E$31:$EF$31,,MATCH(AE4,'NOI Walk'!$E$15:$EF$15,0)),0)</f>
        <v>159725.96926213644</v>
      </c>
      <c r="AF109" s="24" cm="1">
        <f t="array" ref="AF109">IFERROR(INDEX('NOI Walk'!$E$31:$EF$31,,MATCH(AF4,'NOI Walk'!$E$15:$EF$15,0)),0)</f>
        <v>159535.61477213071</v>
      </c>
      <c r="AG109" s="24" cm="1">
        <f t="array" ref="AG109">IFERROR(INDEX('NOI Walk'!$E$31:$EF$31,,MATCH(AG4,'NOI Walk'!$E$15:$EF$15,0)),0)</f>
        <v>157007.28590721451</v>
      </c>
      <c r="AH109" s="24" cm="1">
        <f t="array" ref="AH109">IFERROR(INDEX('NOI Walk'!$E$31:$EF$31,,MATCH(AH4,'NOI Walk'!$E$15:$EF$15,0)),0)</f>
        <v>158079.44648841373</v>
      </c>
      <c r="AI109" s="24" cm="1">
        <f t="array" ref="AI109">IFERROR(INDEX('NOI Walk'!$E$31:$EF$31,,MATCH(AI4,'NOI Walk'!$E$15:$EF$15,0)),0)</f>
        <v>165807.11764932223</v>
      </c>
      <c r="AJ109" s="24" cm="1">
        <f t="array" ref="AJ109">IFERROR(INDEX('NOI Walk'!$E$31:$EF$31,,MATCH(AJ4,'NOI Walk'!$E$15:$EF$15,0)),0)</f>
        <v>173565.56063967873</v>
      </c>
      <c r="AK109" s="24" cm="1">
        <f t="array" ref="AK109">IFERROR(INDEX('NOI Walk'!$E$31:$EF$31,,MATCH(AK4,'NOI Walk'!$E$15:$EF$15,0)),0)</f>
        <v>181354.86887166573</v>
      </c>
      <c r="AL109" s="24" cm="1">
        <f t="array" ref="AL109">IFERROR(INDEX('NOI Walk'!$E$31:$EF$31,,MATCH(AL4,'NOI Walk'!$E$15:$EF$15,0)),0)</f>
        <v>184182.34224218273</v>
      </c>
      <c r="AM109" s="24" cm="1">
        <f t="array" ref="AM109">IFERROR(INDEX('NOI Walk'!$E$31:$EF$31,,MATCH(AM4,'NOI Walk'!$E$15:$EF$15,0)),0)</f>
        <v>184553.36701616619</v>
      </c>
      <c r="AN109" s="24" cm="1">
        <f t="array" ref="AN109">IFERROR(INDEX('NOI Walk'!$E$31:$EF$31,,MATCH(AN4,'NOI Walk'!$E$15:$EF$15,0)),0)</f>
        <v>184925.14126828747</v>
      </c>
      <c r="AO109" s="24" cm="1">
        <f t="array" ref="AO109">IFERROR(INDEX('NOI Walk'!$E$31:$EF$31,,MATCH(AO4,'NOI Walk'!$E$15:$EF$15,0)),0)</f>
        <v>185297.66652330826</v>
      </c>
      <c r="AP109" s="24" cm="1">
        <f t="array" ref="AP109">IFERROR(INDEX('NOI Walk'!$E$31:$EF$31,,MATCH(AP4,'NOI Walk'!$E$15:$EF$15,0)),0)</f>
        <v>185670.94430910252</v>
      </c>
      <c r="AQ109" s="24" cm="1">
        <f t="array" ref="AQ109">IFERROR(INDEX('NOI Walk'!$E$31:$EF$31,,MATCH(AQ4,'NOI Walk'!$E$15:$EF$15,0)),0)</f>
        <v>186044.97615666172</v>
      </c>
      <c r="AR109" s="24" cm="1">
        <f t="array" ref="AR109">IFERROR(INDEX('NOI Walk'!$E$31:$EF$31,,MATCH(AR4,'NOI Walk'!$E$15:$EF$15,0)),0)</f>
        <v>186419.76360010038</v>
      </c>
      <c r="AS109" s="24" cm="1">
        <f t="array" ref="AS109">IFERROR(INDEX('NOI Walk'!$E$31:$EF$31,,MATCH(AS4,'NOI Walk'!$E$15:$EF$15,0)),0)</f>
        <v>186795.30817666388</v>
      </c>
      <c r="AT109" s="24" cm="1">
        <f t="array" ref="AT109">IFERROR(INDEX('NOI Walk'!$E$31:$EF$31,,MATCH(AT4,'NOI Walk'!$E$15:$EF$15,0)),0)</f>
        <v>187171.61142673239</v>
      </c>
      <c r="AU109" s="24" cm="1">
        <f t="array" ref="AU109">IFERROR(INDEX('NOI Walk'!$E$31:$EF$31,,MATCH(AU4,'NOI Walk'!$E$15:$EF$15,0)),0)</f>
        <v>187548.67489383084</v>
      </c>
      <c r="AV109" s="24" cm="1">
        <f t="array" ref="AV109">IFERROR(INDEX('NOI Walk'!$E$31:$EF$31,,MATCH(AV4,'NOI Walk'!$E$15:$EF$15,0)),0)</f>
        <v>187926.50012463241</v>
      </c>
      <c r="AW109" s="24" cm="1">
        <f t="array" ref="AW109">IFERROR(INDEX('NOI Walk'!$E$31:$EF$31,,MATCH(AW4,'NOI Walk'!$E$15:$EF$15,0)),0)</f>
        <v>188305.08866896556</v>
      </c>
      <c r="AX109" s="24" cm="1">
        <f t="array" ref="AX109">IFERROR(INDEX('NOI Walk'!$E$31:$EF$31,,MATCH(AX4,'NOI Walk'!$E$15:$EF$15,0)),0)</f>
        <v>188684.44207982224</v>
      </c>
      <c r="AY109" s="24" cm="1">
        <f t="array" ref="AY109">IFERROR(INDEX('NOI Walk'!$E$31:$EF$31,,MATCH(AY4,'NOI Walk'!$E$15:$EF$15,0)),0)</f>
        <v>189064.5619133611</v>
      </c>
      <c r="AZ109" s="24" cm="1">
        <f t="array" ref="AZ109">IFERROR(INDEX('NOI Walk'!$E$31:$EF$31,,MATCH(AZ4,'NOI Walk'!$E$15:$EF$15,0)),0)</f>
        <v>189445.44972891803</v>
      </c>
      <c r="BA109" s="24" cm="1">
        <f t="array" ref="BA109">IFERROR(INDEX('NOI Walk'!$E$31:$EF$31,,MATCH(BA4,'NOI Walk'!$E$15:$EF$15,0)),0)</f>
        <v>189827.10708900949</v>
      </c>
      <c r="BB109" s="24" cm="1">
        <f t="array" ref="BB109">IFERROR(INDEX('NOI Walk'!$E$31:$EF$31,,MATCH(BB4,'NOI Walk'!$E$15:$EF$15,0)),0)</f>
        <v>190209.53555933945</v>
      </c>
      <c r="BC109" s="24" cm="1">
        <f t="array" ref="BC109">IFERROR(INDEX('NOI Walk'!$E$31:$EF$31,,MATCH(BC4,'NOI Walk'!$E$15:$EF$15,0)),0)</f>
        <v>190592.73670880686</v>
      </c>
      <c r="BD109" s="24" cm="1">
        <f t="array" ref="BD109">IFERROR(INDEX('NOI Walk'!$E$31:$EF$31,,MATCH(BD4,'NOI Walk'!$E$15:$EF$15,0)),0)</f>
        <v>190976.71210951277</v>
      </c>
      <c r="BE109" s="24" cm="1">
        <f t="array" ref="BE109">IFERROR(INDEX('NOI Walk'!$E$31:$EF$31,,MATCH(BE4,'NOI Walk'!$E$15:$EF$15,0)),0)</f>
        <v>191361.46333676469</v>
      </c>
      <c r="BF109" s="24" cm="1">
        <f t="array" ref="BF109">IFERROR(INDEX('NOI Walk'!$E$31:$EF$31,,MATCH(BF4,'NOI Walk'!$E$15:$EF$15,0)),0)</f>
        <v>191746.9919690848</v>
      </c>
      <c r="BG109" s="24" cm="1">
        <f t="array" ref="BG109">IFERROR(INDEX('NOI Walk'!$E$31:$EF$31,,MATCH(BG4,'NOI Walk'!$E$15:$EF$15,0)),0)</f>
        <v>192133.29958821644</v>
      </c>
      <c r="BH109" s="24" cm="1">
        <f t="array" ref="BH109">IFERROR(INDEX('NOI Walk'!$E$31:$EF$31,,MATCH(BH4,'NOI Walk'!$E$15:$EF$15,0)),0)</f>
        <v>192520.3877791299</v>
      </c>
      <c r="BI109" s="24" cm="1">
        <f t="array" ref="BI109">IFERROR(INDEX('NOI Walk'!$E$31:$EF$31,,MATCH(BI4,'NOI Walk'!$E$15:$EF$15,0)),0)</f>
        <v>192908.25813002928</v>
      </c>
      <c r="BJ109" s="24" cm="1">
        <f t="array" ref="BJ109">IFERROR(INDEX('NOI Walk'!$E$31:$EF$31,,MATCH(BJ4,'NOI Walk'!$E$15:$EF$15,0)),0)</f>
        <v>193296.91223236007</v>
      </c>
      <c r="BK109" s="24" cm="1">
        <f t="array" ref="BK109">IFERROR(INDEX('NOI Walk'!$E$31:$EF$31,,MATCH(BK4,'NOI Walk'!$E$15:$EF$15,0)),0)</f>
        <v>193686.35168081397</v>
      </c>
      <c r="BL109" s="24" cm="1">
        <f t="array" ref="BL109">IFERROR(INDEX('NOI Walk'!$E$31:$EF$31,,MATCH(BL4,'NOI Walk'!$E$15:$EF$15,0)),0)</f>
        <v>194076.57807333735</v>
      </c>
      <c r="BM109" s="24" cm="1">
        <f t="array" ref="BM109">IFERROR(INDEX('NOI Walk'!$E$31:$EF$31,,MATCH(BM4,'NOI Walk'!$E$15:$EF$15,0)),0)</f>
        <v>194467.59301113736</v>
      </c>
      <c r="BN109" s="24" cm="1">
        <f t="array" ref="BN109">IFERROR(INDEX('NOI Walk'!$E$31:$EF$31,,MATCH(BN4,'NOI Walk'!$E$15:$EF$15,0)),0)</f>
        <v>194859.39809868686</v>
      </c>
      <c r="BO109" s="24" cm="1">
        <f t="array" ref="BO109">IFERROR(INDEX('NOI Walk'!$E$31:$EF$31,,MATCH(BO4,'NOI Walk'!$E$15:$EF$15,0)),0)</f>
        <v>195251.99494373435</v>
      </c>
      <c r="BP109" s="24" cm="1">
        <f t="array" ref="BP109">IFERROR(INDEX('NOI Walk'!$E$31:$EF$31,,MATCH(BP4,'NOI Walk'!$E$15:$EF$15,0)),0)</f>
        <v>195645.38515730805</v>
      </c>
      <c r="BQ109" s="24" cm="1">
        <f t="array" ref="BQ109">IFERROR(INDEX('NOI Walk'!$E$31:$EF$31,,MATCH(BQ4,'NOI Walk'!$E$15:$EF$15,0)),0)</f>
        <v>196039.57035372278</v>
      </c>
      <c r="BR109" s="24" cm="1">
        <f t="array" ref="BR109">IFERROR(INDEX('NOI Walk'!$E$31:$EF$31,,MATCH(BR4,'NOI Walk'!$E$15:$EF$15,0)),0)</f>
        <v>196434.55215058869</v>
      </c>
      <c r="BS109" s="24" cm="1">
        <f t="array" ref="BS109">IFERROR(INDEX('NOI Walk'!$E$31:$EF$31,,MATCH(BS4,'NOI Walk'!$E$15:$EF$15,0)),0)</f>
        <v>196830.33216881574</v>
      </c>
      <c r="BT109" s="24" cm="1">
        <f t="array" ref="BT109">IFERROR(INDEX('NOI Walk'!$E$31:$EF$31,,MATCH(BT4,'NOI Walk'!$E$15:$EF$15,0)),0)</f>
        <v>197226.91203262171</v>
      </c>
      <c r="BU109" s="24" cm="1">
        <f t="array" ref="BU109">IFERROR(INDEX('NOI Walk'!$E$31:$EF$31,,MATCH(BU4,'NOI Walk'!$E$15:$EF$15,0)),0)</f>
        <v>197624.29336953885</v>
      </c>
      <c r="BV109" s="24" cm="1">
        <f t="array" ref="BV109">IFERROR(INDEX('NOI Walk'!$E$31:$EF$31,,MATCH(BV4,'NOI Walk'!$E$15:$EF$15,0)),0)</f>
        <v>198022.47781042018</v>
      </c>
      <c r="BW109" s="24" cm="1">
        <f t="array" ref="BW109">IFERROR(INDEX('NOI Walk'!$E$31:$EF$31,,MATCH(BW4,'NOI Walk'!$E$15:$EF$15,0)),0)</f>
        <v>198421.46698944588</v>
      </c>
      <c r="BX109" s="24" cm="1">
        <f t="array" ref="BX109">IFERROR(INDEX('NOI Walk'!$E$31:$EF$31,,MATCH(BX4,'NOI Walk'!$E$15:$EF$15,0)),0)</f>
        <v>198821.26254413184</v>
      </c>
      <c r="BY109" s="24" cm="1">
        <f t="array" ref="BY109">IFERROR(INDEX('NOI Walk'!$E$31:$EF$31,,MATCH(BY4,'NOI Walk'!$E$15:$EF$15,0)),0)</f>
        <v>199221.86611533418</v>
      </c>
      <c r="BZ109" s="24" cm="1">
        <f t="array" ref="BZ109">IFERROR(INDEX('NOI Walk'!$E$31:$EF$31,,MATCH(BZ4,'NOI Walk'!$E$15:$EF$15,0)),0)</f>
        <v>199623.27934725914</v>
      </c>
      <c r="CA109" s="24" cm="1">
        <f t="array" ref="CA109">IFERROR(INDEX('NOI Walk'!$E$31:$EF$31,,MATCH(CA4,'NOI Walk'!$E$15:$EF$15,0)),0)</f>
        <v>200025.50388746569</v>
      </c>
      <c r="CB109" s="24" cm="1">
        <f t="array" ref="CB109">IFERROR(INDEX('NOI Walk'!$E$31:$EF$31,,MATCH(CB4,'NOI Walk'!$E$15:$EF$15,0)),0)</f>
        <v>200428.54138687695</v>
      </c>
      <c r="CC109" s="24" cm="1">
        <f t="array" ref="CC109">IFERROR(INDEX('NOI Walk'!$E$31:$EF$31,,MATCH(CC4,'NOI Walk'!$E$15:$EF$15,0)),0)</f>
        <v>200832.39349978321</v>
      </c>
      <c r="CD109" s="24" cm="1">
        <f t="array" ref="CD109">IFERROR(INDEX('NOI Walk'!$E$31:$EF$31,,MATCH(CD4,'NOI Walk'!$E$15:$EF$15,0)),0)</f>
        <v>201237.06188385116</v>
      </c>
      <c r="CE109" s="24" cm="1">
        <f t="array" ref="CE109">IFERROR(INDEX('NOI Walk'!$E$31:$EF$31,,MATCH(CE4,'NOI Walk'!$E$15:$EF$15,0)),0)</f>
        <v>201642.54820013075</v>
      </c>
      <c r="CF109" s="24" cm="1">
        <f t="array" ref="CF109">IFERROR(INDEX('NOI Walk'!$E$31:$EF$31,,MATCH(CF4,'NOI Walk'!$E$15:$EF$15,0)),0)</f>
        <v>202048.8541130602</v>
      </c>
      <c r="CG109" s="24" cm="1">
        <f t="array" ref="CG109">IFERROR(INDEX('NOI Walk'!$E$31:$EF$31,,MATCH(CG4,'NOI Walk'!$E$15:$EF$15,0)),0)</f>
        <v>202455.98129047491</v>
      </c>
      <c r="CH109" s="24" cm="1">
        <f t="array" ref="CH109">IFERROR(INDEX('NOI Walk'!$E$31:$EF$31,,MATCH(CH4,'NOI Walk'!$E$15:$EF$15,0)),0)</f>
        <v>202863.93140361382</v>
      </c>
      <c r="CI109" s="24" cm="1">
        <f t="array" ref="CI109">IFERROR(INDEX('NOI Walk'!$E$31:$EF$31,,MATCH(CI4,'NOI Walk'!$E$15:$EF$15,0)),0)</f>
        <v>203272.7061271258</v>
      </c>
      <c r="CJ109" s="24" cm="1">
        <f t="array" ref="CJ109">IFERROR(INDEX('NOI Walk'!$E$31:$EF$31,,MATCH(CJ4,'NOI Walk'!$E$15:$EF$15,0)),0)</f>
        <v>203682.30713907725</v>
      </c>
      <c r="CK109" s="24" cm="1">
        <f t="array" ref="CK109">IFERROR(INDEX('NOI Walk'!$E$31:$EF$31,,MATCH(CK4,'NOI Walk'!$E$15:$EF$15,0)),0)</f>
        <v>204092.73612095989</v>
      </c>
      <c r="CL109" s="24" cm="1">
        <f t="array" ref="CL109">IFERROR(INDEX('NOI Walk'!$E$31:$EF$31,,MATCH(CL4,'NOI Walk'!$E$15:$EF$15,0)),0)</f>
        <v>204503.99475769466</v>
      </c>
      <c r="CM109" s="24" cm="1">
        <f t="array" ref="CM109">IFERROR(INDEX('NOI Walk'!$E$31:$EF$31,,MATCH(CM4,'NOI Walk'!$E$15:$EF$15,0)),0)</f>
        <v>204916.08473764246</v>
      </c>
      <c r="CN109" s="24" cm="1">
        <f t="array" ref="CN109">IFERROR(INDEX('NOI Walk'!$E$31:$EF$31,,MATCH(CN4,'NOI Walk'!$E$15:$EF$15,0)),0)</f>
        <v>205329.00775260935</v>
      </c>
      <c r="CO109" s="24" cm="1">
        <f t="array" ref="CO109">IFERROR(INDEX('NOI Walk'!$E$31:$EF$31,,MATCH(CO4,'NOI Walk'!$E$15:$EF$15,0)),0)</f>
        <v>205742.76549785331</v>
      </c>
      <c r="CP109" s="24" cm="1">
        <f t="array" ref="CP109">IFERROR(INDEX('NOI Walk'!$E$31:$EF$31,,MATCH(CP4,'NOI Walk'!$E$15:$EF$15,0)),0)</f>
        <v>206157.35967209286</v>
      </c>
      <c r="CQ109" s="24" cm="1">
        <f t="array" ref="CQ109">IFERROR(INDEX('NOI Walk'!$E$31:$EF$31,,MATCH(CQ4,'NOI Walk'!$E$15:$EF$15,0)),0)</f>
        <v>206572.79197751108</v>
      </c>
      <c r="CR109" s="24" cm="1">
        <f t="array" ref="CR109">IFERROR(INDEX('NOI Walk'!$E$31:$EF$31,,MATCH(CR4,'NOI Walk'!$E$15:$EF$15,0)),0)</f>
        <v>206989.06411976725</v>
      </c>
      <c r="CS109" s="24" cm="1">
        <f t="array" ref="CS109">IFERROR(INDEX('NOI Walk'!$E$31:$EF$31,,MATCH(CS4,'NOI Walk'!$E$15:$EF$15,0)),0)</f>
        <v>207406.17780799916</v>
      </c>
      <c r="CT109" s="24" cm="1">
        <f t="array" ref="CT109">IFERROR(INDEX('NOI Walk'!$E$31:$EF$31,,MATCH(CT4,'NOI Walk'!$E$15:$EF$15,0)),0)</f>
        <v>207824.13475483403</v>
      </c>
      <c r="CU109" s="24" cm="1">
        <f t="array" ref="CU109">IFERROR(INDEX('NOI Walk'!$E$31:$EF$31,,MATCH(CU4,'NOI Walk'!$E$15:$EF$15,0)),0)</f>
        <v>208242.93667639277</v>
      </c>
      <c r="CV109" s="24" cm="1">
        <f t="array" ref="CV109">IFERROR(INDEX('NOI Walk'!$E$31:$EF$31,,MATCH(CV4,'NOI Walk'!$E$15:$EF$15,0)),0)</f>
        <v>208662.58529230015</v>
      </c>
      <c r="CW109" s="24" cm="1">
        <f t="array" ref="CW109">IFERROR(INDEX('NOI Walk'!$E$31:$EF$31,,MATCH(CW4,'NOI Walk'!$E$15:$EF$15,0)),0)</f>
        <v>209083.08232568824</v>
      </c>
      <c r="CX109" s="24" cm="1">
        <f t="array" ref="CX109">IFERROR(INDEX('NOI Walk'!$E$31:$EF$31,,MATCH(CX4,'NOI Walk'!$E$15:$EF$15,0)),0)</f>
        <v>209504.42950320701</v>
      </c>
      <c r="CY109" s="24" cm="1">
        <f t="array" ref="CY109">IFERROR(INDEX('NOI Walk'!$E$31:$EF$31,,MATCH(CY4,'NOI Walk'!$E$15:$EF$15,0)),0)</f>
        <v>209926.62855502954</v>
      </c>
      <c r="CZ109" s="24" cm="1">
        <f t="array" ref="CZ109">IFERROR(INDEX('NOI Walk'!$E$31:$EF$31,,MATCH(CZ4,'NOI Walk'!$E$15:$EF$15,0)),0)</f>
        <v>210349.68121486038</v>
      </c>
      <c r="DA109" s="24" cm="1">
        <f t="array" ref="DA109">IFERROR(INDEX('NOI Walk'!$E$31:$EF$31,,MATCH(DA4,'NOI Walk'!$E$15:$EF$15,0)),0)</f>
        <v>210773.58921994077</v>
      </c>
      <c r="DB109" s="24" cm="1">
        <f t="array" ref="DB109">IFERROR(INDEX('NOI Walk'!$E$31:$EF$31,,MATCH(DB4,'NOI Walk'!$E$15:$EF$15,0)),0)</f>
        <v>211198.35431105967</v>
      </c>
      <c r="DC109" s="24" cm="1">
        <f t="array" ref="DC109">IFERROR(INDEX('NOI Walk'!$E$31:$EF$31,,MATCH(DC4,'NOI Walk'!$E$15:$EF$15,0)),0)</f>
        <v>211623.97823255559</v>
      </c>
      <c r="DD109" s="24" cm="1">
        <f t="array" ref="DD109">IFERROR(INDEX('NOI Walk'!$E$31:$EF$31,,MATCH(DD4,'NOI Walk'!$E$15:$EF$15,0)),0)</f>
        <v>212050.46273232941</v>
      </c>
      <c r="DE109" s="24" cm="1">
        <f t="array" ref="DE109">IFERROR(INDEX('NOI Walk'!$E$31:$EF$31,,MATCH(DE4,'NOI Walk'!$E$15:$EF$15,0)),0)</f>
        <v>212477.80956184777</v>
      </c>
      <c r="DF109" s="24" cm="1">
        <f t="array" ref="DF109">IFERROR(INDEX('NOI Walk'!$E$31:$EF$31,,MATCH(DF4,'NOI Walk'!$E$15:$EF$15,0)),0)</f>
        <v>212906.02047615289</v>
      </c>
      <c r="DG109" s="24" cm="1">
        <f t="array" ref="DG109">IFERROR(INDEX('NOI Walk'!$E$31:$EF$31,,MATCH(DG4,'NOI Walk'!$E$15:$EF$15,0)),0)</f>
        <v>213335.09723386719</v>
      </c>
      <c r="DH109" s="24" cm="1">
        <f t="array" ref="DH109">IFERROR(INDEX('NOI Walk'!$E$31:$EF$31,,MATCH(DH4,'NOI Walk'!$E$15:$EF$15,0)),0)</f>
        <v>213765.04159720259</v>
      </c>
      <c r="DI109" s="24" cm="1">
        <f t="array" ref="DI109">IFERROR(INDEX('NOI Walk'!$E$31:$EF$31,,MATCH(DI4,'NOI Walk'!$E$15:$EF$15,0)),0)</f>
        <v>214195.85533196919</v>
      </c>
      <c r="DJ109" s="24" cm="1">
        <f t="array" ref="DJ109">IFERROR(INDEX('NOI Walk'!$E$31:$EF$31,,MATCH(DJ4,'NOI Walk'!$E$15:$EF$15,0)),0)</f>
        <v>214627.54020757799</v>
      </c>
      <c r="DK109" s="24" cm="1">
        <f t="array" ref="DK109">IFERROR(INDEX('NOI Walk'!$E$31:$EF$31,,MATCH(DK4,'NOI Walk'!$E$15:$EF$15,0)),0)</f>
        <v>215060.09799705289</v>
      </c>
      <c r="DL109" s="24" cm="1">
        <f t="array" ref="DL109">IFERROR(INDEX('NOI Walk'!$E$31:$EF$31,,MATCH(DL4,'NOI Walk'!$E$15:$EF$15,0)),0)</f>
        <v>215493.53047703643</v>
      </c>
      <c r="DM109" s="24" cm="1">
        <f t="array" ref="DM109">IFERROR(INDEX('NOI Walk'!$E$31:$EF$31,,MATCH(DM4,'NOI Walk'!$E$15:$EF$15,0)),0)</f>
        <v>215927.83942779599</v>
      </c>
      <c r="DN109" s="24" cm="1">
        <f t="array" ref="DN109">IFERROR(INDEX('NOI Walk'!$E$31:$EF$31,,MATCH(DN4,'NOI Walk'!$E$15:$EF$15,0)),0)</f>
        <v>216363.02663323338</v>
      </c>
      <c r="DO109" s="24" cm="1">
        <f t="array" ref="DO109">IFERROR(INDEX('NOI Walk'!$E$31:$EF$31,,MATCH(DO4,'NOI Walk'!$E$15:$EF$15,0)),0)</f>
        <v>216799.09388088895</v>
      </c>
      <c r="DP109" s="24" cm="1">
        <f t="array" ref="DP109">IFERROR(INDEX('NOI Walk'!$E$31:$EF$31,,MATCH(DP4,'NOI Walk'!$E$15:$EF$15,0)),0)</f>
        <v>217236.04296195492</v>
      </c>
      <c r="DQ109" s="24" cm="1">
        <f t="array" ref="DQ109">IFERROR(INDEX('NOI Walk'!$E$31:$EF$31,,MATCH(DQ4,'NOI Walk'!$E$15:$EF$15,0)),0)</f>
        <v>217673.87567127551</v>
      </c>
      <c r="DR109" s="24" cm="1">
        <f t="array" ref="DR109">IFERROR(INDEX('NOI Walk'!$E$31:$EF$31,,MATCH(DR4,'NOI Walk'!$E$15:$EF$15,0)),0)</f>
        <v>218112.59380736007</v>
      </c>
      <c r="DS109" s="24" cm="1">
        <f t="array" ref="DS109">IFERROR(INDEX('NOI Walk'!$E$31:$EF$31,,MATCH(DS4,'NOI Walk'!$E$15:$EF$15,0)),0)</f>
        <v>218552.19917238812</v>
      </c>
      <c r="DT109" s="24" cm="1">
        <f t="array" ref="DT109">IFERROR(INDEX('NOI Walk'!$E$31:$EF$31,,MATCH(DT4,'NOI Walk'!$E$15:$EF$15,0)),0)</f>
        <v>218992.69357221737</v>
      </c>
      <c r="DU109" s="24" cm="1">
        <f t="array" ref="DU109">IFERROR(INDEX('NOI Walk'!$E$31:$EF$31,,MATCH(DU4,'NOI Walk'!$E$15:$EF$15,0)),0)</f>
        <v>219434.0788163917</v>
      </c>
      <c r="DV109" s="24" cm="1">
        <f t="array" ref="DV109">IFERROR(INDEX('NOI Walk'!$E$31:$EF$31,,MATCH(DV4,'NOI Walk'!$E$15:$EF$15,0)),0)</f>
        <v>219876.3567181461</v>
      </c>
      <c r="DW109" s="24" cm="1">
        <f t="array" ref="DW109">IFERROR(INDEX('NOI Walk'!$E$31:$EF$31,,MATCH(DW4,'NOI Walk'!$E$15:$EF$15,0)),0)</f>
        <v>220319.52909441825</v>
      </c>
      <c r="DX109" s="24" cm="1">
        <f t="array" ref="DX109">IFERROR(INDEX('NOI Walk'!$E$31:$EF$31,,MATCH(DX4,'NOI Walk'!$E$15:$EF$15,0)),0)</f>
        <v>220763.59776585444</v>
      </c>
      <c r="DY109" s="24" cm="1">
        <f t="array" ref="DY109">IFERROR(INDEX('NOI Walk'!$E$31:$EF$31,,MATCH(DY4,'NOI Walk'!$E$15:$EF$15,0)),0)</f>
        <v>221208.56455681514</v>
      </c>
      <c r="DZ109" s="24" cm="1">
        <f t="array" ref="DZ109">IFERROR(INDEX('NOI Walk'!$E$31:$EF$31,,MATCH(DZ4,'NOI Walk'!$E$15:$EF$15,0)),0)</f>
        <v>221654.43129538494</v>
      </c>
      <c r="EA109" s="24" cm="1">
        <f t="array" ref="EA109">IFERROR(INDEX('NOI Walk'!$E$31:$EF$31,,MATCH(EA4,'NOI Walk'!$E$15:$EF$15,0)),0)</f>
        <v>222101.19981338034</v>
      </c>
      <c r="EB109" s="24" cm="1">
        <f t="array" ref="EB109">IFERROR(INDEX('NOI Walk'!$E$31:$EF$31,,MATCH(EB4,'NOI Walk'!$E$15:$EF$15,0)),0)</f>
        <v>222548.87194635614</v>
      </c>
      <c r="EC109" s="24" cm="1">
        <f t="array" ref="EC109">IFERROR(INDEX('NOI Walk'!$E$31:$EF$31,,MATCH(EC4,'NOI Walk'!$E$15:$EF$15,0)),0)</f>
        <v>222997.44953361206</v>
      </c>
      <c r="ED109" s="24" cm="1">
        <f t="array" ref="ED109">IFERROR(INDEX('NOI Walk'!$E$31:$EF$31,,MATCH(ED4,'NOI Walk'!$E$15:$EF$15,0)),0)</f>
        <v>223446.93441820415</v>
      </c>
      <c r="EE109" s="24" cm="1">
        <f t="array" ref="EE109">IFERROR(INDEX('NOI Walk'!$E$31:$EF$31,,MATCH(EE4,'NOI Walk'!$E$15:$EF$15,0)),0)</f>
        <v>223897.32844694876</v>
      </c>
      <c r="EF109" s="24" cm="1">
        <f t="array" ref="EF109">IFERROR(INDEX('NOI Walk'!$E$31:$EF$31,,MATCH(EF4,'NOI Walk'!$E$15:$EF$15,0)),0)</f>
        <v>224348.63347043277</v>
      </c>
      <c r="EG109" s="24" cm="1">
        <f t="array" ref="EG109">IFERROR(INDEX('NOI Walk'!$E$31:$EF$31,,MATCH(EG4,'NOI Walk'!$E$15:$EF$15,0)),0)</f>
        <v>224800.85134301751</v>
      </c>
      <c r="EH109" s="24" cm="1">
        <f t="array" ref="EH109">IFERROR(INDEX('NOI Walk'!$E$31:$EF$31,,MATCH(EH4,'NOI Walk'!$E$15:$EF$15,0)),0)</f>
        <v>225253.98392285279</v>
      </c>
      <c r="EI109" s="24" cm="1">
        <f t="array" ref="EI109">IFERROR(INDEX('NOI Walk'!$E$31:$EF$31,,MATCH(EI4,'NOI Walk'!$E$15:$EF$15,0)),0)</f>
        <v>225708.03307187778</v>
      </c>
      <c r="EJ109" s="24"/>
      <c r="EK109" s="24"/>
      <c r="EL109" s="24"/>
      <c r="EM109" s="1" t="s">
        <v>178</v>
      </c>
    </row>
    <row r="110" spans="2:143" x14ac:dyDescent="0.45">
      <c r="D110" s="1" t="s">
        <v>212</v>
      </c>
      <c r="E110" s="24"/>
      <c r="F110" s="24"/>
      <c r="G110" s="24" cm="1">
        <f t="array" ref="G110">IFERROR(INDEX('Retail Assumptions'!$L$49:$EO$49,,MATCH(G4,'Retail Assumptions'!$L$5:$EO$5,0)),0)</f>
        <v>0</v>
      </c>
      <c r="H110" s="24" cm="1">
        <f t="array" ref="H110">IFERROR(INDEX('Retail Assumptions'!$L$49:$EO$49,,MATCH(H4,'Retail Assumptions'!$L$5:$EO$5,0)),0)</f>
        <v>0</v>
      </c>
      <c r="I110" s="24" cm="1">
        <f t="array" ref="I110">IFERROR(INDEX('Retail Assumptions'!$L$49:$EO$49,,MATCH(I4,'Retail Assumptions'!$L$5:$EO$5,0)),0)</f>
        <v>0</v>
      </c>
      <c r="J110" s="24" cm="1">
        <f t="array" ref="J110">IFERROR(INDEX('Retail Assumptions'!$L$49:$EO$49,,MATCH(J4,'Retail Assumptions'!$L$5:$EO$5,0)),0)</f>
        <v>0</v>
      </c>
      <c r="K110" s="24" cm="1">
        <f t="array" ref="K110">IFERROR(INDEX('Retail Assumptions'!$L$49:$EO$49,,MATCH(K4,'Retail Assumptions'!$L$5:$EO$5,0)),0)</f>
        <v>0</v>
      </c>
      <c r="L110" s="24" cm="1">
        <f t="array" ref="L110">IFERROR(INDEX('Retail Assumptions'!$L$49:$EO$49,,MATCH(L4,'Retail Assumptions'!$L$5:$EO$5,0)),0)</f>
        <v>0</v>
      </c>
      <c r="M110" s="24" cm="1">
        <f t="array" ref="M110">IFERROR(INDEX('Retail Assumptions'!$L$49:$EO$49,,MATCH(M4,'Retail Assumptions'!$L$5:$EO$5,0)),0)</f>
        <v>0</v>
      </c>
      <c r="N110" s="24" cm="1">
        <f t="array" ref="N110">IFERROR(INDEX('Retail Assumptions'!$L$49:$EO$49,,MATCH(N4,'Retail Assumptions'!$L$5:$EO$5,0)),0)</f>
        <v>0</v>
      </c>
      <c r="O110" s="24" cm="1">
        <f t="array" ref="O110">IFERROR(INDEX('Retail Assumptions'!$L$49:$EO$49,,MATCH(O4,'Retail Assumptions'!$L$5:$EO$5,0)),0)</f>
        <v>0</v>
      </c>
      <c r="P110" s="24" cm="1">
        <f t="array" ref="P110">IFERROR(INDEX('Retail Assumptions'!$L$49:$EO$49,,MATCH(P4,'Retail Assumptions'!$L$5:$EO$5,0)),0)</f>
        <v>0</v>
      </c>
      <c r="Q110" s="24" cm="1">
        <f t="array" ref="Q110">IFERROR(INDEX('Retail Assumptions'!$L$49:$EO$49,,MATCH(Q4,'Retail Assumptions'!$L$5:$EO$5,0)),0)</f>
        <v>0</v>
      </c>
      <c r="R110" s="24" cm="1">
        <f t="array" ref="R110">IFERROR(INDEX('Retail Assumptions'!$L$49:$EO$49,,MATCH(R4,'Retail Assumptions'!$L$5:$EO$5,0)),0)</f>
        <v>0</v>
      </c>
      <c r="S110" s="24" cm="1">
        <f t="array" ref="S110">IFERROR(INDEX('Retail Assumptions'!$L$49:$EO$49,,MATCH(S4,'Retail Assumptions'!$L$5:$EO$5,0)),0)</f>
        <v>0</v>
      </c>
      <c r="T110" s="24" cm="1">
        <f t="array" ref="T110">IFERROR(INDEX('Retail Assumptions'!$L$49:$EO$49,,MATCH(T4,'Retail Assumptions'!$L$5:$EO$5,0)),0)</f>
        <v>0</v>
      </c>
      <c r="U110" s="24" cm="1">
        <f t="array" ref="U110">IFERROR(INDEX('Retail Assumptions'!$L$49:$EO$49,,MATCH(U4,'Retail Assumptions'!$L$5:$EO$5,0)),0)</f>
        <v>0</v>
      </c>
      <c r="V110" s="24" cm="1">
        <f t="array" ref="V110">IFERROR(INDEX('Retail Assumptions'!$L$49:$EO$49,,MATCH(V4,'Retail Assumptions'!$L$5:$EO$5,0)),0)</f>
        <v>0</v>
      </c>
      <c r="W110" s="24" cm="1">
        <f t="array" ref="W110">IFERROR(INDEX('Retail Assumptions'!$L$49:$EO$49,,MATCH(W4,'Retail Assumptions'!$L$5:$EO$5,0)),0)</f>
        <v>0</v>
      </c>
      <c r="X110" s="24" cm="1">
        <f t="array" ref="X110">IFERROR(INDEX('Retail Assumptions'!$L$49:$EO$49,,MATCH(X4,'Retail Assumptions'!$L$5:$EO$5,0)),0)</f>
        <v>0</v>
      </c>
      <c r="Y110" s="24" cm="1">
        <f t="array" ref="Y110">IFERROR(INDEX('Retail Assumptions'!$L$49:$EO$49,,MATCH(Y4,'Retail Assumptions'!$L$5:$EO$5,0)),0)</f>
        <v>0</v>
      </c>
      <c r="Z110" s="24" cm="1">
        <f t="array" ref="Z110">IFERROR(INDEX('Retail Assumptions'!$L$49:$EO$49,,MATCH(Z4,'Retail Assumptions'!$L$5:$EO$5,0)),0)</f>
        <v>0</v>
      </c>
      <c r="AA110" s="24" cm="1">
        <f t="array" ref="AA110">IFERROR(INDEX('Retail Assumptions'!$L$49:$EO$49,,MATCH(AA4,'Retail Assumptions'!$L$5:$EO$5,0)),0)</f>
        <v>0</v>
      </c>
      <c r="AB110" s="24" cm="1">
        <f t="array" ref="AB110">IFERROR(INDEX('Retail Assumptions'!$L$49:$EO$49,,MATCH(AB4,'Retail Assumptions'!$L$5:$EO$5,0)),0)</f>
        <v>0</v>
      </c>
      <c r="AC110" s="24" cm="1">
        <f t="array" ref="AC110">IFERROR(INDEX('Retail Assumptions'!$L$49:$EO$49,,MATCH(AC4,'Retail Assumptions'!$L$5:$EO$5,0)),0)</f>
        <v>0</v>
      </c>
      <c r="AD110" s="24" cm="1">
        <f t="array" ref="AD110">IFERROR(INDEX('Retail Assumptions'!$L$49:$EO$49,,MATCH(AD4,'Retail Assumptions'!$L$5:$EO$5,0)),0)</f>
        <v>0</v>
      </c>
      <c r="AE110" s="24" cm="1">
        <f t="array" ref="AE110">IFERROR(INDEX('Retail Assumptions'!$L$49:$EO$49,,MATCH(AE4,'Retail Assumptions'!$L$5:$EO$5,0)),0)</f>
        <v>0</v>
      </c>
      <c r="AF110" s="24" cm="1">
        <f t="array" ref="AF110">IFERROR(INDEX('Retail Assumptions'!$L$49:$EO$49,,MATCH(AF4,'Retail Assumptions'!$L$5:$EO$5,0)),0)</f>
        <v>0</v>
      </c>
      <c r="AG110" s="24" cm="1">
        <f t="array" ref="AG110">IFERROR(INDEX('Retail Assumptions'!$L$49:$EO$49,,MATCH(AG4,'Retail Assumptions'!$L$5:$EO$5,0)),0)</f>
        <v>0</v>
      </c>
      <c r="AH110" s="24" cm="1">
        <f t="array" ref="AH110">IFERROR(INDEX('Retail Assumptions'!$L$49:$EO$49,,MATCH(AH4,'Retail Assumptions'!$L$5:$EO$5,0)),0)</f>
        <v>0</v>
      </c>
      <c r="AI110" s="24" cm="1">
        <f t="array" ref="AI110">IFERROR(INDEX('Retail Assumptions'!$L$49:$EO$49,,MATCH(AI4,'Retail Assumptions'!$L$5:$EO$5,0)),0)</f>
        <v>0</v>
      </c>
      <c r="AJ110" s="24" cm="1">
        <f t="array" ref="AJ110">IFERROR(INDEX('Retail Assumptions'!$L$49:$EO$49,,MATCH(AJ4,'Retail Assumptions'!$L$5:$EO$5,0)),0)</f>
        <v>0</v>
      </c>
      <c r="AK110" s="24" cm="1">
        <f t="array" ref="AK110">IFERROR(INDEX('Retail Assumptions'!$L$49:$EO$49,,MATCH(AK4,'Retail Assumptions'!$L$5:$EO$5,0)),0)</f>
        <v>0</v>
      </c>
      <c r="AL110" s="24" cm="1">
        <f t="array" ref="AL110">IFERROR(INDEX('Retail Assumptions'!$L$49:$EO$49,,MATCH(AL4,'Retail Assumptions'!$L$5:$EO$5,0)),0)</f>
        <v>0</v>
      </c>
      <c r="AM110" s="24" cm="1">
        <f t="array" ref="AM110">IFERROR(INDEX('Retail Assumptions'!$L$49:$EO$49,,MATCH(AM4,'Retail Assumptions'!$L$5:$EO$5,0)),0)</f>
        <v>0</v>
      </c>
      <c r="AN110" s="24" cm="1">
        <f t="array" ref="AN110">IFERROR(INDEX('Retail Assumptions'!$L$49:$EO$49,,MATCH(AN4,'Retail Assumptions'!$L$5:$EO$5,0)),0)</f>
        <v>0</v>
      </c>
      <c r="AO110" s="24" cm="1">
        <f t="array" ref="AO110">IFERROR(INDEX('Retail Assumptions'!$L$49:$EO$49,,MATCH(AO4,'Retail Assumptions'!$L$5:$EO$5,0)),0)</f>
        <v>0</v>
      </c>
      <c r="AP110" s="24" cm="1">
        <f t="array" ref="AP110">IFERROR(INDEX('Retail Assumptions'!$L$49:$EO$49,,MATCH(AP4,'Retail Assumptions'!$L$5:$EO$5,0)),0)</f>
        <v>0</v>
      </c>
      <c r="AQ110" s="24" cm="1">
        <f t="array" ref="AQ110">IFERROR(INDEX('Retail Assumptions'!$L$49:$EO$49,,MATCH(AQ4,'Retail Assumptions'!$L$5:$EO$5,0)),0)</f>
        <v>0</v>
      </c>
      <c r="AR110" s="24" cm="1">
        <f t="array" ref="AR110">IFERROR(INDEX('Retail Assumptions'!$L$49:$EO$49,,MATCH(AR4,'Retail Assumptions'!$L$5:$EO$5,0)),0)</f>
        <v>0</v>
      </c>
      <c r="AS110" s="24" cm="1">
        <f t="array" ref="AS110">IFERROR(INDEX('Retail Assumptions'!$L$49:$EO$49,,MATCH(AS4,'Retail Assumptions'!$L$5:$EO$5,0)),0)</f>
        <v>0</v>
      </c>
      <c r="AT110" s="24" cm="1">
        <f t="array" ref="AT110">IFERROR(INDEX('Retail Assumptions'!$L$49:$EO$49,,MATCH(AT4,'Retail Assumptions'!$L$5:$EO$5,0)),0)</f>
        <v>0</v>
      </c>
      <c r="AU110" s="24" cm="1">
        <f t="array" ref="AU110">IFERROR(INDEX('Retail Assumptions'!$L$49:$EO$49,,MATCH(AU4,'Retail Assumptions'!$L$5:$EO$5,0)),0)</f>
        <v>0</v>
      </c>
      <c r="AV110" s="24" cm="1">
        <f t="array" ref="AV110">IFERROR(INDEX('Retail Assumptions'!$L$49:$EO$49,,MATCH(AV4,'Retail Assumptions'!$L$5:$EO$5,0)),0)</f>
        <v>0</v>
      </c>
      <c r="AW110" s="24" cm="1">
        <f t="array" ref="AW110">IFERROR(INDEX('Retail Assumptions'!$L$49:$EO$49,,MATCH(AW4,'Retail Assumptions'!$L$5:$EO$5,0)),0)</f>
        <v>0</v>
      </c>
      <c r="AX110" s="24" cm="1">
        <f t="array" ref="AX110">IFERROR(INDEX('Retail Assumptions'!$L$49:$EO$49,,MATCH(AX4,'Retail Assumptions'!$L$5:$EO$5,0)),0)</f>
        <v>0</v>
      </c>
      <c r="AY110" s="24" cm="1">
        <f t="array" ref="AY110">IFERROR(INDEX('Retail Assumptions'!$L$49:$EO$49,,MATCH(AY4,'Retail Assumptions'!$L$5:$EO$5,0)),0)</f>
        <v>0</v>
      </c>
      <c r="AZ110" s="24" cm="1">
        <f t="array" ref="AZ110">IFERROR(INDEX('Retail Assumptions'!$L$49:$EO$49,,MATCH(AZ4,'Retail Assumptions'!$L$5:$EO$5,0)),0)</f>
        <v>0</v>
      </c>
      <c r="BA110" s="24" cm="1">
        <f t="array" ref="BA110">IFERROR(INDEX('Retail Assumptions'!$L$49:$EO$49,,MATCH(BA4,'Retail Assumptions'!$L$5:$EO$5,0)),0)</f>
        <v>0</v>
      </c>
      <c r="BB110" s="24" cm="1">
        <f t="array" ref="BB110">IFERROR(INDEX('Retail Assumptions'!$L$49:$EO$49,,MATCH(BB4,'Retail Assumptions'!$L$5:$EO$5,0)),0)</f>
        <v>0</v>
      </c>
      <c r="BC110" s="24" cm="1">
        <f t="array" ref="BC110">IFERROR(INDEX('Retail Assumptions'!$L$49:$EO$49,,MATCH(BC4,'Retail Assumptions'!$L$5:$EO$5,0)),0)</f>
        <v>0</v>
      </c>
      <c r="BD110" s="24" cm="1">
        <f t="array" ref="BD110">IFERROR(INDEX('Retail Assumptions'!$L$49:$EO$49,,MATCH(BD4,'Retail Assumptions'!$L$5:$EO$5,0)),0)</f>
        <v>0</v>
      </c>
      <c r="BE110" s="24" cm="1">
        <f t="array" ref="BE110">IFERROR(INDEX('Retail Assumptions'!$L$49:$EO$49,,MATCH(BE4,'Retail Assumptions'!$L$5:$EO$5,0)),0)</f>
        <v>0</v>
      </c>
      <c r="BF110" s="24" cm="1">
        <f t="array" ref="BF110">IFERROR(INDEX('Retail Assumptions'!$L$49:$EO$49,,MATCH(BF4,'Retail Assumptions'!$L$5:$EO$5,0)),0)</f>
        <v>0</v>
      </c>
      <c r="BG110" s="24" cm="1">
        <f t="array" ref="BG110">IFERROR(INDEX('Retail Assumptions'!$L$49:$EO$49,,MATCH(BG4,'Retail Assumptions'!$L$5:$EO$5,0)),0)</f>
        <v>0</v>
      </c>
      <c r="BH110" s="24" cm="1">
        <f t="array" ref="BH110">IFERROR(INDEX('Retail Assumptions'!$L$49:$EO$49,,MATCH(BH4,'Retail Assumptions'!$L$5:$EO$5,0)),0)</f>
        <v>0</v>
      </c>
      <c r="BI110" s="24" cm="1">
        <f t="array" ref="BI110">IFERROR(INDEX('Retail Assumptions'!$L$49:$EO$49,,MATCH(BI4,'Retail Assumptions'!$L$5:$EO$5,0)),0)</f>
        <v>0</v>
      </c>
      <c r="BJ110" s="24" cm="1">
        <f t="array" ref="BJ110">IFERROR(INDEX('Retail Assumptions'!$L$49:$EO$49,,MATCH(BJ4,'Retail Assumptions'!$L$5:$EO$5,0)),0)</f>
        <v>0</v>
      </c>
      <c r="BK110" s="24" cm="1">
        <f t="array" ref="BK110">IFERROR(INDEX('Retail Assumptions'!$L$49:$EO$49,,MATCH(BK4,'Retail Assumptions'!$L$5:$EO$5,0)),0)</f>
        <v>0</v>
      </c>
      <c r="BL110" s="24" cm="1">
        <f t="array" ref="BL110">IFERROR(INDEX('Retail Assumptions'!$L$49:$EO$49,,MATCH(BL4,'Retail Assumptions'!$L$5:$EO$5,0)),0)</f>
        <v>0</v>
      </c>
      <c r="BM110" s="24" cm="1">
        <f t="array" ref="BM110">IFERROR(INDEX('Retail Assumptions'!$L$49:$EO$49,,MATCH(BM4,'Retail Assumptions'!$L$5:$EO$5,0)),0)</f>
        <v>0</v>
      </c>
      <c r="BN110" s="24" cm="1">
        <f t="array" ref="BN110">IFERROR(INDEX('Retail Assumptions'!$L$49:$EO$49,,MATCH(BN4,'Retail Assumptions'!$L$5:$EO$5,0)),0)</f>
        <v>0</v>
      </c>
      <c r="BO110" s="24" cm="1">
        <f t="array" ref="BO110">IFERROR(INDEX('Retail Assumptions'!$L$49:$EO$49,,MATCH(BO4,'Retail Assumptions'!$L$5:$EO$5,0)),0)</f>
        <v>0</v>
      </c>
      <c r="BP110" s="24" cm="1">
        <f t="array" ref="BP110">IFERROR(INDEX('Retail Assumptions'!$L$49:$EO$49,,MATCH(BP4,'Retail Assumptions'!$L$5:$EO$5,0)),0)</f>
        <v>0</v>
      </c>
      <c r="BQ110" s="24" cm="1">
        <f t="array" ref="BQ110">IFERROR(INDEX('Retail Assumptions'!$L$49:$EO$49,,MATCH(BQ4,'Retail Assumptions'!$L$5:$EO$5,0)),0)</f>
        <v>0</v>
      </c>
      <c r="BR110" s="24" cm="1">
        <f t="array" ref="BR110">IFERROR(INDEX('Retail Assumptions'!$L$49:$EO$49,,MATCH(BR4,'Retail Assumptions'!$L$5:$EO$5,0)),0)</f>
        <v>0</v>
      </c>
      <c r="BS110" s="24" cm="1">
        <f t="array" ref="BS110">IFERROR(INDEX('Retail Assumptions'!$L$49:$EO$49,,MATCH(BS4,'Retail Assumptions'!$L$5:$EO$5,0)),0)</f>
        <v>0</v>
      </c>
      <c r="BT110" s="24" cm="1">
        <f t="array" ref="BT110">IFERROR(INDEX('Retail Assumptions'!$L$49:$EO$49,,MATCH(BT4,'Retail Assumptions'!$L$5:$EO$5,0)),0)</f>
        <v>0</v>
      </c>
      <c r="BU110" s="24" cm="1">
        <f t="array" ref="BU110">IFERROR(INDEX('Retail Assumptions'!$L$49:$EO$49,,MATCH(BU4,'Retail Assumptions'!$L$5:$EO$5,0)),0)</f>
        <v>0</v>
      </c>
      <c r="BV110" s="24" cm="1">
        <f t="array" ref="BV110">IFERROR(INDEX('Retail Assumptions'!$L$49:$EO$49,,MATCH(BV4,'Retail Assumptions'!$L$5:$EO$5,0)),0)</f>
        <v>0</v>
      </c>
      <c r="BW110" s="24" cm="1">
        <f t="array" ref="BW110">IFERROR(INDEX('Retail Assumptions'!$L$49:$EO$49,,MATCH(BW4,'Retail Assumptions'!$L$5:$EO$5,0)),0)</f>
        <v>0</v>
      </c>
      <c r="BX110" s="24" cm="1">
        <f t="array" ref="BX110">IFERROR(INDEX('Retail Assumptions'!$L$49:$EO$49,,MATCH(BX4,'Retail Assumptions'!$L$5:$EO$5,0)),0)</f>
        <v>0</v>
      </c>
      <c r="BY110" s="24" cm="1">
        <f t="array" ref="BY110">IFERROR(INDEX('Retail Assumptions'!$L$49:$EO$49,,MATCH(BY4,'Retail Assumptions'!$L$5:$EO$5,0)),0)</f>
        <v>0</v>
      </c>
      <c r="BZ110" s="24" cm="1">
        <f t="array" ref="BZ110">IFERROR(INDEX('Retail Assumptions'!$L$49:$EO$49,,MATCH(BZ4,'Retail Assumptions'!$L$5:$EO$5,0)),0)</f>
        <v>0</v>
      </c>
      <c r="CA110" s="24" cm="1">
        <f t="array" ref="CA110">IFERROR(INDEX('Retail Assumptions'!$L$49:$EO$49,,MATCH(CA4,'Retail Assumptions'!$L$5:$EO$5,0)),0)</f>
        <v>0</v>
      </c>
      <c r="CB110" s="24" cm="1">
        <f t="array" ref="CB110">IFERROR(INDEX('Retail Assumptions'!$L$49:$EO$49,,MATCH(CB4,'Retail Assumptions'!$L$5:$EO$5,0)),0)</f>
        <v>0</v>
      </c>
      <c r="CC110" s="24" cm="1">
        <f t="array" ref="CC110">IFERROR(INDEX('Retail Assumptions'!$L$49:$EO$49,,MATCH(CC4,'Retail Assumptions'!$L$5:$EO$5,0)),0)</f>
        <v>0</v>
      </c>
      <c r="CD110" s="24" cm="1">
        <f t="array" ref="CD110">IFERROR(INDEX('Retail Assumptions'!$L$49:$EO$49,,MATCH(CD4,'Retail Assumptions'!$L$5:$EO$5,0)),0)</f>
        <v>0</v>
      </c>
      <c r="CE110" s="24" cm="1">
        <f t="array" ref="CE110">IFERROR(INDEX('Retail Assumptions'!$L$49:$EO$49,,MATCH(CE4,'Retail Assumptions'!$L$5:$EO$5,0)),0)</f>
        <v>0</v>
      </c>
      <c r="CF110" s="24" cm="1">
        <f t="array" ref="CF110">IFERROR(INDEX('Retail Assumptions'!$L$49:$EO$49,,MATCH(CF4,'Retail Assumptions'!$L$5:$EO$5,0)),0)</f>
        <v>0</v>
      </c>
      <c r="CG110" s="24" cm="1">
        <f t="array" ref="CG110">IFERROR(INDEX('Retail Assumptions'!$L$49:$EO$49,,MATCH(CG4,'Retail Assumptions'!$L$5:$EO$5,0)),0)</f>
        <v>0</v>
      </c>
      <c r="CH110" s="24" cm="1">
        <f t="array" ref="CH110">IFERROR(INDEX('Retail Assumptions'!$L$49:$EO$49,,MATCH(CH4,'Retail Assumptions'!$L$5:$EO$5,0)),0)</f>
        <v>0</v>
      </c>
      <c r="CI110" s="24" cm="1">
        <f t="array" ref="CI110">IFERROR(INDEX('Retail Assumptions'!$L$49:$EO$49,,MATCH(CI4,'Retail Assumptions'!$L$5:$EO$5,0)),0)</f>
        <v>0</v>
      </c>
      <c r="CJ110" s="24" cm="1">
        <f t="array" ref="CJ110">IFERROR(INDEX('Retail Assumptions'!$L$49:$EO$49,,MATCH(CJ4,'Retail Assumptions'!$L$5:$EO$5,0)),0)</f>
        <v>0</v>
      </c>
      <c r="CK110" s="24" cm="1">
        <f t="array" ref="CK110">IFERROR(INDEX('Retail Assumptions'!$L$49:$EO$49,,MATCH(CK4,'Retail Assumptions'!$L$5:$EO$5,0)),0)</f>
        <v>0</v>
      </c>
      <c r="CL110" s="24" cm="1">
        <f t="array" ref="CL110">IFERROR(INDEX('Retail Assumptions'!$L$49:$EO$49,,MATCH(CL4,'Retail Assumptions'!$L$5:$EO$5,0)),0)</f>
        <v>0</v>
      </c>
      <c r="CM110" s="24" cm="1">
        <f t="array" ref="CM110">IFERROR(INDEX('Retail Assumptions'!$L$49:$EO$49,,MATCH(CM4,'Retail Assumptions'!$L$5:$EO$5,0)),0)</f>
        <v>0</v>
      </c>
      <c r="CN110" s="24" cm="1">
        <f t="array" ref="CN110">IFERROR(INDEX('Retail Assumptions'!$L$49:$EO$49,,MATCH(CN4,'Retail Assumptions'!$L$5:$EO$5,0)),0)</f>
        <v>0</v>
      </c>
      <c r="CO110" s="24" cm="1">
        <f t="array" ref="CO110">IFERROR(INDEX('Retail Assumptions'!$L$49:$EO$49,,MATCH(CO4,'Retail Assumptions'!$L$5:$EO$5,0)),0)</f>
        <v>0</v>
      </c>
      <c r="CP110" s="24" cm="1">
        <f t="array" ref="CP110">IFERROR(INDEX('Retail Assumptions'!$L$49:$EO$49,,MATCH(CP4,'Retail Assumptions'!$L$5:$EO$5,0)),0)</f>
        <v>0</v>
      </c>
      <c r="CQ110" s="24" cm="1">
        <f t="array" ref="CQ110">IFERROR(INDEX('Retail Assumptions'!$L$49:$EO$49,,MATCH(CQ4,'Retail Assumptions'!$L$5:$EO$5,0)),0)</f>
        <v>0</v>
      </c>
      <c r="CR110" s="24" cm="1">
        <f t="array" ref="CR110">IFERROR(INDEX('Retail Assumptions'!$L$49:$EO$49,,MATCH(CR4,'Retail Assumptions'!$L$5:$EO$5,0)),0)</f>
        <v>0</v>
      </c>
      <c r="CS110" s="24" cm="1">
        <f t="array" ref="CS110">IFERROR(INDEX('Retail Assumptions'!$L$49:$EO$49,,MATCH(CS4,'Retail Assumptions'!$L$5:$EO$5,0)),0)</f>
        <v>0</v>
      </c>
      <c r="CT110" s="24" cm="1">
        <f t="array" ref="CT110">IFERROR(INDEX('Retail Assumptions'!$L$49:$EO$49,,MATCH(CT4,'Retail Assumptions'!$L$5:$EO$5,0)),0)</f>
        <v>0</v>
      </c>
      <c r="CU110" s="24" cm="1">
        <f t="array" ref="CU110">IFERROR(INDEX('Retail Assumptions'!$L$49:$EO$49,,MATCH(CU4,'Retail Assumptions'!$L$5:$EO$5,0)),0)</f>
        <v>0</v>
      </c>
      <c r="CV110" s="24" cm="1">
        <f t="array" ref="CV110">IFERROR(INDEX('Retail Assumptions'!$L$49:$EO$49,,MATCH(CV4,'Retail Assumptions'!$L$5:$EO$5,0)),0)</f>
        <v>0</v>
      </c>
      <c r="CW110" s="24" cm="1">
        <f t="array" ref="CW110">IFERROR(INDEX('Retail Assumptions'!$L$49:$EO$49,,MATCH(CW4,'Retail Assumptions'!$L$5:$EO$5,0)),0)</f>
        <v>0</v>
      </c>
      <c r="CX110" s="24" cm="1">
        <f t="array" ref="CX110">IFERROR(INDEX('Retail Assumptions'!$L$49:$EO$49,,MATCH(CX4,'Retail Assumptions'!$L$5:$EO$5,0)),0)</f>
        <v>0</v>
      </c>
      <c r="CY110" s="24" cm="1">
        <f t="array" ref="CY110">IFERROR(INDEX('Retail Assumptions'!$L$49:$EO$49,,MATCH(CY4,'Retail Assumptions'!$L$5:$EO$5,0)),0)</f>
        <v>0</v>
      </c>
      <c r="CZ110" s="24" cm="1">
        <f t="array" ref="CZ110">IFERROR(INDEX('Retail Assumptions'!$L$49:$EO$49,,MATCH(CZ4,'Retail Assumptions'!$L$5:$EO$5,0)),0)</f>
        <v>0</v>
      </c>
      <c r="DA110" s="24" cm="1">
        <f t="array" ref="DA110">IFERROR(INDEX('Retail Assumptions'!$L$49:$EO$49,,MATCH(DA4,'Retail Assumptions'!$L$5:$EO$5,0)),0)</f>
        <v>0</v>
      </c>
      <c r="DB110" s="24" cm="1">
        <f t="array" ref="DB110">IFERROR(INDEX('Retail Assumptions'!$L$49:$EO$49,,MATCH(DB4,'Retail Assumptions'!$L$5:$EO$5,0)),0)</f>
        <v>0</v>
      </c>
      <c r="DC110" s="24" cm="1">
        <f t="array" ref="DC110">IFERROR(INDEX('Retail Assumptions'!$L$49:$EO$49,,MATCH(DC4,'Retail Assumptions'!$L$5:$EO$5,0)),0)</f>
        <v>0</v>
      </c>
      <c r="DD110" s="24" cm="1">
        <f t="array" ref="DD110">IFERROR(INDEX('Retail Assumptions'!$L$49:$EO$49,,MATCH(DD4,'Retail Assumptions'!$L$5:$EO$5,0)),0)</f>
        <v>0</v>
      </c>
      <c r="DE110" s="24" cm="1">
        <f t="array" ref="DE110">IFERROR(INDEX('Retail Assumptions'!$L$49:$EO$49,,MATCH(DE4,'Retail Assumptions'!$L$5:$EO$5,0)),0)</f>
        <v>0</v>
      </c>
      <c r="DF110" s="24" cm="1">
        <f t="array" ref="DF110">IFERROR(INDEX('Retail Assumptions'!$L$49:$EO$49,,MATCH(DF4,'Retail Assumptions'!$L$5:$EO$5,0)),0)</f>
        <v>0</v>
      </c>
      <c r="DG110" s="24" cm="1">
        <f t="array" ref="DG110">IFERROR(INDEX('Retail Assumptions'!$L$49:$EO$49,,MATCH(DG4,'Retail Assumptions'!$L$5:$EO$5,0)),0)</f>
        <v>0</v>
      </c>
      <c r="DH110" s="24" cm="1">
        <f t="array" ref="DH110">IFERROR(INDEX('Retail Assumptions'!$L$49:$EO$49,,MATCH(DH4,'Retail Assumptions'!$L$5:$EO$5,0)),0)</f>
        <v>0</v>
      </c>
      <c r="DI110" s="24" cm="1">
        <f t="array" ref="DI110">IFERROR(INDEX('Retail Assumptions'!$L$49:$EO$49,,MATCH(DI4,'Retail Assumptions'!$L$5:$EO$5,0)),0)</f>
        <v>0</v>
      </c>
      <c r="DJ110" s="24" cm="1">
        <f t="array" ref="DJ110">IFERROR(INDEX('Retail Assumptions'!$L$49:$EO$49,,MATCH(DJ4,'Retail Assumptions'!$L$5:$EO$5,0)),0)</f>
        <v>0</v>
      </c>
      <c r="DK110" s="24" cm="1">
        <f t="array" ref="DK110">IFERROR(INDEX('Retail Assumptions'!$L$49:$EO$49,,MATCH(DK4,'Retail Assumptions'!$L$5:$EO$5,0)),0)</f>
        <v>0</v>
      </c>
      <c r="DL110" s="24" cm="1">
        <f t="array" ref="DL110">IFERROR(INDEX('Retail Assumptions'!$L$49:$EO$49,,MATCH(DL4,'Retail Assumptions'!$L$5:$EO$5,0)),0)</f>
        <v>0</v>
      </c>
      <c r="DM110" s="24" cm="1">
        <f t="array" ref="DM110">IFERROR(INDEX('Retail Assumptions'!$L$49:$EO$49,,MATCH(DM4,'Retail Assumptions'!$L$5:$EO$5,0)),0)</f>
        <v>0</v>
      </c>
      <c r="DN110" s="24" cm="1">
        <f t="array" ref="DN110">IFERROR(INDEX('Retail Assumptions'!$L$49:$EO$49,,MATCH(DN4,'Retail Assumptions'!$L$5:$EO$5,0)),0)</f>
        <v>0</v>
      </c>
      <c r="DO110" s="24" cm="1">
        <f t="array" ref="DO110">IFERROR(INDEX('Retail Assumptions'!$L$49:$EO$49,,MATCH(DO4,'Retail Assumptions'!$L$5:$EO$5,0)),0)</f>
        <v>0</v>
      </c>
      <c r="DP110" s="24" cm="1">
        <f t="array" ref="DP110">IFERROR(INDEX('Retail Assumptions'!$L$49:$EO$49,,MATCH(DP4,'Retail Assumptions'!$L$5:$EO$5,0)),0)</f>
        <v>0</v>
      </c>
      <c r="DQ110" s="24" cm="1">
        <f t="array" ref="DQ110">IFERROR(INDEX('Retail Assumptions'!$L$49:$EO$49,,MATCH(DQ4,'Retail Assumptions'!$L$5:$EO$5,0)),0)</f>
        <v>0</v>
      </c>
      <c r="DR110" s="24" cm="1">
        <f t="array" ref="DR110">IFERROR(INDEX('Retail Assumptions'!$L$49:$EO$49,,MATCH(DR4,'Retail Assumptions'!$L$5:$EO$5,0)),0)</f>
        <v>0</v>
      </c>
      <c r="DS110" s="24" cm="1">
        <f t="array" ref="DS110">IFERROR(INDEX('Retail Assumptions'!$L$49:$EO$49,,MATCH(DS4,'Retail Assumptions'!$L$5:$EO$5,0)),0)</f>
        <v>0</v>
      </c>
      <c r="DT110" s="24" cm="1">
        <f t="array" ref="DT110">IFERROR(INDEX('Retail Assumptions'!$L$49:$EO$49,,MATCH(DT4,'Retail Assumptions'!$L$5:$EO$5,0)),0)</f>
        <v>0</v>
      </c>
      <c r="DU110" s="24" cm="1">
        <f t="array" ref="DU110">IFERROR(INDEX('Retail Assumptions'!$L$49:$EO$49,,MATCH(DU4,'Retail Assumptions'!$L$5:$EO$5,0)),0)</f>
        <v>0</v>
      </c>
      <c r="DV110" s="24" cm="1">
        <f t="array" ref="DV110">IFERROR(INDEX('Retail Assumptions'!$L$49:$EO$49,,MATCH(DV4,'Retail Assumptions'!$L$5:$EO$5,0)),0)</f>
        <v>0</v>
      </c>
      <c r="DW110" s="24" cm="1">
        <f t="array" ref="DW110">IFERROR(INDEX('Retail Assumptions'!$L$49:$EO$49,,MATCH(DW4,'Retail Assumptions'!$L$5:$EO$5,0)),0)</f>
        <v>0</v>
      </c>
      <c r="DX110" s="24" cm="1">
        <f t="array" ref="DX110">IFERROR(INDEX('Retail Assumptions'!$L$49:$EO$49,,MATCH(DX4,'Retail Assumptions'!$L$5:$EO$5,0)),0)</f>
        <v>0</v>
      </c>
      <c r="DY110" s="24" cm="1">
        <f t="array" ref="DY110">IFERROR(INDEX('Retail Assumptions'!$L$49:$EO$49,,MATCH(DY4,'Retail Assumptions'!$L$5:$EO$5,0)),0)</f>
        <v>0</v>
      </c>
      <c r="DZ110" s="24" cm="1">
        <f t="array" ref="DZ110">IFERROR(INDEX('Retail Assumptions'!$L$49:$EO$49,,MATCH(DZ4,'Retail Assumptions'!$L$5:$EO$5,0)),0)</f>
        <v>0</v>
      </c>
      <c r="EA110" s="24" cm="1">
        <f t="array" ref="EA110">IFERROR(INDEX('Retail Assumptions'!$L$49:$EO$49,,MATCH(EA4,'Retail Assumptions'!$L$5:$EO$5,0)),0)</f>
        <v>0</v>
      </c>
      <c r="EB110" s="24" cm="1">
        <f t="array" ref="EB110">IFERROR(INDEX('Retail Assumptions'!$L$49:$EO$49,,MATCH(EB4,'Retail Assumptions'!$L$5:$EO$5,0)),0)</f>
        <v>0</v>
      </c>
      <c r="EC110" s="24" cm="1">
        <f t="array" ref="EC110">IFERROR(INDEX('Retail Assumptions'!$L$49:$EO$49,,MATCH(EC4,'Retail Assumptions'!$L$5:$EO$5,0)),0)</f>
        <v>0</v>
      </c>
      <c r="ED110" s="24" cm="1">
        <f t="array" ref="ED110">IFERROR(INDEX('Retail Assumptions'!$L$49:$EO$49,,MATCH(ED4,'Retail Assumptions'!$L$5:$EO$5,0)),0)</f>
        <v>0</v>
      </c>
      <c r="EE110" s="24" cm="1">
        <f t="array" ref="EE110">IFERROR(INDEX('Retail Assumptions'!$L$49:$EO$49,,MATCH(EE4,'Retail Assumptions'!$L$5:$EO$5,0)),0)</f>
        <v>0</v>
      </c>
      <c r="EF110" s="24" cm="1">
        <f t="array" ref="EF110">IFERROR(INDEX('Retail Assumptions'!$L$49:$EO$49,,MATCH(EF4,'Retail Assumptions'!$L$5:$EO$5,0)),0)</f>
        <v>0</v>
      </c>
      <c r="EG110" s="24" cm="1">
        <f t="array" ref="EG110">IFERROR(INDEX('Retail Assumptions'!$L$49:$EO$49,,MATCH(EG4,'Retail Assumptions'!$L$5:$EO$5,0)),0)</f>
        <v>0</v>
      </c>
      <c r="EH110" s="24" cm="1">
        <f t="array" ref="EH110">IFERROR(INDEX('Retail Assumptions'!$L$49:$EO$49,,MATCH(EH4,'Retail Assumptions'!$L$5:$EO$5,0)),0)</f>
        <v>0</v>
      </c>
      <c r="EI110" s="24" cm="1">
        <f t="array" ref="EI110">IFERROR(INDEX('Retail Assumptions'!$L$49:$EO$49,,MATCH(EI4,'Retail Assumptions'!$L$5:$EO$5,0)),0)</f>
        <v>0</v>
      </c>
      <c r="EJ110" s="24"/>
      <c r="EK110" s="24"/>
      <c r="EL110" s="24"/>
      <c r="EM110" s="1" t="s">
        <v>178</v>
      </c>
    </row>
    <row r="111" spans="2:143" x14ac:dyDescent="0.45">
      <c r="D111" s="3" t="s">
        <v>213</v>
      </c>
      <c r="E111" s="25"/>
      <c r="F111" s="25"/>
      <c r="G111" s="25">
        <f>SUM(G109:G110)</f>
        <v>0</v>
      </c>
      <c r="H111" s="25">
        <f t="shared" ref="H111:BS111" si="121">SUM(H109:H110)</f>
        <v>125330.06574000003</v>
      </c>
      <c r="I111" s="25">
        <f t="shared" si="121"/>
        <v>120725.63196992248</v>
      </c>
      <c r="J111" s="25">
        <f t="shared" si="121"/>
        <v>120973.76397668393</v>
      </c>
      <c r="K111" s="25">
        <f t="shared" si="121"/>
        <v>118380.49154761375</v>
      </c>
      <c r="L111" s="25">
        <f t="shared" si="121"/>
        <v>114264.71817918132</v>
      </c>
      <c r="M111" s="25">
        <f t="shared" si="121"/>
        <v>118764.68119174556</v>
      </c>
      <c r="N111" s="25">
        <f t="shared" si="121"/>
        <v>114377.39699498974</v>
      </c>
      <c r="O111" s="25">
        <f t="shared" si="121"/>
        <v>116624.50097469734</v>
      </c>
      <c r="P111" s="25">
        <f t="shared" si="121"/>
        <v>118911.07395094789</v>
      </c>
      <c r="Q111" s="25">
        <f t="shared" si="121"/>
        <v>118743.73012778054</v>
      </c>
      <c r="R111" s="25">
        <f t="shared" si="121"/>
        <v>121162.46925939443</v>
      </c>
      <c r="S111" s="25">
        <f t="shared" si="121"/>
        <v>130226.93807209987</v>
      </c>
      <c r="T111" s="25">
        <f t="shared" si="121"/>
        <v>134083.47839095801</v>
      </c>
      <c r="U111" s="25">
        <f t="shared" si="121"/>
        <v>137870.06700826981</v>
      </c>
      <c r="V111" s="25">
        <f t="shared" si="121"/>
        <v>141042.36736938683</v>
      </c>
      <c r="W111" s="25">
        <f t="shared" si="121"/>
        <v>143189.2769595189</v>
      </c>
      <c r="X111" s="25">
        <f t="shared" si="121"/>
        <v>143113.88735109073</v>
      </c>
      <c r="Y111" s="25">
        <f t="shared" si="121"/>
        <v>142620.14952323824</v>
      </c>
      <c r="Z111" s="25">
        <f t="shared" si="121"/>
        <v>143011.49656577068</v>
      </c>
      <c r="AA111" s="25">
        <f t="shared" si="121"/>
        <v>143028.5133594455</v>
      </c>
      <c r="AB111" s="25">
        <f t="shared" si="121"/>
        <v>146965.38391614871</v>
      </c>
      <c r="AC111" s="25">
        <f t="shared" si="121"/>
        <v>152882.72362526806</v>
      </c>
      <c r="AD111" s="25">
        <f t="shared" si="121"/>
        <v>157413.94807703968</v>
      </c>
      <c r="AE111" s="25">
        <f t="shared" si="121"/>
        <v>159725.96926213644</v>
      </c>
      <c r="AF111" s="25">
        <f t="shared" si="121"/>
        <v>159535.61477213071</v>
      </c>
      <c r="AG111" s="25">
        <f t="shared" si="121"/>
        <v>157007.28590721451</v>
      </c>
      <c r="AH111" s="25">
        <f t="shared" si="121"/>
        <v>158079.44648841373</v>
      </c>
      <c r="AI111" s="25">
        <f t="shared" si="121"/>
        <v>165807.11764932223</v>
      </c>
      <c r="AJ111" s="25">
        <f t="shared" si="121"/>
        <v>173565.56063967873</v>
      </c>
      <c r="AK111" s="25">
        <f t="shared" si="121"/>
        <v>181354.86887166573</v>
      </c>
      <c r="AL111" s="25">
        <f t="shared" si="121"/>
        <v>184182.34224218273</v>
      </c>
      <c r="AM111" s="25">
        <f t="shared" si="121"/>
        <v>184553.36701616619</v>
      </c>
      <c r="AN111" s="25">
        <f t="shared" si="121"/>
        <v>184925.14126828747</v>
      </c>
      <c r="AO111" s="25">
        <f t="shared" si="121"/>
        <v>185297.66652330826</v>
      </c>
      <c r="AP111" s="25">
        <f t="shared" si="121"/>
        <v>185670.94430910252</v>
      </c>
      <c r="AQ111" s="25">
        <f t="shared" si="121"/>
        <v>186044.97615666172</v>
      </c>
      <c r="AR111" s="25">
        <f t="shared" si="121"/>
        <v>186419.76360010038</v>
      </c>
      <c r="AS111" s="25">
        <f t="shared" si="121"/>
        <v>186795.30817666388</v>
      </c>
      <c r="AT111" s="25">
        <f t="shared" si="121"/>
        <v>187171.61142673239</v>
      </c>
      <c r="AU111" s="25">
        <f t="shared" si="121"/>
        <v>187548.67489383084</v>
      </c>
      <c r="AV111" s="25">
        <f t="shared" si="121"/>
        <v>187926.50012463241</v>
      </c>
      <c r="AW111" s="25">
        <f t="shared" si="121"/>
        <v>188305.08866896556</v>
      </c>
      <c r="AX111" s="25">
        <f t="shared" si="121"/>
        <v>188684.44207982224</v>
      </c>
      <c r="AY111" s="25">
        <f t="shared" si="121"/>
        <v>189064.5619133611</v>
      </c>
      <c r="AZ111" s="25">
        <f t="shared" si="121"/>
        <v>189445.44972891803</v>
      </c>
      <c r="BA111" s="25">
        <f t="shared" si="121"/>
        <v>189827.10708900949</v>
      </c>
      <c r="BB111" s="25">
        <f t="shared" si="121"/>
        <v>190209.53555933945</v>
      </c>
      <c r="BC111" s="25">
        <f t="shared" si="121"/>
        <v>190592.73670880686</v>
      </c>
      <c r="BD111" s="25">
        <f t="shared" si="121"/>
        <v>190976.71210951277</v>
      </c>
      <c r="BE111" s="25">
        <f t="shared" si="121"/>
        <v>191361.46333676469</v>
      </c>
      <c r="BF111" s="25">
        <f t="shared" si="121"/>
        <v>191746.9919690848</v>
      </c>
      <c r="BG111" s="25">
        <f t="shared" si="121"/>
        <v>192133.29958821644</v>
      </c>
      <c r="BH111" s="25">
        <f t="shared" si="121"/>
        <v>192520.3877791299</v>
      </c>
      <c r="BI111" s="25">
        <f t="shared" si="121"/>
        <v>192908.25813002928</v>
      </c>
      <c r="BJ111" s="25">
        <f t="shared" si="121"/>
        <v>193296.91223236007</v>
      </c>
      <c r="BK111" s="25">
        <f t="shared" si="121"/>
        <v>193686.35168081397</v>
      </c>
      <c r="BL111" s="25">
        <f t="shared" si="121"/>
        <v>194076.57807333735</v>
      </c>
      <c r="BM111" s="25">
        <f t="shared" si="121"/>
        <v>194467.59301113736</v>
      </c>
      <c r="BN111" s="25">
        <f t="shared" si="121"/>
        <v>194859.39809868686</v>
      </c>
      <c r="BO111" s="25">
        <f t="shared" si="121"/>
        <v>195251.99494373435</v>
      </c>
      <c r="BP111" s="25">
        <f t="shared" si="121"/>
        <v>195645.38515730805</v>
      </c>
      <c r="BQ111" s="25">
        <f t="shared" si="121"/>
        <v>196039.57035372278</v>
      </c>
      <c r="BR111" s="25">
        <f t="shared" si="121"/>
        <v>196434.55215058869</v>
      </c>
      <c r="BS111" s="25">
        <f t="shared" si="121"/>
        <v>196830.33216881574</v>
      </c>
      <c r="BT111" s="25">
        <f t="shared" ref="BT111:CV111" si="122">SUM(BT109:BT110)</f>
        <v>197226.91203262171</v>
      </c>
      <c r="BU111" s="25">
        <f t="shared" si="122"/>
        <v>197624.29336953885</v>
      </c>
      <c r="BV111" s="25">
        <f t="shared" si="122"/>
        <v>198022.47781042018</v>
      </c>
      <c r="BW111" s="25">
        <f t="shared" si="122"/>
        <v>198421.46698944588</v>
      </c>
      <c r="BX111" s="25">
        <f t="shared" si="122"/>
        <v>198821.26254413184</v>
      </c>
      <c r="BY111" s="25">
        <f t="shared" si="122"/>
        <v>199221.86611533418</v>
      </c>
      <c r="BZ111" s="25">
        <f t="shared" si="122"/>
        <v>199623.27934725914</v>
      </c>
      <c r="CA111" s="25">
        <f t="shared" si="122"/>
        <v>200025.50388746569</v>
      </c>
      <c r="CB111" s="25">
        <f t="shared" si="122"/>
        <v>200428.54138687695</v>
      </c>
      <c r="CC111" s="25">
        <f t="shared" si="122"/>
        <v>200832.39349978321</v>
      </c>
      <c r="CD111" s="25">
        <f t="shared" si="122"/>
        <v>201237.06188385116</v>
      </c>
      <c r="CE111" s="25">
        <f t="shared" si="122"/>
        <v>201642.54820013075</v>
      </c>
      <c r="CF111" s="25">
        <f t="shared" si="122"/>
        <v>202048.8541130602</v>
      </c>
      <c r="CG111" s="25">
        <f t="shared" si="122"/>
        <v>202455.98129047491</v>
      </c>
      <c r="CH111" s="25">
        <f t="shared" si="122"/>
        <v>202863.93140361382</v>
      </c>
      <c r="CI111" s="25">
        <f t="shared" si="122"/>
        <v>203272.7061271258</v>
      </c>
      <c r="CJ111" s="25">
        <f t="shared" si="122"/>
        <v>203682.30713907725</v>
      </c>
      <c r="CK111" s="25">
        <f t="shared" si="122"/>
        <v>204092.73612095989</v>
      </c>
      <c r="CL111" s="25">
        <f t="shared" si="122"/>
        <v>204503.99475769466</v>
      </c>
      <c r="CM111" s="25">
        <f t="shared" si="122"/>
        <v>204916.08473764246</v>
      </c>
      <c r="CN111" s="25">
        <f t="shared" si="122"/>
        <v>205329.00775260935</v>
      </c>
      <c r="CO111" s="25">
        <f t="shared" si="122"/>
        <v>205742.76549785331</v>
      </c>
      <c r="CP111" s="25">
        <f t="shared" si="122"/>
        <v>206157.35967209286</v>
      </c>
      <c r="CQ111" s="25">
        <f t="shared" si="122"/>
        <v>206572.79197751108</v>
      </c>
      <c r="CR111" s="25">
        <f t="shared" si="122"/>
        <v>206989.06411976725</v>
      </c>
      <c r="CS111" s="25">
        <f t="shared" si="122"/>
        <v>207406.17780799916</v>
      </c>
      <c r="CT111" s="25">
        <f t="shared" si="122"/>
        <v>207824.13475483403</v>
      </c>
      <c r="CU111" s="25">
        <f t="shared" si="122"/>
        <v>208242.93667639277</v>
      </c>
      <c r="CV111" s="25">
        <f t="shared" si="122"/>
        <v>208662.58529230015</v>
      </c>
      <c r="CW111" s="25">
        <f t="shared" ref="CW111:EI111" si="123">SUM(CW109:CW110)</f>
        <v>209083.08232568824</v>
      </c>
      <c r="CX111" s="25">
        <f t="shared" si="123"/>
        <v>209504.42950320701</v>
      </c>
      <c r="CY111" s="25">
        <f t="shared" si="123"/>
        <v>209926.62855502954</v>
      </c>
      <c r="CZ111" s="25">
        <f t="shared" si="123"/>
        <v>210349.68121486038</v>
      </c>
      <c r="DA111" s="25">
        <f t="shared" si="123"/>
        <v>210773.58921994077</v>
      </c>
      <c r="DB111" s="25">
        <f t="shared" si="123"/>
        <v>211198.35431105967</v>
      </c>
      <c r="DC111" s="25">
        <f t="shared" si="123"/>
        <v>211623.97823255559</v>
      </c>
      <c r="DD111" s="25">
        <f t="shared" si="123"/>
        <v>212050.46273232941</v>
      </c>
      <c r="DE111" s="25">
        <f t="shared" si="123"/>
        <v>212477.80956184777</v>
      </c>
      <c r="DF111" s="25">
        <f t="shared" si="123"/>
        <v>212906.02047615289</v>
      </c>
      <c r="DG111" s="25">
        <f t="shared" si="123"/>
        <v>213335.09723386719</v>
      </c>
      <c r="DH111" s="25">
        <f t="shared" si="123"/>
        <v>213765.04159720259</v>
      </c>
      <c r="DI111" s="25">
        <f t="shared" si="123"/>
        <v>214195.85533196919</v>
      </c>
      <c r="DJ111" s="25">
        <f t="shared" si="123"/>
        <v>214627.54020757799</v>
      </c>
      <c r="DK111" s="25">
        <f t="shared" si="123"/>
        <v>215060.09799705289</v>
      </c>
      <c r="DL111" s="25">
        <f t="shared" si="123"/>
        <v>215493.53047703643</v>
      </c>
      <c r="DM111" s="25">
        <f t="shared" si="123"/>
        <v>215927.83942779599</v>
      </c>
      <c r="DN111" s="25">
        <f t="shared" si="123"/>
        <v>216363.02663323338</v>
      </c>
      <c r="DO111" s="25">
        <f t="shared" si="123"/>
        <v>216799.09388088895</v>
      </c>
      <c r="DP111" s="25">
        <f t="shared" si="123"/>
        <v>217236.04296195492</v>
      </c>
      <c r="DQ111" s="25">
        <f t="shared" si="123"/>
        <v>217673.87567127551</v>
      </c>
      <c r="DR111" s="25">
        <f t="shared" si="123"/>
        <v>218112.59380736007</v>
      </c>
      <c r="DS111" s="25">
        <f t="shared" si="123"/>
        <v>218552.19917238812</v>
      </c>
      <c r="DT111" s="25">
        <f t="shared" si="123"/>
        <v>218992.69357221737</v>
      </c>
      <c r="DU111" s="25">
        <f t="shared" si="123"/>
        <v>219434.0788163917</v>
      </c>
      <c r="DV111" s="25">
        <f t="shared" si="123"/>
        <v>219876.3567181461</v>
      </c>
      <c r="DW111" s="25">
        <f t="shared" si="123"/>
        <v>220319.52909441825</v>
      </c>
      <c r="DX111" s="25">
        <f t="shared" si="123"/>
        <v>220763.59776585444</v>
      </c>
      <c r="DY111" s="25">
        <f t="shared" si="123"/>
        <v>221208.56455681514</v>
      </c>
      <c r="DZ111" s="25">
        <f t="shared" si="123"/>
        <v>221654.43129538494</v>
      </c>
      <c r="EA111" s="25">
        <f t="shared" si="123"/>
        <v>222101.19981338034</v>
      </c>
      <c r="EB111" s="25">
        <f t="shared" si="123"/>
        <v>222548.87194635614</v>
      </c>
      <c r="EC111" s="25">
        <f t="shared" si="123"/>
        <v>222997.44953361206</v>
      </c>
      <c r="ED111" s="25">
        <f t="shared" si="123"/>
        <v>223446.93441820415</v>
      </c>
      <c r="EE111" s="25">
        <f t="shared" si="123"/>
        <v>223897.32844694876</v>
      </c>
      <c r="EF111" s="25">
        <f t="shared" si="123"/>
        <v>224348.63347043277</v>
      </c>
      <c r="EG111" s="25">
        <f t="shared" si="123"/>
        <v>224800.85134301751</v>
      </c>
      <c r="EH111" s="25">
        <f t="shared" si="123"/>
        <v>225253.98392285279</v>
      </c>
      <c r="EI111" s="25">
        <f t="shared" si="123"/>
        <v>225708.03307187778</v>
      </c>
      <c r="EJ111" s="24"/>
      <c r="EK111" s="24"/>
      <c r="EL111" s="24"/>
      <c r="EM111" s="1" t="s">
        <v>178</v>
      </c>
    </row>
    <row r="112" spans="2:143" s="8" customFormat="1" x14ac:dyDescent="0.45">
      <c r="B112" s="41">
        <f>SUM(H112:BO112)</f>
        <v>197374.67552320901</v>
      </c>
      <c r="D112" s="8" t="s">
        <v>210</v>
      </c>
      <c r="E112" s="186">
        <v>0.02</v>
      </c>
      <c r="F112" s="41"/>
      <c r="G112" s="41">
        <f>+$E$112*G111</f>
        <v>0</v>
      </c>
      <c r="H112" s="41">
        <f t="shared" ref="H112:BS112" si="124">+$E$112*H111</f>
        <v>2506.6013148000006</v>
      </c>
      <c r="I112" s="41">
        <f t="shared" si="124"/>
        <v>2414.5126393984497</v>
      </c>
      <c r="J112" s="41">
        <f t="shared" si="124"/>
        <v>2419.4752795336785</v>
      </c>
      <c r="K112" s="41">
        <f t="shared" si="124"/>
        <v>2367.6098309522749</v>
      </c>
      <c r="L112" s="41">
        <f t="shared" si="124"/>
        <v>2285.2943635836264</v>
      </c>
      <c r="M112" s="41">
        <f t="shared" si="124"/>
        <v>2375.2936238349112</v>
      </c>
      <c r="N112" s="41">
        <f t="shared" si="124"/>
        <v>2287.547939899795</v>
      </c>
      <c r="O112" s="41">
        <f t="shared" si="124"/>
        <v>2332.4900194939469</v>
      </c>
      <c r="P112" s="41">
        <f t="shared" si="124"/>
        <v>2378.2214790189578</v>
      </c>
      <c r="Q112" s="41">
        <f t="shared" si="124"/>
        <v>2374.8746025556106</v>
      </c>
      <c r="R112" s="41">
        <f t="shared" si="124"/>
        <v>2423.2493851878889</v>
      </c>
      <c r="S112" s="41">
        <f t="shared" si="124"/>
        <v>2604.5387614419974</v>
      </c>
      <c r="T112" s="41">
        <f t="shared" si="124"/>
        <v>2681.6695678191604</v>
      </c>
      <c r="U112" s="41">
        <f t="shared" si="124"/>
        <v>2757.401340165396</v>
      </c>
      <c r="V112" s="41">
        <f t="shared" si="124"/>
        <v>2820.8473473877366</v>
      </c>
      <c r="W112" s="41">
        <f t="shared" si="124"/>
        <v>2863.7855391903781</v>
      </c>
      <c r="X112" s="41">
        <f t="shared" si="124"/>
        <v>2862.2777470218148</v>
      </c>
      <c r="Y112" s="41">
        <f t="shared" si="124"/>
        <v>2852.402990464765</v>
      </c>
      <c r="Z112" s="41">
        <f t="shared" si="124"/>
        <v>2860.2299313154135</v>
      </c>
      <c r="AA112" s="41">
        <f t="shared" si="124"/>
        <v>2860.5702671889098</v>
      </c>
      <c r="AB112" s="41">
        <f t="shared" si="124"/>
        <v>2939.3076783229744</v>
      </c>
      <c r="AC112" s="41">
        <f t="shared" si="124"/>
        <v>3057.6544725053614</v>
      </c>
      <c r="AD112" s="41">
        <f t="shared" si="124"/>
        <v>3148.2789615407937</v>
      </c>
      <c r="AE112" s="41">
        <f t="shared" si="124"/>
        <v>3194.5193852427287</v>
      </c>
      <c r="AF112" s="41">
        <f t="shared" si="124"/>
        <v>3190.712295442614</v>
      </c>
      <c r="AG112" s="41">
        <f t="shared" si="124"/>
        <v>3140.1457181442902</v>
      </c>
      <c r="AH112" s="41">
        <f t="shared" si="124"/>
        <v>3161.5889297682747</v>
      </c>
      <c r="AI112" s="41">
        <f t="shared" si="124"/>
        <v>3316.1423529864446</v>
      </c>
      <c r="AJ112" s="41">
        <f t="shared" si="124"/>
        <v>3471.3112127935747</v>
      </c>
      <c r="AK112" s="41">
        <f t="shared" si="124"/>
        <v>3627.0973774333147</v>
      </c>
      <c r="AL112" s="41">
        <f t="shared" si="124"/>
        <v>3683.6468448436544</v>
      </c>
      <c r="AM112" s="41">
        <f t="shared" si="124"/>
        <v>3691.0673403233236</v>
      </c>
      <c r="AN112" s="41">
        <f t="shared" si="124"/>
        <v>3698.5028253657492</v>
      </c>
      <c r="AO112" s="41">
        <f t="shared" si="124"/>
        <v>3705.9533304661654</v>
      </c>
      <c r="AP112" s="41">
        <f t="shared" si="124"/>
        <v>3713.4188861820503</v>
      </c>
      <c r="AQ112" s="41">
        <f t="shared" si="124"/>
        <v>3720.8995231332347</v>
      </c>
      <c r="AR112" s="41">
        <f t="shared" si="124"/>
        <v>3728.3952720020079</v>
      </c>
      <c r="AS112" s="41">
        <f t="shared" si="124"/>
        <v>3735.9061635332778</v>
      </c>
      <c r="AT112" s="41">
        <f t="shared" si="124"/>
        <v>3743.4322285346479</v>
      </c>
      <c r="AU112" s="41">
        <f t="shared" si="124"/>
        <v>3750.9734978766169</v>
      </c>
      <c r="AV112" s="41">
        <f t="shared" si="124"/>
        <v>3758.5300024926482</v>
      </c>
      <c r="AW112" s="41">
        <f t="shared" si="124"/>
        <v>3766.1017733793115</v>
      </c>
      <c r="AX112" s="41">
        <f t="shared" si="124"/>
        <v>3773.6888415964449</v>
      </c>
      <c r="AY112" s="41">
        <f t="shared" si="124"/>
        <v>3781.2912382672221</v>
      </c>
      <c r="AZ112" s="41">
        <f t="shared" si="124"/>
        <v>3788.9089945783608</v>
      </c>
      <c r="BA112" s="41">
        <f t="shared" si="124"/>
        <v>3796.5421417801899</v>
      </c>
      <c r="BB112" s="41">
        <f t="shared" si="124"/>
        <v>3804.190711186789</v>
      </c>
      <c r="BC112" s="41">
        <f t="shared" si="124"/>
        <v>3811.8547341761373</v>
      </c>
      <c r="BD112" s="41">
        <f t="shared" si="124"/>
        <v>3819.5342421902556</v>
      </c>
      <c r="BE112" s="41">
        <f t="shared" si="124"/>
        <v>3827.229266735294</v>
      </c>
      <c r="BF112" s="41">
        <f t="shared" si="124"/>
        <v>3834.9398393816959</v>
      </c>
      <c r="BG112" s="41">
        <f t="shared" si="124"/>
        <v>3842.6659917643287</v>
      </c>
      <c r="BH112" s="41">
        <f t="shared" si="124"/>
        <v>3850.4077555825979</v>
      </c>
      <c r="BI112" s="41">
        <f t="shared" si="124"/>
        <v>3858.1651626005855</v>
      </c>
      <c r="BJ112" s="41">
        <f t="shared" si="124"/>
        <v>3865.9382446472014</v>
      </c>
      <c r="BK112" s="41">
        <f t="shared" si="124"/>
        <v>3873.7270336162796</v>
      </c>
      <c r="BL112" s="41">
        <f t="shared" si="124"/>
        <v>3881.531561466747</v>
      </c>
      <c r="BM112" s="41">
        <f t="shared" si="124"/>
        <v>3889.3518602227473</v>
      </c>
      <c r="BN112" s="41">
        <f t="shared" si="124"/>
        <v>3897.1879619737374</v>
      </c>
      <c r="BO112" s="41">
        <f t="shared" si="124"/>
        <v>3905.039898874687</v>
      </c>
      <c r="BP112" s="41">
        <f t="shared" si="124"/>
        <v>3912.9077031461611</v>
      </c>
      <c r="BQ112" s="41">
        <f t="shared" si="124"/>
        <v>3920.7914070744555</v>
      </c>
      <c r="BR112" s="41">
        <f t="shared" si="124"/>
        <v>3928.6910430117737</v>
      </c>
      <c r="BS112" s="41">
        <f t="shared" si="124"/>
        <v>3936.6066433763149</v>
      </c>
      <c r="BT112" s="41">
        <f t="shared" ref="BT112:CV112" si="125">+$E$112*BT111</f>
        <v>3944.5382406524341</v>
      </c>
      <c r="BU112" s="41">
        <f t="shared" si="125"/>
        <v>3952.485867390777</v>
      </c>
      <c r="BV112" s="41">
        <f t="shared" si="125"/>
        <v>3960.4495562084039</v>
      </c>
      <c r="BW112" s="41">
        <f t="shared" si="125"/>
        <v>3968.4293397889178</v>
      </c>
      <c r="BX112" s="41">
        <f t="shared" si="125"/>
        <v>3976.4252508826366</v>
      </c>
      <c r="BY112" s="41">
        <f t="shared" si="125"/>
        <v>3984.4373223066837</v>
      </c>
      <c r="BZ112" s="41">
        <f t="shared" si="125"/>
        <v>3992.4655869451831</v>
      </c>
      <c r="CA112" s="41">
        <f t="shared" si="125"/>
        <v>4000.510077749314</v>
      </c>
      <c r="CB112" s="41">
        <f t="shared" si="125"/>
        <v>4008.5708277375393</v>
      </c>
      <c r="CC112" s="41">
        <f t="shared" si="125"/>
        <v>4016.6478699956642</v>
      </c>
      <c r="CD112" s="41">
        <f t="shared" si="125"/>
        <v>4024.741237677023</v>
      </c>
      <c r="CE112" s="41">
        <f t="shared" si="125"/>
        <v>4032.850964002615</v>
      </c>
      <c r="CF112" s="41">
        <f t="shared" si="125"/>
        <v>4040.977082261204</v>
      </c>
      <c r="CG112" s="41">
        <f t="shared" si="125"/>
        <v>4049.1196258094983</v>
      </c>
      <c r="CH112" s="41">
        <f t="shared" si="125"/>
        <v>4057.2786280722767</v>
      </c>
      <c r="CI112" s="41">
        <f t="shared" si="125"/>
        <v>4065.454122542516</v>
      </c>
      <c r="CJ112" s="41">
        <f t="shared" si="125"/>
        <v>4073.6461427815452</v>
      </c>
      <c r="CK112" s="41">
        <f t="shared" si="125"/>
        <v>4081.854722419198</v>
      </c>
      <c r="CL112" s="41">
        <f t="shared" si="125"/>
        <v>4090.0798951538932</v>
      </c>
      <c r="CM112" s="41">
        <f t="shared" si="125"/>
        <v>4098.321694752849</v>
      </c>
      <c r="CN112" s="41">
        <f t="shared" si="125"/>
        <v>4106.5801550521874</v>
      </c>
      <c r="CO112" s="41">
        <f t="shared" si="125"/>
        <v>4114.8553099570663</v>
      </c>
      <c r="CP112" s="41">
        <f t="shared" si="125"/>
        <v>4123.1471934418569</v>
      </c>
      <c r="CQ112" s="41">
        <f t="shared" si="125"/>
        <v>4131.4558395502218</v>
      </c>
      <c r="CR112" s="41">
        <f t="shared" si="125"/>
        <v>4139.7812823953454</v>
      </c>
      <c r="CS112" s="41">
        <f t="shared" si="125"/>
        <v>4148.1235561599833</v>
      </c>
      <c r="CT112" s="41">
        <f t="shared" si="125"/>
        <v>4156.4826950966808</v>
      </c>
      <c r="CU112" s="41">
        <f t="shared" si="125"/>
        <v>4164.8587335278553</v>
      </c>
      <c r="CV112" s="41">
        <f t="shared" si="125"/>
        <v>4173.2517058460035</v>
      </c>
      <c r="CW112" s="41">
        <f t="shared" ref="CW112:EI112" si="126">+$E$112*CW111</f>
        <v>4181.6616465137649</v>
      </c>
      <c r="CX112" s="41">
        <f t="shared" si="126"/>
        <v>4190.0885900641406</v>
      </c>
      <c r="CY112" s="41">
        <f t="shared" si="126"/>
        <v>4198.5325711005908</v>
      </c>
      <c r="CZ112" s="41">
        <f t="shared" si="126"/>
        <v>4206.993624297208</v>
      </c>
      <c r="DA112" s="41">
        <f t="shared" si="126"/>
        <v>4215.4717843988155</v>
      </c>
      <c r="DB112" s="41">
        <f t="shared" si="126"/>
        <v>4223.9670862211933</v>
      </c>
      <c r="DC112" s="41">
        <f t="shared" si="126"/>
        <v>4232.479564651112</v>
      </c>
      <c r="DD112" s="41">
        <f t="shared" si="126"/>
        <v>4241.0092546465885</v>
      </c>
      <c r="DE112" s="41">
        <f t="shared" si="126"/>
        <v>4249.5561912369558</v>
      </c>
      <c r="DF112" s="41">
        <f t="shared" si="126"/>
        <v>4258.1204095230578</v>
      </c>
      <c r="DG112" s="41">
        <f t="shared" si="126"/>
        <v>4266.7019446773438</v>
      </c>
      <c r="DH112" s="41">
        <f t="shared" si="126"/>
        <v>4275.3008319440523</v>
      </c>
      <c r="DI112" s="41">
        <f t="shared" si="126"/>
        <v>4283.9171066393837</v>
      </c>
      <c r="DJ112" s="41">
        <f t="shared" si="126"/>
        <v>4292.5508041515595</v>
      </c>
      <c r="DK112" s="41">
        <f t="shared" si="126"/>
        <v>4301.2019599410578</v>
      </c>
      <c r="DL112" s="41">
        <f t="shared" si="126"/>
        <v>4309.8706095407288</v>
      </c>
      <c r="DM112" s="41">
        <f t="shared" si="126"/>
        <v>4318.5567885559194</v>
      </c>
      <c r="DN112" s="41">
        <f t="shared" si="126"/>
        <v>4327.2605326646681</v>
      </c>
      <c r="DO112" s="41">
        <f t="shared" si="126"/>
        <v>4335.981877617779</v>
      </c>
      <c r="DP112" s="41">
        <f t="shared" si="126"/>
        <v>4344.7208592390989</v>
      </c>
      <c r="DQ112" s="41">
        <f t="shared" si="126"/>
        <v>4353.4775134255106</v>
      </c>
      <c r="DR112" s="41">
        <f t="shared" si="126"/>
        <v>4362.2518761472011</v>
      </c>
      <c r="DS112" s="41">
        <f t="shared" si="126"/>
        <v>4371.0439834477629</v>
      </c>
      <c r="DT112" s="41">
        <f t="shared" si="126"/>
        <v>4379.8538714443475</v>
      </c>
      <c r="DU112" s="41">
        <f t="shared" si="126"/>
        <v>4388.6815763278346</v>
      </c>
      <c r="DV112" s="41">
        <f t="shared" si="126"/>
        <v>4397.527134362922</v>
      </c>
      <c r="DW112" s="41">
        <f t="shared" si="126"/>
        <v>4406.390581888365</v>
      </c>
      <c r="DX112" s="41">
        <f t="shared" si="126"/>
        <v>4415.2719553170891</v>
      </c>
      <c r="DY112" s="41">
        <f t="shared" si="126"/>
        <v>4424.1712911363029</v>
      </c>
      <c r="DZ112" s="41">
        <f t="shared" si="126"/>
        <v>4433.0886259076988</v>
      </c>
      <c r="EA112" s="41">
        <f t="shared" si="126"/>
        <v>4442.0239962676069</v>
      </c>
      <c r="EB112" s="41">
        <f t="shared" si="126"/>
        <v>4450.9774389271233</v>
      </c>
      <c r="EC112" s="41">
        <f t="shared" si="126"/>
        <v>4459.9489906722411</v>
      </c>
      <c r="ED112" s="41">
        <f t="shared" si="126"/>
        <v>4468.9386883640827</v>
      </c>
      <c r="EE112" s="41">
        <f t="shared" si="126"/>
        <v>4477.9465689389754</v>
      </c>
      <c r="EF112" s="41">
        <f t="shared" si="126"/>
        <v>4486.9726694086557</v>
      </c>
      <c r="EG112" s="41">
        <f t="shared" si="126"/>
        <v>4496.0170268603506</v>
      </c>
      <c r="EH112" s="41">
        <f t="shared" si="126"/>
        <v>4505.0796784570557</v>
      </c>
      <c r="EI112" s="41">
        <f t="shared" si="126"/>
        <v>4514.160661437556</v>
      </c>
      <c r="EJ112" s="41"/>
      <c r="EK112" s="41"/>
      <c r="EL112" s="41"/>
      <c r="EM112" s="1" t="s">
        <v>178</v>
      </c>
    </row>
    <row r="113" spans="4:143" x14ac:dyDescent="0.45"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1" t="s">
        <v>178</v>
      </c>
    </row>
    <row r="114" spans="4:143" x14ac:dyDescent="0.45">
      <c r="D114" s="8" t="s">
        <v>325</v>
      </c>
      <c r="E114" s="24"/>
      <c r="F114" s="24"/>
      <c r="G114" s="24">
        <f t="shared" ref="G114:AL114" si="127">+G65-G112</f>
        <v>-5340556.2753367089</v>
      </c>
      <c r="H114" s="24">
        <f t="shared" si="127"/>
        <v>-572310.93119583989</v>
      </c>
      <c r="I114" s="24">
        <f t="shared" si="127"/>
        <v>-25414.597409650549</v>
      </c>
      <c r="J114" s="24">
        <f t="shared" si="127"/>
        <v>-25217.107442723533</v>
      </c>
      <c r="K114" s="24">
        <f t="shared" si="127"/>
        <v>-27505.666313701633</v>
      </c>
      <c r="L114" s="24">
        <f t="shared" si="127"/>
        <v>-92382.088051610059</v>
      </c>
      <c r="M114" s="24">
        <f t="shared" si="127"/>
        <v>-58279.277318902452</v>
      </c>
      <c r="N114" s="24">
        <f t="shared" si="127"/>
        <v>-30909.350860538416</v>
      </c>
      <c r="O114" s="24">
        <f t="shared" si="127"/>
        <v>-28830.916972141629</v>
      </c>
      <c r="P114" s="24">
        <f t="shared" si="127"/>
        <v>-26715.209881863735</v>
      </c>
      <c r="Q114" s="24">
        <f t="shared" si="127"/>
        <v>-46812.728524960221</v>
      </c>
      <c r="R114" s="24">
        <f t="shared" si="127"/>
        <v>-24572.279925768766</v>
      </c>
      <c r="S114" s="24">
        <f t="shared" si="127"/>
        <v>-15084.667635815664</v>
      </c>
      <c r="T114" s="24">
        <f t="shared" si="127"/>
        <v>-11586.077770324908</v>
      </c>
      <c r="U114" s="24">
        <f t="shared" si="127"/>
        <v>-8153.3736930275918</v>
      </c>
      <c r="V114" s="24">
        <f t="shared" si="127"/>
        <v>-5298.2307694213614</v>
      </c>
      <c r="W114" s="24">
        <f t="shared" si="127"/>
        <v>-3312.8656457211896</v>
      </c>
      <c r="X114" s="24">
        <f t="shared" si="127"/>
        <v>-3321.9001334578256</v>
      </c>
      <c r="Y114" s="24">
        <f t="shared" si="127"/>
        <v>-3723.6796563973567</v>
      </c>
      <c r="Z114" s="24">
        <f t="shared" si="127"/>
        <v>-3292.9744986522755</v>
      </c>
      <c r="AA114" s="24">
        <f t="shared" si="127"/>
        <v>-3213.632246609151</v>
      </c>
      <c r="AB114" s="24">
        <f t="shared" si="127"/>
        <v>360.86973324913106</v>
      </c>
      <c r="AC114" s="24">
        <f t="shared" si="127"/>
        <v>5701.7273294838305</v>
      </c>
      <c r="AD114" s="24">
        <f t="shared" si="127"/>
        <v>9834.5233403366074</v>
      </c>
      <c r="AE114" s="24">
        <f t="shared" si="127"/>
        <v>-42273.368042250731</v>
      </c>
      <c r="AF114" s="24">
        <f t="shared" si="127"/>
        <v>18146.507726895936</v>
      </c>
      <c r="AG114" s="24">
        <f t="shared" si="127"/>
        <v>15875.019103195016</v>
      </c>
      <c r="AH114" s="24">
        <f t="shared" si="127"/>
        <v>16796.564086913502</v>
      </c>
      <c r="AI114" s="24">
        <f t="shared" si="127"/>
        <v>23685.783839583131</v>
      </c>
      <c r="AJ114" s="24">
        <f t="shared" si="127"/>
        <v>30602.823857759518</v>
      </c>
      <c r="AK114" s="24">
        <f t="shared" si="127"/>
        <v>37547.76930580008</v>
      </c>
      <c r="AL114" s="24">
        <f t="shared" si="127"/>
        <v>39924.081297027638</v>
      </c>
      <c r="AM114" s="24">
        <f t="shared" ref="AM114:BR114" si="128">+AM65-AM112</f>
        <v>40184.066137361631</v>
      </c>
      <c r="AN114" s="24">
        <f t="shared" si="128"/>
        <v>5339.8621992058997</v>
      </c>
      <c r="AO114" s="24">
        <f t="shared" si="128"/>
        <v>47717.885483080121</v>
      </c>
      <c r="AP114" s="24">
        <f t="shared" si="128"/>
        <v>47979.543522048778</v>
      </c>
      <c r="AQ114" s="24">
        <f t="shared" si="128"/>
        <v>7237805.309918372</v>
      </c>
      <c r="AR114" s="24">
        <f t="shared" si="128"/>
        <v>21952.459904414776</v>
      </c>
      <c r="AS114" s="24">
        <f t="shared" si="128"/>
        <v>22215.801867369388</v>
      </c>
      <c r="AT114" s="24">
        <f t="shared" si="128"/>
        <v>22479.707533520334</v>
      </c>
      <c r="AU114" s="24">
        <f t="shared" si="128"/>
        <v>22744.178104697905</v>
      </c>
      <c r="AV114" s="24">
        <f t="shared" si="128"/>
        <v>23009.214785276574</v>
      </c>
      <c r="AW114" s="24">
        <f t="shared" si="128"/>
        <v>23274.818782180973</v>
      </c>
      <c r="AX114" s="24">
        <f t="shared" si="128"/>
        <v>23540.991304892897</v>
      </c>
      <c r="AY114" s="24">
        <f t="shared" si="128"/>
        <v>23807.733565453589</v>
      </c>
      <c r="AZ114" s="24">
        <f t="shared" si="128"/>
        <v>24075.04677847297</v>
      </c>
      <c r="BA114" s="24">
        <f t="shared" si="128"/>
        <v>24342.93216113215</v>
      </c>
      <c r="BB114" s="24">
        <f t="shared" si="128"/>
        <v>24611.390933189094</v>
      </c>
      <c r="BC114" s="24">
        <f t="shared" si="128"/>
        <v>24880.424316985187</v>
      </c>
      <c r="BD114" s="24">
        <f t="shared" si="128"/>
        <v>25150.033537450981</v>
      </c>
      <c r="BE114" s="24">
        <f t="shared" si="128"/>
        <v>25420.219822109706</v>
      </c>
      <c r="BF114" s="24">
        <f t="shared" si="128"/>
        <v>25690.984401084228</v>
      </c>
      <c r="BG114" s="24">
        <f t="shared" si="128"/>
        <v>25962.328507102578</v>
      </c>
      <c r="BH114" s="24">
        <f t="shared" si="128"/>
        <v>26234.253375502591</v>
      </c>
      <c r="BI114" s="24">
        <f t="shared" si="128"/>
        <v>26506.760244237597</v>
      </c>
      <c r="BJ114" s="24">
        <f t="shared" si="128"/>
        <v>26779.850353882917</v>
      </c>
      <c r="BK114" s="24">
        <f t="shared" si="128"/>
        <v>27053.524947639762</v>
      </c>
      <c r="BL114" s="24">
        <f t="shared" si="128"/>
        <v>27327.785271342233</v>
      </c>
      <c r="BM114" s="24">
        <f t="shared" si="128"/>
        <v>27602.632573462612</v>
      </c>
      <c r="BN114" s="24">
        <f t="shared" si="128"/>
        <v>27878.068105115242</v>
      </c>
      <c r="BO114" s="24">
        <f t="shared" si="128"/>
        <v>9684711.9097065255</v>
      </c>
      <c r="BP114" s="24">
        <f t="shared" si="128"/>
        <v>-3912.9077031461611</v>
      </c>
      <c r="BQ114" s="24">
        <f t="shared" si="128"/>
        <v>-3920.7914070744555</v>
      </c>
      <c r="BR114" s="24">
        <f t="shared" si="128"/>
        <v>-3928.6910430117737</v>
      </c>
      <c r="BS114" s="24">
        <f t="shared" ref="BS114:CX114" si="129">+BS65-BS112</f>
        <v>-3936.6066433763149</v>
      </c>
      <c r="BT114" s="24">
        <f t="shared" si="129"/>
        <v>-3944.5382406524341</v>
      </c>
      <c r="BU114" s="24">
        <f t="shared" si="129"/>
        <v>-3952.485867390777</v>
      </c>
      <c r="BV114" s="24">
        <f t="shared" si="129"/>
        <v>-3960.4495562084039</v>
      </c>
      <c r="BW114" s="24">
        <f t="shared" si="129"/>
        <v>-3968.4293397889178</v>
      </c>
      <c r="BX114" s="24">
        <f t="shared" si="129"/>
        <v>-3976.4252508826366</v>
      </c>
      <c r="BY114" s="24">
        <f t="shared" si="129"/>
        <v>-3984.4373223066837</v>
      </c>
      <c r="BZ114" s="24">
        <f t="shared" si="129"/>
        <v>-3992.4655869451831</v>
      </c>
      <c r="CA114" s="24">
        <f t="shared" si="129"/>
        <v>-4000.510077749314</v>
      </c>
      <c r="CB114" s="24">
        <f t="shared" si="129"/>
        <v>-4008.5708277375393</v>
      </c>
      <c r="CC114" s="24">
        <f t="shared" si="129"/>
        <v>-4016.6478699956642</v>
      </c>
      <c r="CD114" s="24">
        <f t="shared" si="129"/>
        <v>-4024.741237677023</v>
      </c>
      <c r="CE114" s="24">
        <f t="shared" si="129"/>
        <v>-4032.850964002615</v>
      </c>
      <c r="CF114" s="24">
        <f t="shared" si="129"/>
        <v>-4040.977082261204</v>
      </c>
      <c r="CG114" s="24">
        <f t="shared" si="129"/>
        <v>-4049.1196258094983</v>
      </c>
      <c r="CH114" s="24">
        <f t="shared" si="129"/>
        <v>-4057.2786280722767</v>
      </c>
      <c r="CI114" s="24">
        <f t="shared" si="129"/>
        <v>-4065.454122542516</v>
      </c>
      <c r="CJ114" s="24">
        <f t="shared" si="129"/>
        <v>-4073.6461427815452</v>
      </c>
      <c r="CK114" s="24">
        <f t="shared" si="129"/>
        <v>-4081.854722419198</v>
      </c>
      <c r="CL114" s="24">
        <f t="shared" si="129"/>
        <v>-4090.0798951538932</v>
      </c>
      <c r="CM114" s="24">
        <f t="shared" si="129"/>
        <v>-4098.321694752849</v>
      </c>
      <c r="CN114" s="24">
        <f t="shared" si="129"/>
        <v>-4106.5801550521874</v>
      </c>
      <c r="CO114" s="24">
        <f t="shared" si="129"/>
        <v>-4114.8553099570663</v>
      </c>
      <c r="CP114" s="24">
        <f t="shared" si="129"/>
        <v>-4123.1471934418569</v>
      </c>
      <c r="CQ114" s="24">
        <f t="shared" si="129"/>
        <v>-4131.4558395502218</v>
      </c>
      <c r="CR114" s="24">
        <f t="shared" si="129"/>
        <v>-4139.7812823953454</v>
      </c>
      <c r="CS114" s="24">
        <f t="shared" si="129"/>
        <v>-4148.1235561599833</v>
      </c>
      <c r="CT114" s="24">
        <f t="shared" si="129"/>
        <v>-4156.4826950966808</v>
      </c>
      <c r="CU114" s="24">
        <f t="shared" si="129"/>
        <v>-4164.8587335278553</v>
      </c>
      <c r="CV114" s="24">
        <f t="shared" si="129"/>
        <v>-4173.2517058460035</v>
      </c>
      <c r="CW114" s="24">
        <f t="shared" si="129"/>
        <v>-4181.6616465137649</v>
      </c>
      <c r="CX114" s="24">
        <f t="shared" si="129"/>
        <v>-4190.0885900641406</v>
      </c>
      <c r="CY114" s="24">
        <f t="shared" ref="CY114:EI114" si="130">+CY65-CY112</f>
        <v>-4198.5325711005908</v>
      </c>
      <c r="CZ114" s="24">
        <f t="shared" si="130"/>
        <v>-4206.993624297208</v>
      </c>
      <c r="DA114" s="24">
        <f t="shared" si="130"/>
        <v>-4215.4717843988155</v>
      </c>
      <c r="DB114" s="24">
        <f t="shared" si="130"/>
        <v>-4223.9670862211933</v>
      </c>
      <c r="DC114" s="24">
        <f t="shared" si="130"/>
        <v>-4232.479564651112</v>
      </c>
      <c r="DD114" s="24">
        <f t="shared" si="130"/>
        <v>-4241.0092546465885</v>
      </c>
      <c r="DE114" s="24">
        <f t="shared" si="130"/>
        <v>-4249.5561912369558</v>
      </c>
      <c r="DF114" s="24">
        <f t="shared" si="130"/>
        <v>-4258.1204095230578</v>
      </c>
      <c r="DG114" s="24">
        <f t="shared" si="130"/>
        <v>-4266.7019446773438</v>
      </c>
      <c r="DH114" s="24">
        <f t="shared" si="130"/>
        <v>-4275.3008319440523</v>
      </c>
      <c r="DI114" s="24">
        <f t="shared" si="130"/>
        <v>-4283.9171066393837</v>
      </c>
      <c r="DJ114" s="24">
        <f t="shared" si="130"/>
        <v>-4292.5508041515595</v>
      </c>
      <c r="DK114" s="24">
        <f t="shared" si="130"/>
        <v>-4301.2019599410578</v>
      </c>
      <c r="DL114" s="24">
        <f t="shared" si="130"/>
        <v>-4309.8706095407288</v>
      </c>
      <c r="DM114" s="24">
        <f t="shared" si="130"/>
        <v>-4318.5567885559194</v>
      </c>
      <c r="DN114" s="24">
        <f t="shared" si="130"/>
        <v>-4327.2605326646681</v>
      </c>
      <c r="DO114" s="24">
        <f t="shared" si="130"/>
        <v>-4335.981877617779</v>
      </c>
      <c r="DP114" s="24">
        <f t="shared" si="130"/>
        <v>-4344.7208592390989</v>
      </c>
      <c r="DQ114" s="24">
        <f t="shared" si="130"/>
        <v>-4353.4775134255106</v>
      </c>
      <c r="DR114" s="24">
        <f t="shared" si="130"/>
        <v>-4362.2518761472011</v>
      </c>
      <c r="DS114" s="24">
        <f t="shared" si="130"/>
        <v>-4371.0439834477629</v>
      </c>
      <c r="DT114" s="24">
        <f t="shared" si="130"/>
        <v>-4379.8538714443475</v>
      </c>
      <c r="DU114" s="24">
        <f t="shared" si="130"/>
        <v>-4388.6815763278346</v>
      </c>
      <c r="DV114" s="24">
        <f t="shared" si="130"/>
        <v>-4397.527134362922</v>
      </c>
      <c r="DW114" s="24">
        <f t="shared" si="130"/>
        <v>-4406.390581888365</v>
      </c>
      <c r="DX114" s="24">
        <f t="shared" si="130"/>
        <v>-4415.2719553170891</v>
      </c>
      <c r="DY114" s="24">
        <f t="shared" si="130"/>
        <v>-4424.1712911363029</v>
      </c>
      <c r="DZ114" s="24">
        <f t="shared" si="130"/>
        <v>-4433.0886259076988</v>
      </c>
      <c r="EA114" s="24">
        <f t="shared" si="130"/>
        <v>-4442.0239962676069</v>
      </c>
      <c r="EB114" s="24">
        <f t="shared" si="130"/>
        <v>-4450.9774389271233</v>
      </c>
      <c r="EC114" s="24">
        <f t="shared" si="130"/>
        <v>-4459.9489906722411</v>
      </c>
      <c r="ED114" s="24">
        <f t="shared" si="130"/>
        <v>-4468.9386883640827</v>
      </c>
      <c r="EE114" s="24">
        <f t="shared" si="130"/>
        <v>-4477.9465689389754</v>
      </c>
      <c r="EF114" s="24">
        <f t="shared" si="130"/>
        <v>-4486.9726694086557</v>
      </c>
      <c r="EG114" s="24">
        <f t="shared" si="130"/>
        <v>-4496.0170268603506</v>
      </c>
      <c r="EH114" s="24">
        <f t="shared" si="130"/>
        <v>-4505.0796784570557</v>
      </c>
      <c r="EI114" s="24">
        <f t="shared" si="130"/>
        <v>-4514.160661437556</v>
      </c>
      <c r="EJ114" s="24"/>
      <c r="EK114" s="24"/>
      <c r="EL114" s="24"/>
    </row>
    <row r="115" spans="4:143" x14ac:dyDescent="0.45"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</row>
    <row r="116" spans="4:143" x14ac:dyDescent="0.45"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</row>
    <row r="117" spans="4:143" x14ac:dyDescent="0.45">
      <c r="D117" s="74" t="s">
        <v>184</v>
      </c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  <c r="BJ117" s="167"/>
      <c r="BK117" s="167"/>
      <c r="BL117" s="167"/>
      <c r="BM117" s="167"/>
      <c r="BN117" s="167"/>
      <c r="BO117" s="167"/>
      <c r="BP117" s="167"/>
      <c r="BQ117" s="167"/>
      <c r="BR117" s="167"/>
      <c r="BS117" s="167"/>
      <c r="BT117" s="167"/>
      <c r="BU117" s="167"/>
      <c r="BV117" s="167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  <c r="CO117" s="167"/>
      <c r="CP117" s="167"/>
      <c r="CQ117" s="167"/>
      <c r="CR117" s="167"/>
      <c r="CS117" s="167"/>
      <c r="CT117" s="167"/>
      <c r="CU117" s="167"/>
      <c r="CV117" s="167"/>
      <c r="CW117" s="167"/>
      <c r="CX117" s="167"/>
      <c r="CY117" s="167"/>
      <c r="CZ117" s="167"/>
      <c r="DA117" s="167"/>
      <c r="DB117" s="167"/>
      <c r="DC117" s="167"/>
      <c r="DD117" s="167"/>
      <c r="DE117" s="167"/>
      <c r="DF117" s="167"/>
      <c r="DG117" s="167"/>
      <c r="DH117" s="167"/>
      <c r="DI117" s="167"/>
      <c r="DJ117" s="167"/>
      <c r="DK117" s="167"/>
      <c r="DL117" s="167"/>
      <c r="DM117" s="167"/>
      <c r="DN117" s="167"/>
      <c r="DO117" s="167"/>
      <c r="DP117" s="167"/>
      <c r="DQ117" s="167"/>
      <c r="DR117" s="167"/>
      <c r="DS117" s="167"/>
      <c r="DT117" s="167"/>
      <c r="DU117" s="167"/>
      <c r="DV117" s="167"/>
      <c r="DW117" s="167"/>
      <c r="DX117" s="167"/>
      <c r="DY117" s="167"/>
      <c r="DZ117" s="167"/>
      <c r="EA117" s="167"/>
      <c r="EB117" s="167"/>
      <c r="EC117" s="167"/>
      <c r="ED117" s="167"/>
      <c r="EE117" s="167"/>
      <c r="EF117" s="167"/>
      <c r="EG117" s="167"/>
      <c r="EH117" s="167"/>
      <c r="EI117" s="167"/>
      <c r="EJ117" s="24"/>
      <c r="EK117" s="24"/>
      <c r="EL117" s="24"/>
      <c r="EM117" s="1" t="s">
        <v>178</v>
      </c>
    </row>
    <row r="118" spans="4:143" x14ac:dyDescent="0.45">
      <c r="D118" s="1" t="s">
        <v>184</v>
      </c>
      <c r="E118" s="24"/>
      <c r="F118" s="24"/>
      <c r="G118" s="24">
        <v>0</v>
      </c>
      <c r="H118" s="24">
        <f>+G122</f>
        <v>6794409.477995934</v>
      </c>
      <c r="I118" s="24">
        <f t="shared" ref="I118:T118" si="131">+H122</f>
        <v>6848589.0533049479</v>
      </c>
      <c r="J118" s="24">
        <f t="shared" si="131"/>
        <v>6903200.6641558548</v>
      </c>
      <c r="K118" s="24">
        <f t="shared" si="131"/>
        <v>6958247.7556607351</v>
      </c>
      <c r="L118" s="24">
        <f t="shared" si="131"/>
        <v>7013733.8004034786</v>
      </c>
      <c r="M118" s="24">
        <f t="shared" si="131"/>
        <v>7069662.298658845</v>
      </c>
      <c r="N118" s="24">
        <f t="shared" si="131"/>
        <v>7126036.7786132768</v>
      </c>
      <c r="O118" s="24">
        <f t="shared" si="131"/>
        <v>7182860.7965874719</v>
      </c>
      <c r="P118" s="24">
        <f t="shared" si="131"/>
        <v>7240137.9372607283</v>
      </c>
      <c r="Q118" s="24">
        <f t="shared" si="131"/>
        <v>7297871.8138970789</v>
      </c>
      <c r="R118" s="24">
        <f t="shared" si="131"/>
        <v>7356066.0685732327</v>
      </c>
      <c r="S118" s="24">
        <f t="shared" si="131"/>
        <v>7414724.3724083295</v>
      </c>
      <c r="T118" s="24">
        <f t="shared" si="131"/>
        <v>7473850.425795529</v>
      </c>
      <c r="U118" s="24">
        <f t="shared" ref="U118:CF118" si="132">+T122</f>
        <v>7533447.9586354448</v>
      </c>
      <c r="V118" s="24">
        <f t="shared" si="132"/>
        <v>7593520.7305714423</v>
      </c>
      <c r="W118" s="24">
        <f t="shared" si="132"/>
        <v>7654072.531226811</v>
      </c>
      <c r="X118" s="24">
        <f t="shared" si="132"/>
        <v>7715107.1804438289</v>
      </c>
      <c r="Y118" s="24">
        <f t="shared" si="132"/>
        <v>7776628.5285247322</v>
      </c>
      <c r="Z118" s="24">
        <f t="shared" si="132"/>
        <v>7838640.4564746078</v>
      </c>
      <c r="AA118" s="24">
        <f t="shared" si="132"/>
        <v>7901146.8762462223</v>
      </c>
      <c r="AB118" s="24">
        <f t="shared" si="132"/>
        <v>7964151.7309868038</v>
      </c>
      <c r="AC118" s="24">
        <f t="shared" si="132"/>
        <v>8027298.1255535409</v>
      </c>
      <c r="AD118" s="24">
        <f t="shared" si="132"/>
        <v>8085607.2007418964</v>
      </c>
      <c r="AE118" s="24">
        <f t="shared" si="132"/>
        <v>8140248.4446732309</v>
      </c>
      <c r="AF118" s="24">
        <f t="shared" si="132"/>
        <v>8205159.9288972206</v>
      </c>
      <c r="AG118" s="24">
        <f t="shared" si="132"/>
        <v>8252442.5186849656</v>
      </c>
      <c r="AH118" s="24">
        <f t="shared" si="132"/>
        <v>8302373.6351072211</v>
      </c>
      <c r="AI118" s="24">
        <f t="shared" si="132"/>
        <v>8351781.3642798811</v>
      </c>
      <c r="AJ118" s="24">
        <f t="shared" si="132"/>
        <v>8394693.8578705676</v>
      </c>
      <c r="AK118" s="24">
        <f t="shared" si="132"/>
        <v>8431031.501693124</v>
      </c>
      <c r="AL118" s="24">
        <f t="shared" si="132"/>
        <v>8460713.9615423363</v>
      </c>
      <c r="AM118" s="24">
        <f t="shared" si="132"/>
        <v>8488256.8015034348</v>
      </c>
      <c r="AN118" s="24">
        <f t="shared" si="132"/>
        <v>8515759.2870978583</v>
      </c>
      <c r="AO118" s="24">
        <f t="shared" si="132"/>
        <v>8578325.2853127122</v>
      </c>
      <c r="AP118" s="24">
        <f t="shared" si="132"/>
        <v>8599012.1702995319</v>
      </c>
      <c r="AQ118" s="24">
        <f t="shared" si="132"/>
        <v>8619602.3573733047</v>
      </c>
      <c r="AR118" s="24">
        <f t="shared" si="132"/>
        <v>1450530.9670939371</v>
      </c>
      <c r="AS118" s="24">
        <f t="shared" si="132"/>
        <v>1440145.2448176029</v>
      </c>
      <c r="AT118" s="24">
        <f t="shared" si="132"/>
        <v>1429413.3633704272</v>
      </c>
      <c r="AU118" s="24">
        <f t="shared" si="132"/>
        <v>1418331.9987273742</v>
      </c>
      <c r="AV118" s="24">
        <f t="shared" si="132"/>
        <v>1406897.7991553361</v>
      </c>
      <c r="AW118" s="24">
        <f t="shared" si="132"/>
        <v>1395107.3849896397</v>
      </c>
      <c r="AX118" s="24">
        <f t="shared" si="132"/>
        <v>1382957.3484087668</v>
      </c>
      <c r="AY118" s="24">
        <f t="shared" si="132"/>
        <v>1370444.2532072698</v>
      </c>
      <c r="AZ118" s="24">
        <f t="shared" si="132"/>
        <v>1357564.6345668752</v>
      </c>
      <c r="BA118" s="24">
        <f t="shared" si="132"/>
        <v>1344314.9988257517</v>
      </c>
      <c r="BB118" s="24">
        <f t="shared" si="132"/>
        <v>1330691.8232459377</v>
      </c>
      <c r="BC118" s="24">
        <f t="shared" si="132"/>
        <v>1316691.5557789057</v>
      </c>
      <c r="BD118" s="24">
        <f t="shared" si="132"/>
        <v>1302310.6148292532</v>
      </c>
      <c r="BE118" s="24">
        <f t="shared" si="132"/>
        <v>1287545.3890165028</v>
      </c>
      <c r="BF118" s="24">
        <f t="shared" si="132"/>
        <v>1272392.2369349983</v>
      </c>
      <c r="BG118" s="24">
        <f t="shared" si="132"/>
        <v>1256847.4869118808</v>
      </c>
      <c r="BH118" s="24">
        <f t="shared" si="132"/>
        <v>1240907.4367631283</v>
      </c>
      <c r="BI118" s="24">
        <f t="shared" si="132"/>
        <v>1224568.353547646</v>
      </c>
      <c r="BJ118" s="24">
        <f t="shared" si="132"/>
        <v>1207826.4733193889</v>
      </c>
      <c r="BK118" s="24">
        <f t="shared" si="132"/>
        <v>1190678.0008775024</v>
      </c>
      <c r="BL118" s="24">
        <f t="shared" si="132"/>
        <v>1173119.1095144663</v>
      </c>
      <c r="BM118" s="24">
        <f t="shared" si="132"/>
        <v>1155145.940762223</v>
      </c>
      <c r="BN118" s="24">
        <f t="shared" si="132"/>
        <v>1136754.6041362765</v>
      </c>
      <c r="BO118" s="24">
        <f t="shared" si="132"/>
        <v>1117941.1768777468</v>
      </c>
      <c r="BP118" s="24">
        <f t="shared" si="132"/>
        <v>0</v>
      </c>
      <c r="BQ118" s="24">
        <f t="shared" si="132"/>
        <v>0</v>
      </c>
      <c r="BR118" s="24">
        <f t="shared" si="132"/>
        <v>0</v>
      </c>
      <c r="BS118" s="24">
        <f t="shared" si="132"/>
        <v>0</v>
      </c>
      <c r="BT118" s="24">
        <f t="shared" si="132"/>
        <v>0</v>
      </c>
      <c r="BU118" s="24">
        <f t="shared" si="132"/>
        <v>0</v>
      </c>
      <c r="BV118" s="24">
        <f t="shared" si="132"/>
        <v>0</v>
      </c>
      <c r="BW118" s="24">
        <f t="shared" si="132"/>
        <v>0</v>
      </c>
      <c r="BX118" s="24">
        <f t="shared" si="132"/>
        <v>0</v>
      </c>
      <c r="BY118" s="24">
        <f t="shared" si="132"/>
        <v>0</v>
      </c>
      <c r="BZ118" s="24">
        <f t="shared" si="132"/>
        <v>0</v>
      </c>
      <c r="CA118" s="24">
        <f t="shared" si="132"/>
        <v>0</v>
      </c>
      <c r="CB118" s="24">
        <f t="shared" si="132"/>
        <v>0</v>
      </c>
      <c r="CC118" s="24">
        <f t="shared" si="132"/>
        <v>0</v>
      </c>
      <c r="CD118" s="24">
        <f t="shared" si="132"/>
        <v>0</v>
      </c>
      <c r="CE118" s="24">
        <f t="shared" si="132"/>
        <v>0</v>
      </c>
      <c r="CF118" s="24">
        <f t="shared" si="132"/>
        <v>0</v>
      </c>
      <c r="CG118" s="24">
        <f t="shared" ref="CG118:CV118" si="133">+CF122</f>
        <v>0</v>
      </c>
      <c r="CH118" s="24">
        <f t="shared" si="133"/>
        <v>0</v>
      </c>
      <c r="CI118" s="24">
        <f t="shared" si="133"/>
        <v>0</v>
      </c>
      <c r="CJ118" s="24">
        <f t="shared" si="133"/>
        <v>0</v>
      </c>
      <c r="CK118" s="24">
        <f t="shared" si="133"/>
        <v>0</v>
      </c>
      <c r="CL118" s="24">
        <f t="shared" si="133"/>
        <v>0</v>
      </c>
      <c r="CM118" s="24">
        <f t="shared" si="133"/>
        <v>0</v>
      </c>
      <c r="CN118" s="24">
        <f t="shared" si="133"/>
        <v>0</v>
      </c>
      <c r="CO118" s="24">
        <f t="shared" si="133"/>
        <v>0</v>
      </c>
      <c r="CP118" s="24">
        <f t="shared" si="133"/>
        <v>0</v>
      </c>
      <c r="CQ118" s="24">
        <f t="shared" si="133"/>
        <v>0</v>
      </c>
      <c r="CR118" s="24">
        <f t="shared" si="133"/>
        <v>0</v>
      </c>
      <c r="CS118" s="24">
        <f t="shared" si="133"/>
        <v>0</v>
      </c>
      <c r="CT118" s="24">
        <f t="shared" si="133"/>
        <v>0</v>
      </c>
      <c r="CU118" s="24">
        <f t="shared" si="133"/>
        <v>0</v>
      </c>
      <c r="CV118" s="24">
        <f t="shared" si="133"/>
        <v>0</v>
      </c>
      <c r="CW118" s="24">
        <f t="shared" ref="CW118:EI118" si="134">+CV122</f>
        <v>0</v>
      </c>
      <c r="CX118" s="24">
        <f t="shared" si="134"/>
        <v>0</v>
      </c>
      <c r="CY118" s="24">
        <f t="shared" si="134"/>
        <v>0</v>
      </c>
      <c r="CZ118" s="24">
        <f t="shared" si="134"/>
        <v>0</v>
      </c>
      <c r="DA118" s="24">
        <f t="shared" si="134"/>
        <v>0</v>
      </c>
      <c r="DB118" s="24">
        <f t="shared" si="134"/>
        <v>0</v>
      </c>
      <c r="DC118" s="24">
        <f t="shared" si="134"/>
        <v>0</v>
      </c>
      <c r="DD118" s="24">
        <f t="shared" si="134"/>
        <v>0</v>
      </c>
      <c r="DE118" s="24">
        <f t="shared" si="134"/>
        <v>0</v>
      </c>
      <c r="DF118" s="24">
        <f t="shared" si="134"/>
        <v>0</v>
      </c>
      <c r="DG118" s="24">
        <f t="shared" si="134"/>
        <v>0</v>
      </c>
      <c r="DH118" s="24">
        <f t="shared" si="134"/>
        <v>0</v>
      </c>
      <c r="DI118" s="24">
        <f t="shared" si="134"/>
        <v>0</v>
      </c>
      <c r="DJ118" s="24">
        <f t="shared" si="134"/>
        <v>0</v>
      </c>
      <c r="DK118" s="24">
        <f t="shared" si="134"/>
        <v>0</v>
      </c>
      <c r="DL118" s="24">
        <f t="shared" si="134"/>
        <v>0</v>
      </c>
      <c r="DM118" s="24">
        <f t="shared" si="134"/>
        <v>0</v>
      </c>
      <c r="DN118" s="24">
        <f t="shared" si="134"/>
        <v>0</v>
      </c>
      <c r="DO118" s="24">
        <f t="shared" si="134"/>
        <v>0</v>
      </c>
      <c r="DP118" s="24">
        <f t="shared" si="134"/>
        <v>0</v>
      </c>
      <c r="DQ118" s="24">
        <f t="shared" si="134"/>
        <v>0</v>
      </c>
      <c r="DR118" s="24">
        <f t="shared" si="134"/>
        <v>0</v>
      </c>
      <c r="DS118" s="24">
        <f t="shared" si="134"/>
        <v>0</v>
      </c>
      <c r="DT118" s="24">
        <f t="shared" si="134"/>
        <v>0</v>
      </c>
      <c r="DU118" s="24">
        <f t="shared" si="134"/>
        <v>0</v>
      </c>
      <c r="DV118" s="24">
        <f t="shared" si="134"/>
        <v>0</v>
      </c>
      <c r="DW118" s="24">
        <f t="shared" si="134"/>
        <v>0</v>
      </c>
      <c r="DX118" s="24">
        <f t="shared" si="134"/>
        <v>0</v>
      </c>
      <c r="DY118" s="24">
        <f t="shared" si="134"/>
        <v>0</v>
      </c>
      <c r="DZ118" s="24">
        <f t="shared" si="134"/>
        <v>0</v>
      </c>
      <c r="EA118" s="24">
        <f t="shared" si="134"/>
        <v>0</v>
      </c>
      <c r="EB118" s="24">
        <f t="shared" si="134"/>
        <v>0</v>
      </c>
      <c r="EC118" s="24">
        <f t="shared" si="134"/>
        <v>0</v>
      </c>
      <c r="ED118" s="24">
        <f t="shared" si="134"/>
        <v>0</v>
      </c>
      <c r="EE118" s="24">
        <f t="shared" si="134"/>
        <v>0</v>
      </c>
      <c r="EF118" s="24">
        <f t="shared" si="134"/>
        <v>0</v>
      </c>
      <c r="EG118" s="24">
        <f t="shared" si="134"/>
        <v>0</v>
      </c>
      <c r="EH118" s="24">
        <f t="shared" si="134"/>
        <v>0</v>
      </c>
      <c r="EI118" s="24">
        <f t="shared" si="134"/>
        <v>0</v>
      </c>
      <c r="EJ118" s="24"/>
      <c r="EK118" s="24"/>
      <c r="EL118" s="24"/>
      <c r="EM118" s="1" t="s">
        <v>178</v>
      </c>
    </row>
    <row r="119" spans="4:143" x14ac:dyDescent="0.45">
      <c r="D119" s="1" t="s">
        <v>185</v>
      </c>
      <c r="E119" s="177">
        <f>+L85</f>
        <v>0.1</v>
      </c>
      <c r="F119" s="177">
        <f>+(1+E119)^(1/12)-1</f>
        <v>7.9741404289037643E-3</v>
      </c>
      <c r="G119" s="24">
        <f>+$F$119*G118</f>
        <v>0</v>
      </c>
      <c r="H119" s="24">
        <f>+$F$119*H118</f>
        <v>54179.575309014297</v>
      </c>
      <c r="I119" s="24">
        <f t="shared" ref="I119:T119" si="135">+$F$119*I118</f>
        <v>54611.610850906742</v>
      </c>
      <c r="J119" s="24">
        <f t="shared" si="135"/>
        <v>55047.091504880518</v>
      </c>
      <c r="K119" s="24">
        <f t="shared" si="135"/>
        <v>55486.04474274315</v>
      </c>
      <c r="L119" s="24">
        <f t="shared" si="135"/>
        <v>55928.498255366227</v>
      </c>
      <c r="M119" s="24">
        <f t="shared" si="135"/>
        <v>56374.479954432216</v>
      </c>
      <c r="N119" s="24">
        <f t="shared" si="135"/>
        <v>56824.017974195274</v>
      </c>
      <c r="O119" s="24">
        <f t="shared" si="135"/>
        <v>57277.140673256057</v>
      </c>
      <c r="P119" s="24">
        <f t="shared" si="135"/>
        <v>57733.87663635068</v>
      </c>
      <c r="Q119" s="24">
        <f t="shared" si="135"/>
        <v>58194.254676153942</v>
      </c>
      <c r="R119" s="24">
        <f t="shared" si="135"/>
        <v>58658.303835096987</v>
      </c>
      <c r="S119" s="24">
        <f t="shared" si="135"/>
        <v>59126.053387199354</v>
      </c>
      <c r="T119" s="24">
        <f t="shared" si="135"/>
        <v>59597.532839915744</v>
      </c>
      <c r="U119" s="24">
        <f t="shared" ref="U119:AZ119" si="136">+$F$119*U118</f>
        <v>60072.771935997436</v>
      </c>
      <c r="V119" s="24">
        <f t="shared" si="136"/>
        <v>60551.800655368585</v>
      </c>
      <c r="W119" s="24">
        <f t="shared" si="136"/>
        <v>61034.649217017482</v>
      </c>
      <c r="X119" s="24">
        <f t="shared" si="136"/>
        <v>61521.348080902862</v>
      </c>
      <c r="Y119" s="24">
        <f t="shared" si="136"/>
        <v>62011.927949875455</v>
      </c>
      <c r="Z119" s="24">
        <f t="shared" si="136"/>
        <v>62506.419771614826</v>
      </c>
      <c r="AA119" s="24">
        <f t="shared" si="136"/>
        <v>63004.854740581686</v>
      </c>
      <c r="AB119" s="24">
        <f t="shared" si="136"/>
        <v>63507.264299985771</v>
      </c>
      <c r="AC119" s="24">
        <f t="shared" si="136"/>
        <v>64010.802517839897</v>
      </c>
      <c r="AD119" s="24">
        <f t="shared" si="136"/>
        <v>64475.76727167135</v>
      </c>
      <c r="AE119" s="24">
        <f t="shared" si="136"/>
        <v>64911.484223989799</v>
      </c>
      <c r="AF119" s="24">
        <f t="shared" si="136"/>
        <v>65429.09751464046</v>
      </c>
      <c r="AG119" s="24">
        <f t="shared" si="136"/>
        <v>65806.135525450198</v>
      </c>
      <c r="AH119" s="24">
        <f t="shared" si="136"/>
        <v>66204.293259573198</v>
      </c>
      <c r="AI119" s="24">
        <f t="shared" si="136"/>
        <v>66598.277430269241</v>
      </c>
      <c r="AJ119" s="24">
        <f t="shared" si="136"/>
        <v>66940.467680315807</v>
      </c>
      <c r="AK119" s="24">
        <f t="shared" si="136"/>
        <v>67230.229155012348</v>
      </c>
      <c r="AL119" s="24">
        <f t="shared" si="136"/>
        <v>67466.921258125265</v>
      </c>
      <c r="AM119" s="24">
        <f t="shared" si="136"/>
        <v>67686.55173178589</v>
      </c>
      <c r="AN119" s="24">
        <f t="shared" si="136"/>
        <v>67905.860414059731</v>
      </c>
      <c r="AO119" s="24">
        <f t="shared" si="136"/>
        <v>68404.770469899522</v>
      </c>
      <c r="AP119" s="24">
        <f t="shared" si="136"/>
        <v>68569.730595821005</v>
      </c>
      <c r="AQ119" s="24">
        <f t="shared" si="136"/>
        <v>68733.919639004656</v>
      </c>
      <c r="AR119" s="24">
        <f t="shared" si="136"/>
        <v>11566.73762808064</v>
      </c>
      <c r="AS119" s="24">
        <f t="shared" si="136"/>
        <v>11483.920420193557</v>
      </c>
      <c r="AT119" s="24">
        <f t="shared" si="136"/>
        <v>11398.342890467431</v>
      </c>
      <c r="AU119" s="24">
        <f t="shared" si="136"/>
        <v>11309.978532659838</v>
      </c>
      <c r="AV119" s="24">
        <f t="shared" si="136"/>
        <v>11218.800619580294</v>
      </c>
      <c r="AW119" s="24">
        <f t="shared" si="136"/>
        <v>11124.782201308095</v>
      </c>
      <c r="AX119" s="24">
        <f t="shared" si="136"/>
        <v>11027.896103395897</v>
      </c>
      <c r="AY119" s="24">
        <f t="shared" si="136"/>
        <v>10928.114925058917</v>
      </c>
      <c r="AZ119" s="24">
        <f t="shared" si="136"/>
        <v>10825.411037349684</v>
      </c>
      <c r="BA119" s="24">
        <f t="shared" ref="BA119:CF119" si="137">+$F$119*BA118</f>
        <v>10719.756581318143</v>
      </c>
      <c r="BB119" s="24">
        <f t="shared" si="137"/>
        <v>10611.123466157094</v>
      </c>
      <c r="BC119" s="24">
        <f t="shared" si="137"/>
        <v>10499.483367332768</v>
      </c>
      <c r="BD119" s="24">
        <f t="shared" si="137"/>
        <v>10384.807724700466</v>
      </c>
      <c r="BE119" s="24">
        <f t="shared" si="137"/>
        <v>10267.06774060512</v>
      </c>
      <c r="BF119" s="24">
        <f t="shared" si="137"/>
        <v>10146.234377966668</v>
      </c>
      <c r="BG119" s="24">
        <f t="shared" si="137"/>
        <v>10022.278358350124</v>
      </c>
      <c r="BH119" s="24">
        <f t="shared" si="137"/>
        <v>9895.1701600202032</v>
      </c>
      <c r="BI119" s="24">
        <f t="shared" si="137"/>
        <v>9764.8800159804014</v>
      </c>
      <c r="BJ119" s="24">
        <f t="shared" si="137"/>
        <v>9631.3779119963929</v>
      </c>
      <c r="BK119" s="24">
        <f t="shared" si="137"/>
        <v>9494.6335846036036</v>
      </c>
      <c r="BL119" s="24">
        <f t="shared" si="137"/>
        <v>9354.6165190988886</v>
      </c>
      <c r="BM119" s="24">
        <f t="shared" si="137"/>
        <v>9211.2959475161151</v>
      </c>
      <c r="BN119" s="24">
        <f t="shared" si="137"/>
        <v>9064.6408465855766</v>
      </c>
      <c r="BO119" s="24">
        <f t="shared" si="137"/>
        <v>8914.6199356770958</v>
      </c>
      <c r="BP119" s="24">
        <f t="shared" si="137"/>
        <v>0</v>
      </c>
      <c r="BQ119" s="24">
        <f t="shared" si="137"/>
        <v>0</v>
      </c>
      <c r="BR119" s="24">
        <f t="shared" si="137"/>
        <v>0</v>
      </c>
      <c r="BS119" s="24">
        <f t="shared" si="137"/>
        <v>0</v>
      </c>
      <c r="BT119" s="24">
        <f t="shared" si="137"/>
        <v>0</v>
      </c>
      <c r="BU119" s="24">
        <f t="shared" si="137"/>
        <v>0</v>
      </c>
      <c r="BV119" s="24">
        <f t="shared" si="137"/>
        <v>0</v>
      </c>
      <c r="BW119" s="24">
        <f t="shared" si="137"/>
        <v>0</v>
      </c>
      <c r="BX119" s="24">
        <f t="shared" si="137"/>
        <v>0</v>
      </c>
      <c r="BY119" s="24">
        <f t="shared" si="137"/>
        <v>0</v>
      </c>
      <c r="BZ119" s="24">
        <f t="shared" si="137"/>
        <v>0</v>
      </c>
      <c r="CA119" s="24">
        <f t="shared" si="137"/>
        <v>0</v>
      </c>
      <c r="CB119" s="24">
        <f t="shared" si="137"/>
        <v>0</v>
      </c>
      <c r="CC119" s="24">
        <f t="shared" si="137"/>
        <v>0</v>
      </c>
      <c r="CD119" s="24">
        <f t="shared" si="137"/>
        <v>0</v>
      </c>
      <c r="CE119" s="24">
        <f t="shared" si="137"/>
        <v>0</v>
      </c>
      <c r="CF119" s="24">
        <f t="shared" si="137"/>
        <v>0</v>
      </c>
      <c r="CG119" s="24">
        <f t="shared" ref="CG119:CU119" si="138">+$F$119*CG118</f>
        <v>0</v>
      </c>
      <c r="CH119" s="24">
        <f t="shared" si="138"/>
        <v>0</v>
      </c>
      <c r="CI119" s="24">
        <f t="shared" si="138"/>
        <v>0</v>
      </c>
      <c r="CJ119" s="24">
        <f t="shared" si="138"/>
        <v>0</v>
      </c>
      <c r="CK119" s="24">
        <f t="shared" si="138"/>
        <v>0</v>
      </c>
      <c r="CL119" s="24">
        <f t="shared" si="138"/>
        <v>0</v>
      </c>
      <c r="CM119" s="24">
        <f t="shared" si="138"/>
        <v>0</v>
      </c>
      <c r="CN119" s="24">
        <f t="shared" si="138"/>
        <v>0</v>
      </c>
      <c r="CO119" s="24">
        <f t="shared" si="138"/>
        <v>0</v>
      </c>
      <c r="CP119" s="24">
        <f t="shared" si="138"/>
        <v>0</v>
      </c>
      <c r="CQ119" s="24">
        <f t="shared" si="138"/>
        <v>0</v>
      </c>
      <c r="CR119" s="24">
        <f t="shared" si="138"/>
        <v>0</v>
      </c>
      <c r="CS119" s="24">
        <f t="shared" si="138"/>
        <v>0</v>
      </c>
      <c r="CT119" s="24">
        <f t="shared" si="138"/>
        <v>0</v>
      </c>
      <c r="CU119" s="24">
        <f t="shared" si="138"/>
        <v>0</v>
      </c>
      <c r="CV119" s="24">
        <f t="shared" ref="CV119:EI119" si="139">+$F$119*CV118</f>
        <v>0</v>
      </c>
      <c r="CW119" s="24">
        <f t="shared" si="139"/>
        <v>0</v>
      </c>
      <c r="CX119" s="24">
        <f t="shared" si="139"/>
        <v>0</v>
      </c>
      <c r="CY119" s="24">
        <f t="shared" si="139"/>
        <v>0</v>
      </c>
      <c r="CZ119" s="24">
        <f t="shared" si="139"/>
        <v>0</v>
      </c>
      <c r="DA119" s="24">
        <f t="shared" si="139"/>
        <v>0</v>
      </c>
      <c r="DB119" s="24">
        <f t="shared" si="139"/>
        <v>0</v>
      </c>
      <c r="DC119" s="24">
        <f t="shared" si="139"/>
        <v>0</v>
      </c>
      <c r="DD119" s="24">
        <f t="shared" si="139"/>
        <v>0</v>
      </c>
      <c r="DE119" s="24">
        <f t="shared" si="139"/>
        <v>0</v>
      </c>
      <c r="DF119" s="24">
        <f t="shared" si="139"/>
        <v>0</v>
      </c>
      <c r="DG119" s="24">
        <f t="shared" si="139"/>
        <v>0</v>
      </c>
      <c r="DH119" s="24">
        <f t="shared" si="139"/>
        <v>0</v>
      </c>
      <c r="DI119" s="24">
        <f t="shared" si="139"/>
        <v>0</v>
      </c>
      <c r="DJ119" s="24">
        <f t="shared" si="139"/>
        <v>0</v>
      </c>
      <c r="DK119" s="24">
        <f t="shared" si="139"/>
        <v>0</v>
      </c>
      <c r="DL119" s="24">
        <f t="shared" si="139"/>
        <v>0</v>
      </c>
      <c r="DM119" s="24">
        <f t="shared" si="139"/>
        <v>0</v>
      </c>
      <c r="DN119" s="24">
        <f t="shared" si="139"/>
        <v>0</v>
      </c>
      <c r="DO119" s="24">
        <f t="shared" si="139"/>
        <v>0</v>
      </c>
      <c r="DP119" s="24">
        <f t="shared" si="139"/>
        <v>0</v>
      </c>
      <c r="DQ119" s="24">
        <f t="shared" si="139"/>
        <v>0</v>
      </c>
      <c r="DR119" s="24">
        <f t="shared" si="139"/>
        <v>0</v>
      </c>
      <c r="DS119" s="24">
        <f t="shared" si="139"/>
        <v>0</v>
      </c>
      <c r="DT119" s="24">
        <f t="shared" si="139"/>
        <v>0</v>
      </c>
      <c r="DU119" s="24">
        <f t="shared" si="139"/>
        <v>0</v>
      </c>
      <c r="DV119" s="24">
        <f t="shared" si="139"/>
        <v>0</v>
      </c>
      <c r="DW119" s="24">
        <f t="shared" si="139"/>
        <v>0</v>
      </c>
      <c r="DX119" s="24">
        <f t="shared" si="139"/>
        <v>0</v>
      </c>
      <c r="DY119" s="24">
        <f t="shared" si="139"/>
        <v>0</v>
      </c>
      <c r="DZ119" s="24">
        <f t="shared" si="139"/>
        <v>0</v>
      </c>
      <c r="EA119" s="24">
        <f t="shared" si="139"/>
        <v>0</v>
      </c>
      <c r="EB119" s="24">
        <f t="shared" si="139"/>
        <v>0</v>
      </c>
      <c r="EC119" s="24">
        <f t="shared" si="139"/>
        <v>0</v>
      </c>
      <c r="ED119" s="24">
        <f t="shared" si="139"/>
        <v>0</v>
      </c>
      <c r="EE119" s="24">
        <f t="shared" si="139"/>
        <v>0</v>
      </c>
      <c r="EF119" s="24">
        <f t="shared" si="139"/>
        <v>0</v>
      </c>
      <c r="EG119" s="24">
        <f t="shared" si="139"/>
        <v>0</v>
      </c>
      <c r="EH119" s="24">
        <f t="shared" si="139"/>
        <v>0</v>
      </c>
      <c r="EI119" s="24">
        <f t="shared" si="139"/>
        <v>0</v>
      </c>
      <c r="EJ119" s="24"/>
      <c r="EK119" s="24"/>
      <c r="EL119" s="24"/>
      <c r="EM119" s="1" t="s">
        <v>178</v>
      </c>
    </row>
    <row r="120" spans="4:143" x14ac:dyDescent="0.45">
      <c r="D120" s="1" t="s">
        <v>186</v>
      </c>
      <c r="E120" s="177"/>
      <c r="F120" s="179"/>
      <c r="G120" s="24">
        <f>-IF(G2=Assumptions!$F$2,$G$66,0)</f>
        <v>6794409.477995934</v>
      </c>
      <c r="H120" s="24">
        <f>-IF(H2=Assumptions!$F$2,$G$66,0)</f>
        <v>0</v>
      </c>
      <c r="I120" s="24">
        <f>-IF(I2=Assumptions!$F$2,$G$66,0)</f>
        <v>0</v>
      </c>
      <c r="J120" s="24">
        <f>-IF(J2=Assumptions!$F$2,$G$66,0)</f>
        <v>0</v>
      </c>
      <c r="K120" s="24">
        <f>-IF(K2=Assumptions!$F$2,$G$66,0)</f>
        <v>0</v>
      </c>
      <c r="L120" s="24">
        <f>-IF(L2=Assumptions!$F$2,$G$66,0)</f>
        <v>0</v>
      </c>
      <c r="M120" s="24">
        <f>-IF(M2=Assumptions!$F$2,$G$66,0)</f>
        <v>0</v>
      </c>
      <c r="N120" s="24">
        <f>-IF(N2=Assumptions!$F$2,$G$66,0)</f>
        <v>0</v>
      </c>
      <c r="O120" s="24">
        <f>-IF(O2=Assumptions!$F$2,$G$66,0)</f>
        <v>0</v>
      </c>
      <c r="P120" s="24">
        <f>-IF(P2=Assumptions!$F$2,$G$66,0)</f>
        <v>0</v>
      </c>
      <c r="Q120" s="24">
        <f>-IF(Q2=Assumptions!$F$2,$G$66,0)</f>
        <v>0</v>
      </c>
      <c r="R120" s="24">
        <f>-IF(R2=Assumptions!$F$2,$G$66,0)</f>
        <v>0</v>
      </c>
      <c r="S120" s="24">
        <f>-IF(S2=Assumptions!$F$2,$G$66,0)</f>
        <v>0</v>
      </c>
      <c r="T120" s="24">
        <f>-IF(T2=Assumptions!$F$2,$G$66,0)</f>
        <v>0</v>
      </c>
      <c r="U120" s="24">
        <f>-IF(U2=Assumptions!$F$2,$G$66,0)</f>
        <v>0</v>
      </c>
      <c r="V120" s="24">
        <f>-IF(V2=Assumptions!$F$2,$G$66,0)</f>
        <v>0</v>
      </c>
      <c r="W120" s="24">
        <f>-IF(W2=Assumptions!$F$2,$G$66,0)</f>
        <v>0</v>
      </c>
      <c r="X120" s="24">
        <f>-IF(X2=Assumptions!$F$2,$G$66,0)</f>
        <v>0</v>
      </c>
      <c r="Y120" s="24">
        <f>-IF(Y2=Assumptions!$F$2,$G$66,0)</f>
        <v>0</v>
      </c>
      <c r="Z120" s="24">
        <f>-IF(Z2=Assumptions!$F$2,$G$66,0)</f>
        <v>0</v>
      </c>
      <c r="AA120" s="24">
        <f>-IF(AA2=Assumptions!$F$2,$G$66,0)</f>
        <v>0</v>
      </c>
      <c r="AB120" s="24">
        <f>-IF(AB2=Assumptions!$F$2,$G$66,0)</f>
        <v>0</v>
      </c>
      <c r="AC120" s="24">
        <f>-IF(AC2=Assumptions!$F$2,$G$66,0)</f>
        <v>0</v>
      </c>
      <c r="AD120" s="24">
        <f>-IF(AD2=Assumptions!$F$2,$G$66,0)</f>
        <v>0</v>
      </c>
      <c r="AE120" s="24">
        <f>-IF(AE2=Assumptions!$F$2,$G$66,0)</f>
        <v>0</v>
      </c>
      <c r="AF120" s="24">
        <f>-IF(AF2=Assumptions!$F$2,$G$66,0)</f>
        <v>0</v>
      </c>
      <c r="AG120" s="24">
        <f>-IF(AG2=Assumptions!$F$2,$G$66,0)</f>
        <v>0</v>
      </c>
      <c r="AH120" s="24">
        <f>-IF(AH2=Assumptions!$F$2,$G$66,0)</f>
        <v>0</v>
      </c>
      <c r="AI120" s="24">
        <f>-IF(AI2=Assumptions!$F$2,$G$66,0)</f>
        <v>0</v>
      </c>
      <c r="AJ120" s="24">
        <f>-IF(AJ2=Assumptions!$F$2,$G$66,0)</f>
        <v>0</v>
      </c>
      <c r="AK120" s="24">
        <f>-IF(AK2=Assumptions!$F$2,$G$66,0)</f>
        <v>0</v>
      </c>
      <c r="AL120" s="24">
        <f>-IF(AL2=Assumptions!$F$2,$G$66,0)</f>
        <v>0</v>
      </c>
      <c r="AM120" s="24">
        <f>-IF(AM2=Assumptions!$F$2,$G$66,0)</f>
        <v>0</v>
      </c>
      <c r="AN120" s="24">
        <f>-IF(AN2=Assumptions!$F$2,$G$66,0)</f>
        <v>0</v>
      </c>
      <c r="AO120" s="24">
        <f>-IF(AO2=Assumptions!$F$2,$G$66,0)</f>
        <v>0</v>
      </c>
      <c r="AP120" s="24">
        <f>-IF(AP2=Assumptions!$F$2,$G$66,0)</f>
        <v>0</v>
      </c>
      <c r="AQ120" s="24">
        <f>-IF(AQ2=Assumptions!$F$2,$G$66,0)</f>
        <v>0</v>
      </c>
      <c r="AR120" s="24">
        <f>-IF(AR2=Assumptions!$F$2,$G$66,0)</f>
        <v>0</v>
      </c>
      <c r="AS120" s="24">
        <f>-IF(AS2=Assumptions!$F$2,$G$66,0)</f>
        <v>0</v>
      </c>
      <c r="AT120" s="24">
        <f>-IF(AT2=Assumptions!$F$2,$G$66,0)</f>
        <v>0</v>
      </c>
      <c r="AU120" s="24">
        <f>-IF(AU2=Assumptions!$F$2,$G$66,0)</f>
        <v>0</v>
      </c>
      <c r="AV120" s="24">
        <f>-IF(AV2=Assumptions!$F$2,$G$66,0)</f>
        <v>0</v>
      </c>
      <c r="AW120" s="24">
        <f>-IF(AW2=Assumptions!$F$2,$G$66,0)</f>
        <v>0</v>
      </c>
      <c r="AX120" s="24">
        <f>-IF(AX2=Assumptions!$F$2,$G$66,0)</f>
        <v>0</v>
      </c>
      <c r="AY120" s="24">
        <f>-IF(AY2=Assumptions!$F$2,$G$66,0)</f>
        <v>0</v>
      </c>
      <c r="AZ120" s="24">
        <f>-IF(AZ2=Assumptions!$F$2,$G$66,0)</f>
        <v>0</v>
      </c>
      <c r="BA120" s="24">
        <f>-IF(BA2=Assumptions!$F$2,$G$66,0)</f>
        <v>0</v>
      </c>
      <c r="BB120" s="24">
        <f>-IF(BB2=Assumptions!$F$2,$G$66,0)</f>
        <v>0</v>
      </c>
      <c r="BC120" s="24">
        <f>-IF(BC2=Assumptions!$F$2,$G$66,0)</f>
        <v>0</v>
      </c>
      <c r="BD120" s="24">
        <f>-IF(BD2=Assumptions!$F$2,$G$66,0)</f>
        <v>0</v>
      </c>
      <c r="BE120" s="24">
        <f>-IF(BE2=Assumptions!$F$2,$G$66,0)</f>
        <v>0</v>
      </c>
      <c r="BF120" s="24">
        <f>-IF(BF2=Assumptions!$F$2,$G$66,0)</f>
        <v>0</v>
      </c>
      <c r="BG120" s="24">
        <f>-IF(BG2=Assumptions!$F$2,$G$66,0)</f>
        <v>0</v>
      </c>
      <c r="BH120" s="24">
        <f>-IF(BH2=Assumptions!$F$2,$G$66,0)</f>
        <v>0</v>
      </c>
      <c r="BI120" s="24">
        <f>-IF(BI2=Assumptions!$F$2,$G$66,0)</f>
        <v>0</v>
      </c>
      <c r="BJ120" s="24">
        <f>-IF(BJ2=Assumptions!$F$2,$G$66,0)</f>
        <v>0</v>
      </c>
      <c r="BK120" s="24">
        <f>-IF(BK2=Assumptions!$F$2,$G$66,0)</f>
        <v>0</v>
      </c>
      <c r="BL120" s="24">
        <f>-IF(BL2=Assumptions!$F$2,$G$66,0)</f>
        <v>0</v>
      </c>
      <c r="BM120" s="24">
        <f>-IF(BM2=Assumptions!$F$2,$G$66,0)</f>
        <v>0</v>
      </c>
      <c r="BN120" s="24">
        <f>-IF(BN2=Assumptions!$F$2,$G$66,0)</f>
        <v>0</v>
      </c>
      <c r="BO120" s="24">
        <f>-IF(BO2=Assumptions!$F$2,$G$66,0)</f>
        <v>0</v>
      </c>
      <c r="BP120" s="24">
        <f>-IF(BP2=Assumptions!$F$2,$G$66,0)</f>
        <v>0</v>
      </c>
      <c r="BQ120" s="24">
        <f>-IF(BQ2=Assumptions!$F$2,$G$66,0)</f>
        <v>0</v>
      </c>
      <c r="BR120" s="24">
        <f>-IF(BR2=Assumptions!$F$2,$G$66,0)</f>
        <v>0</v>
      </c>
      <c r="BS120" s="24">
        <f>-IF(BS2=Assumptions!$F$2,$G$66,0)</f>
        <v>0</v>
      </c>
      <c r="BT120" s="24">
        <f>-IF(BT2=Assumptions!$F$2,$G$66,0)</f>
        <v>0</v>
      </c>
      <c r="BU120" s="24">
        <f>-IF(BU2=Assumptions!$F$2,$G$66,0)</f>
        <v>0</v>
      </c>
      <c r="BV120" s="24">
        <f>-IF(BV2=Assumptions!$F$2,$G$66,0)</f>
        <v>0</v>
      </c>
      <c r="BW120" s="24">
        <f>-IF(BW2=Assumptions!$F$2,$G$66,0)</f>
        <v>0</v>
      </c>
      <c r="BX120" s="24">
        <f>-IF(BX2=Assumptions!$F$2,$G$66,0)</f>
        <v>0</v>
      </c>
      <c r="BY120" s="24">
        <f>-IF(BY2=Assumptions!$F$2,$G$66,0)</f>
        <v>0</v>
      </c>
      <c r="BZ120" s="24">
        <f>-IF(BZ2=Assumptions!$F$2,$G$66,0)</f>
        <v>0</v>
      </c>
      <c r="CA120" s="24">
        <f>-IF(CA2=Assumptions!$F$2,$G$66,0)</f>
        <v>0</v>
      </c>
      <c r="CB120" s="24">
        <f>-IF(CB2=Assumptions!$F$2,$G$66,0)</f>
        <v>0</v>
      </c>
      <c r="CC120" s="24">
        <f>-IF(CC2=Assumptions!$F$2,$G$66,0)</f>
        <v>0</v>
      </c>
      <c r="CD120" s="24">
        <f>-IF(CD2=Assumptions!$F$2,$G$66,0)</f>
        <v>0</v>
      </c>
      <c r="CE120" s="24">
        <f>-IF(CE2=Assumptions!$F$2,$G$66,0)</f>
        <v>0</v>
      </c>
      <c r="CF120" s="24">
        <f>-IF(CF2=Assumptions!$F$2,$G$66,0)</f>
        <v>0</v>
      </c>
      <c r="CG120" s="24">
        <f>-IF(CG2=Assumptions!$F$2,$G$66,0)</f>
        <v>0</v>
      </c>
      <c r="CH120" s="24">
        <f>-IF(CH2=Assumptions!$F$2,$G$66,0)</f>
        <v>0</v>
      </c>
      <c r="CI120" s="24">
        <f>-IF(CI2=Assumptions!$F$2,$G$66,0)</f>
        <v>0</v>
      </c>
      <c r="CJ120" s="24">
        <f>-IF(CJ2=Assumptions!$F$2,$G$66,0)</f>
        <v>0</v>
      </c>
      <c r="CK120" s="24">
        <f>-IF(CK2=Assumptions!$F$2,$G$66,0)</f>
        <v>0</v>
      </c>
      <c r="CL120" s="24">
        <f>-IF(CL2=Assumptions!$F$2,$G$66,0)</f>
        <v>0</v>
      </c>
      <c r="CM120" s="24">
        <f>-IF(CM2=Assumptions!$F$2,$G$66,0)</f>
        <v>0</v>
      </c>
      <c r="CN120" s="24">
        <f>-IF(CN2=Assumptions!$F$2,$G$66,0)</f>
        <v>0</v>
      </c>
      <c r="CO120" s="24">
        <f>-IF(CO2=Assumptions!$F$2,$G$66,0)</f>
        <v>0</v>
      </c>
      <c r="CP120" s="24">
        <f>-IF(CP2=Assumptions!$F$2,$G$66,0)</f>
        <v>0</v>
      </c>
      <c r="CQ120" s="24">
        <f>-IF(CQ2=Assumptions!$F$2,$G$66,0)</f>
        <v>0</v>
      </c>
      <c r="CR120" s="24">
        <f>-IF(CR2=Assumptions!$F$2,$G$66,0)</f>
        <v>0</v>
      </c>
      <c r="CS120" s="24">
        <f>-IF(CS2=Assumptions!$F$2,$G$66,0)</f>
        <v>0</v>
      </c>
      <c r="CT120" s="24">
        <f>-IF(CT2=Assumptions!$F$2,$G$66,0)</f>
        <v>0</v>
      </c>
      <c r="CU120" s="24">
        <f>-IF(CU2=Assumptions!$F$2,$G$66,0)</f>
        <v>0</v>
      </c>
      <c r="CV120" s="24">
        <f>-IF(CV2=Assumptions!$F$2,$G$66,0)</f>
        <v>0</v>
      </c>
      <c r="CW120" s="24">
        <f>-IF(CW2=Assumptions!$F$2,$G$66,0)</f>
        <v>0</v>
      </c>
      <c r="CX120" s="24">
        <f>-IF(CX2=Assumptions!$F$2,$G$66,0)</f>
        <v>0</v>
      </c>
      <c r="CY120" s="24">
        <f>-IF(CY2=Assumptions!$F$2,$G$66,0)</f>
        <v>0</v>
      </c>
      <c r="CZ120" s="24">
        <f>-IF(CZ2=Assumptions!$F$2,$G$66,0)</f>
        <v>0</v>
      </c>
      <c r="DA120" s="24">
        <f>-IF(DA2=Assumptions!$F$2,$G$66,0)</f>
        <v>0</v>
      </c>
      <c r="DB120" s="24">
        <f>-IF(DB2=Assumptions!$F$2,$G$66,0)</f>
        <v>0</v>
      </c>
      <c r="DC120" s="24">
        <f>-IF(DC2=Assumptions!$F$2,$G$66,0)</f>
        <v>0</v>
      </c>
      <c r="DD120" s="24">
        <f>-IF(DD2=Assumptions!$F$2,$G$66,0)</f>
        <v>0</v>
      </c>
      <c r="DE120" s="24">
        <f>-IF(DE2=Assumptions!$F$2,$G$66,0)</f>
        <v>0</v>
      </c>
      <c r="DF120" s="24">
        <f>-IF(DF2=Assumptions!$F$2,$G$66,0)</f>
        <v>0</v>
      </c>
      <c r="DG120" s="24">
        <f>-IF(DG2=Assumptions!$F$2,$G$66,0)</f>
        <v>0</v>
      </c>
      <c r="DH120" s="24">
        <f>-IF(DH2=Assumptions!$F$2,$G$66,0)</f>
        <v>0</v>
      </c>
      <c r="DI120" s="24">
        <f>-IF(DI2=Assumptions!$F$2,$G$66,0)</f>
        <v>0</v>
      </c>
      <c r="DJ120" s="24">
        <f>-IF(DJ2=Assumptions!$F$2,$G$66,0)</f>
        <v>0</v>
      </c>
      <c r="DK120" s="24">
        <f>-IF(DK2=Assumptions!$F$2,$G$66,0)</f>
        <v>0</v>
      </c>
      <c r="DL120" s="24">
        <f>-IF(DL2=Assumptions!$F$2,$G$66,0)</f>
        <v>0</v>
      </c>
      <c r="DM120" s="24">
        <f>-IF(DM2=Assumptions!$F$2,$G$66,0)</f>
        <v>0</v>
      </c>
      <c r="DN120" s="24">
        <f>-IF(DN2=Assumptions!$F$2,$G$66,0)</f>
        <v>0</v>
      </c>
      <c r="DO120" s="24">
        <f>-IF(DO2=Assumptions!$F$2,$G$66,0)</f>
        <v>0</v>
      </c>
      <c r="DP120" s="24">
        <f>-IF(DP2=Assumptions!$F$2,$G$66,0)</f>
        <v>0</v>
      </c>
      <c r="DQ120" s="24">
        <f>-IF(DQ2=Assumptions!$F$2,$G$66,0)</f>
        <v>0</v>
      </c>
      <c r="DR120" s="24">
        <f>-IF(DR2=Assumptions!$F$2,$G$66,0)</f>
        <v>0</v>
      </c>
      <c r="DS120" s="24">
        <f>-IF(DS2=Assumptions!$F$2,$G$66,0)</f>
        <v>0</v>
      </c>
      <c r="DT120" s="24">
        <f>-IF(DT2=Assumptions!$F$2,$G$66,0)</f>
        <v>0</v>
      </c>
      <c r="DU120" s="24">
        <f>-IF(DU2=Assumptions!$F$2,$G$66,0)</f>
        <v>0</v>
      </c>
      <c r="DV120" s="24">
        <f>-IF(DV2=Assumptions!$F$2,$G$66,0)</f>
        <v>0</v>
      </c>
      <c r="DW120" s="24">
        <f>-IF(DW2=Assumptions!$F$2,$G$66,0)</f>
        <v>0</v>
      </c>
      <c r="DX120" s="24">
        <f>-IF(DX2=Assumptions!$F$2,$G$66,0)</f>
        <v>0</v>
      </c>
      <c r="DY120" s="24">
        <f>-IF(DY2=Assumptions!$F$2,$G$66,0)</f>
        <v>0</v>
      </c>
      <c r="DZ120" s="24">
        <f>-IF(DZ2=Assumptions!$F$2,$G$66,0)</f>
        <v>0</v>
      </c>
      <c r="EA120" s="24">
        <f>-IF(EA2=Assumptions!$F$2,$G$66,0)</f>
        <v>0</v>
      </c>
      <c r="EB120" s="24">
        <f>-IF(EB2=Assumptions!$F$2,$G$66,0)</f>
        <v>0</v>
      </c>
      <c r="EC120" s="24">
        <f>-IF(EC2=Assumptions!$F$2,$G$66,0)</f>
        <v>0</v>
      </c>
      <c r="ED120" s="24">
        <f>-IF(ED2=Assumptions!$F$2,$G$66,0)</f>
        <v>0</v>
      </c>
      <c r="EE120" s="24">
        <f>-IF(EE2=Assumptions!$F$2,$G$66,0)</f>
        <v>0</v>
      </c>
      <c r="EF120" s="24">
        <f>-IF(EF2=Assumptions!$F$2,$G$66,0)</f>
        <v>0</v>
      </c>
      <c r="EG120" s="24">
        <f>-IF(EG2=Assumptions!$F$2,$G$66,0)</f>
        <v>0</v>
      </c>
      <c r="EH120" s="24">
        <f>-IF(EH2=Assumptions!$F$2,$G$66,0)</f>
        <v>0</v>
      </c>
      <c r="EI120" s="24">
        <f>-IF(EI2=Assumptions!$F$2,$G$66,0)</f>
        <v>0</v>
      </c>
      <c r="EJ120" s="24"/>
      <c r="EK120" s="24"/>
      <c r="EL120" s="24"/>
      <c r="EM120" s="1" t="s">
        <v>178</v>
      </c>
    </row>
    <row r="121" spans="4:143" x14ac:dyDescent="0.45">
      <c r="D121" s="1" t="s">
        <v>187</v>
      </c>
      <c r="E121" s="177"/>
      <c r="F121" s="179"/>
      <c r="G121" s="24">
        <f t="shared" ref="G121:AL121" si="140">-MIN(MAX(G65-G112,0),G118+G119+G120)</f>
        <v>0</v>
      </c>
      <c r="H121" s="24">
        <f t="shared" si="140"/>
        <v>0</v>
      </c>
      <c r="I121" s="24">
        <f t="shared" si="140"/>
        <v>0</v>
      </c>
      <c r="J121" s="24">
        <f t="shared" si="140"/>
        <v>0</v>
      </c>
      <c r="K121" s="24">
        <f t="shared" si="140"/>
        <v>0</v>
      </c>
      <c r="L121" s="24">
        <f t="shared" si="140"/>
        <v>0</v>
      </c>
      <c r="M121" s="24">
        <f t="shared" si="140"/>
        <v>0</v>
      </c>
      <c r="N121" s="24">
        <f t="shared" si="140"/>
        <v>0</v>
      </c>
      <c r="O121" s="24">
        <f t="shared" si="140"/>
        <v>0</v>
      </c>
      <c r="P121" s="24">
        <f t="shared" si="140"/>
        <v>0</v>
      </c>
      <c r="Q121" s="24">
        <f t="shared" si="140"/>
        <v>0</v>
      </c>
      <c r="R121" s="24">
        <f t="shared" si="140"/>
        <v>0</v>
      </c>
      <c r="S121" s="24">
        <f t="shared" si="140"/>
        <v>0</v>
      </c>
      <c r="T121" s="24">
        <f t="shared" si="140"/>
        <v>0</v>
      </c>
      <c r="U121" s="24">
        <f t="shared" si="140"/>
        <v>0</v>
      </c>
      <c r="V121" s="24">
        <f t="shared" si="140"/>
        <v>0</v>
      </c>
      <c r="W121" s="24">
        <f t="shared" si="140"/>
        <v>0</v>
      </c>
      <c r="X121" s="24">
        <f t="shared" si="140"/>
        <v>0</v>
      </c>
      <c r="Y121" s="24">
        <f t="shared" si="140"/>
        <v>0</v>
      </c>
      <c r="Z121" s="24">
        <f t="shared" si="140"/>
        <v>0</v>
      </c>
      <c r="AA121" s="24">
        <f t="shared" si="140"/>
        <v>0</v>
      </c>
      <c r="AB121" s="24">
        <f t="shared" si="140"/>
        <v>-360.86973324913106</v>
      </c>
      <c r="AC121" s="24">
        <f t="shared" si="140"/>
        <v>-5701.7273294838305</v>
      </c>
      <c r="AD121" s="24">
        <f t="shared" si="140"/>
        <v>-9834.5233403366074</v>
      </c>
      <c r="AE121" s="24">
        <f t="shared" si="140"/>
        <v>0</v>
      </c>
      <c r="AF121" s="24">
        <f t="shared" si="140"/>
        <v>-18146.507726895936</v>
      </c>
      <c r="AG121" s="24">
        <f t="shared" si="140"/>
        <v>-15875.019103195016</v>
      </c>
      <c r="AH121" s="24">
        <f t="shared" si="140"/>
        <v>-16796.564086913502</v>
      </c>
      <c r="AI121" s="24">
        <f t="shared" si="140"/>
        <v>-23685.783839583131</v>
      </c>
      <c r="AJ121" s="24">
        <f t="shared" si="140"/>
        <v>-30602.823857759518</v>
      </c>
      <c r="AK121" s="24">
        <f t="shared" si="140"/>
        <v>-37547.76930580008</v>
      </c>
      <c r="AL121" s="24">
        <f t="shared" si="140"/>
        <v>-39924.081297027638</v>
      </c>
      <c r="AM121" s="24">
        <f t="shared" ref="AM121:BR121" si="141">-MIN(MAX(AM65-AM112,0),AM118+AM119+AM120)</f>
        <v>-40184.066137361631</v>
      </c>
      <c r="AN121" s="24">
        <f t="shared" si="141"/>
        <v>-5339.8621992058997</v>
      </c>
      <c r="AO121" s="24">
        <f t="shared" si="141"/>
        <v>-47717.885483080121</v>
      </c>
      <c r="AP121" s="24">
        <f t="shared" si="141"/>
        <v>-47979.543522048778</v>
      </c>
      <c r="AQ121" s="24">
        <f t="shared" si="141"/>
        <v>-7237805.309918372</v>
      </c>
      <c r="AR121" s="24">
        <f t="shared" si="141"/>
        <v>-21952.459904414776</v>
      </c>
      <c r="AS121" s="24">
        <f t="shared" si="141"/>
        <v>-22215.801867369388</v>
      </c>
      <c r="AT121" s="24">
        <f t="shared" si="141"/>
        <v>-22479.707533520334</v>
      </c>
      <c r="AU121" s="24">
        <f t="shared" si="141"/>
        <v>-22744.178104697905</v>
      </c>
      <c r="AV121" s="24">
        <f t="shared" si="141"/>
        <v>-23009.214785276574</v>
      </c>
      <c r="AW121" s="24">
        <f t="shared" si="141"/>
        <v>-23274.818782180973</v>
      </c>
      <c r="AX121" s="24">
        <f t="shared" si="141"/>
        <v>-23540.991304892897</v>
      </c>
      <c r="AY121" s="24">
        <f t="shared" si="141"/>
        <v>-23807.733565453589</v>
      </c>
      <c r="AZ121" s="24">
        <f t="shared" si="141"/>
        <v>-24075.04677847297</v>
      </c>
      <c r="BA121" s="24">
        <f t="shared" si="141"/>
        <v>-24342.93216113215</v>
      </c>
      <c r="BB121" s="24">
        <f t="shared" si="141"/>
        <v>-24611.390933189094</v>
      </c>
      <c r="BC121" s="24">
        <f t="shared" si="141"/>
        <v>-24880.424316985187</v>
      </c>
      <c r="BD121" s="24">
        <f t="shared" si="141"/>
        <v>-25150.033537450981</v>
      </c>
      <c r="BE121" s="24">
        <f t="shared" si="141"/>
        <v>-25420.219822109706</v>
      </c>
      <c r="BF121" s="24">
        <f t="shared" si="141"/>
        <v>-25690.984401084228</v>
      </c>
      <c r="BG121" s="24">
        <f t="shared" si="141"/>
        <v>-25962.328507102578</v>
      </c>
      <c r="BH121" s="24">
        <f t="shared" si="141"/>
        <v>-26234.253375502591</v>
      </c>
      <c r="BI121" s="24">
        <f t="shared" si="141"/>
        <v>-26506.760244237597</v>
      </c>
      <c r="BJ121" s="24">
        <f t="shared" si="141"/>
        <v>-26779.850353882917</v>
      </c>
      <c r="BK121" s="24">
        <f t="shared" si="141"/>
        <v>-27053.524947639762</v>
      </c>
      <c r="BL121" s="24">
        <f t="shared" si="141"/>
        <v>-27327.785271342233</v>
      </c>
      <c r="BM121" s="24">
        <f t="shared" si="141"/>
        <v>-27602.632573462612</v>
      </c>
      <c r="BN121" s="24">
        <f t="shared" si="141"/>
        <v>-27878.068105115242</v>
      </c>
      <c r="BO121" s="24">
        <f t="shared" si="141"/>
        <v>-1126855.796813424</v>
      </c>
      <c r="BP121" s="24">
        <f t="shared" si="141"/>
        <v>0</v>
      </c>
      <c r="BQ121" s="24">
        <f t="shared" si="141"/>
        <v>0</v>
      </c>
      <c r="BR121" s="24">
        <f t="shared" si="141"/>
        <v>0</v>
      </c>
      <c r="BS121" s="24">
        <f t="shared" ref="BS121:CX121" si="142">-MIN(MAX(BS65-BS112,0),BS118+BS119+BS120)</f>
        <v>0</v>
      </c>
      <c r="BT121" s="24">
        <f t="shared" si="142"/>
        <v>0</v>
      </c>
      <c r="BU121" s="24">
        <f t="shared" si="142"/>
        <v>0</v>
      </c>
      <c r="BV121" s="24">
        <f t="shared" si="142"/>
        <v>0</v>
      </c>
      <c r="BW121" s="24">
        <f t="shared" si="142"/>
        <v>0</v>
      </c>
      <c r="BX121" s="24">
        <f t="shared" si="142"/>
        <v>0</v>
      </c>
      <c r="BY121" s="24">
        <f t="shared" si="142"/>
        <v>0</v>
      </c>
      <c r="BZ121" s="24">
        <f t="shared" si="142"/>
        <v>0</v>
      </c>
      <c r="CA121" s="24">
        <f t="shared" si="142"/>
        <v>0</v>
      </c>
      <c r="CB121" s="24">
        <f t="shared" si="142"/>
        <v>0</v>
      </c>
      <c r="CC121" s="24">
        <f t="shared" si="142"/>
        <v>0</v>
      </c>
      <c r="CD121" s="24">
        <f t="shared" si="142"/>
        <v>0</v>
      </c>
      <c r="CE121" s="24">
        <f t="shared" si="142"/>
        <v>0</v>
      </c>
      <c r="CF121" s="24">
        <f t="shared" si="142"/>
        <v>0</v>
      </c>
      <c r="CG121" s="24">
        <f t="shared" si="142"/>
        <v>0</v>
      </c>
      <c r="CH121" s="24">
        <f t="shared" si="142"/>
        <v>0</v>
      </c>
      <c r="CI121" s="24">
        <f t="shared" si="142"/>
        <v>0</v>
      </c>
      <c r="CJ121" s="24">
        <f t="shared" si="142"/>
        <v>0</v>
      </c>
      <c r="CK121" s="24">
        <f t="shared" si="142"/>
        <v>0</v>
      </c>
      <c r="CL121" s="24">
        <f t="shared" si="142"/>
        <v>0</v>
      </c>
      <c r="CM121" s="24">
        <f t="shared" si="142"/>
        <v>0</v>
      </c>
      <c r="CN121" s="24">
        <f t="shared" si="142"/>
        <v>0</v>
      </c>
      <c r="CO121" s="24">
        <f t="shared" si="142"/>
        <v>0</v>
      </c>
      <c r="CP121" s="24">
        <f t="shared" si="142"/>
        <v>0</v>
      </c>
      <c r="CQ121" s="24">
        <f t="shared" si="142"/>
        <v>0</v>
      </c>
      <c r="CR121" s="24">
        <f t="shared" si="142"/>
        <v>0</v>
      </c>
      <c r="CS121" s="24">
        <f t="shared" si="142"/>
        <v>0</v>
      </c>
      <c r="CT121" s="24">
        <f t="shared" si="142"/>
        <v>0</v>
      </c>
      <c r="CU121" s="24">
        <f t="shared" si="142"/>
        <v>0</v>
      </c>
      <c r="CV121" s="24">
        <f t="shared" si="142"/>
        <v>0</v>
      </c>
      <c r="CW121" s="24">
        <f t="shared" si="142"/>
        <v>0</v>
      </c>
      <c r="CX121" s="24">
        <f t="shared" si="142"/>
        <v>0</v>
      </c>
      <c r="CY121" s="24">
        <f t="shared" ref="CY121:ED121" si="143">-MIN(MAX(CY65-CY112,0),CY118+CY119+CY120)</f>
        <v>0</v>
      </c>
      <c r="CZ121" s="24">
        <f t="shared" si="143"/>
        <v>0</v>
      </c>
      <c r="DA121" s="24">
        <f t="shared" si="143"/>
        <v>0</v>
      </c>
      <c r="DB121" s="24">
        <f t="shared" si="143"/>
        <v>0</v>
      </c>
      <c r="DC121" s="24">
        <f t="shared" si="143"/>
        <v>0</v>
      </c>
      <c r="DD121" s="24">
        <f t="shared" si="143"/>
        <v>0</v>
      </c>
      <c r="DE121" s="24">
        <f t="shared" si="143"/>
        <v>0</v>
      </c>
      <c r="DF121" s="24">
        <f t="shared" si="143"/>
        <v>0</v>
      </c>
      <c r="DG121" s="24">
        <f t="shared" si="143"/>
        <v>0</v>
      </c>
      <c r="DH121" s="24">
        <f t="shared" si="143"/>
        <v>0</v>
      </c>
      <c r="DI121" s="24">
        <f t="shared" si="143"/>
        <v>0</v>
      </c>
      <c r="DJ121" s="24">
        <f t="shared" si="143"/>
        <v>0</v>
      </c>
      <c r="DK121" s="24">
        <f t="shared" si="143"/>
        <v>0</v>
      </c>
      <c r="DL121" s="24">
        <f t="shared" si="143"/>
        <v>0</v>
      </c>
      <c r="DM121" s="24">
        <f t="shared" si="143"/>
        <v>0</v>
      </c>
      <c r="DN121" s="24">
        <f t="shared" si="143"/>
        <v>0</v>
      </c>
      <c r="DO121" s="24">
        <f t="shared" si="143"/>
        <v>0</v>
      </c>
      <c r="DP121" s="24">
        <f t="shared" si="143"/>
        <v>0</v>
      </c>
      <c r="DQ121" s="24">
        <f t="shared" si="143"/>
        <v>0</v>
      </c>
      <c r="DR121" s="24">
        <f t="shared" si="143"/>
        <v>0</v>
      </c>
      <c r="DS121" s="24">
        <f t="shared" si="143"/>
        <v>0</v>
      </c>
      <c r="DT121" s="24">
        <f t="shared" si="143"/>
        <v>0</v>
      </c>
      <c r="DU121" s="24">
        <f t="shared" si="143"/>
        <v>0</v>
      </c>
      <c r="DV121" s="24">
        <f t="shared" si="143"/>
        <v>0</v>
      </c>
      <c r="DW121" s="24">
        <f t="shared" si="143"/>
        <v>0</v>
      </c>
      <c r="DX121" s="24">
        <f t="shared" si="143"/>
        <v>0</v>
      </c>
      <c r="DY121" s="24">
        <f t="shared" si="143"/>
        <v>0</v>
      </c>
      <c r="DZ121" s="24">
        <f t="shared" si="143"/>
        <v>0</v>
      </c>
      <c r="EA121" s="24">
        <f t="shared" si="143"/>
        <v>0</v>
      </c>
      <c r="EB121" s="24">
        <f t="shared" si="143"/>
        <v>0</v>
      </c>
      <c r="EC121" s="24">
        <f t="shared" si="143"/>
        <v>0</v>
      </c>
      <c r="ED121" s="24">
        <f t="shared" si="143"/>
        <v>0</v>
      </c>
      <c r="EE121" s="24">
        <f>-MIN(MAX(EE65-EE112,0),EE118+EE119+EE120)</f>
        <v>0</v>
      </c>
      <c r="EF121" s="24">
        <f>-MIN(MAX(EF65-EF112,0),EF118+EF119+EF120)</f>
        <v>0</v>
      </c>
      <c r="EG121" s="24">
        <f>-MIN(MAX(EG65-EG112,0),EG118+EG119+EG120)</f>
        <v>0</v>
      </c>
      <c r="EH121" s="24">
        <f>-MIN(MAX(EH65-EH112,0),EH118+EH119+EH120)</f>
        <v>0</v>
      </c>
      <c r="EI121" s="24">
        <f>-MIN(MAX(EI65-EI112,0),EI118+EI119+EI120)</f>
        <v>0</v>
      </c>
      <c r="EJ121" s="24"/>
      <c r="EK121" s="24"/>
      <c r="EL121" s="24"/>
      <c r="EM121" s="1" t="s">
        <v>178</v>
      </c>
    </row>
    <row r="122" spans="4:143" x14ac:dyDescent="0.45">
      <c r="D122" s="1" t="s">
        <v>188</v>
      </c>
      <c r="E122" s="179"/>
      <c r="F122" s="179"/>
      <c r="G122" s="24">
        <f>SUM(G118:G121)</f>
        <v>6794409.477995934</v>
      </c>
      <c r="H122" s="24">
        <f>SUM(H118:H121)</f>
        <v>6848589.0533049479</v>
      </c>
      <c r="I122" s="24">
        <f t="shared" ref="I122:T122" si="144">SUM(I118:I121)</f>
        <v>6903200.6641558548</v>
      </c>
      <c r="J122" s="24">
        <f t="shared" si="144"/>
        <v>6958247.7556607351</v>
      </c>
      <c r="K122" s="24">
        <f t="shared" si="144"/>
        <v>7013733.8004034786</v>
      </c>
      <c r="L122" s="24">
        <f t="shared" si="144"/>
        <v>7069662.298658845</v>
      </c>
      <c r="M122" s="24">
        <f t="shared" si="144"/>
        <v>7126036.7786132768</v>
      </c>
      <c r="N122" s="24">
        <f t="shared" si="144"/>
        <v>7182860.7965874719</v>
      </c>
      <c r="O122" s="24">
        <f t="shared" si="144"/>
        <v>7240137.9372607283</v>
      </c>
      <c r="P122" s="24">
        <f t="shared" si="144"/>
        <v>7297871.8138970789</v>
      </c>
      <c r="Q122" s="24">
        <f t="shared" si="144"/>
        <v>7356066.0685732327</v>
      </c>
      <c r="R122" s="24">
        <f t="shared" si="144"/>
        <v>7414724.3724083295</v>
      </c>
      <c r="S122" s="24">
        <f t="shared" si="144"/>
        <v>7473850.425795529</v>
      </c>
      <c r="T122" s="24">
        <f t="shared" si="144"/>
        <v>7533447.9586354448</v>
      </c>
      <c r="U122" s="24">
        <f t="shared" ref="U122:AZ122" si="145">SUM(U118:U121)</f>
        <v>7593520.7305714423</v>
      </c>
      <c r="V122" s="24">
        <f t="shared" si="145"/>
        <v>7654072.531226811</v>
      </c>
      <c r="W122" s="24">
        <f t="shared" si="145"/>
        <v>7715107.1804438289</v>
      </c>
      <c r="X122" s="24">
        <f t="shared" si="145"/>
        <v>7776628.5285247322</v>
      </c>
      <c r="Y122" s="24">
        <f t="shared" si="145"/>
        <v>7838640.4564746078</v>
      </c>
      <c r="Z122" s="24">
        <f t="shared" si="145"/>
        <v>7901146.8762462223</v>
      </c>
      <c r="AA122" s="24">
        <f t="shared" si="145"/>
        <v>7964151.7309868038</v>
      </c>
      <c r="AB122" s="24">
        <f t="shared" si="145"/>
        <v>8027298.1255535409</v>
      </c>
      <c r="AC122" s="24">
        <f t="shared" si="145"/>
        <v>8085607.2007418964</v>
      </c>
      <c r="AD122" s="24">
        <f t="shared" si="145"/>
        <v>8140248.4446732309</v>
      </c>
      <c r="AE122" s="24">
        <f t="shared" si="145"/>
        <v>8205159.9288972206</v>
      </c>
      <c r="AF122" s="24">
        <f t="shared" si="145"/>
        <v>8252442.5186849656</v>
      </c>
      <c r="AG122" s="24">
        <f t="shared" si="145"/>
        <v>8302373.6351072211</v>
      </c>
      <c r="AH122" s="24">
        <f t="shared" si="145"/>
        <v>8351781.3642798811</v>
      </c>
      <c r="AI122" s="24">
        <f t="shared" si="145"/>
        <v>8394693.8578705676</v>
      </c>
      <c r="AJ122" s="24">
        <f t="shared" si="145"/>
        <v>8431031.501693124</v>
      </c>
      <c r="AK122" s="24">
        <f t="shared" si="145"/>
        <v>8460713.9615423363</v>
      </c>
      <c r="AL122" s="24">
        <f t="shared" si="145"/>
        <v>8488256.8015034348</v>
      </c>
      <c r="AM122" s="24">
        <f t="shared" si="145"/>
        <v>8515759.2870978583</v>
      </c>
      <c r="AN122" s="24">
        <f t="shared" si="145"/>
        <v>8578325.2853127122</v>
      </c>
      <c r="AO122" s="24">
        <f t="shared" si="145"/>
        <v>8599012.1702995319</v>
      </c>
      <c r="AP122" s="24">
        <f t="shared" si="145"/>
        <v>8619602.3573733047</v>
      </c>
      <c r="AQ122" s="24">
        <f t="shared" si="145"/>
        <v>1450530.9670939371</v>
      </c>
      <c r="AR122" s="24">
        <f t="shared" si="145"/>
        <v>1440145.2448176029</v>
      </c>
      <c r="AS122" s="24">
        <f t="shared" si="145"/>
        <v>1429413.3633704272</v>
      </c>
      <c r="AT122" s="24">
        <f t="shared" si="145"/>
        <v>1418331.9987273742</v>
      </c>
      <c r="AU122" s="24">
        <f t="shared" si="145"/>
        <v>1406897.7991553361</v>
      </c>
      <c r="AV122" s="24">
        <f t="shared" si="145"/>
        <v>1395107.3849896397</v>
      </c>
      <c r="AW122" s="24">
        <f t="shared" si="145"/>
        <v>1382957.3484087668</v>
      </c>
      <c r="AX122" s="24">
        <f t="shared" si="145"/>
        <v>1370444.2532072698</v>
      </c>
      <c r="AY122" s="24">
        <f t="shared" si="145"/>
        <v>1357564.6345668752</v>
      </c>
      <c r="AZ122" s="24">
        <f t="shared" si="145"/>
        <v>1344314.9988257517</v>
      </c>
      <c r="BA122" s="24">
        <f t="shared" ref="BA122:CF122" si="146">SUM(BA118:BA121)</f>
        <v>1330691.8232459377</v>
      </c>
      <c r="BB122" s="24">
        <f t="shared" si="146"/>
        <v>1316691.5557789057</v>
      </c>
      <c r="BC122" s="24">
        <f t="shared" si="146"/>
        <v>1302310.6148292532</v>
      </c>
      <c r="BD122" s="24">
        <f t="shared" si="146"/>
        <v>1287545.3890165028</v>
      </c>
      <c r="BE122" s="24">
        <f t="shared" si="146"/>
        <v>1272392.2369349983</v>
      </c>
      <c r="BF122" s="24">
        <f t="shared" si="146"/>
        <v>1256847.4869118808</v>
      </c>
      <c r="BG122" s="24">
        <f t="shared" si="146"/>
        <v>1240907.4367631283</v>
      </c>
      <c r="BH122" s="24">
        <f t="shared" si="146"/>
        <v>1224568.353547646</v>
      </c>
      <c r="BI122" s="24">
        <f t="shared" si="146"/>
        <v>1207826.4733193889</v>
      </c>
      <c r="BJ122" s="24">
        <f t="shared" si="146"/>
        <v>1190678.0008775024</v>
      </c>
      <c r="BK122" s="24">
        <f t="shared" si="146"/>
        <v>1173119.1095144663</v>
      </c>
      <c r="BL122" s="24">
        <f t="shared" si="146"/>
        <v>1155145.940762223</v>
      </c>
      <c r="BM122" s="24">
        <f t="shared" si="146"/>
        <v>1136754.6041362765</v>
      </c>
      <c r="BN122" s="24">
        <f t="shared" si="146"/>
        <v>1117941.1768777468</v>
      </c>
      <c r="BO122" s="24">
        <f t="shared" si="146"/>
        <v>0</v>
      </c>
      <c r="BP122" s="24">
        <f t="shared" si="146"/>
        <v>0</v>
      </c>
      <c r="BQ122" s="24">
        <f t="shared" si="146"/>
        <v>0</v>
      </c>
      <c r="BR122" s="24">
        <f t="shared" si="146"/>
        <v>0</v>
      </c>
      <c r="BS122" s="24">
        <f t="shared" si="146"/>
        <v>0</v>
      </c>
      <c r="BT122" s="24">
        <f t="shared" si="146"/>
        <v>0</v>
      </c>
      <c r="BU122" s="24">
        <f t="shared" si="146"/>
        <v>0</v>
      </c>
      <c r="BV122" s="24">
        <f t="shared" si="146"/>
        <v>0</v>
      </c>
      <c r="BW122" s="24">
        <f t="shared" si="146"/>
        <v>0</v>
      </c>
      <c r="BX122" s="24">
        <f t="shared" si="146"/>
        <v>0</v>
      </c>
      <c r="BY122" s="24">
        <f t="shared" si="146"/>
        <v>0</v>
      </c>
      <c r="BZ122" s="24">
        <f t="shared" si="146"/>
        <v>0</v>
      </c>
      <c r="CA122" s="24">
        <f t="shared" si="146"/>
        <v>0</v>
      </c>
      <c r="CB122" s="24">
        <f t="shared" si="146"/>
        <v>0</v>
      </c>
      <c r="CC122" s="24">
        <f t="shared" si="146"/>
        <v>0</v>
      </c>
      <c r="CD122" s="24">
        <f t="shared" si="146"/>
        <v>0</v>
      </c>
      <c r="CE122" s="24">
        <f t="shared" si="146"/>
        <v>0</v>
      </c>
      <c r="CF122" s="24">
        <f t="shared" si="146"/>
        <v>0</v>
      </c>
      <c r="CG122" s="24">
        <f t="shared" ref="CG122:CU122" si="147">SUM(CG118:CG121)</f>
        <v>0</v>
      </c>
      <c r="CH122" s="24">
        <f t="shared" si="147"/>
        <v>0</v>
      </c>
      <c r="CI122" s="24">
        <f t="shared" si="147"/>
        <v>0</v>
      </c>
      <c r="CJ122" s="24">
        <f t="shared" si="147"/>
        <v>0</v>
      </c>
      <c r="CK122" s="24">
        <f t="shared" si="147"/>
        <v>0</v>
      </c>
      <c r="CL122" s="24">
        <f t="shared" si="147"/>
        <v>0</v>
      </c>
      <c r="CM122" s="24">
        <f t="shared" si="147"/>
        <v>0</v>
      </c>
      <c r="CN122" s="24">
        <f t="shared" si="147"/>
        <v>0</v>
      </c>
      <c r="CO122" s="24">
        <f t="shared" si="147"/>
        <v>0</v>
      </c>
      <c r="CP122" s="24">
        <f t="shared" si="147"/>
        <v>0</v>
      </c>
      <c r="CQ122" s="24">
        <f t="shared" si="147"/>
        <v>0</v>
      </c>
      <c r="CR122" s="24">
        <f t="shared" si="147"/>
        <v>0</v>
      </c>
      <c r="CS122" s="24">
        <f t="shared" si="147"/>
        <v>0</v>
      </c>
      <c r="CT122" s="24">
        <f t="shared" si="147"/>
        <v>0</v>
      </c>
      <c r="CU122" s="24">
        <f t="shared" si="147"/>
        <v>0</v>
      </c>
      <c r="CV122" s="24">
        <f t="shared" ref="CV122:EI122" si="148">SUM(CV118:CV121)</f>
        <v>0</v>
      </c>
      <c r="CW122" s="24">
        <f t="shared" si="148"/>
        <v>0</v>
      </c>
      <c r="CX122" s="24">
        <f t="shared" si="148"/>
        <v>0</v>
      </c>
      <c r="CY122" s="24">
        <f t="shared" si="148"/>
        <v>0</v>
      </c>
      <c r="CZ122" s="24">
        <f t="shared" si="148"/>
        <v>0</v>
      </c>
      <c r="DA122" s="24">
        <f t="shared" si="148"/>
        <v>0</v>
      </c>
      <c r="DB122" s="24">
        <f t="shared" si="148"/>
        <v>0</v>
      </c>
      <c r="DC122" s="24">
        <f t="shared" si="148"/>
        <v>0</v>
      </c>
      <c r="DD122" s="24">
        <f t="shared" si="148"/>
        <v>0</v>
      </c>
      <c r="DE122" s="24">
        <f t="shared" si="148"/>
        <v>0</v>
      </c>
      <c r="DF122" s="24">
        <f t="shared" si="148"/>
        <v>0</v>
      </c>
      <c r="DG122" s="24">
        <f t="shared" si="148"/>
        <v>0</v>
      </c>
      <c r="DH122" s="24">
        <f t="shared" si="148"/>
        <v>0</v>
      </c>
      <c r="DI122" s="24">
        <f t="shared" si="148"/>
        <v>0</v>
      </c>
      <c r="DJ122" s="24">
        <f t="shared" si="148"/>
        <v>0</v>
      </c>
      <c r="DK122" s="24">
        <f t="shared" si="148"/>
        <v>0</v>
      </c>
      <c r="DL122" s="24">
        <f t="shared" si="148"/>
        <v>0</v>
      </c>
      <c r="DM122" s="24">
        <f t="shared" si="148"/>
        <v>0</v>
      </c>
      <c r="DN122" s="24">
        <f t="shared" si="148"/>
        <v>0</v>
      </c>
      <c r="DO122" s="24">
        <f t="shared" si="148"/>
        <v>0</v>
      </c>
      <c r="DP122" s="24">
        <f t="shared" si="148"/>
        <v>0</v>
      </c>
      <c r="DQ122" s="24">
        <f t="shared" si="148"/>
        <v>0</v>
      </c>
      <c r="DR122" s="24">
        <f t="shared" si="148"/>
        <v>0</v>
      </c>
      <c r="DS122" s="24">
        <f t="shared" si="148"/>
        <v>0</v>
      </c>
      <c r="DT122" s="24">
        <f t="shared" si="148"/>
        <v>0</v>
      </c>
      <c r="DU122" s="24">
        <f t="shared" si="148"/>
        <v>0</v>
      </c>
      <c r="DV122" s="24">
        <f t="shared" si="148"/>
        <v>0</v>
      </c>
      <c r="DW122" s="24">
        <f t="shared" si="148"/>
        <v>0</v>
      </c>
      <c r="DX122" s="24">
        <f t="shared" si="148"/>
        <v>0</v>
      </c>
      <c r="DY122" s="24">
        <f t="shared" si="148"/>
        <v>0</v>
      </c>
      <c r="DZ122" s="24">
        <f t="shared" si="148"/>
        <v>0</v>
      </c>
      <c r="EA122" s="24">
        <f t="shared" si="148"/>
        <v>0</v>
      </c>
      <c r="EB122" s="24">
        <f t="shared" si="148"/>
        <v>0</v>
      </c>
      <c r="EC122" s="24">
        <f t="shared" si="148"/>
        <v>0</v>
      </c>
      <c r="ED122" s="24">
        <f t="shared" si="148"/>
        <v>0</v>
      </c>
      <c r="EE122" s="24">
        <f t="shared" si="148"/>
        <v>0</v>
      </c>
      <c r="EF122" s="24">
        <f t="shared" si="148"/>
        <v>0</v>
      </c>
      <c r="EG122" s="24">
        <f t="shared" si="148"/>
        <v>0</v>
      </c>
      <c r="EH122" s="24">
        <f t="shared" si="148"/>
        <v>0</v>
      </c>
      <c r="EI122" s="24">
        <f t="shared" si="148"/>
        <v>0</v>
      </c>
      <c r="EJ122" s="24"/>
      <c r="EK122" s="24"/>
      <c r="EL122" s="24"/>
      <c r="EM122" s="1" t="s">
        <v>178</v>
      </c>
    </row>
    <row r="123" spans="4:143" s="78" customFormat="1" x14ac:dyDescent="0.45">
      <c r="D123" s="78" t="s">
        <v>189</v>
      </c>
      <c r="E123" s="177">
        <f>E119</f>
        <v>0.1</v>
      </c>
      <c r="F123" s="178">
        <f>XIRR($G123:$EI123,$G$2:$EI$2)</f>
        <v>9.990739226341247E-2</v>
      </c>
      <c r="G123" s="176">
        <f>-G120-G121</f>
        <v>-6794409.477995934</v>
      </c>
      <c r="H123" s="176">
        <f t="shared" ref="H123:BS123" si="149">-H120-H121</f>
        <v>0</v>
      </c>
      <c r="I123" s="176">
        <f t="shared" si="149"/>
        <v>0</v>
      </c>
      <c r="J123" s="176">
        <f t="shared" si="149"/>
        <v>0</v>
      </c>
      <c r="K123" s="176">
        <f t="shared" si="149"/>
        <v>0</v>
      </c>
      <c r="L123" s="176">
        <f t="shared" si="149"/>
        <v>0</v>
      </c>
      <c r="M123" s="176">
        <f t="shared" si="149"/>
        <v>0</v>
      </c>
      <c r="N123" s="176">
        <f t="shared" si="149"/>
        <v>0</v>
      </c>
      <c r="O123" s="176">
        <f t="shared" si="149"/>
        <v>0</v>
      </c>
      <c r="P123" s="176">
        <f t="shared" si="149"/>
        <v>0</v>
      </c>
      <c r="Q123" s="176">
        <f t="shared" si="149"/>
        <v>0</v>
      </c>
      <c r="R123" s="176">
        <f t="shared" si="149"/>
        <v>0</v>
      </c>
      <c r="S123" s="176">
        <f t="shared" si="149"/>
        <v>0</v>
      </c>
      <c r="T123" s="176">
        <f t="shared" si="149"/>
        <v>0</v>
      </c>
      <c r="U123" s="176">
        <f t="shared" si="149"/>
        <v>0</v>
      </c>
      <c r="V123" s="176">
        <f t="shared" si="149"/>
        <v>0</v>
      </c>
      <c r="W123" s="176">
        <f t="shared" si="149"/>
        <v>0</v>
      </c>
      <c r="X123" s="176">
        <f t="shared" si="149"/>
        <v>0</v>
      </c>
      <c r="Y123" s="176">
        <f t="shared" si="149"/>
        <v>0</v>
      </c>
      <c r="Z123" s="176">
        <f t="shared" si="149"/>
        <v>0</v>
      </c>
      <c r="AA123" s="176">
        <f t="shared" si="149"/>
        <v>0</v>
      </c>
      <c r="AB123" s="176">
        <f t="shared" si="149"/>
        <v>360.86973324913106</v>
      </c>
      <c r="AC123" s="176">
        <f t="shared" si="149"/>
        <v>5701.7273294838305</v>
      </c>
      <c r="AD123" s="176">
        <f t="shared" si="149"/>
        <v>9834.5233403366074</v>
      </c>
      <c r="AE123" s="176">
        <f t="shared" si="149"/>
        <v>0</v>
      </c>
      <c r="AF123" s="176">
        <f t="shared" si="149"/>
        <v>18146.507726895936</v>
      </c>
      <c r="AG123" s="176">
        <f t="shared" si="149"/>
        <v>15875.019103195016</v>
      </c>
      <c r="AH123" s="176">
        <f t="shared" si="149"/>
        <v>16796.564086913502</v>
      </c>
      <c r="AI123" s="176">
        <f t="shared" si="149"/>
        <v>23685.783839583131</v>
      </c>
      <c r="AJ123" s="176">
        <f t="shared" si="149"/>
        <v>30602.823857759518</v>
      </c>
      <c r="AK123" s="176">
        <f t="shared" si="149"/>
        <v>37547.76930580008</v>
      </c>
      <c r="AL123" s="176">
        <f t="shared" si="149"/>
        <v>39924.081297027638</v>
      </c>
      <c r="AM123" s="176">
        <f t="shared" si="149"/>
        <v>40184.066137361631</v>
      </c>
      <c r="AN123" s="176">
        <f t="shared" si="149"/>
        <v>5339.8621992058997</v>
      </c>
      <c r="AO123" s="176">
        <f t="shared" si="149"/>
        <v>47717.885483080121</v>
      </c>
      <c r="AP123" s="176">
        <f t="shared" si="149"/>
        <v>47979.543522048778</v>
      </c>
      <c r="AQ123" s="176">
        <f t="shared" si="149"/>
        <v>7237805.309918372</v>
      </c>
      <c r="AR123" s="176">
        <f t="shared" si="149"/>
        <v>21952.459904414776</v>
      </c>
      <c r="AS123" s="176">
        <f t="shared" si="149"/>
        <v>22215.801867369388</v>
      </c>
      <c r="AT123" s="176">
        <f t="shared" si="149"/>
        <v>22479.707533520334</v>
      </c>
      <c r="AU123" s="176">
        <f t="shared" si="149"/>
        <v>22744.178104697905</v>
      </c>
      <c r="AV123" s="176">
        <f t="shared" si="149"/>
        <v>23009.214785276574</v>
      </c>
      <c r="AW123" s="176">
        <f t="shared" si="149"/>
        <v>23274.818782180973</v>
      </c>
      <c r="AX123" s="176">
        <f t="shared" si="149"/>
        <v>23540.991304892897</v>
      </c>
      <c r="AY123" s="176">
        <f t="shared" si="149"/>
        <v>23807.733565453589</v>
      </c>
      <c r="AZ123" s="176">
        <f t="shared" si="149"/>
        <v>24075.04677847297</v>
      </c>
      <c r="BA123" s="176">
        <f t="shared" si="149"/>
        <v>24342.93216113215</v>
      </c>
      <c r="BB123" s="176">
        <f t="shared" si="149"/>
        <v>24611.390933189094</v>
      </c>
      <c r="BC123" s="176">
        <f t="shared" si="149"/>
        <v>24880.424316985187</v>
      </c>
      <c r="BD123" s="176">
        <f t="shared" si="149"/>
        <v>25150.033537450981</v>
      </c>
      <c r="BE123" s="176">
        <f t="shared" si="149"/>
        <v>25420.219822109706</v>
      </c>
      <c r="BF123" s="176">
        <f t="shared" si="149"/>
        <v>25690.984401084228</v>
      </c>
      <c r="BG123" s="176">
        <f t="shared" si="149"/>
        <v>25962.328507102578</v>
      </c>
      <c r="BH123" s="176">
        <f t="shared" si="149"/>
        <v>26234.253375502591</v>
      </c>
      <c r="BI123" s="176">
        <f t="shared" si="149"/>
        <v>26506.760244237597</v>
      </c>
      <c r="BJ123" s="176">
        <f t="shared" si="149"/>
        <v>26779.850353882917</v>
      </c>
      <c r="BK123" s="176">
        <f t="shared" si="149"/>
        <v>27053.524947639762</v>
      </c>
      <c r="BL123" s="176">
        <f t="shared" si="149"/>
        <v>27327.785271342233</v>
      </c>
      <c r="BM123" s="176">
        <f t="shared" si="149"/>
        <v>27602.632573462612</v>
      </c>
      <c r="BN123" s="176">
        <f t="shared" si="149"/>
        <v>27878.068105115242</v>
      </c>
      <c r="BO123" s="176">
        <f t="shared" si="149"/>
        <v>1126855.796813424</v>
      </c>
      <c r="BP123" s="176">
        <f t="shared" si="149"/>
        <v>0</v>
      </c>
      <c r="BQ123" s="176">
        <f t="shared" si="149"/>
        <v>0</v>
      </c>
      <c r="BR123" s="176">
        <f t="shared" si="149"/>
        <v>0</v>
      </c>
      <c r="BS123" s="176">
        <f t="shared" si="149"/>
        <v>0</v>
      </c>
      <c r="BT123" s="176">
        <f t="shared" ref="BT123:CV123" si="150">-BT120-BT121</f>
        <v>0</v>
      </c>
      <c r="BU123" s="176">
        <f t="shared" si="150"/>
        <v>0</v>
      </c>
      <c r="BV123" s="176">
        <f t="shared" si="150"/>
        <v>0</v>
      </c>
      <c r="BW123" s="176">
        <f t="shared" si="150"/>
        <v>0</v>
      </c>
      <c r="BX123" s="176">
        <f t="shared" si="150"/>
        <v>0</v>
      </c>
      <c r="BY123" s="176">
        <f t="shared" si="150"/>
        <v>0</v>
      </c>
      <c r="BZ123" s="176">
        <f t="shared" si="150"/>
        <v>0</v>
      </c>
      <c r="CA123" s="176">
        <f t="shared" si="150"/>
        <v>0</v>
      </c>
      <c r="CB123" s="176">
        <f t="shared" si="150"/>
        <v>0</v>
      </c>
      <c r="CC123" s="176">
        <f t="shared" si="150"/>
        <v>0</v>
      </c>
      <c r="CD123" s="176">
        <f t="shared" si="150"/>
        <v>0</v>
      </c>
      <c r="CE123" s="176">
        <f t="shared" si="150"/>
        <v>0</v>
      </c>
      <c r="CF123" s="176">
        <f t="shared" si="150"/>
        <v>0</v>
      </c>
      <c r="CG123" s="176">
        <f t="shared" si="150"/>
        <v>0</v>
      </c>
      <c r="CH123" s="176">
        <f t="shared" si="150"/>
        <v>0</v>
      </c>
      <c r="CI123" s="176">
        <f t="shared" si="150"/>
        <v>0</v>
      </c>
      <c r="CJ123" s="176">
        <f t="shared" si="150"/>
        <v>0</v>
      </c>
      <c r="CK123" s="176">
        <f t="shared" si="150"/>
        <v>0</v>
      </c>
      <c r="CL123" s="176">
        <f t="shared" si="150"/>
        <v>0</v>
      </c>
      <c r="CM123" s="176">
        <f t="shared" si="150"/>
        <v>0</v>
      </c>
      <c r="CN123" s="176">
        <f t="shared" si="150"/>
        <v>0</v>
      </c>
      <c r="CO123" s="176">
        <f t="shared" si="150"/>
        <v>0</v>
      </c>
      <c r="CP123" s="176">
        <f t="shared" si="150"/>
        <v>0</v>
      </c>
      <c r="CQ123" s="176">
        <f t="shared" si="150"/>
        <v>0</v>
      </c>
      <c r="CR123" s="176">
        <f t="shared" si="150"/>
        <v>0</v>
      </c>
      <c r="CS123" s="176">
        <f t="shared" si="150"/>
        <v>0</v>
      </c>
      <c r="CT123" s="176">
        <f t="shared" si="150"/>
        <v>0</v>
      </c>
      <c r="CU123" s="176">
        <f t="shared" si="150"/>
        <v>0</v>
      </c>
      <c r="CV123" s="176">
        <f t="shared" si="150"/>
        <v>0</v>
      </c>
      <c r="CW123" s="176">
        <f t="shared" ref="CW123:EI123" si="151">-CW120-CW121</f>
        <v>0</v>
      </c>
      <c r="CX123" s="176">
        <f t="shared" si="151"/>
        <v>0</v>
      </c>
      <c r="CY123" s="176">
        <f t="shared" si="151"/>
        <v>0</v>
      </c>
      <c r="CZ123" s="176">
        <f t="shared" si="151"/>
        <v>0</v>
      </c>
      <c r="DA123" s="176">
        <f t="shared" si="151"/>
        <v>0</v>
      </c>
      <c r="DB123" s="176">
        <f t="shared" si="151"/>
        <v>0</v>
      </c>
      <c r="DC123" s="176">
        <f t="shared" si="151"/>
        <v>0</v>
      </c>
      <c r="DD123" s="176">
        <f t="shared" si="151"/>
        <v>0</v>
      </c>
      <c r="DE123" s="176">
        <f t="shared" si="151"/>
        <v>0</v>
      </c>
      <c r="DF123" s="176">
        <f t="shared" si="151"/>
        <v>0</v>
      </c>
      <c r="DG123" s="176">
        <f t="shared" si="151"/>
        <v>0</v>
      </c>
      <c r="DH123" s="176">
        <f t="shared" si="151"/>
        <v>0</v>
      </c>
      <c r="DI123" s="176">
        <f t="shared" si="151"/>
        <v>0</v>
      </c>
      <c r="DJ123" s="176">
        <f t="shared" si="151"/>
        <v>0</v>
      </c>
      <c r="DK123" s="176">
        <f t="shared" si="151"/>
        <v>0</v>
      </c>
      <c r="DL123" s="176">
        <f t="shared" si="151"/>
        <v>0</v>
      </c>
      <c r="DM123" s="176">
        <f t="shared" si="151"/>
        <v>0</v>
      </c>
      <c r="DN123" s="176">
        <f t="shared" si="151"/>
        <v>0</v>
      </c>
      <c r="DO123" s="176">
        <f t="shared" si="151"/>
        <v>0</v>
      </c>
      <c r="DP123" s="176">
        <f t="shared" si="151"/>
        <v>0</v>
      </c>
      <c r="DQ123" s="176">
        <f t="shared" si="151"/>
        <v>0</v>
      </c>
      <c r="DR123" s="176">
        <f t="shared" si="151"/>
        <v>0</v>
      </c>
      <c r="DS123" s="176">
        <f t="shared" si="151"/>
        <v>0</v>
      </c>
      <c r="DT123" s="176">
        <f t="shared" si="151"/>
        <v>0</v>
      </c>
      <c r="DU123" s="176">
        <f t="shared" si="151"/>
        <v>0</v>
      </c>
      <c r="DV123" s="176">
        <f t="shared" si="151"/>
        <v>0</v>
      </c>
      <c r="DW123" s="176">
        <f t="shared" si="151"/>
        <v>0</v>
      </c>
      <c r="DX123" s="176">
        <f t="shared" si="151"/>
        <v>0</v>
      </c>
      <c r="DY123" s="176">
        <f t="shared" si="151"/>
        <v>0</v>
      </c>
      <c r="DZ123" s="176">
        <f t="shared" si="151"/>
        <v>0</v>
      </c>
      <c r="EA123" s="176">
        <f t="shared" si="151"/>
        <v>0</v>
      </c>
      <c r="EB123" s="176">
        <f t="shared" si="151"/>
        <v>0</v>
      </c>
      <c r="EC123" s="176">
        <f t="shared" si="151"/>
        <v>0</v>
      </c>
      <c r="ED123" s="176">
        <f t="shared" si="151"/>
        <v>0</v>
      </c>
      <c r="EE123" s="176">
        <f t="shared" si="151"/>
        <v>0</v>
      </c>
      <c r="EF123" s="176">
        <f t="shared" si="151"/>
        <v>0</v>
      </c>
      <c r="EG123" s="176">
        <f t="shared" si="151"/>
        <v>0</v>
      </c>
      <c r="EH123" s="176">
        <f t="shared" si="151"/>
        <v>0</v>
      </c>
      <c r="EI123" s="176">
        <f t="shared" si="151"/>
        <v>0</v>
      </c>
      <c r="EJ123" s="176"/>
      <c r="EK123" s="176"/>
      <c r="EL123" s="176"/>
      <c r="EM123" s="1" t="s">
        <v>178</v>
      </c>
    </row>
    <row r="124" spans="4:143" x14ac:dyDescent="0.45">
      <c r="E124" s="179"/>
      <c r="F124" s="179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1" t="s">
        <v>178</v>
      </c>
    </row>
    <row r="125" spans="4:143" x14ac:dyDescent="0.45">
      <c r="D125" s="1" t="s">
        <v>190</v>
      </c>
      <c r="E125" s="179">
        <f>-SUM(G125:EI125)</f>
        <v>9276899.2748702541</v>
      </c>
      <c r="F125" s="179"/>
      <c r="G125" s="24">
        <f>G121</f>
        <v>0</v>
      </c>
      <c r="H125" s="24">
        <f t="shared" ref="H125:BS125" si="152">H121</f>
        <v>0</v>
      </c>
      <c r="I125" s="24">
        <f t="shared" si="152"/>
        <v>0</v>
      </c>
      <c r="J125" s="24">
        <f t="shared" si="152"/>
        <v>0</v>
      </c>
      <c r="K125" s="24">
        <f t="shared" si="152"/>
        <v>0</v>
      </c>
      <c r="L125" s="24">
        <f t="shared" si="152"/>
        <v>0</v>
      </c>
      <c r="M125" s="24">
        <f t="shared" si="152"/>
        <v>0</v>
      </c>
      <c r="N125" s="24">
        <f t="shared" si="152"/>
        <v>0</v>
      </c>
      <c r="O125" s="24">
        <f t="shared" si="152"/>
        <v>0</v>
      </c>
      <c r="P125" s="24">
        <f t="shared" si="152"/>
        <v>0</v>
      </c>
      <c r="Q125" s="24">
        <f t="shared" si="152"/>
        <v>0</v>
      </c>
      <c r="R125" s="24">
        <f t="shared" si="152"/>
        <v>0</v>
      </c>
      <c r="S125" s="24">
        <f t="shared" si="152"/>
        <v>0</v>
      </c>
      <c r="T125" s="24">
        <f t="shared" si="152"/>
        <v>0</v>
      </c>
      <c r="U125" s="24">
        <f t="shared" si="152"/>
        <v>0</v>
      </c>
      <c r="V125" s="24">
        <f t="shared" si="152"/>
        <v>0</v>
      </c>
      <c r="W125" s="24">
        <f t="shared" si="152"/>
        <v>0</v>
      </c>
      <c r="X125" s="24">
        <f t="shared" si="152"/>
        <v>0</v>
      </c>
      <c r="Y125" s="24">
        <f t="shared" si="152"/>
        <v>0</v>
      </c>
      <c r="Z125" s="24">
        <f t="shared" si="152"/>
        <v>0</v>
      </c>
      <c r="AA125" s="24">
        <f t="shared" si="152"/>
        <v>0</v>
      </c>
      <c r="AB125" s="24">
        <f t="shared" si="152"/>
        <v>-360.86973324913106</v>
      </c>
      <c r="AC125" s="24">
        <f t="shared" si="152"/>
        <v>-5701.7273294838305</v>
      </c>
      <c r="AD125" s="24">
        <f t="shared" si="152"/>
        <v>-9834.5233403366074</v>
      </c>
      <c r="AE125" s="24">
        <f t="shared" si="152"/>
        <v>0</v>
      </c>
      <c r="AF125" s="24">
        <f t="shared" si="152"/>
        <v>-18146.507726895936</v>
      </c>
      <c r="AG125" s="24">
        <f t="shared" si="152"/>
        <v>-15875.019103195016</v>
      </c>
      <c r="AH125" s="24">
        <f t="shared" si="152"/>
        <v>-16796.564086913502</v>
      </c>
      <c r="AI125" s="24">
        <f t="shared" si="152"/>
        <v>-23685.783839583131</v>
      </c>
      <c r="AJ125" s="24">
        <f t="shared" si="152"/>
        <v>-30602.823857759518</v>
      </c>
      <c r="AK125" s="24">
        <f t="shared" si="152"/>
        <v>-37547.76930580008</v>
      </c>
      <c r="AL125" s="24">
        <f t="shared" si="152"/>
        <v>-39924.081297027638</v>
      </c>
      <c r="AM125" s="24">
        <f t="shared" si="152"/>
        <v>-40184.066137361631</v>
      </c>
      <c r="AN125" s="24">
        <f t="shared" si="152"/>
        <v>-5339.8621992058997</v>
      </c>
      <c r="AO125" s="24">
        <f t="shared" si="152"/>
        <v>-47717.885483080121</v>
      </c>
      <c r="AP125" s="24">
        <f t="shared" si="152"/>
        <v>-47979.543522048778</v>
      </c>
      <c r="AQ125" s="24">
        <f t="shared" si="152"/>
        <v>-7237805.309918372</v>
      </c>
      <c r="AR125" s="24">
        <f t="shared" si="152"/>
        <v>-21952.459904414776</v>
      </c>
      <c r="AS125" s="24">
        <f t="shared" si="152"/>
        <v>-22215.801867369388</v>
      </c>
      <c r="AT125" s="24">
        <f t="shared" si="152"/>
        <v>-22479.707533520334</v>
      </c>
      <c r="AU125" s="24">
        <f t="shared" si="152"/>
        <v>-22744.178104697905</v>
      </c>
      <c r="AV125" s="24">
        <f t="shared" si="152"/>
        <v>-23009.214785276574</v>
      </c>
      <c r="AW125" s="24">
        <f t="shared" si="152"/>
        <v>-23274.818782180973</v>
      </c>
      <c r="AX125" s="24">
        <f t="shared" si="152"/>
        <v>-23540.991304892897</v>
      </c>
      <c r="AY125" s="24">
        <f t="shared" si="152"/>
        <v>-23807.733565453589</v>
      </c>
      <c r="AZ125" s="24">
        <f t="shared" si="152"/>
        <v>-24075.04677847297</v>
      </c>
      <c r="BA125" s="24">
        <f t="shared" si="152"/>
        <v>-24342.93216113215</v>
      </c>
      <c r="BB125" s="24">
        <f t="shared" si="152"/>
        <v>-24611.390933189094</v>
      </c>
      <c r="BC125" s="24">
        <f t="shared" si="152"/>
        <v>-24880.424316985187</v>
      </c>
      <c r="BD125" s="24">
        <f t="shared" si="152"/>
        <v>-25150.033537450981</v>
      </c>
      <c r="BE125" s="24">
        <f t="shared" si="152"/>
        <v>-25420.219822109706</v>
      </c>
      <c r="BF125" s="24">
        <f t="shared" si="152"/>
        <v>-25690.984401084228</v>
      </c>
      <c r="BG125" s="24">
        <f t="shared" si="152"/>
        <v>-25962.328507102578</v>
      </c>
      <c r="BH125" s="24">
        <f t="shared" si="152"/>
        <v>-26234.253375502591</v>
      </c>
      <c r="BI125" s="24">
        <f t="shared" si="152"/>
        <v>-26506.760244237597</v>
      </c>
      <c r="BJ125" s="24">
        <f t="shared" si="152"/>
        <v>-26779.850353882917</v>
      </c>
      <c r="BK125" s="24">
        <f t="shared" si="152"/>
        <v>-27053.524947639762</v>
      </c>
      <c r="BL125" s="24">
        <f t="shared" si="152"/>
        <v>-27327.785271342233</v>
      </c>
      <c r="BM125" s="24">
        <f t="shared" si="152"/>
        <v>-27602.632573462612</v>
      </c>
      <c r="BN125" s="24">
        <f t="shared" si="152"/>
        <v>-27878.068105115242</v>
      </c>
      <c r="BO125" s="24">
        <f t="shared" si="152"/>
        <v>-1126855.796813424</v>
      </c>
      <c r="BP125" s="24">
        <f t="shared" si="152"/>
        <v>0</v>
      </c>
      <c r="BQ125" s="24">
        <f t="shared" si="152"/>
        <v>0</v>
      </c>
      <c r="BR125" s="24">
        <f t="shared" si="152"/>
        <v>0</v>
      </c>
      <c r="BS125" s="24">
        <f t="shared" si="152"/>
        <v>0</v>
      </c>
      <c r="BT125" s="24">
        <f t="shared" ref="BT125:CV125" si="153">BT121</f>
        <v>0</v>
      </c>
      <c r="BU125" s="24">
        <f t="shared" si="153"/>
        <v>0</v>
      </c>
      <c r="BV125" s="24">
        <f t="shared" si="153"/>
        <v>0</v>
      </c>
      <c r="BW125" s="24">
        <f t="shared" si="153"/>
        <v>0</v>
      </c>
      <c r="BX125" s="24">
        <f t="shared" si="153"/>
        <v>0</v>
      </c>
      <c r="BY125" s="24">
        <f t="shared" si="153"/>
        <v>0</v>
      </c>
      <c r="BZ125" s="24">
        <f t="shared" si="153"/>
        <v>0</v>
      </c>
      <c r="CA125" s="24">
        <f t="shared" si="153"/>
        <v>0</v>
      </c>
      <c r="CB125" s="24">
        <f t="shared" si="153"/>
        <v>0</v>
      </c>
      <c r="CC125" s="24">
        <f t="shared" si="153"/>
        <v>0</v>
      </c>
      <c r="CD125" s="24">
        <f t="shared" si="153"/>
        <v>0</v>
      </c>
      <c r="CE125" s="24">
        <f t="shared" si="153"/>
        <v>0</v>
      </c>
      <c r="CF125" s="24">
        <f t="shared" si="153"/>
        <v>0</v>
      </c>
      <c r="CG125" s="24">
        <f t="shared" si="153"/>
        <v>0</v>
      </c>
      <c r="CH125" s="24">
        <f t="shared" si="153"/>
        <v>0</v>
      </c>
      <c r="CI125" s="24">
        <f t="shared" si="153"/>
        <v>0</v>
      </c>
      <c r="CJ125" s="24">
        <f t="shared" si="153"/>
        <v>0</v>
      </c>
      <c r="CK125" s="24">
        <f t="shared" si="153"/>
        <v>0</v>
      </c>
      <c r="CL125" s="24">
        <f t="shared" si="153"/>
        <v>0</v>
      </c>
      <c r="CM125" s="24">
        <f t="shared" si="153"/>
        <v>0</v>
      </c>
      <c r="CN125" s="24">
        <f t="shared" si="153"/>
        <v>0</v>
      </c>
      <c r="CO125" s="24">
        <f t="shared" si="153"/>
        <v>0</v>
      </c>
      <c r="CP125" s="24">
        <f t="shared" si="153"/>
        <v>0</v>
      </c>
      <c r="CQ125" s="24">
        <f t="shared" si="153"/>
        <v>0</v>
      </c>
      <c r="CR125" s="24">
        <f t="shared" si="153"/>
        <v>0</v>
      </c>
      <c r="CS125" s="24">
        <f t="shared" si="153"/>
        <v>0</v>
      </c>
      <c r="CT125" s="24">
        <f t="shared" si="153"/>
        <v>0</v>
      </c>
      <c r="CU125" s="24">
        <f t="shared" si="153"/>
        <v>0</v>
      </c>
      <c r="CV125" s="24">
        <f t="shared" si="153"/>
        <v>0</v>
      </c>
      <c r="CW125" s="24">
        <f t="shared" ref="CW125:EI125" si="154">CW121</f>
        <v>0</v>
      </c>
      <c r="CX125" s="24">
        <f t="shared" si="154"/>
        <v>0</v>
      </c>
      <c r="CY125" s="24">
        <f t="shared" si="154"/>
        <v>0</v>
      </c>
      <c r="CZ125" s="24">
        <f t="shared" si="154"/>
        <v>0</v>
      </c>
      <c r="DA125" s="24">
        <f t="shared" si="154"/>
        <v>0</v>
      </c>
      <c r="DB125" s="24">
        <f t="shared" si="154"/>
        <v>0</v>
      </c>
      <c r="DC125" s="24">
        <f t="shared" si="154"/>
        <v>0</v>
      </c>
      <c r="DD125" s="24">
        <f t="shared" si="154"/>
        <v>0</v>
      </c>
      <c r="DE125" s="24">
        <f t="shared" si="154"/>
        <v>0</v>
      </c>
      <c r="DF125" s="24">
        <f t="shared" si="154"/>
        <v>0</v>
      </c>
      <c r="DG125" s="24">
        <f t="shared" si="154"/>
        <v>0</v>
      </c>
      <c r="DH125" s="24">
        <f t="shared" si="154"/>
        <v>0</v>
      </c>
      <c r="DI125" s="24">
        <f t="shared" si="154"/>
        <v>0</v>
      </c>
      <c r="DJ125" s="24">
        <f t="shared" si="154"/>
        <v>0</v>
      </c>
      <c r="DK125" s="24">
        <f t="shared" si="154"/>
        <v>0</v>
      </c>
      <c r="DL125" s="24">
        <f t="shared" si="154"/>
        <v>0</v>
      </c>
      <c r="DM125" s="24">
        <f t="shared" si="154"/>
        <v>0</v>
      </c>
      <c r="DN125" s="24">
        <f t="shared" si="154"/>
        <v>0</v>
      </c>
      <c r="DO125" s="24">
        <f t="shared" si="154"/>
        <v>0</v>
      </c>
      <c r="DP125" s="24">
        <f t="shared" si="154"/>
        <v>0</v>
      </c>
      <c r="DQ125" s="24">
        <f t="shared" si="154"/>
        <v>0</v>
      </c>
      <c r="DR125" s="24">
        <f t="shared" si="154"/>
        <v>0</v>
      </c>
      <c r="DS125" s="24">
        <f t="shared" si="154"/>
        <v>0</v>
      </c>
      <c r="DT125" s="24">
        <f t="shared" si="154"/>
        <v>0</v>
      </c>
      <c r="DU125" s="24">
        <f t="shared" si="154"/>
        <v>0</v>
      </c>
      <c r="DV125" s="24">
        <f t="shared" si="154"/>
        <v>0</v>
      </c>
      <c r="DW125" s="24">
        <f t="shared" si="154"/>
        <v>0</v>
      </c>
      <c r="DX125" s="24">
        <f t="shared" si="154"/>
        <v>0</v>
      </c>
      <c r="DY125" s="24">
        <f t="shared" si="154"/>
        <v>0</v>
      </c>
      <c r="DZ125" s="24">
        <f t="shared" si="154"/>
        <v>0</v>
      </c>
      <c r="EA125" s="24">
        <f t="shared" si="154"/>
        <v>0</v>
      </c>
      <c r="EB125" s="24">
        <f t="shared" si="154"/>
        <v>0</v>
      </c>
      <c r="EC125" s="24">
        <f t="shared" si="154"/>
        <v>0</v>
      </c>
      <c r="ED125" s="24">
        <f t="shared" si="154"/>
        <v>0</v>
      </c>
      <c r="EE125" s="24">
        <f t="shared" si="154"/>
        <v>0</v>
      </c>
      <c r="EF125" s="24">
        <f t="shared" si="154"/>
        <v>0</v>
      </c>
      <c r="EG125" s="24">
        <f t="shared" si="154"/>
        <v>0</v>
      </c>
      <c r="EH125" s="24">
        <f t="shared" si="154"/>
        <v>0</v>
      </c>
      <c r="EI125" s="24">
        <f t="shared" si="154"/>
        <v>0</v>
      </c>
      <c r="EJ125" s="24"/>
      <c r="EK125" s="24"/>
      <c r="EL125" s="24"/>
      <c r="EM125" s="1" t="s">
        <v>178</v>
      </c>
    </row>
    <row r="126" spans="4:143" x14ac:dyDescent="0.45">
      <c r="D126" s="2" t="s">
        <v>191</v>
      </c>
      <c r="E126" s="180"/>
      <c r="F126" s="180"/>
      <c r="G126" s="167">
        <f t="shared" ref="G126:AL126" si="155">MAX(G65,0)+G125</f>
        <v>0</v>
      </c>
      <c r="H126" s="167">
        <f t="shared" si="155"/>
        <v>0</v>
      </c>
      <c r="I126" s="167">
        <f t="shared" si="155"/>
        <v>0</v>
      </c>
      <c r="J126" s="167">
        <f t="shared" si="155"/>
        <v>0</v>
      </c>
      <c r="K126" s="167">
        <f t="shared" si="155"/>
        <v>0</v>
      </c>
      <c r="L126" s="167">
        <f t="shared" si="155"/>
        <v>0</v>
      </c>
      <c r="M126" s="167">
        <f t="shared" si="155"/>
        <v>0</v>
      </c>
      <c r="N126" s="167">
        <f t="shared" si="155"/>
        <v>0</v>
      </c>
      <c r="O126" s="167">
        <f t="shared" si="155"/>
        <v>0</v>
      </c>
      <c r="P126" s="167">
        <f t="shared" si="155"/>
        <v>0</v>
      </c>
      <c r="Q126" s="167">
        <f t="shared" si="155"/>
        <v>0</v>
      </c>
      <c r="R126" s="167">
        <f t="shared" si="155"/>
        <v>0</v>
      </c>
      <c r="S126" s="167">
        <f t="shared" si="155"/>
        <v>0</v>
      </c>
      <c r="T126" s="167">
        <f t="shared" si="155"/>
        <v>0</v>
      </c>
      <c r="U126" s="167">
        <f t="shared" si="155"/>
        <v>0</v>
      </c>
      <c r="V126" s="167">
        <f t="shared" si="155"/>
        <v>0</v>
      </c>
      <c r="W126" s="167">
        <f t="shared" si="155"/>
        <v>0</v>
      </c>
      <c r="X126" s="167">
        <f t="shared" si="155"/>
        <v>0</v>
      </c>
      <c r="Y126" s="167">
        <f t="shared" si="155"/>
        <v>0</v>
      </c>
      <c r="Z126" s="167">
        <f t="shared" si="155"/>
        <v>0</v>
      </c>
      <c r="AA126" s="167">
        <f t="shared" si="155"/>
        <v>0</v>
      </c>
      <c r="AB126" s="167">
        <f t="shared" si="155"/>
        <v>2939.3076783229744</v>
      </c>
      <c r="AC126" s="167">
        <f t="shared" si="155"/>
        <v>3057.6544725053609</v>
      </c>
      <c r="AD126" s="167">
        <f t="shared" si="155"/>
        <v>3148.2789615407946</v>
      </c>
      <c r="AE126" s="167">
        <f t="shared" si="155"/>
        <v>0</v>
      </c>
      <c r="AF126" s="167">
        <f t="shared" si="155"/>
        <v>3190.7122954426159</v>
      </c>
      <c r="AG126" s="167">
        <f t="shared" si="155"/>
        <v>3140.1457181442893</v>
      </c>
      <c r="AH126" s="167">
        <f t="shared" si="155"/>
        <v>3161.5889297682734</v>
      </c>
      <c r="AI126" s="167">
        <f t="shared" si="155"/>
        <v>3316.1423529864442</v>
      </c>
      <c r="AJ126" s="167">
        <f t="shared" si="155"/>
        <v>3471.3112127935747</v>
      </c>
      <c r="AK126" s="167">
        <f t="shared" si="155"/>
        <v>3627.0973774333179</v>
      </c>
      <c r="AL126" s="167">
        <f t="shared" si="155"/>
        <v>3683.6468448436572</v>
      </c>
      <c r="AM126" s="167">
        <f t="shared" ref="AM126:BR126" si="156">MAX(AM65,0)+AM125</f>
        <v>3691.0673403233232</v>
      </c>
      <c r="AN126" s="167">
        <f t="shared" si="156"/>
        <v>3698.5028253657492</v>
      </c>
      <c r="AO126" s="167">
        <f t="shared" si="156"/>
        <v>3705.9533304661672</v>
      </c>
      <c r="AP126" s="167">
        <f t="shared" si="156"/>
        <v>3713.4188861820512</v>
      </c>
      <c r="AQ126" s="167">
        <f t="shared" si="156"/>
        <v>3720.899523133412</v>
      </c>
      <c r="AR126" s="167">
        <f t="shared" si="156"/>
        <v>3728.3952720020097</v>
      </c>
      <c r="AS126" s="167">
        <f t="shared" si="156"/>
        <v>3735.9061635332764</v>
      </c>
      <c r="AT126" s="167">
        <f t="shared" si="156"/>
        <v>3743.4322285346498</v>
      </c>
      <c r="AU126" s="167">
        <f t="shared" si="156"/>
        <v>3750.9734978766173</v>
      </c>
      <c r="AV126" s="167">
        <f t="shared" si="156"/>
        <v>3758.5300024926473</v>
      </c>
      <c r="AW126" s="167">
        <f t="shared" si="156"/>
        <v>3766.1017733793124</v>
      </c>
      <c r="AX126" s="167">
        <f t="shared" si="156"/>
        <v>3773.6888415964459</v>
      </c>
      <c r="AY126" s="167">
        <f t="shared" si="156"/>
        <v>3781.2912382672221</v>
      </c>
      <c r="AZ126" s="167">
        <f t="shared" si="156"/>
        <v>3788.9089945783599</v>
      </c>
      <c r="BA126" s="167">
        <f t="shared" si="156"/>
        <v>3796.5421417801881</v>
      </c>
      <c r="BB126" s="167">
        <f t="shared" si="156"/>
        <v>3804.1907111867877</v>
      </c>
      <c r="BC126" s="167">
        <f t="shared" si="156"/>
        <v>3811.8547341761368</v>
      </c>
      <c r="BD126" s="167">
        <f t="shared" si="156"/>
        <v>3819.5342421902569</v>
      </c>
      <c r="BE126" s="167">
        <f t="shared" si="156"/>
        <v>3827.2292667352922</v>
      </c>
      <c r="BF126" s="167">
        <f t="shared" si="156"/>
        <v>3834.9398393816955</v>
      </c>
      <c r="BG126" s="167">
        <f t="shared" si="156"/>
        <v>3842.6659917643301</v>
      </c>
      <c r="BH126" s="167">
        <f t="shared" si="156"/>
        <v>3850.407755582597</v>
      </c>
      <c r="BI126" s="167">
        <f t="shared" si="156"/>
        <v>3858.1651626005842</v>
      </c>
      <c r="BJ126" s="167">
        <f t="shared" si="156"/>
        <v>3865.9382446472009</v>
      </c>
      <c r="BK126" s="167">
        <f t="shared" si="156"/>
        <v>3873.7270336162801</v>
      </c>
      <c r="BL126" s="167">
        <f t="shared" si="156"/>
        <v>3881.5315614667452</v>
      </c>
      <c r="BM126" s="167">
        <f t="shared" si="156"/>
        <v>3889.3518602227487</v>
      </c>
      <c r="BN126" s="167">
        <f t="shared" si="156"/>
        <v>3897.1879619737374</v>
      </c>
      <c r="BO126" s="167">
        <f t="shared" si="156"/>
        <v>8561761.1527919751</v>
      </c>
      <c r="BP126" s="167">
        <f t="shared" si="156"/>
        <v>0</v>
      </c>
      <c r="BQ126" s="167">
        <f t="shared" si="156"/>
        <v>0</v>
      </c>
      <c r="BR126" s="167">
        <f t="shared" si="156"/>
        <v>0</v>
      </c>
      <c r="BS126" s="167">
        <f t="shared" ref="BS126:CX126" si="157">MAX(BS65,0)+BS125</f>
        <v>0</v>
      </c>
      <c r="BT126" s="167">
        <f t="shared" si="157"/>
        <v>0</v>
      </c>
      <c r="BU126" s="167">
        <f t="shared" si="157"/>
        <v>0</v>
      </c>
      <c r="BV126" s="167">
        <f t="shared" si="157"/>
        <v>0</v>
      </c>
      <c r="BW126" s="167">
        <f t="shared" si="157"/>
        <v>0</v>
      </c>
      <c r="BX126" s="167">
        <f t="shared" si="157"/>
        <v>0</v>
      </c>
      <c r="BY126" s="167">
        <f t="shared" si="157"/>
        <v>0</v>
      </c>
      <c r="BZ126" s="167">
        <f t="shared" si="157"/>
        <v>0</v>
      </c>
      <c r="CA126" s="167">
        <f t="shared" si="157"/>
        <v>0</v>
      </c>
      <c r="CB126" s="167">
        <f t="shared" si="157"/>
        <v>0</v>
      </c>
      <c r="CC126" s="167">
        <f t="shared" si="157"/>
        <v>0</v>
      </c>
      <c r="CD126" s="167">
        <f t="shared" si="157"/>
        <v>0</v>
      </c>
      <c r="CE126" s="167">
        <f t="shared" si="157"/>
        <v>0</v>
      </c>
      <c r="CF126" s="167">
        <f t="shared" si="157"/>
        <v>0</v>
      </c>
      <c r="CG126" s="167">
        <f t="shared" si="157"/>
        <v>0</v>
      </c>
      <c r="CH126" s="167">
        <f t="shared" si="157"/>
        <v>0</v>
      </c>
      <c r="CI126" s="167">
        <f t="shared" si="157"/>
        <v>0</v>
      </c>
      <c r="CJ126" s="167">
        <f t="shared" si="157"/>
        <v>0</v>
      </c>
      <c r="CK126" s="167">
        <f t="shared" si="157"/>
        <v>0</v>
      </c>
      <c r="CL126" s="167">
        <f t="shared" si="157"/>
        <v>0</v>
      </c>
      <c r="CM126" s="167">
        <f t="shared" si="157"/>
        <v>0</v>
      </c>
      <c r="CN126" s="167">
        <f t="shared" si="157"/>
        <v>0</v>
      </c>
      <c r="CO126" s="167">
        <f t="shared" si="157"/>
        <v>0</v>
      </c>
      <c r="CP126" s="167">
        <f t="shared" si="157"/>
        <v>0</v>
      </c>
      <c r="CQ126" s="167">
        <f t="shared" si="157"/>
        <v>0</v>
      </c>
      <c r="CR126" s="167">
        <f t="shared" si="157"/>
        <v>0</v>
      </c>
      <c r="CS126" s="167">
        <f t="shared" si="157"/>
        <v>0</v>
      </c>
      <c r="CT126" s="167">
        <f t="shared" si="157"/>
        <v>0</v>
      </c>
      <c r="CU126" s="167">
        <f t="shared" si="157"/>
        <v>0</v>
      </c>
      <c r="CV126" s="167">
        <f t="shared" si="157"/>
        <v>0</v>
      </c>
      <c r="CW126" s="167">
        <f t="shared" si="157"/>
        <v>0</v>
      </c>
      <c r="CX126" s="167">
        <f t="shared" si="157"/>
        <v>0</v>
      </c>
      <c r="CY126" s="167">
        <f t="shared" ref="CY126:ED126" si="158">MAX(CY65,0)+CY125</f>
        <v>0</v>
      </c>
      <c r="CZ126" s="167">
        <f t="shared" si="158"/>
        <v>0</v>
      </c>
      <c r="DA126" s="167">
        <f t="shared" si="158"/>
        <v>0</v>
      </c>
      <c r="DB126" s="167">
        <f t="shared" si="158"/>
        <v>0</v>
      </c>
      <c r="DC126" s="167">
        <f t="shared" si="158"/>
        <v>0</v>
      </c>
      <c r="DD126" s="167">
        <f t="shared" si="158"/>
        <v>0</v>
      </c>
      <c r="DE126" s="167">
        <f t="shared" si="158"/>
        <v>0</v>
      </c>
      <c r="DF126" s="167">
        <f t="shared" si="158"/>
        <v>0</v>
      </c>
      <c r="DG126" s="167">
        <f t="shared" si="158"/>
        <v>0</v>
      </c>
      <c r="DH126" s="167">
        <f t="shared" si="158"/>
        <v>0</v>
      </c>
      <c r="DI126" s="167">
        <f t="shared" si="158"/>
        <v>0</v>
      </c>
      <c r="DJ126" s="167">
        <f t="shared" si="158"/>
        <v>0</v>
      </c>
      <c r="DK126" s="167">
        <f t="shared" si="158"/>
        <v>0</v>
      </c>
      <c r="DL126" s="167">
        <f t="shared" si="158"/>
        <v>0</v>
      </c>
      <c r="DM126" s="167">
        <f t="shared" si="158"/>
        <v>0</v>
      </c>
      <c r="DN126" s="167">
        <f t="shared" si="158"/>
        <v>0</v>
      </c>
      <c r="DO126" s="167">
        <f t="shared" si="158"/>
        <v>0</v>
      </c>
      <c r="DP126" s="167">
        <f t="shared" si="158"/>
        <v>0</v>
      </c>
      <c r="DQ126" s="167">
        <f t="shared" si="158"/>
        <v>0</v>
      </c>
      <c r="DR126" s="167">
        <f t="shared" si="158"/>
        <v>0</v>
      </c>
      <c r="DS126" s="167">
        <f t="shared" si="158"/>
        <v>0</v>
      </c>
      <c r="DT126" s="167">
        <f t="shared" si="158"/>
        <v>0</v>
      </c>
      <c r="DU126" s="167">
        <f t="shared" si="158"/>
        <v>0</v>
      </c>
      <c r="DV126" s="167">
        <f t="shared" si="158"/>
        <v>0</v>
      </c>
      <c r="DW126" s="167">
        <f t="shared" si="158"/>
        <v>0</v>
      </c>
      <c r="DX126" s="167">
        <f t="shared" si="158"/>
        <v>0</v>
      </c>
      <c r="DY126" s="167">
        <f t="shared" si="158"/>
        <v>0</v>
      </c>
      <c r="DZ126" s="167">
        <f t="shared" si="158"/>
        <v>0</v>
      </c>
      <c r="EA126" s="167">
        <f t="shared" si="158"/>
        <v>0</v>
      </c>
      <c r="EB126" s="167">
        <f t="shared" si="158"/>
        <v>0</v>
      </c>
      <c r="EC126" s="167">
        <f t="shared" si="158"/>
        <v>0</v>
      </c>
      <c r="ED126" s="167">
        <f t="shared" si="158"/>
        <v>0</v>
      </c>
      <c r="EE126" s="167">
        <f>MAX(EE65,0)+EE125</f>
        <v>0</v>
      </c>
      <c r="EF126" s="167">
        <f>MAX(EF65,0)+EF125</f>
        <v>0</v>
      </c>
      <c r="EG126" s="167">
        <f>MAX(EG65,0)+EG125</f>
        <v>0</v>
      </c>
      <c r="EH126" s="167">
        <f>MAX(EH65,0)+EH125</f>
        <v>0</v>
      </c>
      <c r="EI126" s="167">
        <f>MAX(EI65,0)+EI125</f>
        <v>0</v>
      </c>
      <c r="EJ126" s="24"/>
      <c r="EK126" s="24"/>
      <c r="EL126" s="24"/>
      <c r="EM126" s="1" t="s">
        <v>178</v>
      </c>
    </row>
    <row r="127" spans="4:143" x14ac:dyDescent="0.45">
      <c r="E127" s="179"/>
      <c r="F127" s="179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1" t="s">
        <v>178</v>
      </c>
    </row>
    <row r="128" spans="4:143" x14ac:dyDescent="0.45">
      <c r="D128" s="74" t="str">
        <f>H$86&amp;" up to "&amp;TEXT(L$86,"0.0%")</f>
        <v>Hurdle 1 up to 15.0%</v>
      </c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  <c r="BJ128" s="167"/>
      <c r="BK128" s="167"/>
      <c r="BL128" s="167"/>
      <c r="BM128" s="167"/>
      <c r="BN128" s="167"/>
      <c r="BO128" s="167"/>
      <c r="BP128" s="167"/>
      <c r="BQ128" s="167"/>
      <c r="BR128" s="167"/>
      <c r="BS128" s="167"/>
      <c r="BT128" s="167"/>
      <c r="BU128" s="167"/>
      <c r="BV128" s="167"/>
      <c r="BW128" s="167"/>
      <c r="BX128" s="167"/>
      <c r="BY128" s="167"/>
      <c r="BZ128" s="167"/>
      <c r="CA128" s="167"/>
      <c r="CB128" s="167"/>
      <c r="CC128" s="167"/>
      <c r="CD128" s="167"/>
      <c r="CE128" s="167"/>
      <c r="CF128" s="167"/>
      <c r="CG128" s="167"/>
      <c r="CH128" s="167"/>
      <c r="CI128" s="167"/>
      <c r="CJ128" s="167"/>
      <c r="CK128" s="167"/>
      <c r="CL128" s="167"/>
      <c r="CM128" s="167"/>
      <c r="CN128" s="167"/>
      <c r="CO128" s="167"/>
      <c r="CP128" s="167"/>
      <c r="CQ128" s="167"/>
      <c r="CR128" s="167"/>
      <c r="CS128" s="167"/>
      <c r="CT128" s="167"/>
      <c r="CU128" s="167"/>
      <c r="CV128" s="167"/>
      <c r="CW128" s="167"/>
      <c r="CX128" s="167"/>
      <c r="CY128" s="167"/>
      <c r="CZ128" s="167"/>
      <c r="DA128" s="167"/>
      <c r="DB128" s="167"/>
      <c r="DC128" s="167"/>
      <c r="DD128" s="167"/>
      <c r="DE128" s="167"/>
      <c r="DF128" s="167"/>
      <c r="DG128" s="167"/>
      <c r="DH128" s="167"/>
      <c r="DI128" s="167"/>
      <c r="DJ128" s="167"/>
      <c r="DK128" s="167"/>
      <c r="DL128" s="167"/>
      <c r="DM128" s="167"/>
      <c r="DN128" s="167"/>
      <c r="DO128" s="167"/>
      <c r="DP128" s="167"/>
      <c r="DQ128" s="167"/>
      <c r="DR128" s="167"/>
      <c r="DS128" s="167"/>
      <c r="DT128" s="167"/>
      <c r="DU128" s="167"/>
      <c r="DV128" s="167"/>
      <c r="DW128" s="167"/>
      <c r="DX128" s="167"/>
      <c r="DY128" s="167"/>
      <c r="DZ128" s="167"/>
      <c r="EA128" s="167"/>
      <c r="EB128" s="167"/>
      <c r="EC128" s="167"/>
      <c r="ED128" s="167"/>
      <c r="EE128" s="167"/>
      <c r="EF128" s="167"/>
      <c r="EG128" s="167"/>
      <c r="EH128" s="167"/>
      <c r="EI128" s="167"/>
      <c r="EJ128" s="24"/>
      <c r="EK128" s="24"/>
      <c r="EL128" s="24"/>
      <c r="EM128" s="1" t="s">
        <v>178</v>
      </c>
    </row>
    <row r="129" spans="3:143" x14ac:dyDescent="0.45">
      <c r="D129" s="1" t="s">
        <v>192</v>
      </c>
      <c r="E129" s="154">
        <f>+$K$86</f>
        <v>0.15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1" t="s">
        <v>178</v>
      </c>
    </row>
    <row r="130" spans="3:143" x14ac:dyDescent="0.45"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1" t="s">
        <v>178</v>
      </c>
    </row>
    <row r="131" spans="3:143" x14ac:dyDescent="0.45">
      <c r="D131" s="1" t="s">
        <v>193</v>
      </c>
      <c r="E131" s="24"/>
      <c r="F131" s="24"/>
      <c r="G131" s="24"/>
      <c r="H131" s="24">
        <f>+G137</f>
        <v>5340556.2753367089</v>
      </c>
      <c r="I131" s="24">
        <f t="shared" ref="I131:BT131" si="159">+H137</f>
        <v>4830809.51721224</v>
      </c>
      <c r="J131" s="24">
        <f t="shared" si="159"/>
        <v>4861987.451952368</v>
      </c>
      <c r="K131" s="24">
        <f t="shared" si="159"/>
        <v>4893728.1235746359</v>
      </c>
      <c r="L131" s="24">
        <f t="shared" si="159"/>
        <v>4923552.0756569616</v>
      </c>
      <c r="M131" s="24">
        <f t="shared" si="159"/>
        <v>4888848.9911222449</v>
      </c>
      <c r="N131" s="24">
        <f t="shared" si="159"/>
        <v>4887842.1735680485</v>
      </c>
      <c r="O131" s="24">
        <f t="shared" si="159"/>
        <v>4914193.4876882154</v>
      </c>
      <c r="P131" s="24">
        <f t="shared" si="159"/>
        <v>4942931.9391524261</v>
      </c>
      <c r="Q131" s="24">
        <f t="shared" si="159"/>
        <v>4974122.7662782231</v>
      </c>
      <c r="R131" s="24">
        <f t="shared" si="159"/>
        <v>4985581.4727093633</v>
      </c>
      <c r="S131" s="24">
        <f t="shared" si="159"/>
        <v>5019414.8655335447</v>
      </c>
      <c r="T131" s="24">
        <f t="shared" si="159"/>
        <v>5063132.2260337323</v>
      </c>
      <c r="U131" s="24">
        <f t="shared" si="159"/>
        <v>5110860.321645624</v>
      </c>
      <c r="V131" s="24">
        <f t="shared" si="159"/>
        <v>5162580.2520096498</v>
      </c>
      <c r="W131" s="24">
        <f t="shared" si="159"/>
        <v>5217761.2199845975</v>
      </c>
      <c r="X131" s="24">
        <f t="shared" si="159"/>
        <v>5275573.9935386283</v>
      </c>
      <c r="Y131" s="24">
        <f t="shared" si="159"/>
        <v>5334055.0044440143</v>
      </c>
      <c r="Z131" s="24">
        <f t="shared" si="159"/>
        <v>5392819.336010607</v>
      </c>
      <c r="AA131" s="24">
        <f t="shared" si="159"/>
        <v>5452702.7919970984</v>
      </c>
      <c r="AB131" s="24">
        <f t="shared" si="159"/>
        <v>5513367.1199473878</v>
      </c>
      <c r="AC131" s="24">
        <f t="shared" si="159"/>
        <v>5575096.4764463995</v>
      </c>
      <c r="AD131" s="24">
        <f t="shared" si="159"/>
        <v>5632107.5348570226</v>
      </c>
      <c r="AE131" s="24">
        <f t="shared" si="159"/>
        <v>5685576.6462539062</v>
      </c>
      <c r="AF131" s="24">
        <f t="shared" si="159"/>
        <v>5709909.3362639779</v>
      </c>
      <c r="AG131" s="24">
        <f t="shared" si="159"/>
        <v>5755941.8365801834</v>
      </c>
      <c r="AH131" s="24">
        <f t="shared" si="159"/>
        <v>5804828.0740276109</v>
      </c>
      <c r="AI131" s="24">
        <f t="shared" si="159"/>
        <v>5853347.2379716616</v>
      </c>
      <c r="AJ131" s="24">
        <f t="shared" si="159"/>
        <v>5895414.2097279318</v>
      </c>
      <c r="AK131" s="24">
        <f t="shared" si="159"/>
        <v>5930925.0590143837</v>
      </c>
      <c r="AL131" s="24">
        <f t="shared" si="159"/>
        <v>5959774.5512619959</v>
      </c>
      <c r="AM131" s="24">
        <f t="shared" si="159"/>
        <v>5986537.6338759419</v>
      </c>
      <c r="AN131" s="24">
        <f t="shared" si="159"/>
        <v>6013347.9515177375</v>
      </c>
      <c r="AO131" s="24">
        <f t="shared" si="159"/>
        <v>6075310.2335791709</v>
      </c>
      <c r="AP131" s="24">
        <f t="shared" si="159"/>
        <v>6095614.042413909</v>
      </c>
      <c r="AQ131" s="24">
        <f t="shared" si="159"/>
        <v>6115887.7049209764</v>
      </c>
      <c r="AR131" s="24">
        <f t="shared" si="159"/>
        <v>0</v>
      </c>
      <c r="AS131" s="24">
        <f t="shared" si="159"/>
        <v>0</v>
      </c>
      <c r="AT131" s="24">
        <f t="shared" si="159"/>
        <v>0</v>
      </c>
      <c r="AU131" s="24">
        <f t="shared" si="159"/>
        <v>0</v>
      </c>
      <c r="AV131" s="24">
        <f t="shared" si="159"/>
        <v>0</v>
      </c>
      <c r="AW131" s="24">
        <f t="shared" si="159"/>
        <v>0</v>
      </c>
      <c r="AX131" s="24">
        <f t="shared" si="159"/>
        <v>0</v>
      </c>
      <c r="AY131" s="24">
        <f t="shared" si="159"/>
        <v>0</v>
      </c>
      <c r="AZ131" s="24">
        <f t="shared" si="159"/>
        <v>0</v>
      </c>
      <c r="BA131" s="24">
        <f t="shared" si="159"/>
        <v>0</v>
      </c>
      <c r="BB131" s="24">
        <f t="shared" si="159"/>
        <v>0</v>
      </c>
      <c r="BC131" s="24">
        <f t="shared" si="159"/>
        <v>0</v>
      </c>
      <c r="BD131" s="24">
        <f t="shared" si="159"/>
        <v>0</v>
      </c>
      <c r="BE131" s="24">
        <f t="shared" si="159"/>
        <v>0</v>
      </c>
      <c r="BF131" s="24">
        <f t="shared" si="159"/>
        <v>0</v>
      </c>
      <c r="BG131" s="24">
        <f t="shared" si="159"/>
        <v>0</v>
      </c>
      <c r="BH131" s="24">
        <f t="shared" si="159"/>
        <v>0</v>
      </c>
      <c r="BI131" s="24">
        <f t="shared" si="159"/>
        <v>0</v>
      </c>
      <c r="BJ131" s="24">
        <f t="shared" si="159"/>
        <v>0</v>
      </c>
      <c r="BK131" s="24">
        <f t="shared" si="159"/>
        <v>0</v>
      </c>
      <c r="BL131" s="24">
        <f t="shared" si="159"/>
        <v>0</v>
      </c>
      <c r="BM131" s="24">
        <f t="shared" si="159"/>
        <v>0</v>
      </c>
      <c r="BN131" s="24">
        <f t="shared" si="159"/>
        <v>0</v>
      </c>
      <c r="BO131" s="24">
        <f t="shared" si="159"/>
        <v>0</v>
      </c>
      <c r="BP131" s="24">
        <f t="shared" si="159"/>
        <v>0</v>
      </c>
      <c r="BQ131" s="24">
        <f t="shared" si="159"/>
        <v>-3912.9077031461611</v>
      </c>
      <c r="BR131" s="24">
        <f t="shared" si="159"/>
        <v>-3920.791407074455</v>
      </c>
      <c r="BS131" s="24">
        <f t="shared" si="159"/>
        <v>-3928.6910430117741</v>
      </c>
      <c r="BT131" s="24">
        <f t="shared" si="159"/>
        <v>-3936.6066433763149</v>
      </c>
      <c r="BU131" s="24">
        <f t="shared" ref="BU131:CV131" si="160">+BT137</f>
        <v>-3944.5382406524345</v>
      </c>
      <c r="BV131" s="24">
        <f t="shared" si="160"/>
        <v>-3952.485867390777</v>
      </c>
      <c r="BW131" s="24">
        <f t="shared" si="160"/>
        <v>-3960.4495562084039</v>
      </c>
      <c r="BX131" s="24">
        <f t="shared" si="160"/>
        <v>-3968.4293397889182</v>
      </c>
      <c r="BY131" s="24">
        <f t="shared" si="160"/>
        <v>-3976.4252508826371</v>
      </c>
      <c r="BZ131" s="24">
        <f t="shared" si="160"/>
        <v>-3984.4373223066837</v>
      </c>
      <c r="CA131" s="24">
        <f t="shared" si="160"/>
        <v>-3992.4655869451826</v>
      </c>
      <c r="CB131" s="24">
        <f t="shared" si="160"/>
        <v>-4000.5100777493135</v>
      </c>
      <c r="CC131" s="24">
        <f t="shared" si="160"/>
        <v>-4008.5708277375393</v>
      </c>
      <c r="CD131" s="24">
        <f t="shared" si="160"/>
        <v>-4016.6478699956638</v>
      </c>
      <c r="CE131" s="24">
        <f t="shared" si="160"/>
        <v>-4024.741237677023</v>
      </c>
      <c r="CF131" s="24">
        <f t="shared" si="160"/>
        <v>-4032.850964002615</v>
      </c>
      <c r="CG131" s="24">
        <f t="shared" si="160"/>
        <v>-4040.977082261204</v>
      </c>
      <c r="CH131" s="24">
        <f t="shared" si="160"/>
        <v>-4049.1196258094983</v>
      </c>
      <c r="CI131" s="24">
        <f t="shared" si="160"/>
        <v>-4057.2786280722767</v>
      </c>
      <c r="CJ131" s="24">
        <f t="shared" si="160"/>
        <v>-4065.4541225425164</v>
      </c>
      <c r="CK131" s="24">
        <f t="shared" si="160"/>
        <v>-4073.6461427815457</v>
      </c>
      <c r="CL131" s="24">
        <f t="shared" si="160"/>
        <v>-4081.8547224191971</v>
      </c>
      <c r="CM131" s="24">
        <f t="shared" si="160"/>
        <v>-4090.0798951538927</v>
      </c>
      <c r="CN131" s="24">
        <f t="shared" si="160"/>
        <v>-4098.3216947528481</v>
      </c>
      <c r="CO131" s="24">
        <f t="shared" si="160"/>
        <v>-4106.5801550521874</v>
      </c>
      <c r="CP131" s="24">
        <f t="shared" si="160"/>
        <v>-4114.8553099570663</v>
      </c>
      <c r="CQ131" s="24">
        <f t="shared" si="160"/>
        <v>-4123.147193441856</v>
      </c>
      <c r="CR131" s="24">
        <f t="shared" si="160"/>
        <v>-4131.4558395502208</v>
      </c>
      <c r="CS131" s="24">
        <f t="shared" si="160"/>
        <v>-4139.7812823953454</v>
      </c>
      <c r="CT131" s="24">
        <f t="shared" si="160"/>
        <v>-4148.1235561599842</v>
      </c>
      <c r="CU131" s="24">
        <f t="shared" si="160"/>
        <v>-4156.4826950966799</v>
      </c>
      <c r="CV131" s="24">
        <f t="shared" si="160"/>
        <v>-4164.8587335278544</v>
      </c>
      <c r="CW131" s="24">
        <f t="shared" ref="CW131:EI131" si="161">+CV137</f>
        <v>-4173.2517058460035</v>
      </c>
      <c r="CX131" s="24">
        <f t="shared" si="161"/>
        <v>-4181.6616465137658</v>
      </c>
      <c r="CY131" s="24">
        <f t="shared" si="161"/>
        <v>-4190.0885900641397</v>
      </c>
      <c r="CZ131" s="24">
        <f t="shared" si="161"/>
        <v>-4198.5325711005908</v>
      </c>
      <c r="DA131" s="24">
        <f t="shared" si="161"/>
        <v>-4206.993624297208</v>
      </c>
      <c r="DB131" s="24">
        <f t="shared" si="161"/>
        <v>-4215.4717843988155</v>
      </c>
      <c r="DC131" s="24">
        <f t="shared" si="161"/>
        <v>-4223.9670862211933</v>
      </c>
      <c r="DD131" s="24">
        <f t="shared" si="161"/>
        <v>-4232.479564651112</v>
      </c>
      <c r="DE131" s="24">
        <f t="shared" si="161"/>
        <v>-4241.0092546465894</v>
      </c>
      <c r="DF131" s="24">
        <f t="shared" si="161"/>
        <v>-4249.5561912369558</v>
      </c>
      <c r="DG131" s="24">
        <f t="shared" si="161"/>
        <v>-4258.1204095230578</v>
      </c>
      <c r="DH131" s="24">
        <f t="shared" si="161"/>
        <v>-4266.7019446773438</v>
      </c>
      <c r="DI131" s="24">
        <f t="shared" si="161"/>
        <v>-4275.3008319440523</v>
      </c>
      <c r="DJ131" s="24">
        <f t="shared" si="161"/>
        <v>-4283.9171066393837</v>
      </c>
      <c r="DK131" s="24">
        <f t="shared" si="161"/>
        <v>-4292.5508041515586</v>
      </c>
      <c r="DL131" s="24">
        <f t="shared" si="161"/>
        <v>-4301.2019599410578</v>
      </c>
      <c r="DM131" s="24">
        <f t="shared" si="161"/>
        <v>-4309.8706095407279</v>
      </c>
      <c r="DN131" s="24">
        <f t="shared" si="161"/>
        <v>-4318.5567885559185</v>
      </c>
      <c r="DO131" s="24">
        <f t="shared" si="161"/>
        <v>-4327.2605326646672</v>
      </c>
      <c r="DP131" s="24">
        <f t="shared" si="161"/>
        <v>-4335.981877617779</v>
      </c>
      <c r="DQ131" s="24">
        <f t="shared" si="161"/>
        <v>-4344.7208592390989</v>
      </c>
      <c r="DR131" s="24">
        <f t="shared" si="161"/>
        <v>-4353.4775134255096</v>
      </c>
      <c r="DS131" s="24">
        <f t="shared" si="161"/>
        <v>-4362.251876147202</v>
      </c>
      <c r="DT131" s="24">
        <f t="shared" si="161"/>
        <v>-4371.0439834477638</v>
      </c>
      <c r="DU131" s="24">
        <f t="shared" si="161"/>
        <v>-4379.8538714443475</v>
      </c>
      <c r="DV131" s="24">
        <f t="shared" si="161"/>
        <v>-4388.6815763278337</v>
      </c>
      <c r="DW131" s="24">
        <f t="shared" si="161"/>
        <v>-4397.527134362922</v>
      </c>
      <c r="DX131" s="24">
        <f t="shared" si="161"/>
        <v>-4406.3905818883659</v>
      </c>
      <c r="DY131" s="24">
        <f t="shared" si="161"/>
        <v>-4415.2719553170891</v>
      </c>
      <c r="DZ131" s="24">
        <f t="shared" si="161"/>
        <v>-4424.1712911363029</v>
      </c>
      <c r="EA131" s="24">
        <f t="shared" si="161"/>
        <v>-4433.0886259076997</v>
      </c>
      <c r="EB131" s="24">
        <f t="shared" si="161"/>
        <v>-4442.023996267606</v>
      </c>
      <c r="EC131" s="24">
        <f t="shared" si="161"/>
        <v>-4450.9774389271233</v>
      </c>
      <c r="ED131" s="24">
        <f t="shared" si="161"/>
        <v>-4459.948990672242</v>
      </c>
      <c r="EE131" s="24">
        <f t="shared" si="161"/>
        <v>-4468.9386883640827</v>
      </c>
      <c r="EF131" s="24">
        <f t="shared" si="161"/>
        <v>-4477.9465689389754</v>
      </c>
      <c r="EG131" s="24">
        <f t="shared" si="161"/>
        <v>-4486.9726694086557</v>
      </c>
      <c r="EH131" s="24">
        <f t="shared" si="161"/>
        <v>-4496.0170268603497</v>
      </c>
      <c r="EI131" s="24">
        <f t="shared" si="161"/>
        <v>-4505.0796784570557</v>
      </c>
      <c r="EJ131" s="24"/>
      <c r="EK131" s="24"/>
      <c r="EL131" s="24"/>
      <c r="EM131" s="1" t="s">
        <v>178</v>
      </c>
    </row>
    <row r="132" spans="3:143" x14ac:dyDescent="0.45">
      <c r="D132" s="1" t="s">
        <v>194</v>
      </c>
      <c r="E132" s="154">
        <f>+L86</f>
        <v>0.15</v>
      </c>
      <c r="F132" s="177">
        <f>+(1+E132)^(1/12)-1</f>
        <v>1.171491691985338E-2</v>
      </c>
      <c r="G132" s="24">
        <f>+$F$132*G131</f>
        <v>0</v>
      </c>
      <c r="H132" s="24">
        <f>+$F$132*H131</f>
        <v>62564.173071371159</v>
      </c>
      <c r="I132" s="24">
        <f t="shared" ref="I132:AN132" si="162">+$F$132*I131</f>
        <v>56592.53214977841</v>
      </c>
      <c r="J132" s="24">
        <f t="shared" si="162"/>
        <v>56957.779064991621</v>
      </c>
      <c r="K132" s="24">
        <f t="shared" si="162"/>
        <v>57329.618396026832</v>
      </c>
      <c r="L132" s="24">
        <f t="shared" si="162"/>
        <v>57679.003516892968</v>
      </c>
      <c r="M132" s="24">
        <f t="shared" si="162"/>
        <v>57272.459764706109</v>
      </c>
      <c r="N132" s="24">
        <f t="shared" si="162"/>
        <v>57260.664980705253</v>
      </c>
      <c r="O132" s="24">
        <f t="shared" si="162"/>
        <v>57569.368436351964</v>
      </c>
      <c r="P132" s="24">
        <f t="shared" si="162"/>
        <v>57906.03700766043</v>
      </c>
      <c r="Q132" s="24">
        <f t="shared" si="162"/>
        <v>58271.434956100653</v>
      </c>
      <c r="R132" s="24">
        <f t="shared" si="162"/>
        <v>58405.672749950449</v>
      </c>
      <c r="S132" s="24">
        <f t="shared" si="162"/>
        <v>58802.028136002496</v>
      </c>
      <c r="T132" s="24">
        <f t="shared" si="162"/>
        <v>59314.173382217479</v>
      </c>
      <c r="U132" s="24">
        <f t="shared" si="162"/>
        <v>59873.30405705361</v>
      </c>
      <c r="V132" s="24">
        <f t="shared" si="162"/>
        <v>60479.198744368769</v>
      </c>
      <c r="W132" s="24">
        <f t="shared" si="162"/>
        <v>61125.639199752375</v>
      </c>
      <c r="X132" s="24">
        <f t="shared" si="162"/>
        <v>61802.91103884414</v>
      </c>
      <c r="Y132" s="24">
        <f t="shared" si="162"/>
        <v>62488.011222989779</v>
      </c>
      <c r="Z132" s="24">
        <f t="shared" si="162"/>
        <v>63176.43048514313</v>
      </c>
      <c r="AA132" s="24">
        <f t="shared" si="162"/>
        <v>63877.960196898573</v>
      </c>
      <c r="AB132" s="24">
        <f t="shared" si="162"/>
        <v>64588.63775883495</v>
      </c>
      <c r="AC132" s="24">
        <f t="shared" si="162"/>
        <v>65311.792041736888</v>
      </c>
      <c r="AD132" s="24">
        <f t="shared" si="162"/>
        <v>65979.671854530243</v>
      </c>
      <c r="AE132" s="24">
        <f t="shared" si="162"/>
        <v>66606.058052323118</v>
      </c>
      <c r="AF132" s="24">
        <f t="shared" si="162"/>
        <v>66891.113494227655</v>
      </c>
      <c r="AG132" s="24">
        <f t="shared" si="162"/>
        <v>67430.380411045131</v>
      </c>
      <c r="AH132" s="24">
        <f t="shared" si="162"/>
        <v>68003.078621265973</v>
      </c>
      <c r="AI132" s="24">
        <f t="shared" si="162"/>
        <v>68571.476595891261</v>
      </c>
      <c r="AJ132" s="24">
        <f t="shared" si="162"/>
        <v>69064.287675085783</v>
      </c>
      <c r="AK132" s="24">
        <f t="shared" si="162"/>
        <v>69480.29432423001</v>
      </c>
      <c r="AL132" s="24">
        <f t="shared" si="162"/>
        <v>69818.263729090744</v>
      </c>
      <c r="AM132" s="24">
        <f t="shared" si="162"/>
        <v>70131.791018432283</v>
      </c>
      <c r="AN132" s="24">
        <f t="shared" si="162"/>
        <v>70445.871662200807</v>
      </c>
      <c r="AO132" s="24">
        <f t="shared" ref="AO132:BT132" si="163">+$F$132*AO131</f>
        <v>71171.754648715025</v>
      </c>
      <c r="AP132" s="24">
        <f t="shared" si="163"/>
        <v>71409.612082370557</v>
      </c>
      <c r="AQ132" s="24">
        <f t="shared" si="163"/>
        <v>71647.116354302008</v>
      </c>
      <c r="AR132" s="24">
        <f t="shared" si="163"/>
        <v>0</v>
      </c>
      <c r="AS132" s="24">
        <f t="shared" si="163"/>
        <v>0</v>
      </c>
      <c r="AT132" s="24">
        <f t="shared" si="163"/>
        <v>0</v>
      </c>
      <c r="AU132" s="24">
        <f t="shared" si="163"/>
        <v>0</v>
      </c>
      <c r="AV132" s="24">
        <f t="shared" si="163"/>
        <v>0</v>
      </c>
      <c r="AW132" s="24">
        <f t="shared" si="163"/>
        <v>0</v>
      </c>
      <c r="AX132" s="24">
        <f t="shared" si="163"/>
        <v>0</v>
      </c>
      <c r="AY132" s="24">
        <f t="shared" si="163"/>
        <v>0</v>
      </c>
      <c r="AZ132" s="24">
        <f t="shared" si="163"/>
        <v>0</v>
      </c>
      <c r="BA132" s="24">
        <f t="shared" si="163"/>
        <v>0</v>
      </c>
      <c r="BB132" s="24">
        <f t="shared" si="163"/>
        <v>0</v>
      </c>
      <c r="BC132" s="24">
        <f t="shared" si="163"/>
        <v>0</v>
      </c>
      <c r="BD132" s="24">
        <f t="shared" si="163"/>
        <v>0</v>
      </c>
      <c r="BE132" s="24">
        <f t="shared" si="163"/>
        <v>0</v>
      </c>
      <c r="BF132" s="24">
        <f t="shared" si="163"/>
        <v>0</v>
      </c>
      <c r="BG132" s="24">
        <f t="shared" si="163"/>
        <v>0</v>
      </c>
      <c r="BH132" s="24">
        <f t="shared" si="163"/>
        <v>0</v>
      </c>
      <c r="BI132" s="24">
        <f t="shared" si="163"/>
        <v>0</v>
      </c>
      <c r="BJ132" s="24">
        <f t="shared" si="163"/>
        <v>0</v>
      </c>
      <c r="BK132" s="24">
        <f t="shared" si="163"/>
        <v>0</v>
      </c>
      <c r="BL132" s="24">
        <f t="shared" si="163"/>
        <v>0</v>
      </c>
      <c r="BM132" s="24">
        <f t="shared" si="163"/>
        <v>0</v>
      </c>
      <c r="BN132" s="24">
        <f t="shared" si="163"/>
        <v>0</v>
      </c>
      <c r="BO132" s="24">
        <f t="shared" si="163"/>
        <v>0</v>
      </c>
      <c r="BP132" s="24">
        <f t="shared" si="163"/>
        <v>0</v>
      </c>
      <c r="BQ132" s="24">
        <f t="shared" si="163"/>
        <v>-45.83938865741159</v>
      </c>
      <c r="BR132" s="24">
        <f t="shared" si="163"/>
        <v>-45.931745593952272</v>
      </c>
      <c r="BS132" s="24">
        <f t="shared" si="163"/>
        <v>-46.024289172655052</v>
      </c>
      <c r="BT132" s="24">
        <f t="shared" si="163"/>
        <v>-46.117019773296413</v>
      </c>
      <c r="BU132" s="24">
        <f t="shared" ref="BU132:CV132" si="164">+$F$132*BU131</f>
        <v>-46.209937776427886</v>
      </c>
      <c r="BV132" s="24">
        <f t="shared" si="164"/>
        <v>-46.303043563377578</v>
      </c>
      <c r="BW132" s="24">
        <f t="shared" si="164"/>
        <v>-46.396337516251641</v>
      </c>
      <c r="BX132" s="24">
        <f t="shared" si="164"/>
        <v>-46.489820017935777</v>
      </c>
      <c r="BY132" s="24">
        <f t="shared" si="164"/>
        <v>-46.583491452097228</v>
      </c>
      <c r="BZ132" s="24">
        <f t="shared" si="164"/>
        <v>-46.677352203185862</v>
      </c>
      <c r="CA132" s="24">
        <f t="shared" si="164"/>
        <v>-46.771402656436472</v>
      </c>
      <c r="CB132" s="24">
        <f t="shared" si="164"/>
        <v>-46.865643197869396</v>
      </c>
      <c r="CC132" s="24">
        <f t="shared" si="164"/>
        <v>-46.960074214293165</v>
      </c>
      <c r="CD132" s="24">
        <f t="shared" si="164"/>
        <v>-47.054696093305239</v>
      </c>
      <c r="CE132" s="24">
        <f t="shared" si="164"/>
        <v>-47.149509223294189</v>
      </c>
      <c r="CF132" s="24">
        <f t="shared" si="164"/>
        <v>-47.244513993441245</v>
      </c>
      <c r="CG132" s="24">
        <f t="shared" si="164"/>
        <v>-47.339710793721522</v>
      </c>
      <c r="CH132" s="24">
        <f t="shared" si="164"/>
        <v>-47.435100014906077</v>
      </c>
      <c r="CI132" s="24">
        <f t="shared" si="164"/>
        <v>-47.53068204856342</v>
      </c>
      <c r="CJ132" s="24">
        <f t="shared" si="164"/>
        <v>-47.626457287061001</v>
      </c>
      <c r="CK132" s="24">
        <f t="shared" si="164"/>
        <v>-47.72242612356699</v>
      </c>
      <c r="CL132" s="24">
        <f t="shared" si="164"/>
        <v>-47.818588952052075</v>
      </c>
      <c r="CM132" s="24">
        <f t="shared" si="164"/>
        <v>-47.914946167290474</v>
      </c>
      <c r="CN132" s="24">
        <f t="shared" si="164"/>
        <v>-48.011498164862317</v>
      </c>
      <c r="CO132" s="24">
        <f t="shared" si="164"/>
        <v>-48.108245341154984</v>
      </c>
      <c r="CP132" s="24">
        <f t="shared" si="164"/>
        <v>-48.205188093364562</v>
      </c>
      <c r="CQ132" s="24">
        <f t="shared" si="164"/>
        <v>-48.302326819497978</v>
      </c>
      <c r="CR132" s="24">
        <f t="shared" si="164"/>
        <v>-48.39966191837393</v>
      </c>
      <c r="CS132" s="24">
        <f t="shared" si="164"/>
        <v>-48.497193789625555</v>
      </c>
      <c r="CT132" s="24">
        <f t="shared" si="164"/>
        <v>-48.59492283370097</v>
      </c>
      <c r="CU132" s="24">
        <f t="shared" si="164"/>
        <v>-48.692849451865875</v>
      </c>
      <c r="CV132" s="24">
        <f t="shared" si="164"/>
        <v>-48.790974046204582</v>
      </c>
      <c r="CW132" s="24">
        <f t="shared" ref="CW132:EI132" si="165">+$F$132*CW131</f>
        <v>-48.889297019622326</v>
      </c>
      <c r="CX132" s="24">
        <f t="shared" si="165"/>
        <v>-48.987818775846058</v>
      </c>
      <c r="CY132" s="24">
        <f t="shared" si="165"/>
        <v>-49.08653971942698</v>
      </c>
      <c r="CZ132" s="24">
        <f t="shared" si="165"/>
        <v>-49.185460255741823</v>
      </c>
      <c r="DA132" s="24">
        <f t="shared" si="165"/>
        <v>-49.284580790994653</v>
      </c>
      <c r="DB132" s="24">
        <f t="shared" si="165"/>
        <v>-49.383901732218206</v>
      </c>
      <c r="DC132" s="24">
        <f t="shared" si="165"/>
        <v>-49.48342348727644</v>
      </c>
      <c r="DD132" s="24">
        <f t="shared" si="165"/>
        <v>-49.583146464864981</v>
      </c>
      <c r="DE132" s="24">
        <f t="shared" si="165"/>
        <v>-49.683071074514103</v>
      </c>
      <c r="DF132" s="24">
        <f t="shared" si="165"/>
        <v>-49.783197726589499</v>
      </c>
      <c r="DG132" s="24">
        <f t="shared" si="165"/>
        <v>-49.88352683229467</v>
      </c>
      <c r="DH132" s="24">
        <f t="shared" si="165"/>
        <v>-49.984058803671935</v>
      </c>
      <c r="DI132" s="24">
        <f t="shared" si="165"/>
        <v>-50.084794053604611</v>
      </c>
      <c r="DJ132" s="24">
        <f t="shared" si="165"/>
        <v>-50.185732995819052</v>
      </c>
      <c r="DK132" s="24">
        <f t="shared" si="165"/>
        <v>-50.286876044885325</v>
      </c>
      <c r="DL132" s="24">
        <f t="shared" si="165"/>
        <v>-50.388223616220017</v>
      </c>
      <c r="DM132" s="24">
        <f t="shared" si="165"/>
        <v>-50.48977612608747</v>
      </c>
      <c r="DN132" s="24">
        <f t="shared" si="165"/>
        <v>-50.591533991601402</v>
      </c>
      <c r="DO132" s="24">
        <f t="shared" si="165"/>
        <v>-50.693497630727059</v>
      </c>
      <c r="DP132" s="24">
        <f t="shared" si="165"/>
        <v>-50.795667462282147</v>
      </c>
      <c r="DQ132" s="24">
        <f t="shared" si="165"/>
        <v>-50.898043905940035</v>
      </c>
      <c r="DR132" s="24">
        <f t="shared" si="165"/>
        <v>-51.000627382229723</v>
      </c>
      <c r="DS132" s="24">
        <f t="shared" si="165"/>
        <v>-51.103418312539006</v>
      </c>
      <c r="DT132" s="24">
        <f t="shared" si="165"/>
        <v>-51.206417119115528</v>
      </c>
      <c r="DU132" s="24">
        <f t="shared" si="165"/>
        <v>-51.309624225068717</v>
      </c>
      <c r="DV132" s="24">
        <f t="shared" si="165"/>
        <v>-51.413040054371741</v>
      </c>
      <c r="DW132" s="24">
        <f t="shared" si="165"/>
        <v>-51.516665031862544</v>
      </c>
      <c r="DX132" s="24">
        <f t="shared" si="165"/>
        <v>-51.620499583246598</v>
      </c>
      <c r="DY132" s="24">
        <f t="shared" si="165"/>
        <v>-51.724544135098284</v>
      </c>
      <c r="DZ132" s="24">
        <f t="shared" si="165"/>
        <v>-51.82879911486225</v>
      </c>
      <c r="EA132" s="24">
        <f t="shared" si="165"/>
        <v>-51.93326495085568</v>
      </c>
      <c r="EB132" s="24">
        <f t="shared" si="165"/>
        <v>-52.037942072270106</v>
      </c>
      <c r="EC132" s="24">
        <f t="shared" si="165"/>
        <v>-52.142830909173021</v>
      </c>
      <c r="ED132" s="24">
        <f t="shared" si="165"/>
        <v>-52.24793189250925</v>
      </c>
      <c r="EE132" s="24">
        <f t="shared" si="165"/>
        <v>-52.353245454103764</v>
      </c>
      <c r="EF132" s="24">
        <f t="shared" si="165"/>
        <v>-52.458772026662594</v>
      </c>
      <c r="EG132" s="24">
        <f t="shared" si="165"/>
        <v>-52.564512043775146</v>
      </c>
      <c r="EH132" s="24">
        <f t="shared" si="165"/>
        <v>-52.670465939915196</v>
      </c>
      <c r="EI132" s="24">
        <f t="shared" si="165"/>
        <v>-52.776634150444188</v>
      </c>
      <c r="EJ132" s="24"/>
      <c r="EK132" s="24"/>
      <c r="EL132" s="24"/>
      <c r="EM132" s="1" t="s">
        <v>178</v>
      </c>
    </row>
    <row r="133" spans="3:143" x14ac:dyDescent="0.45">
      <c r="C133" s="47"/>
      <c r="D133" s="1" t="s">
        <v>180</v>
      </c>
      <c r="E133" s="24"/>
      <c r="F133" s="24"/>
      <c r="G133" s="24">
        <f t="shared" ref="G133:AL133" si="166">MIN(G114,0)</f>
        <v>-5340556.2753367089</v>
      </c>
      <c r="H133" s="24">
        <f t="shared" si="166"/>
        <v>-572310.93119583989</v>
      </c>
      <c r="I133" s="24">
        <f t="shared" si="166"/>
        <v>-25414.597409650549</v>
      </c>
      <c r="J133" s="24">
        <f t="shared" si="166"/>
        <v>-25217.107442723533</v>
      </c>
      <c r="K133" s="24">
        <f t="shared" si="166"/>
        <v>-27505.666313701633</v>
      </c>
      <c r="L133" s="24">
        <f t="shared" si="166"/>
        <v>-92382.088051610059</v>
      </c>
      <c r="M133" s="24">
        <f t="shared" si="166"/>
        <v>-58279.277318902452</v>
      </c>
      <c r="N133" s="24">
        <f t="shared" si="166"/>
        <v>-30909.350860538416</v>
      </c>
      <c r="O133" s="24">
        <f t="shared" si="166"/>
        <v>-28830.916972141629</v>
      </c>
      <c r="P133" s="24">
        <f t="shared" si="166"/>
        <v>-26715.209881863735</v>
      </c>
      <c r="Q133" s="24">
        <f t="shared" si="166"/>
        <v>-46812.728524960221</v>
      </c>
      <c r="R133" s="24">
        <f t="shared" si="166"/>
        <v>-24572.279925768766</v>
      </c>
      <c r="S133" s="24">
        <f t="shared" si="166"/>
        <v>-15084.667635815664</v>
      </c>
      <c r="T133" s="24">
        <f t="shared" si="166"/>
        <v>-11586.077770324908</v>
      </c>
      <c r="U133" s="24">
        <f t="shared" si="166"/>
        <v>-8153.3736930275918</v>
      </c>
      <c r="V133" s="24">
        <f t="shared" si="166"/>
        <v>-5298.2307694213614</v>
      </c>
      <c r="W133" s="24">
        <f t="shared" si="166"/>
        <v>-3312.8656457211896</v>
      </c>
      <c r="X133" s="24">
        <f t="shared" si="166"/>
        <v>-3321.9001334578256</v>
      </c>
      <c r="Y133" s="24">
        <f t="shared" si="166"/>
        <v>-3723.6796563973567</v>
      </c>
      <c r="Z133" s="24">
        <f t="shared" si="166"/>
        <v>-3292.9744986522755</v>
      </c>
      <c r="AA133" s="24">
        <f t="shared" si="166"/>
        <v>-3213.632246609151</v>
      </c>
      <c r="AB133" s="24">
        <f t="shared" si="166"/>
        <v>0</v>
      </c>
      <c r="AC133" s="24">
        <f t="shared" si="166"/>
        <v>0</v>
      </c>
      <c r="AD133" s="24">
        <f t="shared" si="166"/>
        <v>0</v>
      </c>
      <c r="AE133" s="24">
        <f t="shared" si="166"/>
        <v>-42273.368042250731</v>
      </c>
      <c r="AF133" s="24">
        <f t="shared" si="166"/>
        <v>0</v>
      </c>
      <c r="AG133" s="24">
        <f t="shared" si="166"/>
        <v>0</v>
      </c>
      <c r="AH133" s="24">
        <f t="shared" si="166"/>
        <v>0</v>
      </c>
      <c r="AI133" s="24">
        <f t="shared" si="166"/>
        <v>0</v>
      </c>
      <c r="AJ133" s="24">
        <f t="shared" si="166"/>
        <v>0</v>
      </c>
      <c r="AK133" s="24">
        <f t="shared" si="166"/>
        <v>0</v>
      </c>
      <c r="AL133" s="24">
        <f t="shared" si="166"/>
        <v>0</v>
      </c>
      <c r="AM133" s="24">
        <f t="shared" ref="AM133:BR133" si="167">MIN(AM114,0)</f>
        <v>0</v>
      </c>
      <c r="AN133" s="24">
        <f t="shared" si="167"/>
        <v>0</v>
      </c>
      <c r="AO133" s="24">
        <f t="shared" si="167"/>
        <v>0</v>
      </c>
      <c r="AP133" s="24">
        <f t="shared" si="167"/>
        <v>0</v>
      </c>
      <c r="AQ133" s="24">
        <f t="shared" si="167"/>
        <v>0</v>
      </c>
      <c r="AR133" s="24">
        <f t="shared" si="167"/>
        <v>0</v>
      </c>
      <c r="AS133" s="24">
        <f t="shared" si="167"/>
        <v>0</v>
      </c>
      <c r="AT133" s="24">
        <f t="shared" si="167"/>
        <v>0</v>
      </c>
      <c r="AU133" s="24">
        <f t="shared" si="167"/>
        <v>0</v>
      </c>
      <c r="AV133" s="24">
        <f t="shared" si="167"/>
        <v>0</v>
      </c>
      <c r="AW133" s="24">
        <f t="shared" si="167"/>
        <v>0</v>
      </c>
      <c r="AX133" s="24">
        <f t="shared" si="167"/>
        <v>0</v>
      </c>
      <c r="AY133" s="24">
        <f t="shared" si="167"/>
        <v>0</v>
      </c>
      <c r="AZ133" s="24">
        <f t="shared" si="167"/>
        <v>0</v>
      </c>
      <c r="BA133" s="24">
        <f t="shared" si="167"/>
        <v>0</v>
      </c>
      <c r="BB133" s="24">
        <f t="shared" si="167"/>
        <v>0</v>
      </c>
      <c r="BC133" s="24">
        <f t="shared" si="167"/>
        <v>0</v>
      </c>
      <c r="BD133" s="24">
        <f t="shared" si="167"/>
        <v>0</v>
      </c>
      <c r="BE133" s="24">
        <f t="shared" si="167"/>
        <v>0</v>
      </c>
      <c r="BF133" s="24">
        <f t="shared" si="167"/>
        <v>0</v>
      </c>
      <c r="BG133" s="24">
        <f t="shared" si="167"/>
        <v>0</v>
      </c>
      <c r="BH133" s="24">
        <f t="shared" si="167"/>
        <v>0</v>
      </c>
      <c r="BI133" s="24">
        <f t="shared" si="167"/>
        <v>0</v>
      </c>
      <c r="BJ133" s="24">
        <f t="shared" si="167"/>
        <v>0</v>
      </c>
      <c r="BK133" s="24">
        <f t="shared" si="167"/>
        <v>0</v>
      </c>
      <c r="BL133" s="24">
        <f t="shared" si="167"/>
        <v>0</v>
      </c>
      <c r="BM133" s="24">
        <f t="shared" si="167"/>
        <v>0</v>
      </c>
      <c r="BN133" s="24">
        <f t="shared" si="167"/>
        <v>0</v>
      </c>
      <c r="BO133" s="24">
        <f t="shared" si="167"/>
        <v>0</v>
      </c>
      <c r="BP133" s="24">
        <f t="shared" si="167"/>
        <v>-3912.9077031461611</v>
      </c>
      <c r="BQ133" s="24">
        <f t="shared" si="167"/>
        <v>-3920.7914070744555</v>
      </c>
      <c r="BR133" s="24">
        <f t="shared" si="167"/>
        <v>-3928.6910430117737</v>
      </c>
      <c r="BS133" s="24">
        <f t="shared" ref="BS133:CX133" si="168">MIN(BS114,0)</f>
        <v>-3936.6066433763149</v>
      </c>
      <c r="BT133" s="24">
        <f t="shared" si="168"/>
        <v>-3944.5382406524341</v>
      </c>
      <c r="BU133" s="24">
        <f t="shared" si="168"/>
        <v>-3952.485867390777</v>
      </c>
      <c r="BV133" s="24">
        <f t="shared" si="168"/>
        <v>-3960.4495562084039</v>
      </c>
      <c r="BW133" s="24">
        <f t="shared" si="168"/>
        <v>-3968.4293397889178</v>
      </c>
      <c r="BX133" s="24">
        <f t="shared" si="168"/>
        <v>-3976.4252508826366</v>
      </c>
      <c r="BY133" s="24">
        <f t="shared" si="168"/>
        <v>-3984.4373223066837</v>
      </c>
      <c r="BZ133" s="24">
        <f t="shared" si="168"/>
        <v>-3992.4655869451831</v>
      </c>
      <c r="CA133" s="24">
        <f t="shared" si="168"/>
        <v>-4000.510077749314</v>
      </c>
      <c r="CB133" s="24">
        <f t="shared" si="168"/>
        <v>-4008.5708277375393</v>
      </c>
      <c r="CC133" s="24">
        <f t="shared" si="168"/>
        <v>-4016.6478699956642</v>
      </c>
      <c r="CD133" s="24">
        <f t="shared" si="168"/>
        <v>-4024.741237677023</v>
      </c>
      <c r="CE133" s="24">
        <f t="shared" si="168"/>
        <v>-4032.850964002615</v>
      </c>
      <c r="CF133" s="24">
        <f t="shared" si="168"/>
        <v>-4040.977082261204</v>
      </c>
      <c r="CG133" s="24">
        <f t="shared" si="168"/>
        <v>-4049.1196258094983</v>
      </c>
      <c r="CH133" s="24">
        <f t="shared" si="168"/>
        <v>-4057.2786280722767</v>
      </c>
      <c r="CI133" s="24">
        <f t="shared" si="168"/>
        <v>-4065.454122542516</v>
      </c>
      <c r="CJ133" s="24">
        <f t="shared" si="168"/>
        <v>-4073.6461427815452</v>
      </c>
      <c r="CK133" s="24">
        <f t="shared" si="168"/>
        <v>-4081.854722419198</v>
      </c>
      <c r="CL133" s="24">
        <f t="shared" si="168"/>
        <v>-4090.0798951538932</v>
      </c>
      <c r="CM133" s="24">
        <f t="shared" si="168"/>
        <v>-4098.321694752849</v>
      </c>
      <c r="CN133" s="24">
        <f t="shared" si="168"/>
        <v>-4106.5801550521874</v>
      </c>
      <c r="CO133" s="24">
        <f t="shared" si="168"/>
        <v>-4114.8553099570663</v>
      </c>
      <c r="CP133" s="24">
        <f t="shared" si="168"/>
        <v>-4123.1471934418569</v>
      </c>
      <c r="CQ133" s="24">
        <f t="shared" si="168"/>
        <v>-4131.4558395502218</v>
      </c>
      <c r="CR133" s="24">
        <f t="shared" si="168"/>
        <v>-4139.7812823953454</v>
      </c>
      <c r="CS133" s="24">
        <f t="shared" si="168"/>
        <v>-4148.1235561599833</v>
      </c>
      <c r="CT133" s="24">
        <f t="shared" si="168"/>
        <v>-4156.4826950966808</v>
      </c>
      <c r="CU133" s="24">
        <f t="shared" si="168"/>
        <v>-4164.8587335278553</v>
      </c>
      <c r="CV133" s="24">
        <f t="shared" si="168"/>
        <v>-4173.2517058460035</v>
      </c>
      <c r="CW133" s="24">
        <f t="shared" si="168"/>
        <v>-4181.6616465137649</v>
      </c>
      <c r="CX133" s="24">
        <f t="shared" si="168"/>
        <v>-4190.0885900641406</v>
      </c>
      <c r="CY133" s="24">
        <f t="shared" ref="CY133:EI133" si="169">MIN(CY114,0)</f>
        <v>-4198.5325711005908</v>
      </c>
      <c r="CZ133" s="24">
        <f t="shared" si="169"/>
        <v>-4206.993624297208</v>
      </c>
      <c r="DA133" s="24">
        <f t="shared" si="169"/>
        <v>-4215.4717843988155</v>
      </c>
      <c r="DB133" s="24">
        <f t="shared" si="169"/>
        <v>-4223.9670862211933</v>
      </c>
      <c r="DC133" s="24">
        <f t="shared" si="169"/>
        <v>-4232.479564651112</v>
      </c>
      <c r="DD133" s="24">
        <f t="shared" si="169"/>
        <v>-4241.0092546465885</v>
      </c>
      <c r="DE133" s="24">
        <f t="shared" si="169"/>
        <v>-4249.5561912369558</v>
      </c>
      <c r="DF133" s="24">
        <f t="shared" si="169"/>
        <v>-4258.1204095230578</v>
      </c>
      <c r="DG133" s="24">
        <f t="shared" si="169"/>
        <v>-4266.7019446773438</v>
      </c>
      <c r="DH133" s="24">
        <f t="shared" si="169"/>
        <v>-4275.3008319440523</v>
      </c>
      <c r="DI133" s="24">
        <f t="shared" si="169"/>
        <v>-4283.9171066393837</v>
      </c>
      <c r="DJ133" s="24">
        <f t="shared" si="169"/>
        <v>-4292.5508041515595</v>
      </c>
      <c r="DK133" s="24">
        <f t="shared" si="169"/>
        <v>-4301.2019599410578</v>
      </c>
      <c r="DL133" s="24">
        <f t="shared" si="169"/>
        <v>-4309.8706095407288</v>
      </c>
      <c r="DM133" s="24">
        <f t="shared" si="169"/>
        <v>-4318.5567885559194</v>
      </c>
      <c r="DN133" s="24">
        <f t="shared" si="169"/>
        <v>-4327.2605326646681</v>
      </c>
      <c r="DO133" s="24">
        <f t="shared" si="169"/>
        <v>-4335.981877617779</v>
      </c>
      <c r="DP133" s="24">
        <f t="shared" si="169"/>
        <v>-4344.7208592390989</v>
      </c>
      <c r="DQ133" s="24">
        <f t="shared" si="169"/>
        <v>-4353.4775134255106</v>
      </c>
      <c r="DR133" s="24">
        <f t="shared" si="169"/>
        <v>-4362.2518761472011</v>
      </c>
      <c r="DS133" s="24">
        <f t="shared" si="169"/>
        <v>-4371.0439834477629</v>
      </c>
      <c r="DT133" s="24">
        <f t="shared" si="169"/>
        <v>-4379.8538714443475</v>
      </c>
      <c r="DU133" s="24">
        <f t="shared" si="169"/>
        <v>-4388.6815763278346</v>
      </c>
      <c r="DV133" s="24">
        <f t="shared" si="169"/>
        <v>-4397.527134362922</v>
      </c>
      <c r="DW133" s="24">
        <f t="shared" si="169"/>
        <v>-4406.390581888365</v>
      </c>
      <c r="DX133" s="24">
        <f t="shared" si="169"/>
        <v>-4415.2719553170891</v>
      </c>
      <c r="DY133" s="24">
        <f t="shared" si="169"/>
        <v>-4424.1712911363029</v>
      </c>
      <c r="DZ133" s="24">
        <f t="shared" si="169"/>
        <v>-4433.0886259076988</v>
      </c>
      <c r="EA133" s="24">
        <f t="shared" si="169"/>
        <v>-4442.0239962676069</v>
      </c>
      <c r="EB133" s="24">
        <f t="shared" si="169"/>
        <v>-4450.9774389271233</v>
      </c>
      <c r="EC133" s="24">
        <f t="shared" si="169"/>
        <v>-4459.9489906722411</v>
      </c>
      <c r="ED133" s="24">
        <f t="shared" si="169"/>
        <v>-4468.9386883640827</v>
      </c>
      <c r="EE133" s="24">
        <f t="shared" si="169"/>
        <v>-4477.9465689389754</v>
      </c>
      <c r="EF133" s="24">
        <f t="shared" si="169"/>
        <v>-4486.9726694086557</v>
      </c>
      <c r="EG133" s="24">
        <f t="shared" si="169"/>
        <v>-4496.0170268603506</v>
      </c>
      <c r="EH133" s="24">
        <f t="shared" si="169"/>
        <v>-4505.0796784570557</v>
      </c>
      <c r="EI133" s="24">
        <f t="shared" si="169"/>
        <v>-4514.160661437556</v>
      </c>
      <c r="EJ133" s="24"/>
      <c r="EK133" s="24"/>
      <c r="EL133" s="24"/>
      <c r="EM133" s="1" t="s">
        <v>178</v>
      </c>
    </row>
    <row r="134" spans="3:143" x14ac:dyDescent="0.45">
      <c r="D134" s="1" t="s">
        <v>195</v>
      </c>
      <c r="E134" s="24"/>
      <c r="F134" s="24"/>
      <c r="G134" s="24"/>
      <c r="H134" s="24">
        <f t="shared" ref="H134:AM134" si="170">H125</f>
        <v>0</v>
      </c>
      <c r="I134" s="24">
        <f t="shared" si="170"/>
        <v>0</v>
      </c>
      <c r="J134" s="24">
        <f t="shared" si="170"/>
        <v>0</v>
      </c>
      <c r="K134" s="24">
        <f t="shared" si="170"/>
        <v>0</v>
      </c>
      <c r="L134" s="24">
        <f t="shared" si="170"/>
        <v>0</v>
      </c>
      <c r="M134" s="24">
        <f t="shared" si="170"/>
        <v>0</v>
      </c>
      <c r="N134" s="24">
        <f t="shared" si="170"/>
        <v>0</v>
      </c>
      <c r="O134" s="24">
        <f t="shared" si="170"/>
        <v>0</v>
      </c>
      <c r="P134" s="24">
        <f t="shared" si="170"/>
        <v>0</v>
      </c>
      <c r="Q134" s="24">
        <f t="shared" si="170"/>
        <v>0</v>
      </c>
      <c r="R134" s="24">
        <f t="shared" si="170"/>
        <v>0</v>
      </c>
      <c r="S134" s="24">
        <f t="shared" si="170"/>
        <v>0</v>
      </c>
      <c r="T134" s="24">
        <f t="shared" si="170"/>
        <v>0</v>
      </c>
      <c r="U134" s="24">
        <f t="shared" si="170"/>
        <v>0</v>
      </c>
      <c r="V134" s="24">
        <f t="shared" si="170"/>
        <v>0</v>
      </c>
      <c r="W134" s="24">
        <f t="shared" si="170"/>
        <v>0</v>
      </c>
      <c r="X134" s="24">
        <f t="shared" si="170"/>
        <v>0</v>
      </c>
      <c r="Y134" s="24">
        <f t="shared" si="170"/>
        <v>0</v>
      </c>
      <c r="Z134" s="24">
        <f t="shared" si="170"/>
        <v>0</v>
      </c>
      <c r="AA134" s="24">
        <f t="shared" si="170"/>
        <v>0</v>
      </c>
      <c r="AB134" s="24">
        <f t="shared" si="170"/>
        <v>-360.86973324913106</v>
      </c>
      <c r="AC134" s="24">
        <f t="shared" si="170"/>
        <v>-5701.7273294838305</v>
      </c>
      <c r="AD134" s="24">
        <f t="shared" si="170"/>
        <v>-9834.5233403366074</v>
      </c>
      <c r="AE134" s="24">
        <f t="shared" si="170"/>
        <v>0</v>
      </c>
      <c r="AF134" s="24">
        <f t="shared" si="170"/>
        <v>-18146.507726895936</v>
      </c>
      <c r="AG134" s="24">
        <f t="shared" si="170"/>
        <v>-15875.019103195016</v>
      </c>
      <c r="AH134" s="24">
        <f t="shared" si="170"/>
        <v>-16796.564086913502</v>
      </c>
      <c r="AI134" s="24">
        <f t="shared" si="170"/>
        <v>-23685.783839583131</v>
      </c>
      <c r="AJ134" s="24">
        <f t="shared" si="170"/>
        <v>-30602.823857759518</v>
      </c>
      <c r="AK134" s="24">
        <f t="shared" si="170"/>
        <v>-37547.76930580008</v>
      </c>
      <c r="AL134" s="24">
        <f t="shared" si="170"/>
        <v>-39924.081297027638</v>
      </c>
      <c r="AM134" s="24">
        <f t="shared" si="170"/>
        <v>-40184.066137361631</v>
      </c>
      <c r="AN134" s="24">
        <f t="shared" ref="AN134:BS134" si="171">AN125</f>
        <v>-5339.8621992058997</v>
      </c>
      <c r="AO134" s="24">
        <f t="shared" si="171"/>
        <v>-47717.885483080121</v>
      </c>
      <c r="AP134" s="24">
        <f t="shared" si="171"/>
        <v>-47979.543522048778</v>
      </c>
      <c r="AQ134" s="24">
        <f t="shared" si="171"/>
        <v>-7237805.309918372</v>
      </c>
      <c r="AR134" s="24">
        <f t="shared" si="171"/>
        <v>-21952.459904414776</v>
      </c>
      <c r="AS134" s="24">
        <f t="shared" si="171"/>
        <v>-22215.801867369388</v>
      </c>
      <c r="AT134" s="24">
        <f t="shared" si="171"/>
        <v>-22479.707533520334</v>
      </c>
      <c r="AU134" s="24">
        <f t="shared" si="171"/>
        <v>-22744.178104697905</v>
      </c>
      <c r="AV134" s="24">
        <f t="shared" si="171"/>
        <v>-23009.214785276574</v>
      </c>
      <c r="AW134" s="24">
        <f t="shared" si="171"/>
        <v>-23274.818782180973</v>
      </c>
      <c r="AX134" s="24">
        <f t="shared" si="171"/>
        <v>-23540.991304892897</v>
      </c>
      <c r="AY134" s="24">
        <f t="shared" si="171"/>
        <v>-23807.733565453589</v>
      </c>
      <c r="AZ134" s="24">
        <f t="shared" si="171"/>
        <v>-24075.04677847297</v>
      </c>
      <c r="BA134" s="24">
        <f t="shared" si="171"/>
        <v>-24342.93216113215</v>
      </c>
      <c r="BB134" s="24">
        <f t="shared" si="171"/>
        <v>-24611.390933189094</v>
      </c>
      <c r="BC134" s="24">
        <f t="shared" si="171"/>
        <v>-24880.424316985187</v>
      </c>
      <c r="BD134" s="24">
        <f t="shared" si="171"/>
        <v>-25150.033537450981</v>
      </c>
      <c r="BE134" s="24">
        <f t="shared" si="171"/>
        <v>-25420.219822109706</v>
      </c>
      <c r="BF134" s="24">
        <f t="shared" si="171"/>
        <v>-25690.984401084228</v>
      </c>
      <c r="BG134" s="24">
        <f t="shared" si="171"/>
        <v>-25962.328507102578</v>
      </c>
      <c r="BH134" s="24">
        <f t="shared" si="171"/>
        <v>-26234.253375502591</v>
      </c>
      <c r="BI134" s="24">
        <f t="shared" si="171"/>
        <v>-26506.760244237597</v>
      </c>
      <c r="BJ134" s="24">
        <f t="shared" si="171"/>
        <v>-26779.850353882917</v>
      </c>
      <c r="BK134" s="24">
        <f t="shared" si="171"/>
        <v>-27053.524947639762</v>
      </c>
      <c r="BL134" s="24">
        <f t="shared" si="171"/>
        <v>-27327.785271342233</v>
      </c>
      <c r="BM134" s="24">
        <f t="shared" si="171"/>
        <v>-27602.632573462612</v>
      </c>
      <c r="BN134" s="24">
        <f t="shared" si="171"/>
        <v>-27878.068105115242</v>
      </c>
      <c r="BO134" s="24">
        <f t="shared" si="171"/>
        <v>-1126855.796813424</v>
      </c>
      <c r="BP134" s="24">
        <f t="shared" si="171"/>
        <v>0</v>
      </c>
      <c r="BQ134" s="24">
        <f t="shared" si="171"/>
        <v>0</v>
      </c>
      <c r="BR134" s="24">
        <f t="shared" si="171"/>
        <v>0</v>
      </c>
      <c r="BS134" s="24">
        <f t="shared" si="171"/>
        <v>0</v>
      </c>
      <c r="BT134" s="24">
        <f t="shared" ref="BT134:CY134" si="172">BT125</f>
        <v>0</v>
      </c>
      <c r="BU134" s="24">
        <f t="shared" si="172"/>
        <v>0</v>
      </c>
      <c r="BV134" s="24">
        <f t="shared" si="172"/>
        <v>0</v>
      </c>
      <c r="BW134" s="24">
        <f t="shared" si="172"/>
        <v>0</v>
      </c>
      <c r="BX134" s="24">
        <f t="shared" si="172"/>
        <v>0</v>
      </c>
      <c r="BY134" s="24">
        <f t="shared" si="172"/>
        <v>0</v>
      </c>
      <c r="BZ134" s="24">
        <f t="shared" si="172"/>
        <v>0</v>
      </c>
      <c r="CA134" s="24">
        <f t="shared" si="172"/>
        <v>0</v>
      </c>
      <c r="CB134" s="24">
        <f t="shared" si="172"/>
        <v>0</v>
      </c>
      <c r="CC134" s="24">
        <f t="shared" si="172"/>
        <v>0</v>
      </c>
      <c r="CD134" s="24">
        <f t="shared" si="172"/>
        <v>0</v>
      </c>
      <c r="CE134" s="24">
        <f t="shared" si="172"/>
        <v>0</v>
      </c>
      <c r="CF134" s="24">
        <f t="shared" si="172"/>
        <v>0</v>
      </c>
      <c r="CG134" s="24">
        <f t="shared" si="172"/>
        <v>0</v>
      </c>
      <c r="CH134" s="24">
        <f t="shared" si="172"/>
        <v>0</v>
      </c>
      <c r="CI134" s="24">
        <f t="shared" si="172"/>
        <v>0</v>
      </c>
      <c r="CJ134" s="24">
        <f t="shared" si="172"/>
        <v>0</v>
      </c>
      <c r="CK134" s="24">
        <f t="shared" si="172"/>
        <v>0</v>
      </c>
      <c r="CL134" s="24">
        <f t="shared" si="172"/>
        <v>0</v>
      </c>
      <c r="CM134" s="24">
        <f t="shared" si="172"/>
        <v>0</v>
      </c>
      <c r="CN134" s="24">
        <f t="shared" si="172"/>
        <v>0</v>
      </c>
      <c r="CO134" s="24">
        <f t="shared" si="172"/>
        <v>0</v>
      </c>
      <c r="CP134" s="24">
        <f t="shared" si="172"/>
        <v>0</v>
      </c>
      <c r="CQ134" s="24">
        <f t="shared" si="172"/>
        <v>0</v>
      </c>
      <c r="CR134" s="24">
        <f t="shared" si="172"/>
        <v>0</v>
      </c>
      <c r="CS134" s="24">
        <f t="shared" si="172"/>
        <v>0</v>
      </c>
      <c r="CT134" s="24">
        <f t="shared" si="172"/>
        <v>0</v>
      </c>
      <c r="CU134" s="24">
        <f t="shared" si="172"/>
        <v>0</v>
      </c>
      <c r="CV134" s="24">
        <f t="shared" si="172"/>
        <v>0</v>
      </c>
      <c r="CW134" s="24">
        <f t="shared" si="172"/>
        <v>0</v>
      </c>
      <c r="CX134" s="24">
        <f t="shared" si="172"/>
        <v>0</v>
      </c>
      <c r="CY134" s="24">
        <f t="shared" si="172"/>
        <v>0</v>
      </c>
      <c r="CZ134" s="24">
        <f t="shared" ref="CZ134:EI134" si="173">CZ125</f>
        <v>0</v>
      </c>
      <c r="DA134" s="24">
        <f t="shared" si="173"/>
        <v>0</v>
      </c>
      <c r="DB134" s="24">
        <f t="shared" si="173"/>
        <v>0</v>
      </c>
      <c r="DC134" s="24">
        <f t="shared" si="173"/>
        <v>0</v>
      </c>
      <c r="DD134" s="24">
        <f t="shared" si="173"/>
        <v>0</v>
      </c>
      <c r="DE134" s="24">
        <f t="shared" si="173"/>
        <v>0</v>
      </c>
      <c r="DF134" s="24">
        <f t="shared" si="173"/>
        <v>0</v>
      </c>
      <c r="DG134" s="24">
        <f t="shared" si="173"/>
        <v>0</v>
      </c>
      <c r="DH134" s="24">
        <f t="shared" si="173"/>
        <v>0</v>
      </c>
      <c r="DI134" s="24">
        <f t="shared" si="173"/>
        <v>0</v>
      </c>
      <c r="DJ134" s="24">
        <f t="shared" si="173"/>
        <v>0</v>
      </c>
      <c r="DK134" s="24">
        <f t="shared" si="173"/>
        <v>0</v>
      </c>
      <c r="DL134" s="24">
        <f t="shared" si="173"/>
        <v>0</v>
      </c>
      <c r="DM134" s="24">
        <f t="shared" si="173"/>
        <v>0</v>
      </c>
      <c r="DN134" s="24">
        <f t="shared" si="173"/>
        <v>0</v>
      </c>
      <c r="DO134" s="24">
        <f t="shared" si="173"/>
        <v>0</v>
      </c>
      <c r="DP134" s="24">
        <f t="shared" si="173"/>
        <v>0</v>
      </c>
      <c r="DQ134" s="24">
        <f t="shared" si="173"/>
        <v>0</v>
      </c>
      <c r="DR134" s="24">
        <f t="shared" si="173"/>
        <v>0</v>
      </c>
      <c r="DS134" s="24">
        <f t="shared" si="173"/>
        <v>0</v>
      </c>
      <c r="DT134" s="24">
        <f t="shared" si="173"/>
        <v>0</v>
      </c>
      <c r="DU134" s="24">
        <f t="shared" si="173"/>
        <v>0</v>
      </c>
      <c r="DV134" s="24">
        <f t="shared" si="173"/>
        <v>0</v>
      </c>
      <c r="DW134" s="24">
        <f t="shared" si="173"/>
        <v>0</v>
      </c>
      <c r="DX134" s="24">
        <f t="shared" si="173"/>
        <v>0</v>
      </c>
      <c r="DY134" s="24">
        <f t="shared" si="173"/>
        <v>0</v>
      </c>
      <c r="DZ134" s="24">
        <f t="shared" si="173"/>
        <v>0</v>
      </c>
      <c r="EA134" s="24">
        <f t="shared" si="173"/>
        <v>0</v>
      </c>
      <c r="EB134" s="24">
        <f t="shared" si="173"/>
        <v>0</v>
      </c>
      <c r="EC134" s="24">
        <f t="shared" si="173"/>
        <v>0</v>
      </c>
      <c r="ED134" s="24">
        <f t="shared" si="173"/>
        <v>0</v>
      </c>
      <c r="EE134" s="24">
        <f t="shared" si="173"/>
        <v>0</v>
      </c>
      <c r="EF134" s="24">
        <f t="shared" si="173"/>
        <v>0</v>
      </c>
      <c r="EG134" s="24">
        <f t="shared" si="173"/>
        <v>0</v>
      </c>
      <c r="EH134" s="24">
        <f t="shared" si="173"/>
        <v>0</v>
      </c>
      <c r="EI134" s="24">
        <f t="shared" si="173"/>
        <v>0</v>
      </c>
      <c r="EJ134" s="24"/>
      <c r="EK134" s="24"/>
      <c r="EL134" s="24"/>
      <c r="EM134" s="1" t="s">
        <v>178</v>
      </c>
    </row>
    <row r="135" spans="3:143" x14ac:dyDescent="0.45">
      <c r="D135" s="1" t="s">
        <v>35</v>
      </c>
      <c r="E135" s="24"/>
      <c r="F135" s="24"/>
      <c r="G135" s="24"/>
      <c r="H135" s="24">
        <f t="shared" ref="H135:N135" si="174">SUM(H131:H134)</f>
        <v>4830809.51721224</v>
      </c>
      <c r="I135" s="24">
        <f t="shared" si="174"/>
        <v>4861987.451952368</v>
      </c>
      <c r="J135" s="24">
        <f t="shared" si="174"/>
        <v>4893728.1235746359</v>
      </c>
      <c r="K135" s="24">
        <f t="shared" si="174"/>
        <v>4923552.0756569616</v>
      </c>
      <c r="L135" s="24">
        <f t="shared" si="174"/>
        <v>4888848.9911222449</v>
      </c>
      <c r="M135" s="24">
        <f t="shared" si="174"/>
        <v>4887842.1735680485</v>
      </c>
      <c r="N135" s="24">
        <f t="shared" si="174"/>
        <v>4914193.4876882154</v>
      </c>
      <c r="O135" s="24">
        <f t="shared" ref="O135:BT135" si="175">SUM(O131:O134)</f>
        <v>4942931.9391524261</v>
      </c>
      <c r="P135" s="24">
        <f t="shared" si="175"/>
        <v>4974122.7662782231</v>
      </c>
      <c r="Q135" s="24">
        <f t="shared" si="175"/>
        <v>4985581.4727093633</v>
      </c>
      <c r="R135" s="24">
        <f t="shared" si="175"/>
        <v>5019414.8655335447</v>
      </c>
      <c r="S135" s="24">
        <f t="shared" si="175"/>
        <v>5063132.2260337323</v>
      </c>
      <c r="T135" s="24">
        <f t="shared" si="175"/>
        <v>5110860.321645624</v>
      </c>
      <c r="U135" s="24">
        <f t="shared" si="175"/>
        <v>5162580.2520096498</v>
      </c>
      <c r="V135" s="24">
        <f t="shared" si="175"/>
        <v>5217761.2199845975</v>
      </c>
      <c r="W135" s="24">
        <f t="shared" si="175"/>
        <v>5275573.9935386283</v>
      </c>
      <c r="X135" s="24">
        <f t="shared" si="175"/>
        <v>5334055.0044440143</v>
      </c>
      <c r="Y135" s="24">
        <f t="shared" si="175"/>
        <v>5392819.336010607</v>
      </c>
      <c r="Z135" s="24">
        <f t="shared" si="175"/>
        <v>5452702.7919970984</v>
      </c>
      <c r="AA135" s="24">
        <f t="shared" si="175"/>
        <v>5513367.1199473878</v>
      </c>
      <c r="AB135" s="24">
        <f t="shared" si="175"/>
        <v>5577594.8879729742</v>
      </c>
      <c r="AC135" s="24">
        <f t="shared" si="175"/>
        <v>5634706.5411586519</v>
      </c>
      <c r="AD135" s="24">
        <f t="shared" si="175"/>
        <v>5688252.6833712161</v>
      </c>
      <c r="AE135" s="24">
        <f t="shared" si="175"/>
        <v>5709909.3362639779</v>
      </c>
      <c r="AF135" s="24">
        <f t="shared" si="175"/>
        <v>5758653.9420313099</v>
      </c>
      <c r="AG135" s="24">
        <f t="shared" si="175"/>
        <v>5807497.1978880335</v>
      </c>
      <c r="AH135" s="24">
        <f t="shared" si="175"/>
        <v>5856034.5885619642</v>
      </c>
      <c r="AI135" s="24">
        <f t="shared" si="175"/>
        <v>5898232.9307279699</v>
      </c>
      <c r="AJ135" s="24">
        <f t="shared" si="175"/>
        <v>5933875.6735452581</v>
      </c>
      <c r="AK135" s="24">
        <f t="shared" si="175"/>
        <v>5962857.584032814</v>
      </c>
      <c r="AL135" s="24">
        <f t="shared" si="175"/>
        <v>5989668.7336940588</v>
      </c>
      <c r="AM135" s="24">
        <f t="shared" si="175"/>
        <v>6016485.3587570125</v>
      </c>
      <c r="AN135" s="24">
        <f t="shared" si="175"/>
        <v>6078453.960980732</v>
      </c>
      <c r="AO135" s="24">
        <f t="shared" si="175"/>
        <v>6098764.1027448056</v>
      </c>
      <c r="AP135" s="24">
        <f t="shared" si="175"/>
        <v>6119044.1109742308</v>
      </c>
      <c r="AQ135" s="24">
        <f t="shared" si="175"/>
        <v>-1050270.488643094</v>
      </c>
      <c r="AR135" s="24">
        <f t="shared" si="175"/>
        <v>-21952.459904414776</v>
      </c>
      <c r="AS135" s="24">
        <f t="shared" si="175"/>
        <v>-22215.801867369388</v>
      </c>
      <c r="AT135" s="24">
        <f t="shared" si="175"/>
        <v>-22479.707533520334</v>
      </c>
      <c r="AU135" s="24">
        <f t="shared" si="175"/>
        <v>-22744.178104697905</v>
      </c>
      <c r="AV135" s="24">
        <f t="shared" si="175"/>
        <v>-23009.214785276574</v>
      </c>
      <c r="AW135" s="24">
        <f t="shared" si="175"/>
        <v>-23274.818782180973</v>
      </c>
      <c r="AX135" s="24">
        <f t="shared" si="175"/>
        <v>-23540.991304892897</v>
      </c>
      <c r="AY135" s="24">
        <f t="shared" si="175"/>
        <v>-23807.733565453589</v>
      </c>
      <c r="AZ135" s="24">
        <f t="shared" si="175"/>
        <v>-24075.04677847297</v>
      </c>
      <c r="BA135" s="24">
        <f t="shared" si="175"/>
        <v>-24342.93216113215</v>
      </c>
      <c r="BB135" s="24">
        <f t="shared" si="175"/>
        <v>-24611.390933189094</v>
      </c>
      <c r="BC135" s="24">
        <f t="shared" si="175"/>
        <v>-24880.424316985187</v>
      </c>
      <c r="BD135" s="24">
        <f t="shared" si="175"/>
        <v>-25150.033537450981</v>
      </c>
      <c r="BE135" s="24">
        <f t="shared" si="175"/>
        <v>-25420.219822109706</v>
      </c>
      <c r="BF135" s="24">
        <f t="shared" si="175"/>
        <v>-25690.984401084228</v>
      </c>
      <c r="BG135" s="24">
        <f t="shared" si="175"/>
        <v>-25962.328507102578</v>
      </c>
      <c r="BH135" s="24">
        <f t="shared" si="175"/>
        <v>-26234.253375502591</v>
      </c>
      <c r="BI135" s="24">
        <f t="shared" si="175"/>
        <v>-26506.760244237597</v>
      </c>
      <c r="BJ135" s="24">
        <f t="shared" si="175"/>
        <v>-26779.850353882917</v>
      </c>
      <c r="BK135" s="24">
        <f t="shared" si="175"/>
        <v>-27053.524947639762</v>
      </c>
      <c r="BL135" s="24">
        <f t="shared" si="175"/>
        <v>-27327.785271342233</v>
      </c>
      <c r="BM135" s="24">
        <f t="shared" si="175"/>
        <v>-27602.632573462612</v>
      </c>
      <c r="BN135" s="24">
        <f t="shared" si="175"/>
        <v>-27878.068105115242</v>
      </c>
      <c r="BO135" s="24">
        <f t="shared" si="175"/>
        <v>-1126855.796813424</v>
      </c>
      <c r="BP135" s="24">
        <f t="shared" si="175"/>
        <v>-3912.9077031461611</v>
      </c>
      <c r="BQ135" s="24">
        <f t="shared" si="175"/>
        <v>-7879.5384988780279</v>
      </c>
      <c r="BR135" s="24">
        <f t="shared" si="175"/>
        <v>-7895.4141956801814</v>
      </c>
      <c r="BS135" s="24">
        <f t="shared" si="175"/>
        <v>-7911.3219755607442</v>
      </c>
      <c r="BT135" s="24">
        <f t="shared" si="175"/>
        <v>-7927.2619038020457</v>
      </c>
      <c r="BU135" s="24">
        <f t="shared" ref="BU135:CV135" si="176">SUM(BU131:BU134)</f>
        <v>-7943.2340458196395</v>
      </c>
      <c r="BV135" s="24">
        <f t="shared" si="176"/>
        <v>-7959.2384671625587</v>
      </c>
      <c r="BW135" s="24">
        <f t="shared" si="176"/>
        <v>-7975.2752335135738</v>
      </c>
      <c r="BX135" s="24">
        <f t="shared" si="176"/>
        <v>-7991.3444106894913</v>
      </c>
      <c r="BY135" s="24">
        <f t="shared" si="176"/>
        <v>-8007.4460646414182</v>
      </c>
      <c r="BZ135" s="24">
        <f t="shared" si="176"/>
        <v>-8023.5802614550521</v>
      </c>
      <c r="CA135" s="24">
        <f t="shared" si="176"/>
        <v>-8039.7470673509324</v>
      </c>
      <c r="CB135" s="24">
        <f t="shared" si="176"/>
        <v>-8055.9465486847221</v>
      </c>
      <c r="CC135" s="24">
        <f t="shared" si="176"/>
        <v>-8072.178771947496</v>
      </c>
      <c r="CD135" s="24">
        <f t="shared" si="176"/>
        <v>-8088.443803765992</v>
      </c>
      <c r="CE135" s="24">
        <f t="shared" si="176"/>
        <v>-8104.741710902932</v>
      </c>
      <c r="CF135" s="24">
        <f t="shared" si="176"/>
        <v>-8121.0725602572602</v>
      </c>
      <c r="CG135" s="24">
        <f t="shared" si="176"/>
        <v>-8137.436418864424</v>
      </c>
      <c r="CH135" s="24">
        <f t="shared" si="176"/>
        <v>-8153.8333538966808</v>
      </c>
      <c r="CI135" s="24">
        <f>SUM(CI131:CI134)</f>
        <v>-8170.2634326633561</v>
      </c>
      <c r="CJ135" s="24">
        <f t="shared" si="176"/>
        <v>-8186.7267226111235</v>
      </c>
      <c r="CK135" s="24">
        <f t="shared" si="176"/>
        <v>-8203.2232913243097</v>
      </c>
      <c r="CL135" s="24">
        <f t="shared" si="176"/>
        <v>-8219.7532065251416</v>
      </c>
      <c r="CM135" s="24">
        <f t="shared" si="176"/>
        <v>-8236.3165360740313</v>
      </c>
      <c r="CN135" s="24">
        <f t="shared" si="176"/>
        <v>-8252.9133479698976</v>
      </c>
      <c r="CO135" s="24">
        <f t="shared" si="176"/>
        <v>-8269.5437103504082</v>
      </c>
      <c r="CP135" s="24">
        <f t="shared" si="176"/>
        <v>-8286.2076914922873</v>
      </c>
      <c r="CQ135" s="24">
        <f t="shared" si="176"/>
        <v>-8302.9053598115752</v>
      </c>
      <c r="CR135" s="24">
        <f t="shared" si="176"/>
        <v>-8319.6367838639399</v>
      </c>
      <c r="CS135" s="24">
        <f t="shared" si="176"/>
        <v>-8336.4020323449549</v>
      </c>
      <c r="CT135" s="24">
        <f t="shared" si="176"/>
        <v>-8353.2011740903654</v>
      </c>
      <c r="CU135" s="24">
        <f t="shared" si="176"/>
        <v>-8370.0342780764004</v>
      </c>
      <c r="CV135" s="24">
        <f t="shared" si="176"/>
        <v>-8386.9014134200625</v>
      </c>
      <c r="CW135" s="24">
        <f t="shared" ref="CW135:EI135" si="177">SUM(CW131:CW134)</f>
        <v>-8403.8026493793914</v>
      </c>
      <c r="CX135" s="24">
        <f t="shared" si="177"/>
        <v>-8420.7380553537514</v>
      </c>
      <c r="CY135" s="24">
        <f t="shared" si="177"/>
        <v>-8437.707700884157</v>
      </c>
      <c r="CZ135" s="24">
        <f t="shared" si="177"/>
        <v>-8454.7116556535402</v>
      </c>
      <c r="DA135" s="24">
        <f t="shared" si="177"/>
        <v>-8471.749989487018</v>
      </c>
      <c r="DB135" s="24">
        <f t="shared" si="177"/>
        <v>-8488.8227723522268</v>
      </c>
      <c r="DC135" s="24">
        <f t="shared" si="177"/>
        <v>-8505.9300743595813</v>
      </c>
      <c r="DD135" s="24">
        <f t="shared" si="177"/>
        <v>-8523.0719657625668</v>
      </c>
      <c r="DE135" s="24">
        <f t="shared" si="177"/>
        <v>-8540.2485169580596</v>
      </c>
      <c r="DF135" s="24">
        <f t="shared" si="177"/>
        <v>-8557.4597984866032</v>
      </c>
      <c r="DG135" s="24">
        <f t="shared" si="177"/>
        <v>-8574.7058810326962</v>
      </c>
      <c r="DH135" s="24">
        <f t="shared" si="177"/>
        <v>-8591.9868354250684</v>
      </c>
      <c r="DI135" s="24">
        <f t="shared" si="177"/>
        <v>-8609.3027326370411</v>
      </c>
      <c r="DJ135" s="24">
        <f t="shared" si="177"/>
        <v>-8626.6536437867617</v>
      </c>
      <c r="DK135" s="24">
        <f t="shared" si="177"/>
        <v>-8644.0396401375019</v>
      </c>
      <c r="DL135" s="24">
        <f t="shared" si="177"/>
        <v>-8661.4607930980055</v>
      </c>
      <c r="DM135" s="24">
        <f t="shared" si="177"/>
        <v>-8678.9171742227336</v>
      </c>
      <c r="DN135" s="24">
        <f t="shared" si="177"/>
        <v>-8696.4088552121866</v>
      </c>
      <c r="DO135" s="24">
        <f t="shared" si="177"/>
        <v>-8713.9359079131737</v>
      </c>
      <c r="DP135" s="24">
        <f t="shared" si="177"/>
        <v>-8731.4984043191598</v>
      </c>
      <c r="DQ135" s="24">
        <f t="shared" si="177"/>
        <v>-8749.0964165705482</v>
      </c>
      <c r="DR135" s="24">
        <f t="shared" si="177"/>
        <v>-8766.7300169549417</v>
      </c>
      <c r="DS135" s="24">
        <f t="shared" si="177"/>
        <v>-8784.3992779075052</v>
      </c>
      <c r="DT135" s="24">
        <f t="shared" si="177"/>
        <v>-8802.1042720112273</v>
      </c>
      <c r="DU135" s="24">
        <f t="shared" si="177"/>
        <v>-8819.8450719972498</v>
      </c>
      <c r="DV135" s="24">
        <f t="shared" si="177"/>
        <v>-8837.6217507451274</v>
      </c>
      <c r="DW135" s="24">
        <f t="shared" si="177"/>
        <v>-8855.4343812831503</v>
      </c>
      <c r="DX135" s="24">
        <f t="shared" si="177"/>
        <v>-8873.2830367887018</v>
      </c>
      <c r="DY135" s="24">
        <f t="shared" si="177"/>
        <v>-8891.1677905884899</v>
      </c>
      <c r="DZ135" s="24">
        <f t="shared" si="177"/>
        <v>-8909.0887161588653</v>
      </c>
      <c r="EA135" s="24">
        <f t="shared" si="177"/>
        <v>-8927.0458871261617</v>
      </c>
      <c r="EB135" s="24">
        <f t="shared" si="177"/>
        <v>-8945.0393772669995</v>
      </c>
      <c r="EC135" s="24">
        <f t="shared" si="177"/>
        <v>-8963.0692605085387</v>
      </c>
      <c r="ED135" s="24">
        <f t="shared" si="177"/>
        <v>-8981.1356109288336</v>
      </c>
      <c r="EE135" s="24">
        <f t="shared" si="177"/>
        <v>-8999.2385027571618</v>
      </c>
      <c r="EF135" s="24">
        <f t="shared" si="177"/>
        <v>-9017.3780103742938</v>
      </c>
      <c r="EG135" s="24">
        <f t="shared" si="177"/>
        <v>-9035.5542083127802</v>
      </c>
      <c r="EH135" s="24">
        <f t="shared" si="177"/>
        <v>-9053.767171257321</v>
      </c>
      <c r="EI135" s="24">
        <f t="shared" si="177"/>
        <v>-9072.0169740450547</v>
      </c>
      <c r="EJ135" s="24"/>
      <c r="EK135" s="24"/>
      <c r="EL135" s="24"/>
      <c r="EM135" s="1" t="s">
        <v>178</v>
      </c>
    </row>
    <row r="136" spans="3:143" x14ac:dyDescent="0.45">
      <c r="D136" s="1" t="str">
        <f>H86&amp;" Distributions to LP"</f>
        <v>Hurdle 1 Distributions to LP</v>
      </c>
      <c r="E136" s="24"/>
      <c r="F136" s="24"/>
      <c r="G136" s="24"/>
      <c r="H136" s="24">
        <f t="shared" ref="H136:AM136" si="178">-MIN(SUM(H131:H132,H134),MAX($J$86*H126,0))</f>
        <v>0</v>
      </c>
      <c r="I136" s="24">
        <f t="shared" si="178"/>
        <v>0</v>
      </c>
      <c r="J136" s="24">
        <f t="shared" si="178"/>
        <v>0</v>
      </c>
      <c r="K136" s="24">
        <f t="shared" si="178"/>
        <v>0</v>
      </c>
      <c r="L136" s="24">
        <f t="shared" si="178"/>
        <v>0</v>
      </c>
      <c r="M136" s="24">
        <f t="shared" si="178"/>
        <v>0</v>
      </c>
      <c r="N136" s="24">
        <f t="shared" si="178"/>
        <v>0</v>
      </c>
      <c r="O136" s="24">
        <f t="shared" si="178"/>
        <v>0</v>
      </c>
      <c r="P136" s="24">
        <f t="shared" si="178"/>
        <v>0</v>
      </c>
      <c r="Q136" s="24">
        <f t="shared" si="178"/>
        <v>0</v>
      </c>
      <c r="R136" s="24">
        <f t="shared" si="178"/>
        <v>0</v>
      </c>
      <c r="S136" s="24">
        <f t="shared" si="178"/>
        <v>0</v>
      </c>
      <c r="T136" s="24">
        <f t="shared" si="178"/>
        <v>0</v>
      </c>
      <c r="U136" s="24">
        <f t="shared" si="178"/>
        <v>0</v>
      </c>
      <c r="V136" s="24">
        <f t="shared" si="178"/>
        <v>0</v>
      </c>
      <c r="W136" s="24">
        <f t="shared" si="178"/>
        <v>0</v>
      </c>
      <c r="X136" s="24">
        <f t="shared" si="178"/>
        <v>0</v>
      </c>
      <c r="Y136" s="24">
        <f t="shared" si="178"/>
        <v>0</v>
      </c>
      <c r="Z136" s="24">
        <f t="shared" si="178"/>
        <v>0</v>
      </c>
      <c r="AA136" s="24">
        <f t="shared" si="178"/>
        <v>0</v>
      </c>
      <c r="AB136" s="24">
        <f t="shared" si="178"/>
        <v>-2498.4115265745281</v>
      </c>
      <c r="AC136" s="24">
        <f t="shared" si="178"/>
        <v>-2599.0063016295567</v>
      </c>
      <c r="AD136" s="24">
        <f t="shared" si="178"/>
        <v>-2676.0371173096755</v>
      </c>
      <c r="AE136" s="24">
        <f t="shared" si="178"/>
        <v>0</v>
      </c>
      <c r="AF136" s="24">
        <f t="shared" si="178"/>
        <v>-2712.1054511262232</v>
      </c>
      <c r="AG136" s="24">
        <f t="shared" si="178"/>
        <v>-2669.123860422646</v>
      </c>
      <c r="AH136" s="24">
        <f t="shared" si="178"/>
        <v>-2687.3505903030323</v>
      </c>
      <c r="AI136" s="24">
        <f t="shared" si="178"/>
        <v>-2818.7210000384775</v>
      </c>
      <c r="AJ136" s="24">
        <f t="shared" si="178"/>
        <v>-2950.6145308745386</v>
      </c>
      <c r="AK136" s="24">
        <f t="shared" si="178"/>
        <v>-3083.0327708183199</v>
      </c>
      <c r="AL136" s="24">
        <f t="shared" si="178"/>
        <v>-3131.0998181171085</v>
      </c>
      <c r="AM136" s="24">
        <f t="shared" si="178"/>
        <v>-3137.4072392748244</v>
      </c>
      <c r="AN136" s="24">
        <f t="shared" ref="AN136:BS136" si="179">-MIN(SUM(AN131:AN132,AN134),MAX($J$86*AN126,0))</f>
        <v>-3143.7274015608868</v>
      </c>
      <c r="AO136" s="24">
        <f t="shared" si="179"/>
        <v>-3150.0603308962422</v>
      </c>
      <c r="AP136" s="24">
        <f t="shared" si="179"/>
        <v>-3156.4060532547433</v>
      </c>
      <c r="AQ136" s="24">
        <f t="shared" si="179"/>
        <v>1050270.488643094</v>
      </c>
      <c r="AR136" s="24">
        <f t="shared" si="179"/>
        <v>21952.459904414776</v>
      </c>
      <c r="AS136" s="24">
        <f t="shared" si="179"/>
        <v>22215.801867369388</v>
      </c>
      <c r="AT136" s="24">
        <f t="shared" si="179"/>
        <v>22479.707533520334</v>
      </c>
      <c r="AU136" s="24">
        <f t="shared" si="179"/>
        <v>22744.178104697905</v>
      </c>
      <c r="AV136" s="24">
        <f t="shared" si="179"/>
        <v>23009.214785276574</v>
      </c>
      <c r="AW136" s="24">
        <f t="shared" si="179"/>
        <v>23274.818782180973</v>
      </c>
      <c r="AX136" s="24">
        <f t="shared" si="179"/>
        <v>23540.991304892897</v>
      </c>
      <c r="AY136" s="24">
        <f t="shared" si="179"/>
        <v>23807.733565453589</v>
      </c>
      <c r="AZ136" s="24">
        <f t="shared" si="179"/>
        <v>24075.04677847297</v>
      </c>
      <c r="BA136" s="24">
        <f t="shared" si="179"/>
        <v>24342.93216113215</v>
      </c>
      <c r="BB136" s="24">
        <f t="shared" si="179"/>
        <v>24611.390933189094</v>
      </c>
      <c r="BC136" s="24">
        <f t="shared" si="179"/>
        <v>24880.424316985187</v>
      </c>
      <c r="BD136" s="24">
        <f t="shared" si="179"/>
        <v>25150.033537450981</v>
      </c>
      <c r="BE136" s="24">
        <f t="shared" si="179"/>
        <v>25420.219822109706</v>
      </c>
      <c r="BF136" s="24">
        <f t="shared" si="179"/>
        <v>25690.984401084228</v>
      </c>
      <c r="BG136" s="24">
        <f t="shared" si="179"/>
        <v>25962.328507102578</v>
      </c>
      <c r="BH136" s="24">
        <f t="shared" si="179"/>
        <v>26234.253375502591</v>
      </c>
      <c r="BI136" s="24">
        <f t="shared" si="179"/>
        <v>26506.760244237597</v>
      </c>
      <c r="BJ136" s="24">
        <f t="shared" si="179"/>
        <v>26779.850353882917</v>
      </c>
      <c r="BK136" s="24">
        <f t="shared" si="179"/>
        <v>27053.524947639762</v>
      </c>
      <c r="BL136" s="24">
        <f t="shared" si="179"/>
        <v>27327.785271342233</v>
      </c>
      <c r="BM136" s="24">
        <f t="shared" si="179"/>
        <v>27602.632573462612</v>
      </c>
      <c r="BN136" s="24">
        <f t="shared" si="179"/>
        <v>27878.068105115242</v>
      </c>
      <c r="BO136" s="24">
        <f t="shared" si="179"/>
        <v>1126855.796813424</v>
      </c>
      <c r="BP136" s="24">
        <f t="shared" si="179"/>
        <v>0</v>
      </c>
      <c r="BQ136" s="24">
        <f t="shared" si="179"/>
        <v>3958.7470918035729</v>
      </c>
      <c r="BR136" s="24">
        <f t="shared" si="179"/>
        <v>3966.7231526684072</v>
      </c>
      <c r="BS136" s="24">
        <f t="shared" si="179"/>
        <v>3974.7153321844294</v>
      </c>
      <c r="BT136" s="24">
        <f t="shared" ref="BT136:CY136" si="180">-MIN(SUM(BT131:BT132,BT134),MAX($J$86*BT126,0))</f>
        <v>3982.7236631496112</v>
      </c>
      <c r="BU136" s="24">
        <f t="shared" si="180"/>
        <v>3990.7481784288625</v>
      </c>
      <c r="BV136" s="24">
        <f t="shared" si="180"/>
        <v>3998.7889109541547</v>
      </c>
      <c r="BW136" s="24">
        <f t="shared" si="180"/>
        <v>4006.8458937246555</v>
      </c>
      <c r="BX136" s="24">
        <f t="shared" si="180"/>
        <v>4014.9191598068542</v>
      </c>
      <c r="BY136" s="24">
        <f t="shared" si="180"/>
        <v>4023.0087423347345</v>
      </c>
      <c r="BZ136" s="24">
        <f t="shared" si="180"/>
        <v>4031.1146745098695</v>
      </c>
      <c r="CA136" s="24">
        <f t="shared" si="180"/>
        <v>4039.2369896016189</v>
      </c>
      <c r="CB136" s="24">
        <f t="shared" si="180"/>
        <v>4047.3757209471828</v>
      </c>
      <c r="CC136" s="24">
        <f t="shared" si="180"/>
        <v>4055.5309019518322</v>
      </c>
      <c r="CD136" s="24">
        <f t="shared" si="180"/>
        <v>4063.702566088969</v>
      </c>
      <c r="CE136" s="24">
        <f t="shared" si="180"/>
        <v>4071.890746900317</v>
      </c>
      <c r="CF136" s="24">
        <f t="shared" si="180"/>
        <v>4080.0954779960562</v>
      </c>
      <c r="CG136" s="24">
        <f t="shared" si="180"/>
        <v>4088.3167930549257</v>
      </c>
      <c r="CH136" s="24">
        <f t="shared" si="180"/>
        <v>4096.5547258244042</v>
      </c>
      <c r="CI136" s="24">
        <f t="shared" si="180"/>
        <v>4104.8093101208397</v>
      </c>
      <c r="CJ136" s="24">
        <f t="shared" si="180"/>
        <v>4113.0805798295778</v>
      </c>
      <c r="CK136" s="24">
        <f t="shared" si="180"/>
        <v>4121.3685689051126</v>
      </c>
      <c r="CL136" s="24">
        <f t="shared" si="180"/>
        <v>4129.6733113712489</v>
      </c>
      <c r="CM136" s="24">
        <f t="shared" si="180"/>
        <v>4137.9948413211832</v>
      </c>
      <c r="CN136" s="24">
        <f t="shared" si="180"/>
        <v>4146.3331929177102</v>
      </c>
      <c r="CO136" s="24">
        <f t="shared" si="180"/>
        <v>4154.6884003933419</v>
      </c>
      <c r="CP136" s="24">
        <f t="shared" si="180"/>
        <v>4163.0604980504313</v>
      </c>
      <c r="CQ136" s="24">
        <f t="shared" si="180"/>
        <v>4171.4495202613543</v>
      </c>
      <c r="CR136" s="24">
        <f t="shared" si="180"/>
        <v>4179.8555014685944</v>
      </c>
      <c r="CS136" s="24">
        <f t="shared" si="180"/>
        <v>4188.2784761849707</v>
      </c>
      <c r="CT136" s="24">
        <f t="shared" si="180"/>
        <v>4196.7184789936855</v>
      </c>
      <c r="CU136" s="24">
        <f t="shared" si="180"/>
        <v>4205.175544548546</v>
      </c>
      <c r="CV136" s="24">
        <f t="shared" si="180"/>
        <v>4213.649707574059</v>
      </c>
      <c r="CW136" s="24">
        <f t="shared" si="180"/>
        <v>4222.1410028656255</v>
      </c>
      <c r="CX136" s="24">
        <f t="shared" si="180"/>
        <v>4230.6494652896117</v>
      </c>
      <c r="CY136" s="24">
        <f t="shared" si="180"/>
        <v>4239.1751297835663</v>
      </c>
      <c r="CZ136" s="24">
        <f t="shared" ref="CZ136:EI136" si="181">-MIN(SUM(CZ131:CZ132,CZ134),MAX($J$86*CZ126,0))</f>
        <v>4247.7180313563322</v>
      </c>
      <c r="DA136" s="24">
        <f t="shared" si="181"/>
        <v>4256.2782050882024</v>
      </c>
      <c r="DB136" s="24">
        <f t="shared" si="181"/>
        <v>4264.8556861310335</v>
      </c>
      <c r="DC136" s="24">
        <f t="shared" si="181"/>
        <v>4273.4505097084693</v>
      </c>
      <c r="DD136" s="24">
        <f t="shared" si="181"/>
        <v>4282.0627111159774</v>
      </c>
      <c r="DE136" s="24">
        <f t="shared" si="181"/>
        <v>4290.6923257211038</v>
      </c>
      <c r="DF136" s="24">
        <f t="shared" si="181"/>
        <v>4299.3393889635454</v>
      </c>
      <c r="DG136" s="24">
        <f t="shared" si="181"/>
        <v>4308.0039363553524</v>
      </c>
      <c r="DH136" s="24">
        <f t="shared" si="181"/>
        <v>4316.6860034810161</v>
      </c>
      <c r="DI136" s="24">
        <f t="shared" si="181"/>
        <v>4325.3856259976574</v>
      </c>
      <c r="DJ136" s="24">
        <f t="shared" si="181"/>
        <v>4334.1028396352031</v>
      </c>
      <c r="DK136" s="24">
        <f t="shared" si="181"/>
        <v>4342.8376801964441</v>
      </c>
      <c r="DL136" s="24">
        <f t="shared" si="181"/>
        <v>4351.5901835572777</v>
      </c>
      <c r="DM136" s="24">
        <f t="shared" si="181"/>
        <v>4360.3603856668151</v>
      </c>
      <c r="DN136" s="24">
        <f t="shared" si="181"/>
        <v>4369.1483225475195</v>
      </c>
      <c r="DO136" s="24">
        <f t="shared" si="181"/>
        <v>4377.9540302953947</v>
      </c>
      <c r="DP136" s="24">
        <f t="shared" si="181"/>
        <v>4386.7775450800609</v>
      </c>
      <c r="DQ136" s="24">
        <f t="shared" si="181"/>
        <v>4395.6189031450385</v>
      </c>
      <c r="DR136" s="24">
        <f t="shared" si="181"/>
        <v>4404.4781408077397</v>
      </c>
      <c r="DS136" s="24">
        <f t="shared" si="181"/>
        <v>4413.3552944597413</v>
      </c>
      <c r="DT136" s="24">
        <f t="shared" si="181"/>
        <v>4422.2504005668798</v>
      </c>
      <c r="DU136" s="24">
        <f t="shared" si="181"/>
        <v>4431.1634956694161</v>
      </c>
      <c r="DV136" s="24">
        <f t="shared" si="181"/>
        <v>4440.0946163822055</v>
      </c>
      <c r="DW136" s="24">
        <f t="shared" si="181"/>
        <v>4449.0437993947844</v>
      </c>
      <c r="DX136" s="24">
        <f t="shared" si="181"/>
        <v>4458.0110814716127</v>
      </c>
      <c r="DY136" s="24">
        <f t="shared" si="181"/>
        <v>4466.996499452187</v>
      </c>
      <c r="DZ136" s="24">
        <f t="shared" si="181"/>
        <v>4476.0000902511656</v>
      </c>
      <c r="EA136" s="24">
        <f t="shared" si="181"/>
        <v>4485.0218908585557</v>
      </c>
      <c r="EB136" s="24">
        <f t="shared" si="181"/>
        <v>4494.0619383398762</v>
      </c>
      <c r="EC136" s="24">
        <f t="shared" si="181"/>
        <v>4503.1202698362968</v>
      </c>
      <c r="ED136" s="24">
        <f t="shared" si="181"/>
        <v>4512.1969225647508</v>
      </c>
      <c r="EE136" s="24">
        <f t="shared" si="181"/>
        <v>4521.2919338181864</v>
      </c>
      <c r="EF136" s="24">
        <f t="shared" si="181"/>
        <v>4530.4053409656381</v>
      </c>
      <c r="EG136" s="24">
        <f t="shared" si="181"/>
        <v>4539.5371814524306</v>
      </c>
      <c r="EH136" s="24">
        <f t="shared" si="181"/>
        <v>4548.6874928002653</v>
      </c>
      <c r="EI136" s="24">
        <f t="shared" si="181"/>
        <v>4557.8563126074996</v>
      </c>
      <c r="EJ136" s="24"/>
      <c r="EK136" s="24"/>
      <c r="EL136" s="24"/>
      <c r="EM136" s="1" t="s">
        <v>178</v>
      </c>
    </row>
    <row r="137" spans="3:143" x14ac:dyDescent="0.45">
      <c r="D137" s="1" t="s">
        <v>196</v>
      </c>
      <c r="E137" s="24"/>
      <c r="F137" s="24"/>
      <c r="G137" s="24">
        <f>-G133</f>
        <v>5340556.2753367089</v>
      </c>
      <c r="H137" s="24">
        <f>SUM(H135:H136)</f>
        <v>4830809.51721224</v>
      </c>
      <c r="I137" s="24">
        <f t="shared" ref="I137:BT137" si="182">SUM(I135:I136)</f>
        <v>4861987.451952368</v>
      </c>
      <c r="J137" s="24">
        <f t="shared" si="182"/>
        <v>4893728.1235746359</v>
      </c>
      <c r="K137" s="24">
        <f t="shared" si="182"/>
        <v>4923552.0756569616</v>
      </c>
      <c r="L137" s="24">
        <f t="shared" si="182"/>
        <v>4888848.9911222449</v>
      </c>
      <c r="M137" s="24">
        <f t="shared" si="182"/>
        <v>4887842.1735680485</v>
      </c>
      <c r="N137" s="24">
        <f t="shared" si="182"/>
        <v>4914193.4876882154</v>
      </c>
      <c r="O137" s="24">
        <f t="shared" si="182"/>
        <v>4942931.9391524261</v>
      </c>
      <c r="P137" s="24">
        <f t="shared" si="182"/>
        <v>4974122.7662782231</v>
      </c>
      <c r="Q137" s="24">
        <f t="shared" si="182"/>
        <v>4985581.4727093633</v>
      </c>
      <c r="R137" s="24">
        <f t="shared" si="182"/>
        <v>5019414.8655335447</v>
      </c>
      <c r="S137" s="24">
        <f t="shared" si="182"/>
        <v>5063132.2260337323</v>
      </c>
      <c r="T137" s="24">
        <f t="shared" si="182"/>
        <v>5110860.321645624</v>
      </c>
      <c r="U137" s="24">
        <f t="shared" si="182"/>
        <v>5162580.2520096498</v>
      </c>
      <c r="V137" s="24">
        <f t="shared" si="182"/>
        <v>5217761.2199845975</v>
      </c>
      <c r="W137" s="24">
        <f t="shared" si="182"/>
        <v>5275573.9935386283</v>
      </c>
      <c r="X137" s="24">
        <f t="shared" si="182"/>
        <v>5334055.0044440143</v>
      </c>
      <c r="Y137" s="24">
        <f t="shared" si="182"/>
        <v>5392819.336010607</v>
      </c>
      <c r="Z137" s="24">
        <f t="shared" si="182"/>
        <v>5452702.7919970984</v>
      </c>
      <c r="AA137" s="24">
        <f t="shared" si="182"/>
        <v>5513367.1199473878</v>
      </c>
      <c r="AB137" s="24">
        <f t="shared" si="182"/>
        <v>5575096.4764463995</v>
      </c>
      <c r="AC137" s="24">
        <f t="shared" si="182"/>
        <v>5632107.5348570226</v>
      </c>
      <c r="AD137" s="24">
        <f t="shared" si="182"/>
        <v>5685576.6462539062</v>
      </c>
      <c r="AE137" s="24">
        <f t="shared" si="182"/>
        <v>5709909.3362639779</v>
      </c>
      <c r="AF137" s="24">
        <f t="shared" si="182"/>
        <v>5755941.8365801834</v>
      </c>
      <c r="AG137" s="24">
        <f t="shared" si="182"/>
        <v>5804828.0740276109</v>
      </c>
      <c r="AH137" s="24">
        <f t="shared" si="182"/>
        <v>5853347.2379716616</v>
      </c>
      <c r="AI137" s="24">
        <f t="shared" si="182"/>
        <v>5895414.2097279318</v>
      </c>
      <c r="AJ137" s="24">
        <f t="shared" si="182"/>
        <v>5930925.0590143837</v>
      </c>
      <c r="AK137" s="24">
        <f t="shared" si="182"/>
        <v>5959774.5512619959</v>
      </c>
      <c r="AL137" s="24">
        <f t="shared" si="182"/>
        <v>5986537.6338759419</v>
      </c>
      <c r="AM137" s="24">
        <f t="shared" si="182"/>
        <v>6013347.9515177375</v>
      </c>
      <c r="AN137" s="24">
        <f t="shared" si="182"/>
        <v>6075310.2335791709</v>
      </c>
      <c r="AO137" s="24">
        <f t="shared" si="182"/>
        <v>6095614.042413909</v>
      </c>
      <c r="AP137" s="24">
        <f t="shared" si="182"/>
        <v>6115887.7049209764</v>
      </c>
      <c r="AQ137" s="24">
        <f t="shared" si="182"/>
        <v>0</v>
      </c>
      <c r="AR137" s="24">
        <f t="shared" si="182"/>
        <v>0</v>
      </c>
      <c r="AS137" s="24">
        <f t="shared" si="182"/>
        <v>0</v>
      </c>
      <c r="AT137" s="24">
        <f t="shared" si="182"/>
        <v>0</v>
      </c>
      <c r="AU137" s="24">
        <f t="shared" si="182"/>
        <v>0</v>
      </c>
      <c r="AV137" s="24">
        <f t="shared" si="182"/>
        <v>0</v>
      </c>
      <c r="AW137" s="24">
        <f t="shared" si="182"/>
        <v>0</v>
      </c>
      <c r="AX137" s="24">
        <f t="shared" si="182"/>
        <v>0</v>
      </c>
      <c r="AY137" s="24">
        <f t="shared" si="182"/>
        <v>0</v>
      </c>
      <c r="AZ137" s="24">
        <f t="shared" si="182"/>
        <v>0</v>
      </c>
      <c r="BA137" s="24">
        <f t="shared" si="182"/>
        <v>0</v>
      </c>
      <c r="BB137" s="24">
        <f t="shared" si="182"/>
        <v>0</v>
      </c>
      <c r="BC137" s="24">
        <f t="shared" si="182"/>
        <v>0</v>
      </c>
      <c r="BD137" s="24">
        <f t="shared" si="182"/>
        <v>0</v>
      </c>
      <c r="BE137" s="24">
        <f t="shared" si="182"/>
        <v>0</v>
      </c>
      <c r="BF137" s="24">
        <f t="shared" si="182"/>
        <v>0</v>
      </c>
      <c r="BG137" s="24">
        <f t="shared" si="182"/>
        <v>0</v>
      </c>
      <c r="BH137" s="24">
        <f t="shared" si="182"/>
        <v>0</v>
      </c>
      <c r="BI137" s="24">
        <f t="shared" si="182"/>
        <v>0</v>
      </c>
      <c r="BJ137" s="24">
        <f t="shared" si="182"/>
        <v>0</v>
      </c>
      <c r="BK137" s="24">
        <f t="shared" si="182"/>
        <v>0</v>
      </c>
      <c r="BL137" s="24">
        <f t="shared" si="182"/>
        <v>0</v>
      </c>
      <c r="BM137" s="24">
        <f t="shared" si="182"/>
        <v>0</v>
      </c>
      <c r="BN137" s="24">
        <f t="shared" si="182"/>
        <v>0</v>
      </c>
      <c r="BO137" s="24">
        <f t="shared" si="182"/>
        <v>0</v>
      </c>
      <c r="BP137" s="24">
        <f t="shared" si="182"/>
        <v>-3912.9077031461611</v>
      </c>
      <c r="BQ137" s="24">
        <f t="shared" si="182"/>
        <v>-3920.791407074455</v>
      </c>
      <c r="BR137" s="24">
        <f t="shared" si="182"/>
        <v>-3928.6910430117741</v>
      </c>
      <c r="BS137" s="24">
        <f t="shared" si="182"/>
        <v>-3936.6066433763149</v>
      </c>
      <c r="BT137" s="24">
        <f t="shared" si="182"/>
        <v>-3944.5382406524345</v>
      </c>
      <c r="BU137" s="24">
        <f t="shared" ref="BU137:CV137" si="183">SUM(BU135:BU136)</f>
        <v>-3952.485867390777</v>
      </c>
      <c r="BV137" s="24">
        <f t="shared" si="183"/>
        <v>-3960.4495562084039</v>
      </c>
      <c r="BW137" s="24">
        <f t="shared" si="183"/>
        <v>-3968.4293397889182</v>
      </c>
      <c r="BX137" s="24">
        <f t="shared" si="183"/>
        <v>-3976.4252508826371</v>
      </c>
      <c r="BY137" s="24">
        <f t="shared" si="183"/>
        <v>-3984.4373223066837</v>
      </c>
      <c r="BZ137" s="24">
        <f t="shared" si="183"/>
        <v>-3992.4655869451826</v>
      </c>
      <c r="CA137" s="24">
        <f t="shared" si="183"/>
        <v>-4000.5100777493135</v>
      </c>
      <c r="CB137" s="24">
        <f t="shared" si="183"/>
        <v>-4008.5708277375393</v>
      </c>
      <c r="CC137" s="24">
        <f t="shared" si="183"/>
        <v>-4016.6478699956638</v>
      </c>
      <c r="CD137" s="24">
        <f t="shared" si="183"/>
        <v>-4024.741237677023</v>
      </c>
      <c r="CE137" s="24">
        <f t="shared" si="183"/>
        <v>-4032.850964002615</v>
      </c>
      <c r="CF137" s="24">
        <f t="shared" si="183"/>
        <v>-4040.977082261204</v>
      </c>
      <c r="CG137" s="24">
        <f t="shared" si="183"/>
        <v>-4049.1196258094983</v>
      </c>
      <c r="CH137" s="24">
        <f t="shared" si="183"/>
        <v>-4057.2786280722767</v>
      </c>
      <c r="CI137" s="24">
        <f>SUM(CI135:CI136)</f>
        <v>-4065.4541225425164</v>
      </c>
      <c r="CJ137" s="24">
        <f t="shared" si="183"/>
        <v>-4073.6461427815457</v>
      </c>
      <c r="CK137" s="24">
        <f t="shared" si="183"/>
        <v>-4081.8547224191971</v>
      </c>
      <c r="CL137" s="24">
        <f t="shared" si="183"/>
        <v>-4090.0798951538927</v>
      </c>
      <c r="CM137" s="24">
        <f t="shared" si="183"/>
        <v>-4098.3216947528481</v>
      </c>
      <c r="CN137" s="24">
        <f t="shared" si="183"/>
        <v>-4106.5801550521874</v>
      </c>
      <c r="CO137" s="24">
        <f t="shared" si="183"/>
        <v>-4114.8553099570663</v>
      </c>
      <c r="CP137" s="24">
        <f t="shared" si="183"/>
        <v>-4123.147193441856</v>
      </c>
      <c r="CQ137" s="24">
        <f t="shared" si="183"/>
        <v>-4131.4558395502208</v>
      </c>
      <c r="CR137" s="24">
        <f t="shared" si="183"/>
        <v>-4139.7812823953454</v>
      </c>
      <c r="CS137" s="24">
        <f t="shared" si="183"/>
        <v>-4148.1235561599842</v>
      </c>
      <c r="CT137" s="24">
        <f t="shared" si="183"/>
        <v>-4156.4826950966799</v>
      </c>
      <c r="CU137" s="24">
        <f t="shared" si="183"/>
        <v>-4164.8587335278544</v>
      </c>
      <c r="CV137" s="24">
        <f t="shared" si="183"/>
        <v>-4173.2517058460035</v>
      </c>
      <c r="CW137" s="24">
        <f t="shared" ref="CW137:EI137" si="184">SUM(CW135:CW136)</f>
        <v>-4181.6616465137658</v>
      </c>
      <c r="CX137" s="24">
        <f t="shared" si="184"/>
        <v>-4190.0885900641397</v>
      </c>
      <c r="CY137" s="24">
        <f t="shared" si="184"/>
        <v>-4198.5325711005908</v>
      </c>
      <c r="CZ137" s="24">
        <f t="shared" si="184"/>
        <v>-4206.993624297208</v>
      </c>
      <c r="DA137" s="24">
        <f t="shared" si="184"/>
        <v>-4215.4717843988155</v>
      </c>
      <c r="DB137" s="24">
        <f t="shared" si="184"/>
        <v>-4223.9670862211933</v>
      </c>
      <c r="DC137" s="24">
        <f t="shared" si="184"/>
        <v>-4232.479564651112</v>
      </c>
      <c r="DD137" s="24">
        <f t="shared" si="184"/>
        <v>-4241.0092546465894</v>
      </c>
      <c r="DE137" s="24">
        <f t="shared" si="184"/>
        <v>-4249.5561912369558</v>
      </c>
      <c r="DF137" s="24">
        <f t="shared" si="184"/>
        <v>-4258.1204095230578</v>
      </c>
      <c r="DG137" s="24">
        <f t="shared" si="184"/>
        <v>-4266.7019446773438</v>
      </c>
      <c r="DH137" s="24">
        <f t="shared" si="184"/>
        <v>-4275.3008319440523</v>
      </c>
      <c r="DI137" s="24">
        <f t="shared" si="184"/>
        <v>-4283.9171066393837</v>
      </c>
      <c r="DJ137" s="24">
        <f t="shared" si="184"/>
        <v>-4292.5508041515586</v>
      </c>
      <c r="DK137" s="24">
        <f t="shared" si="184"/>
        <v>-4301.2019599410578</v>
      </c>
      <c r="DL137" s="24">
        <f t="shared" si="184"/>
        <v>-4309.8706095407279</v>
      </c>
      <c r="DM137" s="24">
        <f t="shared" si="184"/>
        <v>-4318.5567885559185</v>
      </c>
      <c r="DN137" s="24">
        <f t="shared" si="184"/>
        <v>-4327.2605326646672</v>
      </c>
      <c r="DO137" s="24">
        <f t="shared" si="184"/>
        <v>-4335.981877617779</v>
      </c>
      <c r="DP137" s="24">
        <f t="shared" si="184"/>
        <v>-4344.7208592390989</v>
      </c>
      <c r="DQ137" s="24">
        <f t="shared" si="184"/>
        <v>-4353.4775134255096</v>
      </c>
      <c r="DR137" s="24">
        <f t="shared" si="184"/>
        <v>-4362.251876147202</v>
      </c>
      <c r="DS137" s="24">
        <f t="shared" si="184"/>
        <v>-4371.0439834477638</v>
      </c>
      <c r="DT137" s="24">
        <f t="shared" si="184"/>
        <v>-4379.8538714443475</v>
      </c>
      <c r="DU137" s="24">
        <f t="shared" si="184"/>
        <v>-4388.6815763278337</v>
      </c>
      <c r="DV137" s="24">
        <f t="shared" si="184"/>
        <v>-4397.527134362922</v>
      </c>
      <c r="DW137" s="24">
        <f t="shared" si="184"/>
        <v>-4406.3905818883659</v>
      </c>
      <c r="DX137" s="24">
        <f t="shared" si="184"/>
        <v>-4415.2719553170891</v>
      </c>
      <c r="DY137" s="24">
        <f t="shared" si="184"/>
        <v>-4424.1712911363029</v>
      </c>
      <c r="DZ137" s="24">
        <f t="shared" si="184"/>
        <v>-4433.0886259076997</v>
      </c>
      <c r="EA137" s="24">
        <f t="shared" si="184"/>
        <v>-4442.023996267606</v>
      </c>
      <c r="EB137" s="24">
        <f t="shared" si="184"/>
        <v>-4450.9774389271233</v>
      </c>
      <c r="EC137" s="24">
        <f t="shared" si="184"/>
        <v>-4459.948990672242</v>
      </c>
      <c r="ED137" s="24">
        <f t="shared" si="184"/>
        <v>-4468.9386883640827</v>
      </c>
      <c r="EE137" s="24">
        <f t="shared" si="184"/>
        <v>-4477.9465689389754</v>
      </c>
      <c r="EF137" s="24">
        <f t="shared" si="184"/>
        <v>-4486.9726694086557</v>
      </c>
      <c r="EG137" s="24">
        <f t="shared" si="184"/>
        <v>-4496.0170268603497</v>
      </c>
      <c r="EH137" s="24">
        <f t="shared" si="184"/>
        <v>-4505.0796784570557</v>
      </c>
      <c r="EI137" s="24">
        <f t="shared" si="184"/>
        <v>-4514.1606614375551</v>
      </c>
      <c r="EJ137" s="24"/>
      <c r="EK137" s="24"/>
      <c r="EL137" s="24"/>
      <c r="EM137" s="1" t="s">
        <v>178</v>
      </c>
    </row>
    <row r="138" spans="3:143" x14ac:dyDescent="0.45"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1" t="s">
        <v>178</v>
      </c>
    </row>
    <row r="139" spans="3:143" x14ac:dyDescent="0.45">
      <c r="D139" s="1" t="s">
        <v>182</v>
      </c>
      <c r="E139" s="154">
        <f>XIRR(G139:EI139,$G$2:$EI$2)</f>
        <v>-2.9779222607612611E-2</v>
      </c>
      <c r="F139" s="24"/>
      <c r="G139" s="24">
        <f>+G133-G134-G136</f>
        <v>-5340556.2753367089</v>
      </c>
      <c r="H139" s="24">
        <f t="shared" ref="H139:BS139" si="185">+H133-H134-H136</f>
        <v>-572310.93119583989</v>
      </c>
      <c r="I139" s="24">
        <f t="shared" si="185"/>
        <v>-25414.597409650549</v>
      </c>
      <c r="J139" s="24">
        <f t="shared" si="185"/>
        <v>-25217.107442723533</v>
      </c>
      <c r="K139" s="24">
        <f t="shared" si="185"/>
        <v>-27505.666313701633</v>
      </c>
      <c r="L139" s="24">
        <f t="shared" si="185"/>
        <v>-92382.088051610059</v>
      </c>
      <c r="M139" s="24">
        <f t="shared" si="185"/>
        <v>-58279.277318902452</v>
      </c>
      <c r="N139" s="24">
        <f t="shared" si="185"/>
        <v>-30909.350860538416</v>
      </c>
      <c r="O139" s="24">
        <f t="shared" si="185"/>
        <v>-28830.916972141629</v>
      </c>
      <c r="P139" s="24">
        <f t="shared" si="185"/>
        <v>-26715.209881863735</v>
      </c>
      <c r="Q139" s="24">
        <f t="shared" si="185"/>
        <v>-46812.728524960221</v>
      </c>
      <c r="R139" s="24">
        <f t="shared" si="185"/>
        <v>-24572.279925768766</v>
      </c>
      <c r="S139" s="24">
        <f t="shared" si="185"/>
        <v>-15084.667635815664</v>
      </c>
      <c r="T139" s="24">
        <f t="shared" si="185"/>
        <v>-11586.077770324908</v>
      </c>
      <c r="U139" s="24">
        <f t="shared" si="185"/>
        <v>-8153.3736930275918</v>
      </c>
      <c r="V139" s="24">
        <f t="shared" si="185"/>
        <v>-5298.2307694213614</v>
      </c>
      <c r="W139" s="24">
        <f t="shared" si="185"/>
        <v>-3312.8656457211896</v>
      </c>
      <c r="X139" s="24">
        <f t="shared" si="185"/>
        <v>-3321.9001334578256</v>
      </c>
      <c r="Y139" s="24">
        <f t="shared" si="185"/>
        <v>-3723.6796563973567</v>
      </c>
      <c r="Z139" s="24">
        <f t="shared" si="185"/>
        <v>-3292.9744986522755</v>
      </c>
      <c r="AA139" s="24">
        <f t="shared" si="185"/>
        <v>-3213.632246609151</v>
      </c>
      <c r="AB139" s="24">
        <f t="shared" si="185"/>
        <v>2859.2812598236592</v>
      </c>
      <c r="AC139" s="24">
        <f t="shared" si="185"/>
        <v>8300.7336311133877</v>
      </c>
      <c r="AD139" s="24">
        <f t="shared" si="185"/>
        <v>12510.560457646283</v>
      </c>
      <c r="AE139" s="24">
        <f t="shared" si="185"/>
        <v>-42273.368042250731</v>
      </c>
      <c r="AF139" s="24">
        <f t="shared" si="185"/>
        <v>20858.613178022159</v>
      </c>
      <c r="AG139" s="24">
        <f t="shared" si="185"/>
        <v>18544.142963617662</v>
      </c>
      <c r="AH139" s="24">
        <f t="shared" si="185"/>
        <v>19483.914677216533</v>
      </c>
      <c r="AI139" s="24">
        <f t="shared" si="185"/>
        <v>26504.504839621608</v>
      </c>
      <c r="AJ139" s="24">
        <f t="shared" si="185"/>
        <v>33553.438388634058</v>
      </c>
      <c r="AK139" s="24">
        <f t="shared" si="185"/>
        <v>40630.802076618398</v>
      </c>
      <c r="AL139" s="24">
        <f t="shared" si="185"/>
        <v>43055.181115144747</v>
      </c>
      <c r="AM139" s="24">
        <f t="shared" si="185"/>
        <v>43321.473376636459</v>
      </c>
      <c r="AN139" s="24">
        <f t="shared" si="185"/>
        <v>8483.589600766787</v>
      </c>
      <c r="AO139" s="24">
        <f t="shared" si="185"/>
        <v>50867.945813976366</v>
      </c>
      <c r="AP139" s="24">
        <f t="shared" si="185"/>
        <v>51135.949575303523</v>
      </c>
      <c r="AQ139" s="24">
        <f t="shared" si="185"/>
        <v>6187534.821275278</v>
      </c>
      <c r="AR139" s="24">
        <f t="shared" si="185"/>
        <v>0</v>
      </c>
      <c r="AS139" s="24">
        <f t="shared" si="185"/>
        <v>0</v>
      </c>
      <c r="AT139" s="24">
        <f t="shared" si="185"/>
        <v>0</v>
      </c>
      <c r="AU139" s="24">
        <f t="shared" si="185"/>
        <v>0</v>
      </c>
      <c r="AV139" s="24">
        <f t="shared" si="185"/>
        <v>0</v>
      </c>
      <c r="AW139" s="24">
        <f t="shared" si="185"/>
        <v>0</v>
      </c>
      <c r="AX139" s="24">
        <f t="shared" si="185"/>
        <v>0</v>
      </c>
      <c r="AY139" s="24">
        <f t="shared" si="185"/>
        <v>0</v>
      </c>
      <c r="AZ139" s="24">
        <f t="shared" si="185"/>
        <v>0</v>
      </c>
      <c r="BA139" s="24">
        <f t="shared" si="185"/>
        <v>0</v>
      </c>
      <c r="BB139" s="24">
        <f t="shared" si="185"/>
        <v>0</v>
      </c>
      <c r="BC139" s="24">
        <f t="shared" si="185"/>
        <v>0</v>
      </c>
      <c r="BD139" s="24">
        <f t="shared" si="185"/>
        <v>0</v>
      </c>
      <c r="BE139" s="24">
        <f t="shared" si="185"/>
        <v>0</v>
      </c>
      <c r="BF139" s="24">
        <f t="shared" si="185"/>
        <v>0</v>
      </c>
      <c r="BG139" s="24">
        <f t="shared" si="185"/>
        <v>0</v>
      </c>
      <c r="BH139" s="24">
        <f t="shared" si="185"/>
        <v>0</v>
      </c>
      <c r="BI139" s="24">
        <f t="shared" si="185"/>
        <v>0</v>
      </c>
      <c r="BJ139" s="24">
        <f t="shared" si="185"/>
        <v>0</v>
      </c>
      <c r="BK139" s="24">
        <f t="shared" si="185"/>
        <v>0</v>
      </c>
      <c r="BL139" s="24">
        <f t="shared" si="185"/>
        <v>0</v>
      </c>
      <c r="BM139" s="24">
        <f t="shared" si="185"/>
        <v>0</v>
      </c>
      <c r="BN139" s="24">
        <f t="shared" si="185"/>
        <v>0</v>
      </c>
      <c r="BO139" s="24">
        <f t="shared" si="185"/>
        <v>0</v>
      </c>
      <c r="BP139" s="24">
        <f t="shared" si="185"/>
        <v>-3912.9077031461611</v>
      </c>
      <c r="BQ139" s="24">
        <f t="shared" si="185"/>
        <v>-7879.5384988780279</v>
      </c>
      <c r="BR139" s="24">
        <f t="shared" si="185"/>
        <v>-7895.4141956801814</v>
      </c>
      <c r="BS139" s="24">
        <f t="shared" si="185"/>
        <v>-7911.3219755607442</v>
      </c>
      <c r="BT139" s="24">
        <f t="shared" ref="BT139:CV139" si="186">+BT133-BT134-BT136</f>
        <v>-7927.2619038020457</v>
      </c>
      <c r="BU139" s="24">
        <f t="shared" si="186"/>
        <v>-7943.2340458196395</v>
      </c>
      <c r="BV139" s="24">
        <f t="shared" si="186"/>
        <v>-7959.2384671625587</v>
      </c>
      <c r="BW139" s="24">
        <f t="shared" si="186"/>
        <v>-7975.2752335135738</v>
      </c>
      <c r="BX139" s="24">
        <f t="shared" si="186"/>
        <v>-7991.3444106894913</v>
      </c>
      <c r="BY139" s="24">
        <f t="shared" si="186"/>
        <v>-8007.4460646414182</v>
      </c>
      <c r="BZ139" s="24">
        <f t="shared" si="186"/>
        <v>-8023.5802614550521</v>
      </c>
      <c r="CA139" s="24">
        <f t="shared" si="186"/>
        <v>-8039.7470673509324</v>
      </c>
      <c r="CB139" s="24">
        <f t="shared" si="186"/>
        <v>-8055.9465486847221</v>
      </c>
      <c r="CC139" s="24">
        <f t="shared" si="186"/>
        <v>-8072.178771947496</v>
      </c>
      <c r="CD139" s="24">
        <f t="shared" si="186"/>
        <v>-8088.443803765992</v>
      </c>
      <c r="CE139" s="24">
        <f t="shared" si="186"/>
        <v>-8104.741710902932</v>
      </c>
      <c r="CF139" s="24">
        <f t="shared" si="186"/>
        <v>-8121.0725602572602</v>
      </c>
      <c r="CG139" s="24">
        <f t="shared" si="186"/>
        <v>-8137.436418864424</v>
      </c>
      <c r="CH139" s="24">
        <f t="shared" si="186"/>
        <v>-8153.8333538966808</v>
      </c>
      <c r="CI139" s="24">
        <f t="shared" si="186"/>
        <v>-8170.2634326633561</v>
      </c>
      <c r="CJ139" s="24">
        <f t="shared" si="186"/>
        <v>-8186.7267226111235</v>
      </c>
      <c r="CK139" s="24">
        <f t="shared" si="186"/>
        <v>-8203.2232913243097</v>
      </c>
      <c r="CL139" s="24">
        <f t="shared" si="186"/>
        <v>-8219.7532065251416</v>
      </c>
      <c r="CM139" s="24">
        <f t="shared" si="186"/>
        <v>-8236.3165360740313</v>
      </c>
      <c r="CN139" s="24">
        <f t="shared" si="186"/>
        <v>-8252.9133479698976</v>
      </c>
      <c r="CO139" s="24">
        <f t="shared" si="186"/>
        <v>-8269.5437103504082</v>
      </c>
      <c r="CP139" s="24">
        <f t="shared" si="186"/>
        <v>-8286.2076914922873</v>
      </c>
      <c r="CQ139" s="24">
        <f t="shared" si="186"/>
        <v>-8302.9053598115752</v>
      </c>
      <c r="CR139" s="24">
        <f t="shared" si="186"/>
        <v>-8319.6367838639399</v>
      </c>
      <c r="CS139" s="24">
        <f t="shared" si="186"/>
        <v>-8336.4020323449549</v>
      </c>
      <c r="CT139" s="24">
        <f t="shared" si="186"/>
        <v>-8353.2011740903654</v>
      </c>
      <c r="CU139" s="24">
        <f t="shared" si="186"/>
        <v>-8370.0342780764004</v>
      </c>
      <c r="CV139" s="24">
        <f t="shared" si="186"/>
        <v>-8386.9014134200625</v>
      </c>
      <c r="CW139" s="24">
        <f t="shared" ref="CW139:EI139" si="187">+CW133-CW134-CW136</f>
        <v>-8403.8026493793914</v>
      </c>
      <c r="CX139" s="24">
        <f t="shared" si="187"/>
        <v>-8420.7380553537514</v>
      </c>
      <c r="CY139" s="24">
        <f t="shared" si="187"/>
        <v>-8437.707700884157</v>
      </c>
      <c r="CZ139" s="24">
        <f t="shared" si="187"/>
        <v>-8454.7116556535402</v>
      </c>
      <c r="DA139" s="24">
        <f t="shared" si="187"/>
        <v>-8471.749989487018</v>
      </c>
      <c r="DB139" s="24">
        <f t="shared" si="187"/>
        <v>-8488.8227723522268</v>
      </c>
      <c r="DC139" s="24">
        <f t="shared" si="187"/>
        <v>-8505.9300743595813</v>
      </c>
      <c r="DD139" s="24">
        <f t="shared" si="187"/>
        <v>-8523.0719657625668</v>
      </c>
      <c r="DE139" s="24">
        <f t="shared" si="187"/>
        <v>-8540.2485169580596</v>
      </c>
      <c r="DF139" s="24">
        <f t="shared" si="187"/>
        <v>-8557.4597984866032</v>
      </c>
      <c r="DG139" s="24">
        <f t="shared" si="187"/>
        <v>-8574.7058810326962</v>
      </c>
      <c r="DH139" s="24">
        <f t="shared" si="187"/>
        <v>-8591.9868354250684</v>
      </c>
      <c r="DI139" s="24">
        <f t="shared" si="187"/>
        <v>-8609.3027326370411</v>
      </c>
      <c r="DJ139" s="24">
        <f t="shared" si="187"/>
        <v>-8626.6536437867617</v>
      </c>
      <c r="DK139" s="24">
        <f t="shared" si="187"/>
        <v>-8644.0396401375019</v>
      </c>
      <c r="DL139" s="24">
        <f t="shared" si="187"/>
        <v>-8661.4607930980055</v>
      </c>
      <c r="DM139" s="24">
        <f t="shared" si="187"/>
        <v>-8678.9171742227336</v>
      </c>
      <c r="DN139" s="24">
        <f t="shared" si="187"/>
        <v>-8696.4088552121866</v>
      </c>
      <c r="DO139" s="24">
        <f t="shared" si="187"/>
        <v>-8713.9359079131737</v>
      </c>
      <c r="DP139" s="24">
        <f t="shared" si="187"/>
        <v>-8731.4984043191598</v>
      </c>
      <c r="DQ139" s="24">
        <f t="shared" si="187"/>
        <v>-8749.0964165705482</v>
      </c>
      <c r="DR139" s="24">
        <f t="shared" si="187"/>
        <v>-8766.7300169549417</v>
      </c>
      <c r="DS139" s="24">
        <f t="shared" si="187"/>
        <v>-8784.3992779075052</v>
      </c>
      <c r="DT139" s="24">
        <f t="shared" si="187"/>
        <v>-8802.1042720112273</v>
      </c>
      <c r="DU139" s="24">
        <f t="shared" si="187"/>
        <v>-8819.8450719972498</v>
      </c>
      <c r="DV139" s="24">
        <f t="shared" si="187"/>
        <v>-8837.6217507451274</v>
      </c>
      <c r="DW139" s="24">
        <f t="shared" si="187"/>
        <v>-8855.4343812831503</v>
      </c>
      <c r="DX139" s="24">
        <f t="shared" si="187"/>
        <v>-8873.2830367887018</v>
      </c>
      <c r="DY139" s="24">
        <f t="shared" si="187"/>
        <v>-8891.1677905884899</v>
      </c>
      <c r="DZ139" s="24">
        <f t="shared" si="187"/>
        <v>-8909.0887161588653</v>
      </c>
      <c r="EA139" s="24">
        <f t="shared" si="187"/>
        <v>-8927.0458871261617</v>
      </c>
      <c r="EB139" s="24">
        <f t="shared" si="187"/>
        <v>-8945.0393772669995</v>
      </c>
      <c r="EC139" s="24">
        <f t="shared" si="187"/>
        <v>-8963.0692605085387</v>
      </c>
      <c r="ED139" s="24">
        <f t="shared" si="187"/>
        <v>-8981.1356109288336</v>
      </c>
      <c r="EE139" s="24">
        <f t="shared" si="187"/>
        <v>-8999.2385027571618</v>
      </c>
      <c r="EF139" s="24">
        <f t="shared" si="187"/>
        <v>-9017.3780103742938</v>
      </c>
      <c r="EG139" s="24">
        <f t="shared" si="187"/>
        <v>-9035.5542083127802</v>
      </c>
      <c r="EH139" s="24">
        <f t="shared" si="187"/>
        <v>-9053.767171257321</v>
      </c>
      <c r="EI139" s="24">
        <f t="shared" si="187"/>
        <v>-9072.0169740450547</v>
      </c>
      <c r="EJ139" s="24"/>
      <c r="EK139" s="24"/>
      <c r="EL139" s="24"/>
      <c r="EM139" s="1" t="s">
        <v>178</v>
      </c>
    </row>
    <row r="140" spans="3:143" x14ac:dyDescent="0.45"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19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1" t="s">
        <v>178</v>
      </c>
    </row>
    <row r="141" spans="3:143" x14ac:dyDescent="0.45">
      <c r="D141" s="1" t="s">
        <v>197</v>
      </c>
      <c r="E141" s="24"/>
      <c r="F141" s="24"/>
      <c r="G141" s="24">
        <f>-G136</f>
        <v>0</v>
      </c>
      <c r="H141" s="24">
        <f>-H136</f>
        <v>0</v>
      </c>
      <c r="I141" s="24">
        <f t="shared" ref="I141:BT141" si="188">-I136</f>
        <v>0</v>
      </c>
      <c r="J141" s="24">
        <f t="shared" si="188"/>
        <v>0</v>
      </c>
      <c r="K141" s="24">
        <f t="shared" si="188"/>
        <v>0</v>
      </c>
      <c r="L141" s="24">
        <f t="shared" si="188"/>
        <v>0</v>
      </c>
      <c r="M141" s="24">
        <f t="shared" si="188"/>
        <v>0</v>
      </c>
      <c r="N141" s="24">
        <f t="shared" si="188"/>
        <v>0</v>
      </c>
      <c r="O141" s="24">
        <f t="shared" si="188"/>
        <v>0</v>
      </c>
      <c r="P141" s="24">
        <f t="shared" si="188"/>
        <v>0</v>
      </c>
      <c r="Q141" s="24">
        <f t="shared" si="188"/>
        <v>0</v>
      </c>
      <c r="R141" s="24">
        <f t="shared" si="188"/>
        <v>0</v>
      </c>
      <c r="S141" s="24">
        <f t="shared" si="188"/>
        <v>0</v>
      </c>
      <c r="T141" s="24">
        <f t="shared" si="188"/>
        <v>0</v>
      </c>
      <c r="U141" s="24">
        <f t="shared" si="188"/>
        <v>0</v>
      </c>
      <c r="V141" s="24">
        <f t="shared" si="188"/>
        <v>0</v>
      </c>
      <c r="W141" s="24">
        <f t="shared" si="188"/>
        <v>0</v>
      </c>
      <c r="X141" s="24">
        <f t="shared" si="188"/>
        <v>0</v>
      </c>
      <c r="Y141" s="24">
        <f t="shared" si="188"/>
        <v>0</v>
      </c>
      <c r="Z141" s="24">
        <f t="shared" si="188"/>
        <v>0</v>
      </c>
      <c r="AA141" s="24">
        <f t="shared" si="188"/>
        <v>0</v>
      </c>
      <c r="AB141" s="24">
        <f t="shared" si="188"/>
        <v>2498.4115265745281</v>
      </c>
      <c r="AC141" s="24">
        <f t="shared" si="188"/>
        <v>2599.0063016295567</v>
      </c>
      <c r="AD141" s="24">
        <f t="shared" si="188"/>
        <v>2676.0371173096755</v>
      </c>
      <c r="AE141" s="24">
        <f t="shared" si="188"/>
        <v>0</v>
      </c>
      <c r="AF141" s="24">
        <f t="shared" si="188"/>
        <v>2712.1054511262232</v>
      </c>
      <c r="AG141" s="24">
        <f t="shared" si="188"/>
        <v>2669.123860422646</v>
      </c>
      <c r="AH141" s="24">
        <f t="shared" si="188"/>
        <v>2687.3505903030323</v>
      </c>
      <c r="AI141" s="24">
        <f t="shared" si="188"/>
        <v>2818.7210000384775</v>
      </c>
      <c r="AJ141" s="24">
        <f t="shared" si="188"/>
        <v>2950.6145308745386</v>
      </c>
      <c r="AK141" s="24">
        <f t="shared" si="188"/>
        <v>3083.0327708183199</v>
      </c>
      <c r="AL141" s="24">
        <f t="shared" si="188"/>
        <v>3131.0998181171085</v>
      </c>
      <c r="AM141" s="24">
        <f t="shared" si="188"/>
        <v>3137.4072392748244</v>
      </c>
      <c r="AN141" s="24">
        <f t="shared" si="188"/>
        <v>3143.7274015608868</v>
      </c>
      <c r="AO141" s="24">
        <f t="shared" si="188"/>
        <v>3150.0603308962422</v>
      </c>
      <c r="AP141" s="24">
        <f t="shared" si="188"/>
        <v>3156.4060532547433</v>
      </c>
      <c r="AQ141" s="24">
        <f t="shared" si="188"/>
        <v>-1050270.488643094</v>
      </c>
      <c r="AR141" s="24">
        <f t="shared" si="188"/>
        <v>-21952.459904414776</v>
      </c>
      <c r="AS141" s="24">
        <f t="shared" si="188"/>
        <v>-22215.801867369388</v>
      </c>
      <c r="AT141" s="24">
        <f t="shared" si="188"/>
        <v>-22479.707533520334</v>
      </c>
      <c r="AU141" s="24">
        <f t="shared" si="188"/>
        <v>-22744.178104697905</v>
      </c>
      <c r="AV141" s="24">
        <f t="shared" si="188"/>
        <v>-23009.214785276574</v>
      </c>
      <c r="AW141" s="24">
        <f t="shared" si="188"/>
        <v>-23274.818782180973</v>
      </c>
      <c r="AX141" s="24">
        <f t="shared" si="188"/>
        <v>-23540.991304892897</v>
      </c>
      <c r="AY141" s="24">
        <f t="shared" si="188"/>
        <v>-23807.733565453589</v>
      </c>
      <c r="AZ141" s="24">
        <f t="shared" si="188"/>
        <v>-24075.04677847297</v>
      </c>
      <c r="BA141" s="24">
        <f t="shared" si="188"/>
        <v>-24342.93216113215</v>
      </c>
      <c r="BB141" s="24">
        <f t="shared" si="188"/>
        <v>-24611.390933189094</v>
      </c>
      <c r="BC141" s="24">
        <f t="shared" si="188"/>
        <v>-24880.424316985187</v>
      </c>
      <c r="BD141" s="24">
        <f t="shared" si="188"/>
        <v>-25150.033537450981</v>
      </c>
      <c r="BE141" s="24">
        <f t="shared" si="188"/>
        <v>-25420.219822109706</v>
      </c>
      <c r="BF141" s="24">
        <f t="shared" si="188"/>
        <v>-25690.984401084228</v>
      </c>
      <c r="BG141" s="24">
        <f t="shared" si="188"/>
        <v>-25962.328507102578</v>
      </c>
      <c r="BH141" s="24">
        <f t="shared" si="188"/>
        <v>-26234.253375502591</v>
      </c>
      <c r="BI141" s="24">
        <f t="shared" si="188"/>
        <v>-26506.760244237597</v>
      </c>
      <c r="BJ141" s="24">
        <f t="shared" si="188"/>
        <v>-26779.850353882917</v>
      </c>
      <c r="BK141" s="24">
        <f t="shared" si="188"/>
        <v>-27053.524947639762</v>
      </c>
      <c r="BL141" s="24">
        <f t="shared" si="188"/>
        <v>-27327.785271342233</v>
      </c>
      <c r="BM141" s="24">
        <f t="shared" si="188"/>
        <v>-27602.632573462612</v>
      </c>
      <c r="BN141" s="24">
        <f t="shared" si="188"/>
        <v>-27878.068105115242</v>
      </c>
      <c r="BO141" s="24">
        <f t="shared" si="188"/>
        <v>-1126855.796813424</v>
      </c>
      <c r="BP141" s="24">
        <f t="shared" si="188"/>
        <v>0</v>
      </c>
      <c r="BQ141" s="24">
        <f t="shared" si="188"/>
        <v>-3958.7470918035729</v>
      </c>
      <c r="BR141" s="24">
        <f t="shared" si="188"/>
        <v>-3966.7231526684072</v>
      </c>
      <c r="BS141" s="24">
        <f t="shared" si="188"/>
        <v>-3974.7153321844294</v>
      </c>
      <c r="BT141" s="24">
        <f t="shared" si="188"/>
        <v>-3982.7236631496112</v>
      </c>
      <c r="BU141" s="24">
        <f t="shared" ref="BU141:CV141" si="189">-BU136</f>
        <v>-3990.7481784288625</v>
      </c>
      <c r="BV141" s="24">
        <f t="shared" si="189"/>
        <v>-3998.7889109541547</v>
      </c>
      <c r="BW141" s="24">
        <f t="shared" si="189"/>
        <v>-4006.8458937246555</v>
      </c>
      <c r="BX141" s="24">
        <f t="shared" si="189"/>
        <v>-4014.9191598068542</v>
      </c>
      <c r="BY141" s="24">
        <f t="shared" si="189"/>
        <v>-4023.0087423347345</v>
      </c>
      <c r="BZ141" s="24">
        <f t="shared" si="189"/>
        <v>-4031.1146745098695</v>
      </c>
      <c r="CA141" s="24">
        <f t="shared" si="189"/>
        <v>-4039.2369896016189</v>
      </c>
      <c r="CB141" s="24">
        <f t="shared" si="189"/>
        <v>-4047.3757209471828</v>
      </c>
      <c r="CC141" s="24">
        <f t="shared" si="189"/>
        <v>-4055.5309019518322</v>
      </c>
      <c r="CD141" s="24">
        <f t="shared" si="189"/>
        <v>-4063.702566088969</v>
      </c>
      <c r="CE141" s="24">
        <f t="shared" si="189"/>
        <v>-4071.890746900317</v>
      </c>
      <c r="CF141" s="24">
        <f t="shared" si="189"/>
        <v>-4080.0954779960562</v>
      </c>
      <c r="CG141" s="24">
        <f t="shared" si="189"/>
        <v>-4088.3167930549257</v>
      </c>
      <c r="CH141" s="24">
        <f t="shared" si="189"/>
        <v>-4096.5547258244042</v>
      </c>
      <c r="CI141" s="24">
        <f t="shared" si="189"/>
        <v>-4104.8093101208397</v>
      </c>
      <c r="CJ141" s="24">
        <f t="shared" si="189"/>
        <v>-4113.0805798295778</v>
      </c>
      <c r="CK141" s="24">
        <f t="shared" si="189"/>
        <v>-4121.3685689051126</v>
      </c>
      <c r="CL141" s="24">
        <f t="shared" si="189"/>
        <v>-4129.6733113712489</v>
      </c>
      <c r="CM141" s="24">
        <f t="shared" si="189"/>
        <v>-4137.9948413211832</v>
      </c>
      <c r="CN141" s="24">
        <f t="shared" si="189"/>
        <v>-4146.3331929177102</v>
      </c>
      <c r="CO141" s="24">
        <f t="shared" si="189"/>
        <v>-4154.6884003933419</v>
      </c>
      <c r="CP141" s="24">
        <f t="shared" si="189"/>
        <v>-4163.0604980504313</v>
      </c>
      <c r="CQ141" s="24">
        <f t="shared" si="189"/>
        <v>-4171.4495202613543</v>
      </c>
      <c r="CR141" s="24">
        <f t="shared" si="189"/>
        <v>-4179.8555014685944</v>
      </c>
      <c r="CS141" s="24">
        <f t="shared" si="189"/>
        <v>-4188.2784761849707</v>
      </c>
      <c r="CT141" s="24">
        <f t="shared" si="189"/>
        <v>-4196.7184789936855</v>
      </c>
      <c r="CU141" s="24">
        <f t="shared" si="189"/>
        <v>-4205.175544548546</v>
      </c>
      <c r="CV141" s="24">
        <f t="shared" si="189"/>
        <v>-4213.649707574059</v>
      </c>
      <c r="CW141" s="24">
        <f t="shared" ref="CW141:EI141" si="190">-CW136</f>
        <v>-4222.1410028656255</v>
      </c>
      <c r="CX141" s="24">
        <f t="shared" si="190"/>
        <v>-4230.6494652896117</v>
      </c>
      <c r="CY141" s="24">
        <f t="shared" si="190"/>
        <v>-4239.1751297835663</v>
      </c>
      <c r="CZ141" s="24">
        <f t="shared" si="190"/>
        <v>-4247.7180313563322</v>
      </c>
      <c r="DA141" s="24">
        <f t="shared" si="190"/>
        <v>-4256.2782050882024</v>
      </c>
      <c r="DB141" s="24">
        <f t="shared" si="190"/>
        <v>-4264.8556861310335</v>
      </c>
      <c r="DC141" s="24">
        <f t="shared" si="190"/>
        <v>-4273.4505097084693</v>
      </c>
      <c r="DD141" s="24">
        <f t="shared" si="190"/>
        <v>-4282.0627111159774</v>
      </c>
      <c r="DE141" s="24">
        <f t="shared" si="190"/>
        <v>-4290.6923257211038</v>
      </c>
      <c r="DF141" s="24">
        <f t="shared" si="190"/>
        <v>-4299.3393889635454</v>
      </c>
      <c r="DG141" s="24">
        <f t="shared" si="190"/>
        <v>-4308.0039363553524</v>
      </c>
      <c r="DH141" s="24">
        <f t="shared" si="190"/>
        <v>-4316.6860034810161</v>
      </c>
      <c r="DI141" s="24">
        <f t="shared" si="190"/>
        <v>-4325.3856259976574</v>
      </c>
      <c r="DJ141" s="24">
        <f t="shared" si="190"/>
        <v>-4334.1028396352031</v>
      </c>
      <c r="DK141" s="24">
        <f t="shared" si="190"/>
        <v>-4342.8376801964441</v>
      </c>
      <c r="DL141" s="24">
        <f t="shared" si="190"/>
        <v>-4351.5901835572777</v>
      </c>
      <c r="DM141" s="24">
        <f t="shared" si="190"/>
        <v>-4360.3603856668151</v>
      </c>
      <c r="DN141" s="24">
        <f t="shared" si="190"/>
        <v>-4369.1483225475195</v>
      </c>
      <c r="DO141" s="24">
        <f t="shared" si="190"/>
        <v>-4377.9540302953947</v>
      </c>
      <c r="DP141" s="24">
        <f t="shared" si="190"/>
        <v>-4386.7775450800609</v>
      </c>
      <c r="DQ141" s="24">
        <f t="shared" si="190"/>
        <v>-4395.6189031450385</v>
      </c>
      <c r="DR141" s="24">
        <f t="shared" si="190"/>
        <v>-4404.4781408077397</v>
      </c>
      <c r="DS141" s="24">
        <f t="shared" si="190"/>
        <v>-4413.3552944597413</v>
      </c>
      <c r="DT141" s="24">
        <f t="shared" si="190"/>
        <v>-4422.2504005668798</v>
      </c>
      <c r="DU141" s="24">
        <f t="shared" si="190"/>
        <v>-4431.1634956694161</v>
      </c>
      <c r="DV141" s="24">
        <f t="shared" si="190"/>
        <v>-4440.0946163822055</v>
      </c>
      <c r="DW141" s="24">
        <f t="shared" si="190"/>
        <v>-4449.0437993947844</v>
      </c>
      <c r="DX141" s="24">
        <f t="shared" si="190"/>
        <v>-4458.0110814716127</v>
      </c>
      <c r="DY141" s="24">
        <f t="shared" si="190"/>
        <v>-4466.996499452187</v>
      </c>
      <c r="DZ141" s="24">
        <f t="shared" si="190"/>
        <v>-4476.0000902511656</v>
      </c>
      <c r="EA141" s="24">
        <f t="shared" si="190"/>
        <v>-4485.0218908585557</v>
      </c>
      <c r="EB141" s="24">
        <f t="shared" si="190"/>
        <v>-4494.0619383398762</v>
      </c>
      <c r="EC141" s="24">
        <f t="shared" si="190"/>
        <v>-4503.1202698362968</v>
      </c>
      <c r="ED141" s="24">
        <f t="shared" si="190"/>
        <v>-4512.1969225647508</v>
      </c>
      <c r="EE141" s="24">
        <f t="shared" si="190"/>
        <v>-4521.2919338181864</v>
      </c>
      <c r="EF141" s="24">
        <f t="shared" si="190"/>
        <v>-4530.4053409656381</v>
      </c>
      <c r="EG141" s="24">
        <f t="shared" si="190"/>
        <v>-4539.5371814524306</v>
      </c>
      <c r="EH141" s="24">
        <f t="shared" si="190"/>
        <v>-4548.6874928002653</v>
      </c>
      <c r="EI141" s="24">
        <f t="shared" si="190"/>
        <v>-4557.8563126074996</v>
      </c>
      <c r="EJ141" s="24"/>
      <c r="EK141" s="24"/>
      <c r="EL141" s="24"/>
      <c r="EM141" s="1" t="s">
        <v>178</v>
      </c>
    </row>
    <row r="142" spans="3:143" x14ac:dyDescent="0.45">
      <c r="D142" s="1" t="s">
        <v>198</v>
      </c>
      <c r="E142" s="24"/>
      <c r="F142" s="24"/>
      <c r="G142" s="24">
        <f t="shared" ref="G142:AL142" si="191">+(G141/$J$86)*$K$86</f>
        <v>0</v>
      </c>
      <c r="H142" s="24">
        <f t="shared" si="191"/>
        <v>0</v>
      </c>
      <c r="I142" s="24">
        <f t="shared" si="191"/>
        <v>0</v>
      </c>
      <c r="J142" s="24">
        <f t="shared" si="191"/>
        <v>0</v>
      </c>
      <c r="K142" s="24">
        <f t="shared" si="191"/>
        <v>0</v>
      </c>
      <c r="L142" s="24">
        <f t="shared" si="191"/>
        <v>0</v>
      </c>
      <c r="M142" s="24">
        <f t="shared" si="191"/>
        <v>0</v>
      </c>
      <c r="N142" s="24">
        <f t="shared" si="191"/>
        <v>0</v>
      </c>
      <c r="O142" s="24">
        <f t="shared" si="191"/>
        <v>0</v>
      </c>
      <c r="P142" s="24">
        <f t="shared" si="191"/>
        <v>0</v>
      </c>
      <c r="Q142" s="24">
        <f t="shared" si="191"/>
        <v>0</v>
      </c>
      <c r="R142" s="24">
        <f t="shared" si="191"/>
        <v>0</v>
      </c>
      <c r="S142" s="24">
        <f t="shared" si="191"/>
        <v>0</v>
      </c>
      <c r="T142" s="24">
        <f t="shared" si="191"/>
        <v>0</v>
      </c>
      <c r="U142" s="24">
        <f t="shared" si="191"/>
        <v>0</v>
      </c>
      <c r="V142" s="24">
        <f t="shared" si="191"/>
        <v>0</v>
      </c>
      <c r="W142" s="24">
        <f t="shared" si="191"/>
        <v>0</v>
      </c>
      <c r="X142" s="24">
        <f t="shared" si="191"/>
        <v>0</v>
      </c>
      <c r="Y142" s="24">
        <f t="shared" si="191"/>
        <v>0</v>
      </c>
      <c r="Z142" s="24">
        <f t="shared" si="191"/>
        <v>0</v>
      </c>
      <c r="AA142" s="24">
        <f t="shared" si="191"/>
        <v>0</v>
      </c>
      <c r="AB142" s="24">
        <f t="shared" si="191"/>
        <v>440.89615174844613</v>
      </c>
      <c r="AC142" s="24">
        <f t="shared" si="191"/>
        <v>458.64817087580411</v>
      </c>
      <c r="AD142" s="24">
        <f t="shared" si="191"/>
        <v>472.24184423111916</v>
      </c>
      <c r="AE142" s="24">
        <f t="shared" si="191"/>
        <v>0</v>
      </c>
      <c r="AF142" s="24">
        <f t="shared" si="191"/>
        <v>478.60684431639231</v>
      </c>
      <c r="AG142" s="24">
        <f t="shared" si="191"/>
        <v>471.02185772164336</v>
      </c>
      <c r="AH142" s="24">
        <f t="shared" si="191"/>
        <v>474.23833946524098</v>
      </c>
      <c r="AI142" s="24">
        <f t="shared" si="191"/>
        <v>497.42135294796662</v>
      </c>
      <c r="AJ142" s="24">
        <f t="shared" si="191"/>
        <v>520.69668191903622</v>
      </c>
      <c r="AK142" s="24">
        <f t="shared" si="191"/>
        <v>544.06460661499761</v>
      </c>
      <c r="AL142" s="24">
        <f t="shared" si="191"/>
        <v>552.54702672654855</v>
      </c>
      <c r="AM142" s="24">
        <f t="shared" ref="AM142:BR142" si="192">+(AM141/$J$86)*$K$86</f>
        <v>553.6601010484984</v>
      </c>
      <c r="AN142" s="24">
        <f t="shared" si="192"/>
        <v>554.77542380486238</v>
      </c>
      <c r="AO142" s="24">
        <f t="shared" si="192"/>
        <v>555.89299956992511</v>
      </c>
      <c r="AP142" s="24">
        <f t="shared" si="192"/>
        <v>557.01283292730761</v>
      </c>
      <c r="AQ142" s="24">
        <f t="shared" si="192"/>
        <v>-185341.85093701657</v>
      </c>
      <c r="AR142" s="24">
        <f t="shared" si="192"/>
        <v>-3873.963512543784</v>
      </c>
      <c r="AS142" s="24">
        <f t="shared" si="192"/>
        <v>-3920.4356236534213</v>
      </c>
      <c r="AT142" s="24">
        <f t="shared" si="192"/>
        <v>-3967.0072117977061</v>
      </c>
      <c r="AU142" s="24">
        <f t="shared" si="192"/>
        <v>-4013.6784890643357</v>
      </c>
      <c r="AV142" s="24">
        <f t="shared" si="192"/>
        <v>-4060.4496679899839</v>
      </c>
      <c r="AW142" s="24">
        <f t="shared" si="192"/>
        <v>-4107.3209615613478</v>
      </c>
      <c r="AX142" s="24">
        <f t="shared" si="192"/>
        <v>-4154.2925832163937</v>
      </c>
      <c r="AY142" s="24">
        <f t="shared" si="192"/>
        <v>-4201.3647468447507</v>
      </c>
      <c r="AZ142" s="24">
        <f t="shared" si="192"/>
        <v>-4248.537666789347</v>
      </c>
      <c r="BA142" s="24">
        <f t="shared" si="192"/>
        <v>-4295.8115578468496</v>
      </c>
      <c r="BB142" s="24">
        <f t="shared" si="192"/>
        <v>-4343.1866352686629</v>
      </c>
      <c r="BC142" s="24">
        <f t="shared" si="192"/>
        <v>-4390.6631147620919</v>
      </c>
      <c r="BD142" s="24">
        <f t="shared" si="192"/>
        <v>-4438.2412124913499</v>
      </c>
      <c r="BE142" s="24">
        <f t="shared" si="192"/>
        <v>-4485.9211450781831</v>
      </c>
      <c r="BF142" s="24">
        <f t="shared" si="192"/>
        <v>-4533.7031296030991</v>
      </c>
      <c r="BG142" s="24">
        <f t="shared" si="192"/>
        <v>-4581.5873836063374</v>
      </c>
      <c r="BH142" s="24">
        <f t="shared" si="192"/>
        <v>-4629.5741250886922</v>
      </c>
      <c r="BI142" s="24">
        <f t="shared" si="192"/>
        <v>-4677.663572512517</v>
      </c>
      <c r="BJ142" s="24">
        <f t="shared" si="192"/>
        <v>-4725.8559448028673</v>
      </c>
      <c r="BK142" s="24">
        <f t="shared" si="192"/>
        <v>-4774.1514613481932</v>
      </c>
      <c r="BL142" s="24">
        <f t="shared" si="192"/>
        <v>-4822.5503420015702</v>
      </c>
      <c r="BM142" s="24">
        <f t="shared" si="192"/>
        <v>-4871.0528070816372</v>
      </c>
      <c r="BN142" s="24">
        <f t="shared" si="192"/>
        <v>-4919.6590773732787</v>
      </c>
      <c r="BO142" s="24">
        <f t="shared" si="192"/>
        <v>-198856.905320016</v>
      </c>
      <c r="BP142" s="24">
        <f t="shared" si="192"/>
        <v>0</v>
      </c>
      <c r="BQ142" s="24">
        <f t="shared" si="192"/>
        <v>-698.60242796533635</v>
      </c>
      <c r="BR142" s="24">
        <f t="shared" si="192"/>
        <v>-700.00996811795426</v>
      </c>
      <c r="BS142" s="24">
        <f t="shared" ref="BS142:CX142" si="193">+(BS141/$J$86)*$K$86</f>
        <v>-701.42035273842862</v>
      </c>
      <c r="BT142" s="24">
        <f t="shared" si="193"/>
        <v>-702.83358761463717</v>
      </c>
      <c r="BU142" s="24">
        <f t="shared" si="193"/>
        <v>-704.24967854626993</v>
      </c>
      <c r="BV142" s="24">
        <f t="shared" si="193"/>
        <v>-705.66863134485084</v>
      </c>
      <c r="BW142" s="24">
        <f t="shared" si="193"/>
        <v>-707.0904518337627</v>
      </c>
      <c r="BX142" s="24">
        <f t="shared" si="193"/>
        <v>-708.51514584826839</v>
      </c>
      <c r="BY142" s="24">
        <f t="shared" si="193"/>
        <v>-709.94271923554129</v>
      </c>
      <c r="BZ142" s="24">
        <f t="shared" si="193"/>
        <v>-711.37317785468281</v>
      </c>
      <c r="CA142" s="24">
        <f t="shared" si="193"/>
        <v>-712.80652757675637</v>
      </c>
      <c r="CB142" s="24">
        <f t="shared" si="193"/>
        <v>-714.24277428479695</v>
      </c>
      <c r="CC142" s="24">
        <f t="shared" si="193"/>
        <v>-715.68192387385272</v>
      </c>
      <c r="CD142" s="24">
        <f t="shared" si="193"/>
        <v>-717.12398225099457</v>
      </c>
      <c r="CE142" s="24">
        <f t="shared" si="193"/>
        <v>-718.5689553353501</v>
      </c>
      <c r="CF142" s="24">
        <f t="shared" si="193"/>
        <v>-720.0168490581276</v>
      </c>
      <c r="CG142" s="24">
        <f t="shared" si="193"/>
        <v>-721.46766936263396</v>
      </c>
      <c r="CH142" s="24">
        <f t="shared" si="193"/>
        <v>-722.92142220430662</v>
      </c>
      <c r="CI142" s="24">
        <f t="shared" si="193"/>
        <v>-724.37811355073632</v>
      </c>
      <c r="CJ142" s="24">
        <f t="shared" si="193"/>
        <v>-725.83774938169029</v>
      </c>
      <c r="CK142" s="24">
        <f t="shared" si="193"/>
        <v>-727.30033568913757</v>
      </c>
      <c r="CL142" s="24">
        <f t="shared" si="193"/>
        <v>-728.76587847727922</v>
      </c>
      <c r="CM142" s="24">
        <f t="shared" si="193"/>
        <v>-730.23438376256183</v>
      </c>
      <c r="CN142" s="24">
        <f t="shared" si="193"/>
        <v>-731.70585757371362</v>
      </c>
      <c r="CO142" s="24">
        <f t="shared" si="193"/>
        <v>-733.18030595176617</v>
      </c>
      <c r="CP142" s="24">
        <f t="shared" si="193"/>
        <v>-734.65773495007602</v>
      </c>
      <c r="CQ142" s="24">
        <f t="shared" si="193"/>
        <v>-736.13815063435663</v>
      </c>
      <c r="CR142" s="24">
        <f t="shared" si="193"/>
        <v>-737.62155908269312</v>
      </c>
      <c r="CS142" s="24">
        <f t="shared" si="193"/>
        <v>-739.10796638558315</v>
      </c>
      <c r="CT142" s="24">
        <f t="shared" si="193"/>
        <v>-740.59737864594445</v>
      </c>
      <c r="CU142" s="24">
        <f t="shared" si="193"/>
        <v>-742.08980197915525</v>
      </c>
      <c r="CV142" s="24">
        <f t="shared" si="193"/>
        <v>-743.58524251306926</v>
      </c>
      <c r="CW142" s="24">
        <f t="shared" si="193"/>
        <v>-745.08370638805161</v>
      </c>
      <c r="CX142" s="24">
        <f t="shared" si="193"/>
        <v>-746.58519975699039</v>
      </c>
      <c r="CY142" s="24">
        <f t="shared" ref="CY142:ED142" si="194">+(CY141/$J$86)*$K$86</f>
        <v>-748.08972878533518</v>
      </c>
      <c r="CZ142" s="24">
        <f t="shared" si="194"/>
        <v>-749.5972996511174</v>
      </c>
      <c r="DA142" s="24">
        <f t="shared" si="194"/>
        <v>-751.10791854497688</v>
      </c>
      <c r="DB142" s="24">
        <f t="shared" si="194"/>
        <v>-752.62159167018228</v>
      </c>
      <c r="DC142" s="24">
        <f t="shared" si="194"/>
        <v>-754.13832524267104</v>
      </c>
      <c r="DD142" s="24">
        <f t="shared" si="194"/>
        <v>-755.65812549105488</v>
      </c>
      <c r="DE142" s="24">
        <f t="shared" si="194"/>
        <v>-757.18099865666545</v>
      </c>
      <c r="DF142" s="24">
        <f t="shared" si="194"/>
        <v>-758.70695099356692</v>
      </c>
      <c r="DG142" s="24">
        <f t="shared" si="194"/>
        <v>-760.2359887685916</v>
      </c>
      <c r="DH142" s="24">
        <f t="shared" si="194"/>
        <v>-761.76811826135577</v>
      </c>
      <c r="DI142" s="24">
        <f t="shared" si="194"/>
        <v>-763.30334576429243</v>
      </c>
      <c r="DJ142" s="24">
        <f t="shared" si="194"/>
        <v>-764.84167758268279</v>
      </c>
      <c r="DK142" s="24">
        <f t="shared" si="194"/>
        <v>-766.3831200346666</v>
      </c>
      <c r="DL142" s="24">
        <f t="shared" si="194"/>
        <v>-767.92767945128423</v>
      </c>
      <c r="DM142" s="24">
        <f t="shared" si="194"/>
        <v>-769.47536217649679</v>
      </c>
      <c r="DN142" s="24">
        <f t="shared" si="194"/>
        <v>-771.0261745672093</v>
      </c>
      <c r="DO142" s="24">
        <f t="shared" si="194"/>
        <v>-772.58012299330494</v>
      </c>
      <c r="DP142" s="24">
        <f t="shared" si="194"/>
        <v>-774.1372138376579</v>
      </c>
      <c r="DQ142" s="24">
        <f t="shared" si="194"/>
        <v>-775.69745349618336</v>
      </c>
      <c r="DR142" s="24">
        <f t="shared" si="194"/>
        <v>-777.2608483778364</v>
      </c>
      <c r="DS142" s="24">
        <f t="shared" si="194"/>
        <v>-778.82740490466028</v>
      </c>
      <c r="DT142" s="24">
        <f t="shared" si="194"/>
        <v>-780.39712951180229</v>
      </c>
      <c r="DU142" s="24">
        <f t="shared" si="194"/>
        <v>-781.97002864754404</v>
      </c>
      <c r="DV142" s="24">
        <f t="shared" si="194"/>
        <v>-783.54610877333027</v>
      </c>
      <c r="DW142" s="24">
        <f t="shared" si="194"/>
        <v>-785.12537636378556</v>
      </c>
      <c r="DX142" s="24">
        <f t="shared" si="194"/>
        <v>-786.70783790675512</v>
      </c>
      <c r="DY142" s="24">
        <f t="shared" si="194"/>
        <v>-788.29349990332707</v>
      </c>
      <c r="DZ142" s="24">
        <f t="shared" si="194"/>
        <v>-789.88236886785273</v>
      </c>
      <c r="EA142" s="24">
        <f t="shared" si="194"/>
        <v>-791.47445132798032</v>
      </c>
      <c r="EB142" s="24">
        <f t="shared" si="194"/>
        <v>-793.06975382468397</v>
      </c>
      <c r="EC142" s="24">
        <f t="shared" si="194"/>
        <v>-794.66828291228762</v>
      </c>
      <c r="ED142" s="24">
        <f t="shared" si="194"/>
        <v>-796.27004515848546</v>
      </c>
      <c r="EE142" s="24">
        <f>+(EE141/$J$86)*$K$86</f>
        <v>-797.87504714438592</v>
      </c>
      <c r="EF142" s="24">
        <f>+(EF141/$J$86)*$K$86</f>
        <v>-799.4832954645243</v>
      </c>
      <c r="EG142" s="24">
        <f>+(EG141/$J$86)*$K$86</f>
        <v>-801.09479672689952</v>
      </c>
      <c r="EH142" s="24">
        <f>+(EH141/$J$86)*$K$86</f>
        <v>-802.70955755298803</v>
      </c>
      <c r="EI142" s="24">
        <f>+(EI141/$J$86)*$K$86</f>
        <v>-804.32758457779403</v>
      </c>
      <c r="EJ142" s="24"/>
      <c r="EK142" s="24"/>
      <c r="EL142" s="24"/>
      <c r="EM142" s="1" t="s">
        <v>178</v>
      </c>
    </row>
    <row r="143" spans="3:143" x14ac:dyDescent="0.45">
      <c r="D143" s="1" t="s">
        <v>199</v>
      </c>
      <c r="E143" s="24"/>
      <c r="F143" s="24"/>
      <c r="G143" s="24">
        <f>SUM(G141:G142)</f>
        <v>0</v>
      </c>
      <c r="H143" s="24">
        <f>SUM(H141:H142)</f>
        <v>0</v>
      </c>
      <c r="I143" s="24">
        <f t="shared" ref="I143:BT143" si="195">SUM(I141:I142)</f>
        <v>0</v>
      </c>
      <c r="J143" s="24">
        <f t="shared" si="195"/>
        <v>0</v>
      </c>
      <c r="K143" s="24">
        <f t="shared" si="195"/>
        <v>0</v>
      </c>
      <c r="L143" s="24">
        <f t="shared" si="195"/>
        <v>0</v>
      </c>
      <c r="M143" s="24">
        <f t="shared" si="195"/>
        <v>0</v>
      </c>
      <c r="N143" s="24">
        <f t="shared" si="195"/>
        <v>0</v>
      </c>
      <c r="O143" s="24">
        <f t="shared" si="195"/>
        <v>0</v>
      </c>
      <c r="P143" s="24">
        <f t="shared" si="195"/>
        <v>0</v>
      </c>
      <c r="Q143" s="24">
        <f t="shared" si="195"/>
        <v>0</v>
      </c>
      <c r="R143" s="24">
        <f t="shared" si="195"/>
        <v>0</v>
      </c>
      <c r="S143" s="24">
        <f t="shared" si="195"/>
        <v>0</v>
      </c>
      <c r="T143" s="24">
        <f t="shared" si="195"/>
        <v>0</v>
      </c>
      <c r="U143" s="24">
        <f t="shared" si="195"/>
        <v>0</v>
      </c>
      <c r="V143" s="24">
        <f t="shared" si="195"/>
        <v>0</v>
      </c>
      <c r="W143" s="24">
        <f t="shared" si="195"/>
        <v>0</v>
      </c>
      <c r="X143" s="24">
        <f t="shared" si="195"/>
        <v>0</v>
      </c>
      <c r="Y143" s="24">
        <f t="shared" si="195"/>
        <v>0</v>
      </c>
      <c r="Z143" s="24">
        <f t="shared" si="195"/>
        <v>0</v>
      </c>
      <c r="AA143" s="24">
        <f t="shared" si="195"/>
        <v>0</v>
      </c>
      <c r="AB143" s="24">
        <f t="shared" si="195"/>
        <v>2939.3076783229744</v>
      </c>
      <c r="AC143" s="24">
        <f t="shared" si="195"/>
        <v>3057.6544725053609</v>
      </c>
      <c r="AD143" s="24">
        <f t="shared" si="195"/>
        <v>3148.2789615407946</v>
      </c>
      <c r="AE143" s="24">
        <f t="shared" si="195"/>
        <v>0</v>
      </c>
      <c r="AF143" s="24">
        <f t="shared" si="195"/>
        <v>3190.7122954426154</v>
      </c>
      <c r="AG143" s="24">
        <f t="shared" si="195"/>
        <v>3140.1457181442893</v>
      </c>
      <c r="AH143" s="24">
        <f t="shared" si="195"/>
        <v>3161.5889297682734</v>
      </c>
      <c r="AI143" s="24">
        <f t="shared" si="195"/>
        <v>3316.1423529864442</v>
      </c>
      <c r="AJ143" s="24">
        <f t="shared" si="195"/>
        <v>3471.3112127935747</v>
      </c>
      <c r="AK143" s="24">
        <f t="shared" si="195"/>
        <v>3627.0973774333174</v>
      </c>
      <c r="AL143" s="24">
        <f t="shared" si="195"/>
        <v>3683.6468448436572</v>
      </c>
      <c r="AM143" s="24">
        <f t="shared" si="195"/>
        <v>3691.0673403233227</v>
      </c>
      <c r="AN143" s="24">
        <f t="shared" si="195"/>
        <v>3698.5028253657492</v>
      </c>
      <c r="AO143" s="24">
        <f t="shared" si="195"/>
        <v>3705.9533304661672</v>
      </c>
      <c r="AP143" s="24">
        <f t="shared" si="195"/>
        <v>3713.4188861820508</v>
      </c>
      <c r="AQ143" s="24">
        <f t="shared" si="195"/>
        <v>-1235612.3395801105</v>
      </c>
      <c r="AR143" s="24">
        <f t="shared" si="195"/>
        <v>-25826.423416958562</v>
      </c>
      <c r="AS143" s="24">
        <f t="shared" si="195"/>
        <v>-26136.23749102281</v>
      </c>
      <c r="AT143" s="24">
        <f t="shared" si="195"/>
        <v>-26446.714745318041</v>
      </c>
      <c r="AU143" s="24">
        <f t="shared" si="195"/>
        <v>-26757.856593762241</v>
      </c>
      <c r="AV143" s="24">
        <f t="shared" si="195"/>
        <v>-27069.66445326656</v>
      </c>
      <c r="AW143" s="24">
        <f t="shared" si="195"/>
        <v>-27382.139743742322</v>
      </c>
      <c r="AX143" s="24">
        <f t="shared" si="195"/>
        <v>-27695.28388810929</v>
      </c>
      <c r="AY143" s="24">
        <f t="shared" si="195"/>
        <v>-28009.098312298338</v>
      </c>
      <c r="AZ143" s="24">
        <f t="shared" si="195"/>
        <v>-28323.584445262317</v>
      </c>
      <c r="BA143" s="24">
        <f t="shared" si="195"/>
        <v>-28638.743718979</v>
      </c>
      <c r="BB143" s="24">
        <f t="shared" si="195"/>
        <v>-28954.577568457757</v>
      </c>
      <c r="BC143" s="24">
        <f t="shared" si="195"/>
        <v>-29271.087431747277</v>
      </c>
      <c r="BD143" s="24">
        <f t="shared" si="195"/>
        <v>-29588.274749942331</v>
      </c>
      <c r="BE143" s="24">
        <f t="shared" si="195"/>
        <v>-29906.14096718789</v>
      </c>
      <c r="BF143" s="24">
        <f t="shared" si="195"/>
        <v>-30224.687530687326</v>
      </c>
      <c r="BG143" s="24">
        <f t="shared" si="195"/>
        <v>-30543.915890708915</v>
      </c>
      <c r="BH143" s="24">
        <f t="shared" si="195"/>
        <v>-30863.827500591284</v>
      </c>
      <c r="BI143" s="24">
        <f t="shared" si="195"/>
        <v>-31184.423816750113</v>
      </c>
      <c r="BJ143" s="24">
        <f t="shared" si="195"/>
        <v>-31505.706298685785</v>
      </c>
      <c r="BK143" s="24">
        <f t="shared" si="195"/>
        <v>-31827.676408987954</v>
      </c>
      <c r="BL143" s="24">
        <f t="shared" si="195"/>
        <v>-32150.335613343803</v>
      </c>
      <c r="BM143" s="24">
        <f t="shared" si="195"/>
        <v>-32473.685380544248</v>
      </c>
      <c r="BN143" s="24">
        <f t="shared" si="195"/>
        <v>-32797.727182488525</v>
      </c>
      <c r="BO143" s="24">
        <f t="shared" si="195"/>
        <v>-1325712.7021334399</v>
      </c>
      <c r="BP143" s="24">
        <f t="shared" si="195"/>
        <v>0</v>
      </c>
      <c r="BQ143" s="24">
        <f t="shared" si="195"/>
        <v>-4657.349519768909</v>
      </c>
      <c r="BR143" s="24">
        <f t="shared" si="195"/>
        <v>-4666.7331207863617</v>
      </c>
      <c r="BS143" s="24">
        <f t="shared" si="195"/>
        <v>-4676.1356849228578</v>
      </c>
      <c r="BT143" s="24">
        <f t="shared" si="195"/>
        <v>-4685.5572507642482</v>
      </c>
      <c r="BU143" s="24">
        <f t="shared" ref="BU143:CV143" si="196">SUM(BU141:BU142)</f>
        <v>-4694.9978569751329</v>
      </c>
      <c r="BV143" s="24">
        <f t="shared" si="196"/>
        <v>-4704.4575422990056</v>
      </c>
      <c r="BW143" s="24">
        <f t="shared" si="196"/>
        <v>-4713.936345558418</v>
      </c>
      <c r="BX143" s="24">
        <f t="shared" si="196"/>
        <v>-4723.4343056551224</v>
      </c>
      <c r="BY143" s="24">
        <f t="shared" si="196"/>
        <v>-4732.9514615702756</v>
      </c>
      <c r="BZ143" s="24">
        <f t="shared" si="196"/>
        <v>-4742.4878523645521</v>
      </c>
      <c r="CA143" s="24">
        <f t="shared" si="196"/>
        <v>-4752.0435171783756</v>
      </c>
      <c r="CB143" s="24">
        <f t="shared" si="196"/>
        <v>-4761.61849523198</v>
      </c>
      <c r="CC143" s="24">
        <f t="shared" si="196"/>
        <v>-4771.2128258256853</v>
      </c>
      <c r="CD143" s="24">
        <f t="shared" si="196"/>
        <v>-4780.8265483399637</v>
      </c>
      <c r="CE143" s="24">
        <f t="shared" si="196"/>
        <v>-4790.4597022356675</v>
      </c>
      <c r="CF143" s="24">
        <f t="shared" si="196"/>
        <v>-4800.1123270541839</v>
      </c>
      <c r="CG143" s="24">
        <f t="shared" si="196"/>
        <v>-4809.7844624175596</v>
      </c>
      <c r="CH143" s="24">
        <f t="shared" si="196"/>
        <v>-4819.4761480287107</v>
      </c>
      <c r="CI143" s="24">
        <f t="shared" si="196"/>
        <v>-4829.1874236715757</v>
      </c>
      <c r="CJ143" s="24">
        <f t="shared" si="196"/>
        <v>-4838.9183292112684</v>
      </c>
      <c r="CK143" s="24">
        <f t="shared" si="196"/>
        <v>-4848.6689045942503</v>
      </c>
      <c r="CL143" s="24">
        <f t="shared" si="196"/>
        <v>-4858.4391898485283</v>
      </c>
      <c r="CM143" s="24">
        <f t="shared" si="196"/>
        <v>-4868.2292250837454</v>
      </c>
      <c r="CN143" s="24">
        <f t="shared" si="196"/>
        <v>-4878.039050491424</v>
      </c>
      <c r="CO143" s="24">
        <f t="shared" si="196"/>
        <v>-4887.868706345108</v>
      </c>
      <c r="CP143" s="24">
        <f t="shared" si="196"/>
        <v>-4897.7182330005071</v>
      </c>
      <c r="CQ143" s="24">
        <f t="shared" si="196"/>
        <v>-4907.5876708957112</v>
      </c>
      <c r="CR143" s="24">
        <f t="shared" si="196"/>
        <v>-4917.4770605512877</v>
      </c>
      <c r="CS143" s="24">
        <f t="shared" si="196"/>
        <v>-4927.3864425705542</v>
      </c>
      <c r="CT143" s="24">
        <f t="shared" si="196"/>
        <v>-4937.3158576396299</v>
      </c>
      <c r="CU143" s="24">
        <f t="shared" si="196"/>
        <v>-4947.2653465277017</v>
      </c>
      <c r="CV143" s="24">
        <f t="shared" si="196"/>
        <v>-4957.2349500871278</v>
      </c>
      <c r="CW143" s="24">
        <f t="shared" ref="CW143:EI143" si="197">SUM(CW141:CW142)</f>
        <v>-4967.2247092536772</v>
      </c>
      <c r="CX143" s="24">
        <f t="shared" si="197"/>
        <v>-4977.2346650466025</v>
      </c>
      <c r="CY143" s="24">
        <f t="shared" si="197"/>
        <v>-4987.2648585689012</v>
      </c>
      <c r="CZ143" s="24">
        <f t="shared" si="197"/>
        <v>-4997.3153310074495</v>
      </c>
      <c r="DA143" s="24">
        <f t="shared" si="197"/>
        <v>-5007.3861236331795</v>
      </c>
      <c r="DB143" s="24">
        <f t="shared" si="197"/>
        <v>-5017.4772778012157</v>
      </c>
      <c r="DC143" s="24">
        <f t="shared" si="197"/>
        <v>-5027.5888349511406</v>
      </c>
      <c r="DD143" s="24">
        <f t="shared" si="197"/>
        <v>-5037.7208366070327</v>
      </c>
      <c r="DE143" s="24">
        <f t="shared" si="197"/>
        <v>-5047.8733243777697</v>
      </c>
      <c r="DF143" s="24">
        <f t="shared" si="197"/>
        <v>-5058.0463399571127</v>
      </c>
      <c r="DG143" s="24">
        <f t="shared" si="197"/>
        <v>-5068.239925123944</v>
      </c>
      <c r="DH143" s="24">
        <f t="shared" si="197"/>
        <v>-5078.4541217423721</v>
      </c>
      <c r="DI143" s="24">
        <f t="shared" si="197"/>
        <v>-5088.6889717619497</v>
      </c>
      <c r="DJ143" s="24">
        <f t="shared" si="197"/>
        <v>-5098.9445172178857</v>
      </c>
      <c r="DK143" s="24">
        <f t="shared" si="197"/>
        <v>-5109.2208002311108</v>
      </c>
      <c r="DL143" s="24">
        <f t="shared" si="197"/>
        <v>-5119.517863008562</v>
      </c>
      <c r="DM143" s="24">
        <f t="shared" si="197"/>
        <v>-5129.8357478433118</v>
      </c>
      <c r="DN143" s="24">
        <f t="shared" si="197"/>
        <v>-5140.1744971147291</v>
      </c>
      <c r="DO143" s="24">
        <f t="shared" si="197"/>
        <v>-5150.5341532886996</v>
      </c>
      <c r="DP143" s="24">
        <f t="shared" si="197"/>
        <v>-5160.9147589177192</v>
      </c>
      <c r="DQ143" s="24">
        <f t="shared" si="197"/>
        <v>-5171.3163566412222</v>
      </c>
      <c r="DR143" s="24">
        <f t="shared" si="197"/>
        <v>-5181.7389891855764</v>
      </c>
      <c r="DS143" s="24">
        <f t="shared" si="197"/>
        <v>-5192.1826993644017</v>
      </c>
      <c r="DT143" s="24">
        <f t="shared" si="197"/>
        <v>-5202.6475300786824</v>
      </c>
      <c r="DU143" s="24">
        <f t="shared" si="197"/>
        <v>-5213.1335243169597</v>
      </c>
      <c r="DV143" s="24">
        <f t="shared" si="197"/>
        <v>-5223.6407251555356</v>
      </c>
      <c r="DW143" s="24">
        <f t="shared" si="197"/>
        <v>-5234.1691757585704</v>
      </c>
      <c r="DX143" s="24">
        <f t="shared" si="197"/>
        <v>-5244.7189193783679</v>
      </c>
      <c r="DY143" s="24">
        <f t="shared" si="197"/>
        <v>-5255.2899993555138</v>
      </c>
      <c r="DZ143" s="24">
        <f t="shared" si="197"/>
        <v>-5265.8824591190187</v>
      </c>
      <c r="EA143" s="24">
        <f t="shared" si="197"/>
        <v>-5276.4963421865359</v>
      </c>
      <c r="EB143" s="24">
        <f t="shared" si="197"/>
        <v>-5287.1316921645603</v>
      </c>
      <c r="EC143" s="24">
        <f t="shared" si="197"/>
        <v>-5297.7885527485842</v>
      </c>
      <c r="ED143" s="24">
        <f t="shared" si="197"/>
        <v>-5308.4669677232359</v>
      </c>
      <c r="EE143" s="24">
        <f t="shared" si="197"/>
        <v>-5319.1669809625728</v>
      </c>
      <c r="EF143" s="24">
        <f t="shared" si="197"/>
        <v>-5329.8886364301625</v>
      </c>
      <c r="EG143" s="24">
        <f t="shared" si="197"/>
        <v>-5340.63197817933</v>
      </c>
      <c r="EH143" s="24">
        <f t="shared" si="197"/>
        <v>-5351.3970503532537</v>
      </c>
      <c r="EI143" s="24">
        <f t="shared" si="197"/>
        <v>-5362.183897185294</v>
      </c>
      <c r="EJ143" s="24"/>
      <c r="EK143" s="24"/>
      <c r="EL143" s="24"/>
      <c r="EM143" s="1" t="s">
        <v>178</v>
      </c>
    </row>
    <row r="144" spans="3:143" x14ac:dyDescent="0.45">
      <c r="D144" s="2" t="s">
        <v>191</v>
      </c>
      <c r="E144" s="167"/>
      <c r="F144" s="167"/>
      <c r="G144" s="167">
        <f t="shared" ref="G144:AL144" si="198">+G126-G143</f>
        <v>0</v>
      </c>
      <c r="H144" s="167">
        <f t="shared" si="198"/>
        <v>0</v>
      </c>
      <c r="I144" s="167">
        <f t="shared" si="198"/>
        <v>0</v>
      </c>
      <c r="J144" s="167">
        <f t="shared" si="198"/>
        <v>0</v>
      </c>
      <c r="K144" s="167">
        <f t="shared" si="198"/>
        <v>0</v>
      </c>
      <c r="L144" s="167">
        <f t="shared" si="198"/>
        <v>0</v>
      </c>
      <c r="M144" s="167">
        <f t="shared" si="198"/>
        <v>0</v>
      </c>
      <c r="N144" s="167">
        <f t="shared" si="198"/>
        <v>0</v>
      </c>
      <c r="O144" s="167">
        <f t="shared" si="198"/>
        <v>0</v>
      </c>
      <c r="P144" s="167">
        <f t="shared" si="198"/>
        <v>0</v>
      </c>
      <c r="Q144" s="167">
        <f t="shared" si="198"/>
        <v>0</v>
      </c>
      <c r="R144" s="167">
        <f t="shared" si="198"/>
        <v>0</v>
      </c>
      <c r="S144" s="167">
        <f t="shared" si="198"/>
        <v>0</v>
      </c>
      <c r="T144" s="167">
        <f t="shared" si="198"/>
        <v>0</v>
      </c>
      <c r="U144" s="167">
        <f t="shared" si="198"/>
        <v>0</v>
      </c>
      <c r="V144" s="167">
        <f t="shared" si="198"/>
        <v>0</v>
      </c>
      <c r="W144" s="167">
        <f t="shared" si="198"/>
        <v>0</v>
      </c>
      <c r="X144" s="167">
        <f t="shared" si="198"/>
        <v>0</v>
      </c>
      <c r="Y144" s="167">
        <f t="shared" si="198"/>
        <v>0</v>
      </c>
      <c r="Z144" s="167">
        <f t="shared" si="198"/>
        <v>0</v>
      </c>
      <c r="AA144" s="167">
        <f t="shared" si="198"/>
        <v>0</v>
      </c>
      <c r="AB144" s="167">
        <f t="shared" si="198"/>
        <v>0</v>
      </c>
      <c r="AC144" s="167">
        <f t="shared" si="198"/>
        <v>0</v>
      </c>
      <c r="AD144" s="167">
        <f t="shared" si="198"/>
        <v>0</v>
      </c>
      <c r="AE144" s="167">
        <f t="shared" si="198"/>
        <v>0</v>
      </c>
      <c r="AF144" s="167">
        <f t="shared" si="198"/>
        <v>0</v>
      </c>
      <c r="AG144" s="167">
        <f t="shared" si="198"/>
        <v>0</v>
      </c>
      <c r="AH144" s="167">
        <f t="shared" si="198"/>
        <v>0</v>
      </c>
      <c r="AI144" s="167">
        <f t="shared" si="198"/>
        <v>0</v>
      </c>
      <c r="AJ144" s="167">
        <f t="shared" si="198"/>
        <v>0</v>
      </c>
      <c r="AK144" s="167">
        <f t="shared" si="198"/>
        <v>0</v>
      </c>
      <c r="AL144" s="167">
        <f t="shared" si="198"/>
        <v>0</v>
      </c>
      <c r="AM144" s="167">
        <f t="shared" ref="AM144:BR144" si="199">+AM126-AM143</f>
        <v>0</v>
      </c>
      <c r="AN144" s="167">
        <f t="shared" si="199"/>
        <v>0</v>
      </c>
      <c r="AO144" s="167">
        <f t="shared" si="199"/>
        <v>0</v>
      </c>
      <c r="AP144" s="167">
        <f t="shared" si="199"/>
        <v>0</v>
      </c>
      <c r="AQ144" s="167">
        <f t="shared" si="199"/>
        <v>1239333.2391032439</v>
      </c>
      <c r="AR144" s="167">
        <f t="shared" si="199"/>
        <v>29554.818688960571</v>
      </c>
      <c r="AS144" s="167">
        <f t="shared" si="199"/>
        <v>29872.143654556086</v>
      </c>
      <c r="AT144" s="167">
        <f t="shared" si="199"/>
        <v>30190.14697385269</v>
      </c>
      <c r="AU144" s="167">
        <f t="shared" si="199"/>
        <v>30508.830091638858</v>
      </c>
      <c r="AV144" s="167">
        <f t="shared" si="199"/>
        <v>30828.194455759207</v>
      </c>
      <c r="AW144" s="167">
        <f t="shared" si="199"/>
        <v>31148.241517121634</v>
      </c>
      <c r="AX144" s="167">
        <f t="shared" si="199"/>
        <v>31468.972729705736</v>
      </c>
      <c r="AY144" s="167">
        <f t="shared" si="199"/>
        <v>31790.38955056556</v>
      </c>
      <c r="AZ144" s="167">
        <f t="shared" si="199"/>
        <v>32112.493439840677</v>
      </c>
      <c r="BA144" s="167">
        <f t="shared" si="199"/>
        <v>32435.285860759188</v>
      </c>
      <c r="BB144" s="167">
        <f t="shared" si="199"/>
        <v>32758.768279644544</v>
      </c>
      <c r="BC144" s="167">
        <f t="shared" si="199"/>
        <v>33082.942165923414</v>
      </c>
      <c r="BD144" s="167">
        <f t="shared" si="199"/>
        <v>33407.808992132588</v>
      </c>
      <c r="BE144" s="167">
        <f t="shared" si="199"/>
        <v>33733.370233923182</v>
      </c>
      <c r="BF144" s="167">
        <f t="shared" si="199"/>
        <v>34059.627370069022</v>
      </c>
      <c r="BG144" s="167">
        <f t="shared" si="199"/>
        <v>34386.581882473241</v>
      </c>
      <c r="BH144" s="167">
        <f t="shared" si="199"/>
        <v>34714.235256173881</v>
      </c>
      <c r="BI144" s="167">
        <f t="shared" si="199"/>
        <v>35042.588979350694</v>
      </c>
      <c r="BJ144" s="167">
        <f t="shared" si="199"/>
        <v>35371.644543332986</v>
      </c>
      <c r="BK144" s="167">
        <f t="shared" si="199"/>
        <v>35701.403442604234</v>
      </c>
      <c r="BL144" s="167">
        <f t="shared" si="199"/>
        <v>36031.867174810548</v>
      </c>
      <c r="BM144" s="167">
        <f t="shared" si="199"/>
        <v>36363.037240766993</v>
      </c>
      <c r="BN144" s="167">
        <f t="shared" si="199"/>
        <v>36694.915144462262</v>
      </c>
      <c r="BO144" s="167">
        <f t="shared" si="199"/>
        <v>9887473.8549254145</v>
      </c>
      <c r="BP144" s="167">
        <f t="shared" si="199"/>
        <v>0</v>
      </c>
      <c r="BQ144" s="167">
        <f t="shared" si="199"/>
        <v>4657.349519768909</v>
      </c>
      <c r="BR144" s="167">
        <f t="shared" si="199"/>
        <v>4666.7331207863617</v>
      </c>
      <c r="BS144" s="167">
        <f t="shared" ref="BS144:CX144" si="200">+BS126-BS143</f>
        <v>4676.1356849228578</v>
      </c>
      <c r="BT144" s="167">
        <f t="shared" si="200"/>
        <v>4685.5572507642482</v>
      </c>
      <c r="BU144" s="167">
        <f t="shared" si="200"/>
        <v>4694.9978569751329</v>
      </c>
      <c r="BV144" s="167">
        <f t="shared" si="200"/>
        <v>4704.4575422990056</v>
      </c>
      <c r="BW144" s="167">
        <f t="shared" si="200"/>
        <v>4713.936345558418</v>
      </c>
      <c r="BX144" s="167">
        <f t="shared" si="200"/>
        <v>4723.4343056551224</v>
      </c>
      <c r="BY144" s="167">
        <f t="shared" si="200"/>
        <v>4732.9514615702756</v>
      </c>
      <c r="BZ144" s="167">
        <f t="shared" si="200"/>
        <v>4742.4878523645521</v>
      </c>
      <c r="CA144" s="167">
        <f t="shared" si="200"/>
        <v>4752.0435171783756</v>
      </c>
      <c r="CB144" s="167">
        <f t="shared" si="200"/>
        <v>4761.61849523198</v>
      </c>
      <c r="CC144" s="167">
        <f t="shared" si="200"/>
        <v>4771.2128258256853</v>
      </c>
      <c r="CD144" s="167">
        <f t="shared" si="200"/>
        <v>4780.8265483399637</v>
      </c>
      <c r="CE144" s="167">
        <f t="shared" si="200"/>
        <v>4790.4597022356675</v>
      </c>
      <c r="CF144" s="167">
        <f t="shared" si="200"/>
        <v>4800.1123270541839</v>
      </c>
      <c r="CG144" s="167">
        <f t="shared" si="200"/>
        <v>4809.7844624175596</v>
      </c>
      <c r="CH144" s="167">
        <f t="shared" si="200"/>
        <v>4819.4761480287107</v>
      </c>
      <c r="CI144" s="167">
        <f t="shared" si="200"/>
        <v>4829.1874236715757</v>
      </c>
      <c r="CJ144" s="167">
        <f t="shared" si="200"/>
        <v>4838.9183292112684</v>
      </c>
      <c r="CK144" s="167">
        <f t="shared" si="200"/>
        <v>4848.6689045942503</v>
      </c>
      <c r="CL144" s="167">
        <f t="shared" si="200"/>
        <v>4858.4391898485283</v>
      </c>
      <c r="CM144" s="167">
        <f t="shared" si="200"/>
        <v>4868.2292250837454</v>
      </c>
      <c r="CN144" s="167">
        <f t="shared" si="200"/>
        <v>4878.039050491424</v>
      </c>
      <c r="CO144" s="167">
        <f t="shared" si="200"/>
        <v>4887.868706345108</v>
      </c>
      <c r="CP144" s="167">
        <f t="shared" si="200"/>
        <v>4897.7182330005071</v>
      </c>
      <c r="CQ144" s="167">
        <f t="shared" si="200"/>
        <v>4907.5876708957112</v>
      </c>
      <c r="CR144" s="167">
        <f t="shared" si="200"/>
        <v>4917.4770605512877</v>
      </c>
      <c r="CS144" s="167">
        <f t="shared" si="200"/>
        <v>4927.3864425705542</v>
      </c>
      <c r="CT144" s="167">
        <f t="shared" si="200"/>
        <v>4937.3158576396299</v>
      </c>
      <c r="CU144" s="167">
        <f t="shared" si="200"/>
        <v>4947.2653465277017</v>
      </c>
      <c r="CV144" s="167">
        <f t="shared" si="200"/>
        <v>4957.2349500871278</v>
      </c>
      <c r="CW144" s="167">
        <f t="shared" si="200"/>
        <v>4967.2247092536772</v>
      </c>
      <c r="CX144" s="167">
        <f t="shared" si="200"/>
        <v>4977.2346650466025</v>
      </c>
      <c r="CY144" s="167">
        <f t="shared" ref="CY144:ED144" si="201">+CY126-CY143</f>
        <v>4987.2648585689012</v>
      </c>
      <c r="CZ144" s="167">
        <f t="shared" si="201"/>
        <v>4997.3153310074495</v>
      </c>
      <c r="DA144" s="167">
        <f t="shared" si="201"/>
        <v>5007.3861236331795</v>
      </c>
      <c r="DB144" s="167">
        <f t="shared" si="201"/>
        <v>5017.4772778012157</v>
      </c>
      <c r="DC144" s="167">
        <f t="shared" si="201"/>
        <v>5027.5888349511406</v>
      </c>
      <c r="DD144" s="167">
        <f t="shared" si="201"/>
        <v>5037.7208366070327</v>
      </c>
      <c r="DE144" s="167">
        <f t="shared" si="201"/>
        <v>5047.8733243777697</v>
      </c>
      <c r="DF144" s="167">
        <f t="shared" si="201"/>
        <v>5058.0463399571127</v>
      </c>
      <c r="DG144" s="167">
        <f t="shared" si="201"/>
        <v>5068.239925123944</v>
      </c>
      <c r="DH144" s="167">
        <f t="shared" si="201"/>
        <v>5078.4541217423721</v>
      </c>
      <c r="DI144" s="167">
        <f t="shared" si="201"/>
        <v>5088.6889717619497</v>
      </c>
      <c r="DJ144" s="167">
        <f t="shared" si="201"/>
        <v>5098.9445172178857</v>
      </c>
      <c r="DK144" s="167">
        <f t="shared" si="201"/>
        <v>5109.2208002311108</v>
      </c>
      <c r="DL144" s="167">
        <f t="shared" si="201"/>
        <v>5119.517863008562</v>
      </c>
      <c r="DM144" s="167">
        <f t="shared" si="201"/>
        <v>5129.8357478433118</v>
      </c>
      <c r="DN144" s="167">
        <f t="shared" si="201"/>
        <v>5140.1744971147291</v>
      </c>
      <c r="DO144" s="167">
        <f t="shared" si="201"/>
        <v>5150.5341532886996</v>
      </c>
      <c r="DP144" s="167">
        <f t="shared" si="201"/>
        <v>5160.9147589177192</v>
      </c>
      <c r="DQ144" s="167">
        <f t="shared" si="201"/>
        <v>5171.3163566412222</v>
      </c>
      <c r="DR144" s="167">
        <f t="shared" si="201"/>
        <v>5181.7389891855764</v>
      </c>
      <c r="DS144" s="167">
        <f t="shared" si="201"/>
        <v>5192.1826993644017</v>
      </c>
      <c r="DT144" s="167">
        <f t="shared" si="201"/>
        <v>5202.6475300786824</v>
      </c>
      <c r="DU144" s="167">
        <f t="shared" si="201"/>
        <v>5213.1335243169597</v>
      </c>
      <c r="DV144" s="167">
        <f t="shared" si="201"/>
        <v>5223.6407251555356</v>
      </c>
      <c r="DW144" s="167">
        <f t="shared" si="201"/>
        <v>5234.1691757585704</v>
      </c>
      <c r="DX144" s="167">
        <f t="shared" si="201"/>
        <v>5244.7189193783679</v>
      </c>
      <c r="DY144" s="167">
        <f t="shared" si="201"/>
        <v>5255.2899993555138</v>
      </c>
      <c r="DZ144" s="167">
        <f t="shared" si="201"/>
        <v>5265.8824591190187</v>
      </c>
      <c r="EA144" s="167">
        <f t="shared" si="201"/>
        <v>5276.4963421865359</v>
      </c>
      <c r="EB144" s="167">
        <f t="shared" si="201"/>
        <v>5287.1316921645603</v>
      </c>
      <c r="EC144" s="167">
        <f t="shared" si="201"/>
        <v>5297.7885527485842</v>
      </c>
      <c r="ED144" s="167">
        <f t="shared" si="201"/>
        <v>5308.4669677232359</v>
      </c>
      <c r="EE144" s="167">
        <f>+EE126-EE143</f>
        <v>5319.1669809625728</v>
      </c>
      <c r="EF144" s="167">
        <f>+EF126-EF143</f>
        <v>5329.8886364301625</v>
      </c>
      <c r="EG144" s="167">
        <f>+EG126-EG143</f>
        <v>5340.63197817933</v>
      </c>
      <c r="EH144" s="167">
        <f>+EH126-EH143</f>
        <v>5351.3970503532537</v>
      </c>
      <c r="EI144" s="167">
        <f>+EI126-EI143</f>
        <v>5362.183897185294</v>
      </c>
      <c r="EJ144" s="24"/>
      <c r="EK144" s="24"/>
      <c r="EL144" s="24"/>
      <c r="EM144" s="1" t="s">
        <v>178</v>
      </c>
    </row>
    <row r="145" spans="3:143" x14ac:dyDescent="0.45"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1" t="s">
        <v>178</v>
      </c>
    </row>
    <row r="146" spans="3:143" x14ac:dyDescent="0.45">
      <c r="D146" s="74" t="str">
        <f>H$87&amp;" up to "&amp;TEXT(L$87,"0.0%")</f>
        <v>Hurdle 2 up to 20.0%</v>
      </c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  <c r="BJ146" s="167"/>
      <c r="BK146" s="167"/>
      <c r="BL146" s="167"/>
      <c r="BM146" s="167"/>
      <c r="BN146" s="167"/>
      <c r="BO146" s="167"/>
      <c r="BP146" s="167"/>
      <c r="BQ146" s="167"/>
      <c r="BR146" s="167"/>
      <c r="BS146" s="167"/>
      <c r="BT146" s="167"/>
      <c r="BU146" s="167"/>
      <c r="BV146" s="167"/>
      <c r="BW146" s="167"/>
      <c r="BX146" s="167"/>
      <c r="BY146" s="167"/>
      <c r="BZ146" s="167"/>
      <c r="CA146" s="167"/>
      <c r="CB146" s="167"/>
      <c r="CC146" s="167"/>
      <c r="CD146" s="167"/>
      <c r="CE146" s="167"/>
      <c r="CF146" s="167"/>
      <c r="CG146" s="167"/>
      <c r="CH146" s="167"/>
      <c r="CI146" s="167"/>
      <c r="CJ146" s="167"/>
      <c r="CK146" s="167"/>
      <c r="CL146" s="167"/>
      <c r="CM146" s="167"/>
      <c r="CN146" s="167"/>
      <c r="CO146" s="167"/>
      <c r="CP146" s="167"/>
      <c r="CQ146" s="167"/>
      <c r="CR146" s="167"/>
      <c r="CS146" s="167"/>
      <c r="CT146" s="167"/>
      <c r="CU146" s="167"/>
      <c r="CV146" s="167"/>
      <c r="CW146" s="167"/>
      <c r="CX146" s="167"/>
      <c r="CY146" s="167"/>
      <c r="CZ146" s="167"/>
      <c r="DA146" s="167"/>
      <c r="DB146" s="167"/>
      <c r="DC146" s="167"/>
      <c r="DD146" s="167"/>
      <c r="DE146" s="167"/>
      <c r="DF146" s="167"/>
      <c r="DG146" s="167"/>
      <c r="DH146" s="167"/>
      <c r="DI146" s="167"/>
      <c r="DJ146" s="167"/>
      <c r="DK146" s="167"/>
      <c r="DL146" s="167"/>
      <c r="DM146" s="167"/>
      <c r="DN146" s="167"/>
      <c r="DO146" s="167"/>
      <c r="DP146" s="167"/>
      <c r="DQ146" s="167"/>
      <c r="DR146" s="167"/>
      <c r="DS146" s="167"/>
      <c r="DT146" s="167"/>
      <c r="DU146" s="167"/>
      <c r="DV146" s="167"/>
      <c r="DW146" s="167"/>
      <c r="DX146" s="167"/>
      <c r="DY146" s="167"/>
      <c r="DZ146" s="167"/>
      <c r="EA146" s="167"/>
      <c r="EB146" s="167"/>
      <c r="EC146" s="167"/>
      <c r="ED146" s="167"/>
      <c r="EE146" s="167"/>
      <c r="EF146" s="167"/>
      <c r="EG146" s="167"/>
      <c r="EH146" s="167"/>
      <c r="EI146" s="167"/>
      <c r="EJ146" s="24"/>
      <c r="EK146" s="24"/>
      <c r="EL146" s="24"/>
      <c r="EM146" s="1" t="s">
        <v>178</v>
      </c>
    </row>
    <row r="147" spans="3:143" x14ac:dyDescent="0.45">
      <c r="D147" s="1" t="s">
        <v>192</v>
      </c>
      <c r="E147" s="154">
        <f>+$K$87</f>
        <v>0.2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1" t="s">
        <v>178</v>
      </c>
    </row>
    <row r="148" spans="3:143" x14ac:dyDescent="0.45"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1" t="s">
        <v>178</v>
      </c>
    </row>
    <row r="149" spans="3:143" x14ac:dyDescent="0.45">
      <c r="D149" s="1" t="s">
        <v>193</v>
      </c>
      <c r="E149" s="24"/>
      <c r="F149" s="24"/>
      <c r="G149" s="24"/>
      <c r="H149" s="24">
        <f t="shared" ref="H149:AM149" si="202">+G155</f>
        <v>5340556.2753367089</v>
      </c>
      <c r="I149" s="24">
        <f t="shared" si="202"/>
        <v>4850006.4328902904</v>
      </c>
      <c r="J149" s="24">
        <f t="shared" si="202"/>
        <v>4898842.8658884801</v>
      </c>
      <c r="K149" s="24">
        <f t="shared" si="202"/>
        <v>4948624.448783895</v>
      </c>
      <c r="L149" s="24">
        <f t="shared" si="202"/>
        <v>4996879.6024830993</v>
      </c>
      <c r="M149" s="24">
        <f t="shared" si="202"/>
        <v>4980997.0952964127</v>
      </c>
      <c r="N149" s="24">
        <f t="shared" si="202"/>
        <v>4998974.246067198</v>
      </c>
      <c r="O149" s="24">
        <f t="shared" si="202"/>
        <v>5044596.5439557415</v>
      </c>
      <c r="P149" s="24">
        <f t="shared" si="202"/>
        <v>5092995.7289563362</v>
      </c>
      <c r="Q149" s="24">
        <f t="shared" si="202"/>
        <v>5144251.5869421866</v>
      </c>
      <c r="R149" s="24">
        <f t="shared" si="202"/>
        <v>5176194.6263307128</v>
      </c>
      <c r="S149" s="24">
        <f t="shared" si="202"/>
        <v>5230867.1453376208</v>
      </c>
      <c r="T149" s="24">
        <f t="shared" si="202"/>
        <v>5295864.2839513654</v>
      </c>
      <c r="U149" s="24">
        <f t="shared" si="202"/>
        <v>5365355.0842067739</v>
      </c>
      <c r="V149" s="24">
        <f t="shared" si="202"/>
        <v>5439342.4558959929</v>
      </c>
      <c r="W149" s="24">
        <f t="shared" si="202"/>
        <v>5517317.6779930471</v>
      </c>
      <c r="X149" s="24">
        <f t="shared" si="202"/>
        <v>5598472.0245762058</v>
      </c>
      <c r="Y149" s="24">
        <f t="shared" si="202"/>
        <v>5680859.7667465676</v>
      </c>
      <c r="Z149" s="24">
        <f t="shared" si="202"/>
        <v>5764107.0421022866</v>
      </c>
      <c r="AA149" s="24">
        <f t="shared" si="202"/>
        <v>5849059.4943219926</v>
      </c>
      <c r="AB149" s="24">
        <f t="shared" si="202"/>
        <v>5935391.8658548789</v>
      </c>
      <c r="AC149" s="24">
        <f t="shared" si="202"/>
        <v>6023400.2912697047</v>
      </c>
      <c r="AD149" s="24">
        <f t="shared" si="202"/>
        <v>6107314.626705857</v>
      </c>
      <c r="AE149" s="24">
        <f t="shared" si="202"/>
        <v>6188303.8193583414</v>
      </c>
      <c r="AF149" s="24">
        <f t="shared" si="202"/>
        <v>6240770.1060819309</v>
      </c>
      <c r="AG149" s="24">
        <f t="shared" si="202"/>
        <v>6315454.3787385747</v>
      </c>
      <c r="AH149" s="24">
        <f t="shared" si="202"/>
        <v>6393596.4982786532</v>
      </c>
      <c r="AI149" s="24">
        <f t="shared" si="202"/>
        <v>6471995.1605790183</v>
      </c>
      <c r="AJ149" s="24">
        <f t="shared" si="202"/>
        <v>6544573.4747246839</v>
      </c>
      <c r="AK149" s="24">
        <f t="shared" si="202"/>
        <v>6611213.99088067</v>
      </c>
      <c r="AL149" s="24">
        <f t="shared" si="202"/>
        <v>6671797.3743648492</v>
      </c>
      <c r="AM149" s="24">
        <f t="shared" si="202"/>
        <v>6730883.8783327267</v>
      </c>
      <c r="AN149" s="24">
        <f t="shared" ref="AN149:BS149" si="203">+AM155</f>
        <v>6790608.6731285416</v>
      </c>
      <c r="AO149" s="24">
        <f t="shared" si="203"/>
        <v>6886085.706684255</v>
      </c>
      <c r="AP149" s="24">
        <f t="shared" si="203"/>
        <v>6940640.0868553817</v>
      </c>
      <c r="AQ149" s="24">
        <f t="shared" si="203"/>
        <v>6995761.6619390426</v>
      </c>
      <c r="AR149" s="24">
        <f t="shared" si="203"/>
        <v>0</v>
      </c>
      <c r="AS149" s="24">
        <f t="shared" si="203"/>
        <v>0</v>
      </c>
      <c r="AT149" s="24">
        <f t="shared" si="203"/>
        <v>0</v>
      </c>
      <c r="AU149" s="24">
        <f t="shared" si="203"/>
        <v>0</v>
      </c>
      <c r="AV149" s="24">
        <f t="shared" si="203"/>
        <v>0</v>
      </c>
      <c r="AW149" s="24">
        <f t="shared" si="203"/>
        <v>0</v>
      </c>
      <c r="AX149" s="24">
        <f t="shared" si="203"/>
        <v>0</v>
      </c>
      <c r="AY149" s="24">
        <f t="shared" si="203"/>
        <v>0</v>
      </c>
      <c r="AZ149" s="24">
        <f t="shared" si="203"/>
        <v>0</v>
      </c>
      <c r="BA149" s="24">
        <f t="shared" si="203"/>
        <v>0</v>
      </c>
      <c r="BB149" s="24">
        <f t="shared" si="203"/>
        <v>0</v>
      </c>
      <c r="BC149" s="24">
        <f t="shared" si="203"/>
        <v>0</v>
      </c>
      <c r="BD149" s="24">
        <f t="shared" si="203"/>
        <v>0</v>
      </c>
      <c r="BE149" s="24">
        <f t="shared" si="203"/>
        <v>0</v>
      </c>
      <c r="BF149" s="24">
        <f t="shared" si="203"/>
        <v>0</v>
      </c>
      <c r="BG149" s="24">
        <f t="shared" si="203"/>
        <v>0</v>
      </c>
      <c r="BH149" s="24">
        <f t="shared" si="203"/>
        <v>0</v>
      </c>
      <c r="BI149" s="24">
        <f t="shared" si="203"/>
        <v>0</v>
      </c>
      <c r="BJ149" s="24">
        <f t="shared" si="203"/>
        <v>0</v>
      </c>
      <c r="BK149" s="24">
        <f t="shared" si="203"/>
        <v>0</v>
      </c>
      <c r="BL149" s="24">
        <f t="shared" si="203"/>
        <v>0</v>
      </c>
      <c r="BM149" s="24">
        <f t="shared" si="203"/>
        <v>0</v>
      </c>
      <c r="BN149" s="24">
        <f t="shared" si="203"/>
        <v>0</v>
      </c>
      <c r="BO149" s="24">
        <f t="shared" si="203"/>
        <v>0</v>
      </c>
      <c r="BP149" s="24">
        <f t="shared" si="203"/>
        <v>0</v>
      </c>
      <c r="BQ149" s="24">
        <f t="shared" si="203"/>
        <v>-3912.9077031461611</v>
      </c>
      <c r="BR149" s="24">
        <f t="shared" si="203"/>
        <v>-3920.7914070744559</v>
      </c>
      <c r="BS149" s="24">
        <f t="shared" si="203"/>
        <v>-3928.6910430117737</v>
      </c>
      <c r="BT149" s="24">
        <f t="shared" ref="BT149:CY149" si="204">+BS155</f>
        <v>-3936.6066433763149</v>
      </c>
      <c r="BU149" s="24">
        <f t="shared" si="204"/>
        <v>-3944.5382406524341</v>
      </c>
      <c r="BV149" s="24">
        <f t="shared" si="204"/>
        <v>-3952.4858673907775</v>
      </c>
      <c r="BW149" s="24">
        <f t="shared" si="204"/>
        <v>-3960.4495562084039</v>
      </c>
      <c r="BX149" s="24">
        <f t="shared" si="204"/>
        <v>-3968.4293397889178</v>
      </c>
      <c r="BY149" s="24">
        <f t="shared" si="204"/>
        <v>-3976.4252508826362</v>
      </c>
      <c r="BZ149" s="24">
        <f t="shared" si="204"/>
        <v>-3984.4373223066841</v>
      </c>
      <c r="CA149" s="24">
        <f t="shared" si="204"/>
        <v>-3992.4655869451831</v>
      </c>
      <c r="CB149" s="24">
        <f t="shared" si="204"/>
        <v>-4000.5100777493144</v>
      </c>
      <c r="CC149" s="24">
        <f t="shared" si="204"/>
        <v>-4008.5708277375397</v>
      </c>
      <c r="CD149" s="24">
        <f t="shared" si="204"/>
        <v>-4016.6478699956638</v>
      </c>
      <c r="CE149" s="24">
        <f t="shared" si="204"/>
        <v>-4024.7412376770235</v>
      </c>
      <c r="CF149" s="24">
        <f t="shared" si="204"/>
        <v>-4032.8509640026145</v>
      </c>
      <c r="CG149" s="24">
        <f t="shared" si="204"/>
        <v>-4040.977082261204</v>
      </c>
      <c r="CH149" s="24">
        <f t="shared" si="204"/>
        <v>-4049.1196258094988</v>
      </c>
      <c r="CI149" s="24">
        <f t="shared" si="204"/>
        <v>-4057.2786280722767</v>
      </c>
      <c r="CJ149" s="24">
        <f t="shared" si="204"/>
        <v>-4065.4541225425164</v>
      </c>
      <c r="CK149" s="24">
        <f t="shared" si="204"/>
        <v>-4073.6461427815457</v>
      </c>
      <c r="CL149" s="24">
        <f t="shared" si="204"/>
        <v>-4081.8547224191971</v>
      </c>
      <c r="CM149" s="24">
        <f t="shared" si="204"/>
        <v>-4090.0798951538927</v>
      </c>
      <c r="CN149" s="24">
        <f t="shared" si="204"/>
        <v>-4098.321694752849</v>
      </c>
      <c r="CO149" s="24">
        <f t="shared" si="204"/>
        <v>-4106.5801550521865</v>
      </c>
      <c r="CP149" s="24">
        <f t="shared" si="204"/>
        <v>-4114.8553099570654</v>
      </c>
      <c r="CQ149" s="24">
        <f t="shared" si="204"/>
        <v>-4123.1471934418578</v>
      </c>
      <c r="CR149" s="24">
        <f t="shared" si="204"/>
        <v>-4131.4558395502218</v>
      </c>
      <c r="CS149" s="24">
        <f t="shared" si="204"/>
        <v>-4139.7812823953454</v>
      </c>
      <c r="CT149" s="24">
        <f t="shared" si="204"/>
        <v>-4148.1235561599833</v>
      </c>
      <c r="CU149" s="24">
        <f t="shared" si="204"/>
        <v>-4156.4826950966808</v>
      </c>
      <c r="CV149" s="24">
        <f t="shared" si="204"/>
        <v>-4164.8587335278553</v>
      </c>
      <c r="CW149" s="24">
        <f t="shared" si="204"/>
        <v>-4173.2517058460044</v>
      </c>
      <c r="CX149" s="24">
        <f t="shared" si="204"/>
        <v>-4181.6616465137658</v>
      </c>
      <c r="CY149" s="24">
        <f t="shared" si="204"/>
        <v>-4190.0885900641406</v>
      </c>
      <c r="CZ149" s="24">
        <f t="shared" ref="CZ149:EI149" si="205">+CY155</f>
        <v>-4198.5325711005917</v>
      </c>
      <c r="DA149" s="24">
        <f t="shared" si="205"/>
        <v>-4206.993624297208</v>
      </c>
      <c r="DB149" s="24">
        <f t="shared" si="205"/>
        <v>-4215.4717843988165</v>
      </c>
      <c r="DC149" s="24">
        <f t="shared" si="205"/>
        <v>-4223.9670862211924</v>
      </c>
      <c r="DD149" s="24">
        <f t="shared" si="205"/>
        <v>-4232.4795646511129</v>
      </c>
      <c r="DE149" s="24">
        <f t="shared" si="205"/>
        <v>-4241.0092546465885</v>
      </c>
      <c r="DF149" s="24">
        <f t="shared" si="205"/>
        <v>-4249.5561912369567</v>
      </c>
      <c r="DG149" s="24">
        <f t="shared" si="205"/>
        <v>-4258.1204095230569</v>
      </c>
      <c r="DH149" s="24">
        <f t="shared" si="205"/>
        <v>-4266.7019446773438</v>
      </c>
      <c r="DI149" s="24">
        <f t="shared" si="205"/>
        <v>-4275.3008319440532</v>
      </c>
      <c r="DJ149" s="24">
        <f t="shared" si="205"/>
        <v>-4283.9171066393837</v>
      </c>
      <c r="DK149" s="24">
        <f t="shared" si="205"/>
        <v>-4292.5508041515595</v>
      </c>
      <c r="DL149" s="24">
        <f t="shared" si="205"/>
        <v>-4301.2019599410569</v>
      </c>
      <c r="DM149" s="24">
        <f t="shared" si="205"/>
        <v>-4309.8706095407279</v>
      </c>
      <c r="DN149" s="24">
        <f t="shared" si="205"/>
        <v>-4318.5567885559194</v>
      </c>
      <c r="DO149" s="24">
        <f t="shared" si="205"/>
        <v>-4327.2605326646672</v>
      </c>
      <c r="DP149" s="24">
        <f t="shared" si="205"/>
        <v>-4335.9818776177781</v>
      </c>
      <c r="DQ149" s="24">
        <f t="shared" si="205"/>
        <v>-4344.7208592390989</v>
      </c>
      <c r="DR149" s="24">
        <f t="shared" si="205"/>
        <v>-4353.4775134255106</v>
      </c>
      <c r="DS149" s="24">
        <f t="shared" si="205"/>
        <v>-4362.251876147202</v>
      </c>
      <c r="DT149" s="24">
        <f t="shared" si="205"/>
        <v>-4371.0439834477629</v>
      </c>
      <c r="DU149" s="24">
        <f t="shared" si="205"/>
        <v>-4379.8538714443484</v>
      </c>
      <c r="DV149" s="24">
        <f t="shared" si="205"/>
        <v>-4388.6815763278346</v>
      </c>
      <c r="DW149" s="24">
        <f t="shared" si="205"/>
        <v>-4397.527134362922</v>
      </c>
      <c r="DX149" s="24">
        <f t="shared" si="205"/>
        <v>-4406.390581888365</v>
      </c>
      <c r="DY149" s="24">
        <f t="shared" si="205"/>
        <v>-4415.2719553170891</v>
      </c>
      <c r="DZ149" s="24">
        <f t="shared" si="205"/>
        <v>-4424.1712911363038</v>
      </c>
      <c r="EA149" s="24">
        <f t="shared" si="205"/>
        <v>-4433.0886259076979</v>
      </c>
      <c r="EB149" s="24">
        <f t="shared" si="205"/>
        <v>-4442.0239962676069</v>
      </c>
      <c r="EC149" s="24">
        <f t="shared" si="205"/>
        <v>-4450.9774389271242</v>
      </c>
      <c r="ED149" s="24">
        <f t="shared" si="205"/>
        <v>-4459.9489906722411</v>
      </c>
      <c r="EE149" s="24">
        <f t="shared" si="205"/>
        <v>-4468.9386883640827</v>
      </c>
      <c r="EF149" s="24">
        <f t="shared" si="205"/>
        <v>-4477.9465689389745</v>
      </c>
      <c r="EG149" s="24">
        <f t="shared" si="205"/>
        <v>-4486.9726694086548</v>
      </c>
      <c r="EH149" s="24">
        <f t="shared" si="205"/>
        <v>-4496.0170268603497</v>
      </c>
      <c r="EI149" s="24">
        <f t="shared" si="205"/>
        <v>-4505.0796784570557</v>
      </c>
      <c r="EJ149" s="24"/>
      <c r="EK149" s="24"/>
      <c r="EL149" s="24"/>
      <c r="EM149" s="1" t="s">
        <v>178</v>
      </c>
    </row>
    <row r="150" spans="3:143" x14ac:dyDescent="0.45">
      <c r="D150" s="1" t="s">
        <v>194</v>
      </c>
      <c r="E150" s="154">
        <f>+L87</f>
        <v>0.2</v>
      </c>
      <c r="F150" s="177">
        <f>+(1+E150)^(1/12)-1</f>
        <v>1.5309470499731193E-2</v>
      </c>
      <c r="G150" s="24">
        <f t="shared" ref="G150:AL150" si="206">+$F$150*G149</f>
        <v>0</v>
      </c>
      <c r="H150" s="24">
        <f t="shared" si="206"/>
        <v>81761.088749421644</v>
      </c>
      <c r="I150" s="24">
        <f t="shared" si="206"/>
        <v>74251.030407840415</v>
      </c>
      <c r="J150" s="24">
        <f t="shared" si="206"/>
        <v>74998.690338138302</v>
      </c>
      <c r="K150" s="24">
        <f t="shared" si="206"/>
        <v>75760.820012905577</v>
      </c>
      <c r="L150" s="24">
        <f t="shared" si="206"/>
        <v>76499.580864923541</v>
      </c>
      <c r="M150" s="24">
        <f t="shared" si="206"/>
        <v>76256.428089687193</v>
      </c>
      <c r="N150" s="24">
        <f t="shared" si="206"/>
        <v>76531.648749081753</v>
      </c>
      <c r="O150" s="24">
        <f t="shared" si="206"/>
        <v>77230.101972736345</v>
      </c>
      <c r="P150" s="24">
        <f t="shared" si="206"/>
        <v>77971.067867713995</v>
      </c>
      <c r="Q150" s="24">
        <f t="shared" si="206"/>
        <v>78755.767913486779</v>
      </c>
      <c r="R150" s="24">
        <f t="shared" si="206"/>
        <v>79244.798932677179</v>
      </c>
      <c r="S150" s="24">
        <f t="shared" si="206"/>
        <v>80081.80624955942</v>
      </c>
      <c r="T150" s="24">
        <f t="shared" si="206"/>
        <v>81076.878025733487</v>
      </c>
      <c r="U150" s="24">
        <f t="shared" si="206"/>
        <v>82140.745382246372</v>
      </c>
      <c r="V150" s="24">
        <f t="shared" si="206"/>
        <v>83273.452866475112</v>
      </c>
      <c r="W150" s="24">
        <f t="shared" si="206"/>
        <v>84467.212228879958</v>
      </c>
      <c r="X150" s="24">
        <f t="shared" si="206"/>
        <v>85709.642303819783</v>
      </c>
      <c r="Y150" s="24">
        <f t="shared" si="206"/>
        <v>86970.955012116407</v>
      </c>
      <c r="Z150" s="24">
        <f t="shared" si="206"/>
        <v>88245.426718357776</v>
      </c>
      <c r="AA150" s="24">
        <f t="shared" si="206"/>
        <v>89546.003779495193</v>
      </c>
      <c r="AB150" s="24">
        <f t="shared" si="206"/>
        <v>90867.706674649744</v>
      </c>
      <c r="AC150" s="24">
        <f t="shared" si="206"/>
        <v>92215.069067265824</v>
      </c>
      <c r="AD150" s="24">
        <f t="shared" si="206"/>
        <v>93499.753110130143</v>
      </c>
      <c r="AE150" s="24">
        <f t="shared" si="206"/>
        <v>94739.654765840402</v>
      </c>
      <c r="AF150" s="24">
        <f t="shared" si="206"/>
        <v>95542.88583466562</v>
      </c>
      <c r="AG150" s="24">
        <f t="shared" si="206"/>
        <v>96686.262503696402</v>
      </c>
      <c r="AH150" s="24">
        <f t="shared" si="206"/>
        <v>97882.576977581703</v>
      </c>
      <c r="AI150" s="24">
        <f t="shared" si="206"/>
        <v>99082.818985287522</v>
      </c>
      <c r="AJ150" s="24">
        <f t="shared" si="206"/>
        <v>100193.95454462081</v>
      </c>
      <c r="AK150" s="24">
        <f t="shared" si="206"/>
        <v>101214.18556079775</v>
      </c>
      <c r="AL150" s="24">
        <f t="shared" si="206"/>
        <v>102141.68508302269</v>
      </c>
      <c r="AM150" s="24">
        <f t="shared" ref="AM150:BR150" si="207">+$F$150*AM149</f>
        <v>103046.26817245115</v>
      </c>
      <c r="AN150" s="24">
        <f t="shared" si="207"/>
        <v>103960.62315648019</v>
      </c>
      <c r="AO150" s="24">
        <f t="shared" si="207"/>
        <v>105422.32598510322</v>
      </c>
      <c r="AP150" s="24">
        <f t="shared" si="207"/>
        <v>106257.5246589642</v>
      </c>
      <c r="AQ150" s="24">
        <f t="shared" si="207"/>
        <v>107101.40678660624</v>
      </c>
      <c r="AR150" s="24">
        <f t="shared" si="207"/>
        <v>0</v>
      </c>
      <c r="AS150" s="24">
        <f t="shared" si="207"/>
        <v>0</v>
      </c>
      <c r="AT150" s="24">
        <f t="shared" si="207"/>
        <v>0</v>
      </c>
      <c r="AU150" s="24">
        <f t="shared" si="207"/>
        <v>0</v>
      </c>
      <c r="AV150" s="24">
        <f t="shared" si="207"/>
        <v>0</v>
      </c>
      <c r="AW150" s="24">
        <f t="shared" si="207"/>
        <v>0</v>
      </c>
      <c r="AX150" s="24">
        <f t="shared" si="207"/>
        <v>0</v>
      </c>
      <c r="AY150" s="24">
        <f t="shared" si="207"/>
        <v>0</v>
      </c>
      <c r="AZ150" s="24">
        <f t="shared" si="207"/>
        <v>0</v>
      </c>
      <c r="BA150" s="24">
        <f t="shared" si="207"/>
        <v>0</v>
      </c>
      <c r="BB150" s="24">
        <f t="shared" si="207"/>
        <v>0</v>
      </c>
      <c r="BC150" s="24">
        <f t="shared" si="207"/>
        <v>0</v>
      </c>
      <c r="BD150" s="24">
        <f t="shared" si="207"/>
        <v>0</v>
      </c>
      <c r="BE150" s="24">
        <f t="shared" si="207"/>
        <v>0</v>
      </c>
      <c r="BF150" s="24">
        <f t="shared" si="207"/>
        <v>0</v>
      </c>
      <c r="BG150" s="24">
        <f t="shared" si="207"/>
        <v>0</v>
      </c>
      <c r="BH150" s="24">
        <f t="shared" si="207"/>
        <v>0</v>
      </c>
      <c r="BI150" s="24">
        <f t="shared" si="207"/>
        <v>0</v>
      </c>
      <c r="BJ150" s="24">
        <f t="shared" si="207"/>
        <v>0</v>
      </c>
      <c r="BK150" s="24">
        <f t="shared" si="207"/>
        <v>0</v>
      </c>
      <c r="BL150" s="24">
        <f t="shared" si="207"/>
        <v>0</v>
      </c>
      <c r="BM150" s="24">
        <f t="shared" si="207"/>
        <v>0</v>
      </c>
      <c r="BN150" s="24">
        <f t="shared" si="207"/>
        <v>0</v>
      </c>
      <c r="BO150" s="24">
        <f t="shared" si="207"/>
        <v>0</v>
      </c>
      <c r="BP150" s="24">
        <f t="shared" si="207"/>
        <v>0</v>
      </c>
      <c r="BQ150" s="24">
        <f t="shared" si="207"/>
        <v>-59.904545049487091</v>
      </c>
      <c r="BR150" s="24">
        <f t="shared" si="207"/>
        <v>-60.025240382205936</v>
      </c>
      <c r="BS150" s="24">
        <f t="shared" ref="BS150:CU150" si="208">+$F$150*BS149</f>
        <v>-60.146179625546921</v>
      </c>
      <c r="BT150" s="24">
        <f t="shared" si="208"/>
        <v>-60.267363275815526</v>
      </c>
      <c r="BU150" s="24">
        <f t="shared" si="208"/>
        <v>-60.388791830330021</v>
      </c>
      <c r="BV150" s="24">
        <f t="shared" si="208"/>
        <v>-60.510465787423563</v>
      </c>
      <c r="BW150" s="24">
        <f t="shared" si="208"/>
        <v>-60.632385646446053</v>
      </c>
      <c r="BX150" s="24">
        <f t="shared" si="208"/>
        <v>-60.754551907766171</v>
      </c>
      <c r="BY150" s="24">
        <f t="shared" si="208"/>
        <v>-60.876965072773928</v>
      </c>
      <c r="BZ150" s="24">
        <f t="shared" si="208"/>
        <v>-60.999625643882126</v>
      </c>
      <c r="CA150" s="24">
        <f t="shared" si="208"/>
        <v>-61.12253412452926</v>
      </c>
      <c r="CB150" s="24">
        <f t="shared" si="208"/>
        <v>-61.24569101918047</v>
      </c>
      <c r="CC150" s="24">
        <f t="shared" si="208"/>
        <v>-61.369096833330914</v>
      </c>
      <c r="CD150" s="24">
        <f t="shared" si="208"/>
        <v>-61.492752073506743</v>
      </c>
      <c r="CE150" s="24">
        <f t="shared" si="208"/>
        <v>-61.616657247268002</v>
      </c>
      <c r="CF150" s="24">
        <f t="shared" si="208"/>
        <v>-61.740812863210529</v>
      </c>
      <c r="CG150" s="24">
        <f t="shared" si="208"/>
        <v>-61.865219430967734</v>
      </c>
      <c r="CH150" s="24">
        <f t="shared" si="208"/>
        <v>-61.989877461213126</v>
      </c>
      <c r="CI150" s="24">
        <f t="shared" si="208"/>
        <v>-62.114787465662367</v>
      </c>
      <c r="CJ150" s="24">
        <f t="shared" si="208"/>
        <v>-62.239949957075218</v>
      </c>
      <c r="CK150" s="24">
        <f t="shared" si="208"/>
        <v>-62.365365449257837</v>
      </c>
      <c r="CL150" s="24">
        <f t="shared" si="208"/>
        <v>-62.491034457065155</v>
      </c>
      <c r="CM150" s="24">
        <f t="shared" si="208"/>
        <v>-62.616957496402172</v>
      </c>
      <c r="CN150" s="24">
        <f t="shared" si="208"/>
        <v>-62.743135084227085</v>
      </c>
      <c r="CO150" s="24">
        <f t="shared" si="208"/>
        <v>-62.869567738552995</v>
      </c>
      <c r="CP150" s="24">
        <f t="shared" si="208"/>
        <v>-62.996255978449945</v>
      </c>
      <c r="CQ150" s="24">
        <f t="shared" si="208"/>
        <v>-63.123200324047581</v>
      </c>
      <c r="CR150" s="24">
        <f t="shared" si="208"/>
        <v>-63.250401296536289</v>
      </c>
      <c r="CS150" s="24">
        <f t="shared" si="208"/>
        <v>-63.377859418170907</v>
      </c>
      <c r="CT150" s="24">
        <f t="shared" si="208"/>
        <v>-63.50557521227131</v>
      </c>
      <c r="CU150" s="24">
        <f t="shared" si="208"/>
        <v>-63.633549203225833</v>
      </c>
      <c r="CV150" s="24">
        <f t="shared" ref="CV150:EI150" si="209">+$F$150*CV149</f>
        <v>-63.761781916492517</v>
      </c>
      <c r="CW150" s="24">
        <f t="shared" si="209"/>
        <v>-63.890273878602279</v>
      </c>
      <c r="CX150" s="24">
        <f t="shared" si="209"/>
        <v>-64.019025617159869</v>
      </c>
      <c r="CY150" s="24">
        <f t="shared" si="209"/>
        <v>-64.148037660847223</v>
      </c>
      <c r="CZ150" s="24">
        <f t="shared" si="209"/>
        <v>-64.277310539425059</v>
      </c>
      <c r="DA150" s="24">
        <f t="shared" si="209"/>
        <v>-64.406844783735323</v>
      </c>
      <c r="DB150" s="24">
        <f t="shared" si="209"/>
        <v>-64.536640925702883</v>
      </c>
      <c r="DC150" s="24">
        <f t="shared" si="209"/>
        <v>-64.666699498338872</v>
      </c>
      <c r="DD150" s="24">
        <f t="shared" si="209"/>
        <v>-64.797021035741338</v>
      </c>
      <c r="DE150" s="24">
        <f t="shared" si="209"/>
        <v>-64.927606073098914</v>
      </c>
      <c r="DF150" s="24">
        <f t="shared" si="209"/>
        <v>-65.058455146692239</v>
      </c>
      <c r="DG150" s="24">
        <f t="shared" si="209"/>
        <v>-65.189568793896541</v>
      </c>
      <c r="DH150" s="24">
        <f t="shared" si="209"/>
        <v>-65.320947553183501</v>
      </c>
      <c r="DI150" s="24">
        <f t="shared" si="209"/>
        <v>-65.452591964123712</v>
      </c>
      <c r="DJ150" s="24">
        <f t="shared" si="209"/>
        <v>-65.58450256738945</v>
      </c>
      <c r="DK150" s="24">
        <f t="shared" si="209"/>
        <v>-65.716679904755708</v>
      </c>
      <c r="DL150" s="24">
        <f t="shared" si="209"/>
        <v>-65.849124519103597</v>
      </c>
      <c r="DM150" s="24">
        <f t="shared" si="209"/>
        <v>-65.981836954422263</v>
      </c>
      <c r="DN150" s="24">
        <f t="shared" si="209"/>
        <v>-66.114817755810719</v>
      </c>
      <c r="DO150" s="24">
        <f t="shared" si="209"/>
        <v>-66.248067469480802</v>
      </c>
      <c r="DP150" s="24">
        <f t="shared" si="209"/>
        <v>-66.381586642758435</v>
      </c>
      <c r="DQ150" s="24">
        <f t="shared" si="209"/>
        <v>-66.515375824087741</v>
      </c>
      <c r="DR150" s="24">
        <f t="shared" si="209"/>
        <v>-66.649435563030963</v>
      </c>
      <c r="DS150" s="24">
        <f t="shared" si="209"/>
        <v>-66.783766410272634</v>
      </c>
      <c r="DT150" s="24">
        <f t="shared" si="209"/>
        <v>-66.918368917621052</v>
      </c>
      <c r="DU150" s="24">
        <f t="shared" si="209"/>
        <v>-67.053243638010713</v>
      </c>
      <c r="DV150" s="24">
        <f t="shared" si="209"/>
        <v>-67.188391125504765</v>
      </c>
      <c r="DW150" s="24">
        <f t="shared" si="209"/>
        <v>-67.323811935296604</v>
      </c>
      <c r="DX150" s="24">
        <f t="shared" si="209"/>
        <v>-67.459506623713281</v>
      </c>
      <c r="DY150" s="24">
        <f t="shared" si="209"/>
        <v>-67.595475748217439</v>
      </c>
      <c r="DZ150" s="24">
        <f t="shared" si="209"/>
        <v>-67.731719867408898</v>
      </c>
      <c r="EA150" s="24">
        <f t="shared" si="209"/>
        <v>-67.868239541027791</v>
      </c>
      <c r="EB150" s="24">
        <f t="shared" si="209"/>
        <v>-68.005035329956982</v>
      </c>
      <c r="EC150" s="24">
        <f t="shared" si="209"/>
        <v>-68.142107796223911</v>
      </c>
      <c r="ED150" s="24">
        <f t="shared" si="209"/>
        <v>-68.279457503002575</v>
      </c>
      <c r="EE150" s="24">
        <f t="shared" si="209"/>
        <v>-68.417085014617328</v>
      </c>
      <c r="EF150" s="24">
        <f t="shared" si="209"/>
        <v>-68.554990896543742</v>
      </c>
      <c r="EG150" s="24">
        <f t="shared" si="209"/>
        <v>-68.693175715411925</v>
      </c>
      <c r="EH150" s="24">
        <f t="shared" si="209"/>
        <v>-68.831640039007667</v>
      </c>
      <c r="EI150" s="24">
        <f t="shared" si="209"/>
        <v>-68.970384436276774</v>
      </c>
      <c r="EJ150" s="24"/>
      <c r="EK150" s="24"/>
      <c r="EL150" s="24"/>
      <c r="EM150" s="1" t="s">
        <v>178</v>
      </c>
    </row>
    <row r="151" spans="3:143" x14ac:dyDescent="0.45">
      <c r="C151" s="47"/>
      <c r="D151" s="1" t="s">
        <v>180</v>
      </c>
      <c r="E151" s="24"/>
      <c r="F151" s="24"/>
      <c r="G151" s="24">
        <f t="shared" ref="G151:AL151" si="210">MIN(G114,0)</f>
        <v>-5340556.2753367089</v>
      </c>
      <c r="H151" s="24">
        <f t="shared" si="210"/>
        <v>-572310.93119583989</v>
      </c>
      <c r="I151" s="24">
        <f t="shared" si="210"/>
        <v>-25414.597409650549</v>
      </c>
      <c r="J151" s="24">
        <f t="shared" si="210"/>
        <v>-25217.107442723533</v>
      </c>
      <c r="K151" s="24">
        <f t="shared" si="210"/>
        <v>-27505.666313701633</v>
      </c>
      <c r="L151" s="24">
        <f t="shared" si="210"/>
        <v>-92382.088051610059</v>
      </c>
      <c r="M151" s="24">
        <f t="shared" si="210"/>
        <v>-58279.277318902452</v>
      </c>
      <c r="N151" s="24">
        <f t="shared" si="210"/>
        <v>-30909.350860538416</v>
      </c>
      <c r="O151" s="24">
        <f t="shared" si="210"/>
        <v>-28830.916972141629</v>
      </c>
      <c r="P151" s="24">
        <f t="shared" si="210"/>
        <v>-26715.209881863735</v>
      </c>
      <c r="Q151" s="24">
        <f t="shared" si="210"/>
        <v>-46812.728524960221</v>
      </c>
      <c r="R151" s="24">
        <f t="shared" si="210"/>
        <v>-24572.279925768766</v>
      </c>
      <c r="S151" s="24">
        <f t="shared" si="210"/>
        <v>-15084.667635815664</v>
      </c>
      <c r="T151" s="24">
        <f t="shared" si="210"/>
        <v>-11586.077770324908</v>
      </c>
      <c r="U151" s="24">
        <f t="shared" si="210"/>
        <v>-8153.3736930275918</v>
      </c>
      <c r="V151" s="24">
        <f t="shared" si="210"/>
        <v>-5298.2307694213614</v>
      </c>
      <c r="W151" s="24">
        <f t="shared" si="210"/>
        <v>-3312.8656457211896</v>
      </c>
      <c r="X151" s="24">
        <f t="shared" si="210"/>
        <v>-3321.9001334578256</v>
      </c>
      <c r="Y151" s="24">
        <f t="shared" si="210"/>
        <v>-3723.6796563973567</v>
      </c>
      <c r="Z151" s="24">
        <f t="shared" si="210"/>
        <v>-3292.9744986522755</v>
      </c>
      <c r="AA151" s="24">
        <f t="shared" si="210"/>
        <v>-3213.632246609151</v>
      </c>
      <c r="AB151" s="24">
        <f t="shared" si="210"/>
        <v>0</v>
      </c>
      <c r="AC151" s="24">
        <f t="shared" si="210"/>
        <v>0</v>
      </c>
      <c r="AD151" s="24">
        <f t="shared" si="210"/>
        <v>0</v>
      </c>
      <c r="AE151" s="24">
        <f t="shared" si="210"/>
        <v>-42273.368042250731</v>
      </c>
      <c r="AF151" s="24">
        <f t="shared" si="210"/>
        <v>0</v>
      </c>
      <c r="AG151" s="24">
        <f t="shared" si="210"/>
        <v>0</v>
      </c>
      <c r="AH151" s="24">
        <f t="shared" si="210"/>
        <v>0</v>
      </c>
      <c r="AI151" s="24">
        <f t="shared" si="210"/>
        <v>0</v>
      </c>
      <c r="AJ151" s="24">
        <f t="shared" si="210"/>
        <v>0</v>
      </c>
      <c r="AK151" s="24">
        <f t="shared" si="210"/>
        <v>0</v>
      </c>
      <c r="AL151" s="24">
        <f t="shared" si="210"/>
        <v>0</v>
      </c>
      <c r="AM151" s="24">
        <f t="shared" ref="AM151:BR151" si="211">MIN(AM114,0)</f>
        <v>0</v>
      </c>
      <c r="AN151" s="24">
        <f t="shared" si="211"/>
        <v>0</v>
      </c>
      <c r="AO151" s="24">
        <f t="shared" si="211"/>
        <v>0</v>
      </c>
      <c r="AP151" s="24">
        <f t="shared" si="211"/>
        <v>0</v>
      </c>
      <c r="AQ151" s="24">
        <f t="shared" si="211"/>
        <v>0</v>
      </c>
      <c r="AR151" s="24">
        <f t="shared" si="211"/>
        <v>0</v>
      </c>
      <c r="AS151" s="24">
        <f t="shared" si="211"/>
        <v>0</v>
      </c>
      <c r="AT151" s="24">
        <f t="shared" si="211"/>
        <v>0</v>
      </c>
      <c r="AU151" s="24">
        <f t="shared" si="211"/>
        <v>0</v>
      </c>
      <c r="AV151" s="24">
        <f t="shared" si="211"/>
        <v>0</v>
      </c>
      <c r="AW151" s="24">
        <f t="shared" si="211"/>
        <v>0</v>
      </c>
      <c r="AX151" s="24">
        <f t="shared" si="211"/>
        <v>0</v>
      </c>
      <c r="AY151" s="24">
        <f t="shared" si="211"/>
        <v>0</v>
      </c>
      <c r="AZ151" s="24">
        <f t="shared" si="211"/>
        <v>0</v>
      </c>
      <c r="BA151" s="24">
        <f t="shared" si="211"/>
        <v>0</v>
      </c>
      <c r="BB151" s="24">
        <f t="shared" si="211"/>
        <v>0</v>
      </c>
      <c r="BC151" s="24">
        <f t="shared" si="211"/>
        <v>0</v>
      </c>
      <c r="BD151" s="24">
        <f t="shared" si="211"/>
        <v>0</v>
      </c>
      <c r="BE151" s="24">
        <f t="shared" si="211"/>
        <v>0</v>
      </c>
      <c r="BF151" s="24">
        <f t="shared" si="211"/>
        <v>0</v>
      </c>
      <c r="BG151" s="24">
        <f t="shared" si="211"/>
        <v>0</v>
      </c>
      <c r="BH151" s="24">
        <f t="shared" si="211"/>
        <v>0</v>
      </c>
      <c r="BI151" s="24">
        <f t="shared" si="211"/>
        <v>0</v>
      </c>
      <c r="BJ151" s="24">
        <f t="shared" si="211"/>
        <v>0</v>
      </c>
      <c r="BK151" s="24">
        <f t="shared" si="211"/>
        <v>0</v>
      </c>
      <c r="BL151" s="24">
        <f t="shared" si="211"/>
        <v>0</v>
      </c>
      <c r="BM151" s="24">
        <f t="shared" si="211"/>
        <v>0</v>
      </c>
      <c r="BN151" s="24">
        <f t="shared" si="211"/>
        <v>0</v>
      </c>
      <c r="BO151" s="24">
        <f t="shared" si="211"/>
        <v>0</v>
      </c>
      <c r="BP151" s="24">
        <f t="shared" si="211"/>
        <v>-3912.9077031461611</v>
      </c>
      <c r="BQ151" s="24">
        <f t="shared" si="211"/>
        <v>-3920.7914070744555</v>
      </c>
      <c r="BR151" s="24">
        <f t="shared" si="211"/>
        <v>-3928.6910430117737</v>
      </c>
      <c r="BS151" s="24">
        <f t="shared" ref="BS151:CX151" si="212">MIN(BS114,0)</f>
        <v>-3936.6066433763149</v>
      </c>
      <c r="BT151" s="24">
        <f t="shared" si="212"/>
        <v>-3944.5382406524341</v>
      </c>
      <c r="BU151" s="24">
        <f t="shared" si="212"/>
        <v>-3952.485867390777</v>
      </c>
      <c r="BV151" s="24">
        <f t="shared" si="212"/>
        <v>-3960.4495562084039</v>
      </c>
      <c r="BW151" s="24">
        <f t="shared" si="212"/>
        <v>-3968.4293397889178</v>
      </c>
      <c r="BX151" s="24">
        <f t="shared" si="212"/>
        <v>-3976.4252508826366</v>
      </c>
      <c r="BY151" s="24">
        <f t="shared" si="212"/>
        <v>-3984.4373223066837</v>
      </c>
      <c r="BZ151" s="24">
        <f t="shared" si="212"/>
        <v>-3992.4655869451831</v>
      </c>
      <c r="CA151" s="24">
        <f t="shared" si="212"/>
        <v>-4000.510077749314</v>
      </c>
      <c r="CB151" s="24">
        <f t="shared" si="212"/>
        <v>-4008.5708277375393</v>
      </c>
      <c r="CC151" s="24">
        <f t="shared" si="212"/>
        <v>-4016.6478699956642</v>
      </c>
      <c r="CD151" s="24">
        <f t="shared" si="212"/>
        <v>-4024.741237677023</v>
      </c>
      <c r="CE151" s="24">
        <f t="shared" si="212"/>
        <v>-4032.850964002615</v>
      </c>
      <c r="CF151" s="24">
        <f t="shared" si="212"/>
        <v>-4040.977082261204</v>
      </c>
      <c r="CG151" s="24">
        <f t="shared" si="212"/>
        <v>-4049.1196258094983</v>
      </c>
      <c r="CH151" s="24">
        <f t="shared" si="212"/>
        <v>-4057.2786280722767</v>
      </c>
      <c r="CI151" s="24">
        <f t="shared" si="212"/>
        <v>-4065.454122542516</v>
      </c>
      <c r="CJ151" s="24">
        <f t="shared" si="212"/>
        <v>-4073.6461427815452</v>
      </c>
      <c r="CK151" s="24">
        <f t="shared" si="212"/>
        <v>-4081.854722419198</v>
      </c>
      <c r="CL151" s="24">
        <f t="shared" si="212"/>
        <v>-4090.0798951538932</v>
      </c>
      <c r="CM151" s="24">
        <f t="shared" si="212"/>
        <v>-4098.321694752849</v>
      </c>
      <c r="CN151" s="24">
        <f t="shared" si="212"/>
        <v>-4106.5801550521874</v>
      </c>
      <c r="CO151" s="24">
        <f t="shared" si="212"/>
        <v>-4114.8553099570663</v>
      </c>
      <c r="CP151" s="24">
        <f t="shared" si="212"/>
        <v>-4123.1471934418569</v>
      </c>
      <c r="CQ151" s="24">
        <f t="shared" si="212"/>
        <v>-4131.4558395502218</v>
      </c>
      <c r="CR151" s="24">
        <f t="shared" si="212"/>
        <v>-4139.7812823953454</v>
      </c>
      <c r="CS151" s="24">
        <f t="shared" si="212"/>
        <v>-4148.1235561599833</v>
      </c>
      <c r="CT151" s="24">
        <f t="shared" si="212"/>
        <v>-4156.4826950966808</v>
      </c>
      <c r="CU151" s="24">
        <f t="shared" si="212"/>
        <v>-4164.8587335278553</v>
      </c>
      <c r="CV151" s="24">
        <f t="shared" si="212"/>
        <v>-4173.2517058460035</v>
      </c>
      <c r="CW151" s="24">
        <f t="shared" si="212"/>
        <v>-4181.6616465137649</v>
      </c>
      <c r="CX151" s="24">
        <f t="shared" si="212"/>
        <v>-4190.0885900641406</v>
      </c>
      <c r="CY151" s="24">
        <f t="shared" ref="CY151:EI151" si="213">MIN(CY114,0)</f>
        <v>-4198.5325711005908</v>
      </c>
      <c r="CZ151" s="24">
        <f t="shared" si="213"/>
        <v>-4206.993624297208</v>
      </c>
      <c r="DA151" s="24">
        <f t="shared" si="213"/>
        <v>-4215.4717843988155</v>
      </c>
      <c r="DB151" s="24">
        <f t="shared" si="213"/>
        <v>-4223.9670862211933</v>
      </c>
      <c r="DC151" s="24">
        <f t="shared" si="213"/>
        <v>-4232.479564651112</v>
      </c>
      <c r="DD151" s="24">
        <f t="shared" si="213"/>
        <v>-4241.0092546465885</v>
      </c>
      <c r="DE151" s="24">
        <f t="shared" si="213"/>
        <v>-4249.5561912369558</v>
      </c>
      <c r="DF151" s="24">
        <f t="shared" si="213"/>
        <v>-4258.1204095230578</v>
      </c>
      <c r="DG151" s="24">
        <f t="shared" si="213"/>
        <v>-4266.7019446773438</v>
      </c>
      <c r="DH151" s="24">
        <f t="shared" si="213"/>
        <v>-4275.3008319440523</v>
      </c>
      <c r="DI151" s="24">
        <f t="shared" si="213"/>
        <v>-4283.9171066393837</v>
      </c>
      <c r="DJ151" s="24">
        <f t="shared" si="213"/>
        <v>-4292.5508041515595</v>
      </c>
      <c r="DK151" s="24">
        <f t="shared" si="213"/>
        <v>-4301.2019599410578</v>
      </c>
      <c r="DL151" s="24">
        <f t="shared" si="213"/>
        <v>-4309.8706095407288</v>
      </c>
      <c r="DM151" s="24">
        <f t="shared" si="213"/>
        <v>-4318.5567885559194</v>
      </c>
      <c r="DN151" s="24">
        <f t="shared" si="213"/>
        <v>-4327.2605326646681</v>
      </c>
      <c r="DO151" s="24">
        <f t="shared" si="213"/>
        <v>-4335.981877617779</v>
      </c>
      <c r="DP151" s="24">
        <f t="shared" si="213"/>
        <v>-4344.7208592390989</v>
      </c>
      <c r="DQ151" s="24">
        <f t="shared" si="213"/>
        <v>-4353.4775134255106</v>
      </c>
      <c r="DR151" s="24">
        <f t="shared" si="213"/>
        <v>-4362.2518761472011</v>
      </c>
      <c r="DS151" s="24">
        <f t="shared" si="213"/>
        <v>-4371.0439834477629</v>
      </c>
      <c r="DT151" s="24">
        <f t="shared" si="213"/>
        <v>-4379.8538714443475</v>
      </c>
      <c r="DU151" s="24">
        <f t="shared" si="213"/>
        <v>-4388.6815763278346</v>
      </c>
      <c r="DV151" s="24">
        <f t="shared" si="213"/>
        <v>-4397.527134362922</v>
      </c>
      <c r="DW151" s="24">
        <f t="shared" si="213"/>
        <v>-4406.390581888365</v>
      </c>
      <c r="DX151" s="24">
        <f t="shared" si="213"/>
        <v>-4415.2719553170891</v>
      </c>
      <c r="DY151" s="24">
        <f t="shared" si="213"/>
        <v>-4424.1712911363029</v>
      </c>
      <c r="DZ151" s="24">
        <f t="shared" si="213"/>
        <v>-4433.0886259076988</v>
      </c>
      <c r="EA151" s="24">
        <f t="shared" si="213"/>
        <v>-4442.0239962676069</v>
      </c>
      <c r="EB151" s="24">
        <f t="shared" si="213"/>
        <v>-4450.9774389271233</v>
      </c>
      <c r="EC151" s="24">
        <f t="shared" si="213"/>
        <v>-4459.9489906722411</v>
      </c>
      <c r="ED151" s="24">
        <f t="shared" si="213"/>
        <v>-4468.9386883640827</v>
      </c>
      <c r="EE151" s="24">
        <f t="shared" si="213"/>
        <v>-4477.9465689389754</v>
      </c>
      <c r="EF151" s="24">
        <f t="shared" si="213"/>
        <v>-4486.9726694086557</v>
      </c>
      <c r="EG151" s="24">
        <f t="shared" si="213"/>
        <v>-4496.0170268603506</v>
      </c>
      <c r="EH151" s="24">
        <f t="shared" si="213"/>
        <v>-4505.0796784570557</v>
      </c>
      <c r="EI151" s="24">
        <f t="shared" si="213"/>
        <v>-4514.160661437556</v>
      </c>
      <c r="EJ151" s="24"/>
      <c r="EK151" s="24"/>
      <c r="EL151" s="24"/>
      <c r="EM151" s="1" t="s">
        <v>178</v>
      </c>
    </row>
    <row r="152" spans="3:143" x14ac:dyDescent="0.45">
      <c r="D152" s="1" t="s">
        <v>195</v>
      </c>
      <c r="E152" s="24"/>
      <c r="F152" s="24"/>
      <c r="G152" s="24"/>
      <c r="H152" s="24">
        <f t="shared" ref="H152:BS152" si="214">H134-H141</f>
        <v>0</v>
      </c>
      <c r="I152" s="24">
        <f t="shared" si="214"/>
        <v>0</v>
      </c>
      <c r="J152" s="24">
        <f t="shared" si="214"/>
        <v>0</v>
      </c>
      <c r="K152" s="24">
        <f t="shared" si="214"/>
        <v>0</v>
      </c>
      <c r="L152" s="24">
        <f t="shared" si="214"/>
        <v>0</v>
      </c>
      <c r="M152" s="24">
        <f t="shared" si="214"/>
        <v>0</v>
      </c>
      <c r="N152" s="24">
        <f t="shared" si="214"/>
        <v>0</v>
      </c>
      <c r="O152" s="24">
        <f t="shared" si="214"/>
        <v>0</v>
      </c>
      <c r="P152" s="24">
        <f t="shared" si="214"/>
        <v>0</v>
      </c>
      <c r="Q152" s="24">
        <f t="shared" si="214"/>
        <v>0</v>
      </c>
      <c r="R152" s="24">
        <f t="shared" si="214"/>
        <v>0</v>
      </c>
      <c r="S152" s="24">
        <f t="shared" si="214"/>
        <v>0</v>
      </c>
      <c r="T152" s="24">
        <f t="shared" si="214"/>
        <v>0</v>
      </c>
      <c r="U152" s="24">
        <f t="shared" si="214"/>
        <v>0</v>
      </c>
      <c r="V152" s="24">
        <f t="shared" si="214"/>
        <v>0</v>
      </c>
      <c r="W152" s="24">
        <f t="shared" si="214"/>
        <v>0</v>
      </c>
      <c r="X152" s="24">
        <f t="shared" si="214"/>
        <v>0</v>
      </c>
      <c r="Y152" s="24">
        <f t="shared" si="214"/>
        <v>0</v>
      </c>
      <c r="Z152" s="24">
        <f t="shared" si="214"/>
        <v>0</v>
      </c>
      <c r="AA152" s="24">
        <f t="shared" si="214"/>
        <v>0</v>
      </c>
      <c r="AB152" s="24">
        <f t="shared" si="214"/>
        <v>-2859.2812598236592</v>
      </c>
      <c r="AC152" s="24">
        <f t="shared" si="214"/>
        <v>-8300.7336311133877</v>
      </c>
      <c r="AD152" s="24">
        <f t="shared" si="214"/>
        <v>-12510.560457646283</v>
      </c>
      <c r="AE152" s="24">
        <f t="shared" si="214"/>
        <v>0</v>
      </c>
      <c r="AF152" s="24">
        <f t="shared" si="214"/>
        <v>-20858.613178022159</v>
      </c>
      <c r="AG152" s="24">
        <f t="shared" si="214"/>
        <v>-18544.142963617662</v>
      </c>
      <c r="AH152" s="24">
        <f t="shared" si="214"/>
        <v>-19483.914677216533</v>
      </c>
      <c r="AI152" s="24">
        <f t="shared" si="214"/>
        <v>-26504.504839621608</v>
      </c>
      <c r="AJ152" s="24">
        <f t="shared" si="214"/>
        <v>-33553.438388634058</v>
      </c>
      <c r="AK152" s="24">
        <f t="shared" si="214"/>
        <v>-40630.802076618398</v>
      </c>
      <c r="AL152" s="24">
        <f t="shared" si="214"/>
        <v>-43055.181115144747</v>
      </c>
      <c r="AM152" s="24">
        <f t="shared" si="214"/>
        <v>-43321.473376636459</v>
      </c>
      <c r="AN152" s="24">
        <f t="shared" si="214"/>
        <v>-8483.589600766787</v>
      </c>
      <c r="AO152" s="24">
        <f t="shared" si="214"/>
        <v>-50867.945813976366</v>
      </c>
      <c r="AP152" s="24">
        <f t="shared" si="214"/>
        <v>-51135.949575303523</v>
      </c>
      <c r="AQ152" s="24">
        <f t="shared" si="214"/>
        <v>-6187534.821275278</v>
      </c>
      <c r="AR152" s="24">
        <f t="shared" si="214"/>
        <v>0</v>
      </c>
      <c r="AS152" s="24">
        <f t="shared" si="214"/>
        <v>0</v>
      </c>
      <c r="AT152" s="24">
        <f t="shared" si="214"/>
        <v>0</v>
      </c>
      <c r="AU152" s="24">
        <f t="shared" si="214"/>
        <v>0</v>
      </c>
      <c r="AV152" s="24">
        <f t="shared" si="214"/>
        <v>0</v>
      </c>
      <c r="AW152" s="24">
        <f t="shared" si="214"/>
        <v>0</v>
      </c>
      <c r="AX152" s="24">
        <f t="shared" si="214"/>
        <v>0</v>
      </c>
      <c r="AY152" s="24">
        <f t="shared" si="214"/>
        <v>0</v>
      </c>
      <c r="AZ152" s="24">
        <f t="shared" si="214"/>
        <v>0</v>
      </c>
      <c r="BA152" s="24">
        <f t="shared" si="214"/>
        <v>0</v>
      </c>
      <c r="BB152" s="24">
        <f t="shared" si="214"/>
        <v>0</v>
      </c>
      <c r="BC152" s="24">
        <f t="shared" si="214"/>
        <v>0</v>
      </c>
      <c r="BD152" s="24">
        <f t="shared" si="214"/>
        <v>0</v>
      </c>
      <c r="BE152" s="24">
        <f t="shared" si="214"/>
        <v>0</v>
      </c>
      <c r="BF152" s="24">
        <f t="shared" si="214"/>
        <v>0</v>
      </c>
      <c r="BG152" s="24">
        <f t="shared" si="214"/>
        <v>0</v>
      </c>
      <c r="BH152" s="24">
        <f t="shared" si="214"/>
        <v>0</v>
      </c>
      <c r="BI152" s="24">
        <f t="shared" si="214"/>
        <v>0</v>
      </c>
      <c r="BJ152" s="24">
        <f t="shared" si="214"/>
        <v>0</v>
      </c>
      <c r="BK152" s="24">
        <f t="shared" si="214"/>
        <v>0</v>
      </c>
      <c r="BL152" s="24">
        <f t="shared" si="214"/>
        <v>0</v>
      </c>
      <c r="BM152" s="24">
        <f t="shared" si="214"/>
        <v>0</v>
      </c>
      <c r="BN152" s="24">
        <f t="shared" si="214"/>
        <v>0</v>
      </c>
      <c r="BO152" s="24">
        <f t="shared" si="214"/>
        <v>0</v>
      </c>
      <c r="BP152" s="24">
        <f t="shared" si="214"/>
        <v>0</v>
      </c>
      <c r="BQ152" s="24">
        <f t="shared" si="214"/>
        <v>3958.7470918035729</v>
      </c>
      <c r="BR152" s="24">
        <f t="shared" si="214"/>
        <v>3966.7231526684072</v>
      </c>
      <c r="BS152" s="24">
        <f t="shared" si="214"/>
        <v>3974.7153321844294</v>
      </c>
      <c r="BT152" s="24">
        <f t="shared" ref="BT152:CH152" si="215">BT134-BT141</f>
        <v>3982.7236631496112</v>
      </c>
      <c r="BU152" s="24">
        <f t="shared" si="215"/>
        <v>3990.7481784288625</v>
      </c>
      <c r="BV152" s="24">
        <f t="shared" si="215"/>
        <v>3998.7889109541547</v>
      </c>
      <c r="BW152" s="24">
        <f t="shared" si="215"/>
        <v>4006.8458937246555</v>
      </c>
      <c r="BX152" s="24">
        <f t="shared" si="215"/>
        <v>4014.9191598068542</v>
      </c>
      <c r="BY152" s="24">
        <f t="shared" si="215"/>
        <v>4023.0087423347345</v>
      </c>
      <c r="BZ152" s="24">
        <f t="shared" si="215"/>
        <v>4031.1146745098695</v>
      </c>
      <c r="CA152" s="24">
        <f t="shared" si="215"/>
        <v>4039.2369896016189</v>
      </c>
      <c r="CB152" s="24">
        <f t="shared" si="215"/>
        <v>4047.3757209471828</v>
      </c>
      <c r="CC152" s="24">
        <f t="shared" si="215"/>
        <v>4055.5309019518322</v>
      </c>
      <c r="CD152" s="24">
        <f t="shared" si="215"/>
        <v>4063.702566088969</v>
      </c>
      <c r="CE152" s="24">
        <f t="shared" si="215"/>
        <v>4071.890746900317</v>
      </c>
      <c r="CF152" s="24">
        <f t="shared" si="215"/>
        <v>4080.0954779960562</v>
      </c>
      <c r="CG152" s="24">
        <f t="shared" si="215"/>
        <v>4088.3167930549257</v>
      </c>
      <c r="CH152" s="24">
        <f t="shared" si="215"/>
        <v>4096.5547258244042</v>
      </c>
      <c r="CI152" s="24">
        <f>CI134-CI141</f>
        <v>4104.8093101208397</v>
      </c>
      <c r="CJ152" s="24">
        <f t="shared" ref="CJ152:CV152" si="216">CJ134-CJ141</f>
        <v>4113.0805798295778</v>
      </c>
      <c r="CK152" s="24">
        <f t="shared" si="216"/>
        <v>4121.3685689051126</v>
      </c>
      <c r="CL152" s="24">
        <f t="shared" si="216"/>
        <v>4129.6733113712489</v>
      </c>
      <c r="CM152" s="24">
        <f t="shared" si="216"/>
        <v>4137.9948413211832</v>
      </c>
      <c r="CN152" s="24">
        <f t="shared" si="216"/>
        <v>4146.3331929177102</v>
      </c>
      <c r="CO152" s="24">
        <f t="shared" si="216"/>
        <v>4154.6884003933419</v>
      </c>
      <c r="CP152" s="24">
        <f t="shared" si="216"/>
        <v>4163.0604980504313</v>
      </c>
      <c r="CQ152" s="24">
        <f t="shared" si="216"/>
        <v>4171.4495202613543</v>
      </c>
      <c r="CR152" s="24">
        <f t="shared" si="216"/>
        <v>4179.8555014685944</v>
      </c>
      <c r="CS152" s="24">
        <f t="shared" si="216"/>
        <v>4188.2784761849707</v>
      </c>
      <c r="CT152" s="24">
        <f t="shared" si="216"/>
        <v>4196.7184789936855</v>
      </c>
      <c r="CU152" s="24">
        <f t="shared" si="216"/>
        <v>4205.175544548546</v>
      </c>
      <c r="CV152" s="24">
        <f t="shared" si="216"/>
        <v>4213.649707574059</v>
      </c>
      <c r="CW152" s="24">
        <f t="shared" ref="CW152:EI152" si="217">CW134-CW141</f>
        <v>4222.1410028656255</v>
      </c>
      <c r="CX152" s="24">
        <f t="shared" si="217"/>
        <v>4230.6494652896117</v>
      </c>
      <c r="CY152" s="24">
        <f t="shared" si="217"/>
        <v>4239.1751297835663</v>
      </c>
      <c r="CZ152" s="24">
        <f t="shared" si="217"/>
        <v>4247.7180313563322</v>
      </c>
      <c r="DA152" s="24">
        <f t="shared" si="217"/>
        <v>4256.2782050882024</v>
      </c>
      <c r="DB152" s="24">
        <f t="shared" si="217"/>
        <v>4264.8556861310335</v>
      </c>
      <c r="DC152" s="24">
        <f t="shared" si="217"/>
        <v>4273.4505097084693</v>
      </c>
      <c r="DD152" s="24">
        <f t="shared" si="217"/>
        <v>4282.0627111159774</v>
      </c>
      <c r="DE152" s="24">
        <f t="shared" si="217"/>
        <v>4290.6923257211038</v>
      </c>
      <c r="DF152" s="24">
        <f t="shared" si="217"/>
        <v>4299.3393889635454</v>
      </c>
      <c r="DG152" s="24">
        <f t="shared" si="217"/>
        <v>4308.0039363553524</v>
      </c>
      <c r="DH152" s="24">
        <f t="shared" si="217"/>
        <v>4316.6860034810161</v>
      </c>
      <c r="DI152" s="24">
        <f t="shared" si="217"/>
        <v>4325.3856259976574</v>
      </c>
      <c r="DJ152" s="24">
        <f t="shared" si="217"/>
        <v>4334.1028396352031</v>
      </c>
      <c r="DK152" s="24">
        <f t="shared" si="217"/>
        <v>4342.8376801964441</v>
      </c>
      <c r="DL152" s="24">
        <f t="shared" si="217"/>
        <v>4351.5901835572777</v>
      </c>
      <c r="DM152" s="24">
        <f t="shared" si="217"/>
        <v>4360.3603856668151</v>
      </c>
      <c r="DN152" s="24">
        <f t="shared" si="217"/>
        <v>4369.1483225475195</v>
      </c>
      <c r="DO152" s="24">
        <f t="shared" si="217"/>
        <v>4377.9540302953947</v>
      </c>
      <c r="DP152" s="24">
        <f t="shared" si="217"/>
        <v>4386.7775450800609</v>
      </c>
      <c r="DQ152" s="24">
        <f t="shared" si="217"/>
        <v>4395.6189031450385</v>
      </c>
      <c r="DR152" s="24">
        <f t="shared" si="217"/>
        <v>4404.4781408077397</v>
      </c>
      <c r="DS152" s="24">
        <f t="shared" si="217"/>
        <v>4413.3552944597413</v>
      </c>
      <c r="DT152" s="24">
        <f t="shared" si="217"/>
        <v>4422.2504005668798</v>
      </c>
      <c r="DU152" s="24">
        <f t="shared" si="217"/>
        <v>4431.1634956694161</v>
      </c>
      <c r="DV152" s="24">
        <f t="shared" si="217"/>
        <v>4440.0946163822055</v>
      </c>
      <c r="DW152" s="24">
        <f t="shared" si="217"/>
        <v>4449.0437993947844</v>
      </c>
      <c r="DX152" s="24">
        <f t="shared" si="217"/>
        <v>4458.0110814716127</v>
      </c>
      <c r="DY152" s="24">
        <f t="shared" si="217"/>
        <v>4466.996499452187</v>
      </c>
      <c r="DZ152" s="24">
        <f t="shared" si="217"/>
        <v>4476.0000902511656</v>
      </c>
      <c r="EA152" s="24">
        <f t="shared" si="217"/>
        <v>4485.0218908585557</v>
      </c>
      <c r="EB152" s="24">
        <f t="shared" si="217"/>
        <v>4494.0619383398762</v>
      </c>
      <c r="EC152" s="24">
        <f t="shared" si="217"/>
        <v>4503.1202698362968</v>
      </c>
      <c r="ED152" s="24">
        <f t="shared" si="217"/>
        <v>4512.1969225647508</v>
      </c>
      <c r="EE152" s="24">
        <f t="shared" si="217"/>
        <v>4521.2919338181864</v>
      </c>
      <c r="EF152" s="24">
        <f t="shared" si="217"/>
        <v>4530.4053409656381</v>
      </c>
      <c r="EG152" s="24">
        <f t="shared" si="217"/>
        <v>4539.5371814524306</v>
      </c>
      <c r="EH152" s="24">
        <f t="shared" si="217"/>
        <v>4548.6874928002653</v>
      </c>
      <c r="EI152" s="24">
        <f t="shared" si="217"/>
        <v>4557.8563126074996</v>
      </c>
      <c r="EJ152" s="24"/>
      <c r="EK152" s="24"/>
      <c r="EL152" s="24"/>
      <c r="EM152" s="1" t="s">
        <v>178</v>
      </c>
    </row>
    <row r="153" spans="3:143" x14ac:dyDescent="0.45">
      <c r="D153" s="1" t="s">
        <v>35</v>
      </c>
      <c r="E153" s="24"/>
      <c r="F153" s="24"/>
      <c r="G153" s="24"/>
      <c r="H153" s="24">
        <f t="shared" ref="H153:BS153" si="218">SUM(H149:H152)</f>
        <v>4850006.4328902904</v>
      </c>
      <c r="I153" s="24">
        <f t="shared" si="218"/>
        <v>4898842.8658884801</v>
      </c>
      <c r="J153" s="24">
        <f t="shared" si="218"/>
        <v>4948624.448783895</v>
      </c>
      <c r="K153" s="24">
        <f t="shared" si="218"/>
        <v>4996879.6024830993</v>
      </c>
      <c r="L153" s="24">
        <f t="shared" si="218"/>
        <v>4980997.0952964127</v>
      </c>
      <c r="M153" s="24">
        <f t="shared" si="218"/>
        <v>4998974.246067198</v>
      </c>
      <c r="N153" s="24">
        <f t="shared" si="218"/>
        <v>5044596.5439557415</v>
      </c>
      <c r="O153" s="24">
        <f t="shared" si="218"/>
        <v>5092995.7289563362</v>
      </c>
      <c r="P153" s="24">
        <f t="shared" si="218"/>
        <v>5144251.5869421866</v>
      </c>
      <c r="Q153" s="24">
        <f t="shared" si="218"/>
        <v>5176194.6263307128</v>
      </c>
      <c r="R153" s="24">
        <f t="shared" si="218"/>
        <v>5230867.1453376208</v>
      </c>
      <c r="S153" s="24">
        <f t="shared" si="218"/>
        <v>5295864.2839513654</v>
      </c>
      <c r="T153" s="24">
        <f t="shared" si="218"/>
        <v>5365355.0842067739</v>
      </c>
      <c r="U153" s="24">
        <f t="shared" si="218"/>
        <v>5439342.4558959929</v>
      </c>
      <c r="V153" s="24">
        <f t="shared" si="218"/>
        <v>5517317.6779930471</v>
      </c>
      <c r="W153" s="24">
        <f t="shared" si="218"/>
        <v>5598472.0245762058</v>
      </c>
      <c r="X153" s="24">
        <f t="shared" si="218"/>
        <v>5680859.7667465676</v>
      </c>
      <c r="Y153" s="24">
        <f t="shared" si="218"/>
        <v>5764107.0421022866</v>
      </c>
      <c r="Z153" s="24">
        <f t="shared" si="218"/>
        <v>5849059.4943219926</v>
      </c>
      <c r="AA153" s="24">
        <f t="shared" si="218"/>
        <v>5935391.8658548789</v>
      </c>
      <c r="AB153" s="24">
        <f t="shared" si="218"/>
        <v>6023400.2912697047</v>
      </c>
      <c r="AC153" s="24">
        <f t="shared" si="218"/>
        <v>6107314.626705857</v>
      </c>
      <c r="AD153" s="24">
        <f t="shared" si="218"/>
        <v>6188303.8193583414</v>
      </c>
      <c r="AE153" s="24">
        <f t="shared" si="218"/>
        <v>6240770.1060819309</v>
      </c>
      <c r="AF153" s="24">
        <f t="shared" si="218"/>
        <v>6315454.3787385747</v>
      </c>
      <c r="AG153" s="24">
        <f t="shared" si="218"/>
        <v>6393596.4982786532</v>
      </c>
      <c r="AH153" s="24">
        <f t="shared" si="218"/>
        <v>6471995.1605790183</v>
      </c>
      <c r="AI153" s="24">
        <f t="shared" si="218"/>
        <v>6544573.4747246839</v>
      </c>
      <c r="AJ153" s="24">
        <f t="shared" si="218"/>
        <v>6611213.99088067</v>
      </c>
      <c r="AK153" s="24">
        <f t="shared" si="218"/>
        <v>6671797.3743648492</v>
      </c>
      <c r="AL153" s="24">
        <f t="shared" si="218"/>
        <v>6730883.8783327267</v>
      </c>
      <c r="AM153" s="24">
        <f t="shared" si="218"/>
        <v>6790608.6731285416</v>
      </c>
      <c r="AN153" s="24">
        <f t="shared" si="218"/>
        <v>6886085.706684255</v>
      </c>
      <c r="AO153" s="24">
        <f t="shared" si="218"/>
        <v>6940640.0868553817</v>
      </c>
      <c r="AP153" s="24">
        <f t="shared" si="218"/>
        <v>6995761.6619390426</v>
      </c>
      <c r="AQ153" s="24">
        <f t="shared" si="218"/>
        <v>915328.24745037127</v>
      </c>
      <c r="AR153" s="24">
        <f t="shared" si="218"/>
        <v>0</v>
      </c>
      <c r="AS153" s="24">
        <f t="shared" si="218"/>
        <v>0</v>
      </c>
      <c r="AT153" s="24">
        <f t="shared" si="218"/>
        <v>0</v>
      </c>
      <c r="AU153" s="24">
        <f t="shared" si="218"/>
        <v>0</v>
      </c>
      <c r="AV153" s="24">
        <f t="shared" si="218"/>
        <v>0</v>
      </c>
      <c r="AW153" s="24">
        <f t="shared" si="218"/>
        <v>0</v>
      </c>
      <c r="AX153" s="24">
        <f t="shared" si="218"/>
        <v>0</v>
      </c>
      <c r="AY153" s="24">
        <f t="shared" si="218"/>
        <v>0</v>
      </c>
      <c r="AZ153" s="24">
        <f t="shared" si="218"/>
        <v>0</v>
      </c>
      <c r="BA153" s="24">
        <f t="shared" si="218"/>
        <v>0</v>
      </c>
      <c r="BB153" s="24">
        <f t="shared" si="218"/>
        <v>0</v>
      </c>
      <c r="BC153" s="24">
        <f t="shared" si="218"/>
        <v>0</v>
      </c>
      <c r="BD153" s="24">
        <f t="shared" si="218"/>
        <v>0</v>
      </c>
      <c r="BE153" s="24">
        <f t="shared" si="218"/>
        <v>0</v>
      </c>
      <c r="BF153" s="24">
        <f t="shared" si="218"/>
        <v>0</v>
      </c>
      <c r="BG153" s="24">
        <f t="shared" si="218"/>
        <v>0</v>
      </c>
      <c r="BH153" s="24">
        <f t="shared" si="218"/>
        <v>0</v>
      </c>
      <c r="BI153" s="24">
        <f t="shared" si="218"/>
        <v>0</v>
      </c>
      <c r="BJ153" s="24">
        <f t="shared" si="218"/>
        <v>0</v>
      </c>
      <c r="BK153" s="24">
        <f t="shared" si="218"/>
        <v>0</v>
      </c>
      <c r="BL153" s="24">
        <f t="shared" si="218"/>
        <v>0</v>
      </c>
      <c r="BM153" s="24">
        <f t="shared" si="218"/>
        <v>0</v>
      </c>
      <c r="BN153" s="24">
        <f t="shared" si="218"/>
        <v>0</v>
      </c>
      <c r="BO153" s="24">
        <f t="shared" si="218"/>
        <v>0</v>
      </c>
      <c r="BP153" s="24">
        <f t="shared" si="218"/>
        <v>-3912.9077031461611</v>
      </c>
      <c r="BQ153" s="24">
        <f t="shared" si="218"/>
        <v>-3934.8565634665315</v>
      </c>
      <c r="BR153" s="24">
        <f t="shared" si="218"/>
        <v>-3942.7845378000284</v>
      </c>
      <c r="BS153" s="24">
        <f t="shared" si="218"/>
        <v>-3950.7285338292063</v>
      </c>
      <c r="BT153" s="24">
        <f t="shared" ref="BT153:CH153" si="219">SUM(BT149:BT152)</f>
        <v>-3958.6885841549533</v>
      </c>
      <c r="BU153" s="24">
        <f t="shared" si="219"/>
        <v>-3966.6647214446789</v>
      </c>
      <c r="BV153" s="24">
        <f t="shared" si="219"/>
        <v>-3974.6569784324502</v>
      </c>
      <c r="BW153" s="24">
        <f t="shared" si="219"/>
        <v>-3982.6653879191122</v>
      </c>
      <c r="BX153" s="24">
        <f t="shared" si="219"/>
        <v>-3990.689982772466</v>
      </c>
      <c r="BY153" s="24">
        <f t="shared" si="219"/>
        <v>-3998.7307959273598</v>
      </c>
      <c r="BZ153" s="24">
        <f t="shared" si="219"/>
        <v>-4006.7878603858799</v>
      </c>
      <c r="CA153" s="24">
        <f t="shared" si="219"/>
        <v>-4014.861209217408</v>
      </c>
      <c r="CB153" s="24">
        <f t="shared" si="219"/>
        <v>-4022.9508755588517</v>
      </c>
      <c r="CC153" s="24">
        <f t="shared" si="219"/>
        <v>-4031.0568926147021</v>
      </c>
      <c r="CD153" s="24">
        <f t="shared" si="219"/>
        <v>-4039.1792936572251</v>
      </c>
      <c r="CE153" s="24">
        <f t="shared" si="219"/>
        <v>-4047.318112026589</v>
      </c>
      <c r="CF153" s="24">
        <f t="shared" si="219"/>
        <v>-4055.4733811309729</v>
      </c>
      <c r="CG153" s="24">
        <f t="shared" si="219"/>
        <v>-4063.6451344467446</v>
      </c>
      <c r="CH153" s="24">
        <f t="shared" si="219"/>
        <v>-4071.8334055185842</v>
      </c>
      <c r="CI153" s="24">
        <f>SUM(CI149:CI152)</f>
        <v>-4080.0382279596161</v>
      </c>
      <c r="CJ153" s="24">
        <f t="shared" ref="CJ153:CV153" si="220">SUM(CJ149:CJ152)</f>
        <v>-4088.2596354515599</v>
      </c>
      <c r="CK153" s="24">
        <f t="shared" si="220"/>
        <v>-4096.4976617448883</v>
      </c>
      <c r="CL153" s="24">
        <f t="shared" si="220"/>
        <v>-4104.7523406589062</v>
      </c>
      <c r="CM153" s="24">
        <f t="shared" si="220"/>
        <v>-4113.0237060819609</v>
      </c>
      <c r="CN153" s="24">
        <f t="shared" si="220"/>
        <v>-4121.3117919715523</v>
      </c>
      <c r="CO153" s="24">
        <f t="shared" si="220"/>
        <v>-4129.616632354463</v>
      </c>
      <c r="CP153" s="24">
        <f t="shared" si="220"/>
        <v>-4137.9382613269418</v>
      </c>
      <c r="CQ153" s="24">
        <f t="shared" si="220"/>
        <v>-4146.2767130547727</v>
      </c>
      <c r="CR153" s="24">
        <f t="shared" si="220"/>
        <v>-4154.6320217735092</v>
      </c>
      <c r="CS153" s="24">
        <f t="shared" si="220"/>
        <v>-4163.0042217885293</v>
      </c>
      <c r="CT153" s="24">
        <f t="shared" si="220"/>
        <v>-4171.3933474752503</v>
      </c>
      <c r="CU153" s="24">
        <f t="shared" si="220"/>
        <v>-4179.7994332792159</v>
      </c>
      <c r="CV153" s="24">
        <f t="shared" si="220"/>
        <v>-4188.2225137162932</v>
      </c>
      <c r="CW153" s="24">
        <f t="shared" ref="CW153:EI153" si="221">SUM(CW149:CW152)</f>
        <v>-4196.6626233727466</v>
      </c>
      <c r="CX153" s="24">
        <f t="shared" si="221"/>
        <v>-4205.1197969054547</v>
      </c>
      <c r="CY153" s="24">
        <f t="shared" si="221"/>
        <v>-4213.594069042013</v>
      </c>
      <c r="CZ153" s="24">
        <f t="shared" si="221"/>
        <v>-4222.0854745808929</v>
      </c>
      <c r="DA153" s="24">
        <f t="shared" si="221"/>
        <v>-4230.5940483915574</v>
      </c>
      <c r="DB153" s="24">
        <f t="shared" si="221"/>
        <v>-4239.1198254146784</v>
      </c>
      <c r="DC153" s="24">
        <f t="shared" si="221"/>
        <v>-4247.6628406621749</v>
      </c>
      <c r="DD153" s="24">
        <f t="shared" si="221"/>
        <v>-4256.2231292174656</v>
      </c>
      <c r="DE153" s="24">
        <f t="shared" si="221"/>
        <v>-4264.8007262355404</v>
      </c>
      <c r="DF153" s="24">
        <f t="shared" si="221"/>
        <v>-4273.39566694316</v>
      </c>
      <c r="DG153" s="24">
        <f t="shared" si="221"/>
        <v>-4282.0079866389451</v>
      </c>
      <c r="DH153" s="24">
        <f t="shared" si="221"/>
        <v>-4290.6377206935649</v>
      </c>
      <c r="DI153" s="24">
        <f t="shared" si="221"/>
        <v>-4299.2849045499033</v>
      </c>
      <c r="DJ153" s="24">
        <f t="shared" si="221"/>
        <v>-4307.94957372313</v>
      </c>
      <c r="DK153" s="24">
        <f t="shared" si="221"/>
        <v>-4316.6317638009277</v>
      </c>
      <c r="DL153" s="24">
        <f t="shared" si="221"/>
        <v>-4325.3315104436106</v>
      </c>
      <c r="DM153" s="24">
        <f t="shared" si="221"/>
        <v>-4334.048849384254</v>
      </c>
      <c r="DN153" s="24">
        <f t="shared" si="221"/>
        <v>-4342.7838164288778</v>
      </c>
      <c r="DO153" s="24">
        <f t="shared" si="221"/>
        <v>-4351.5364474565313</v>
      </c>
      <c r="DP153" s="24">
        <f t="shared" si="221"/>
        <v>-4360.3067784195746</v>
      </c>
      <c r="DQ153" s="24">
        <f t="shared" si="221"/>
        <v>-4369.0948453436586</v>
      </c>
      <c r="DR153" s="24">
        <f t="shared" si="221"/>
        <v>-4377.900684328004</v>
      </c>
      <c r="DS153" s="24">
        <f t="shared" si="221"/>
        <v>-4386.7243315454962</v>
      </c>
      <c r="DT153" s="24">
        <f t="shared" si="221"/>
        <v>-4395.5658232428523</v>
      </c>
      <c r="DU153" s="24">
        <f t="shared" si="221"/>
        <v>-4404.4251957407778</v>
      </c>
      <c r="DV153" s="24">
        <f t="shared" si="221"/>
        <v>-4413.3024854340556</v>
      </c>
      <c r="DW153" s="24">
        <f t="shared" si="221"/>
        <v>-4422.1977287917989</v>
      </c>
      <c r="DX153" s="24">
        <f t="shared" si="221"/>
        <v>-4431.1109623575549</v>
      </c>
      <c r="DY153" s="24">
        <f t="shared" si="221"/>
        <v>-4440.0422227494237</v>
      </c>
      <c r="DZ153" s="24">
        <f t="shared" si="221"/>
        <v>-4448.9915466602451</v>
      </c>
      <c r="EA153" s="24">
        <f t="shared" si="221"/>
        <v>-4457.9589708577769</v>
      </c>
      <c r="EB153" s="24">
        <f t="shared" si="221"/>
        <v>-4466.9445321848116</v>
      </c>
      <c r="EC153" s="24">
        <f t="shared" si="221"/>
        <v>-4475.9482675592926</v>
      </c>
      <c r="ED153" s="24">
        <f t="shared" si="221"/>
        <v>-4484.9702139745759</v>
      </c>
      <c r="EE153" s="24">
        <f t="shared" si="221"/>
        <v>-4494.0104084994882</v>
      </c>
      <c r="EF153" s="24">
        <f t="shared" si="221"/>
        <v>-4503.0688882785353</v>
      </c>
      <c r="EG153" s="24">
        <f t="shared" si="221"/>
        <v>-4512.1456905319856</v>
      </c>
      <c r="EH153" s="24">
        <f t="shared" si="221"/>
        <v>-4521.2408525561477</v>
      </c>
      <c r="EI153" s="24">
        <f t="shared" si="221"/>
        <v>-4530.3544117233896</v>
      </c>
      <c r="EJ153" s="24"/>
      <c r="EK153" s="24"/>
      <c r="EL153" s="24"/>
      <c r="EM153" s="1" t="s">
        <v>178</v>
      </c>
    </row>
    <row r="154" spans="3:143" x14ac:dyDescent="0.45">
      <c r="D154" s="1" t="str">
        <f>H87&amp;" Distributions to LP"</f>
        <v>Hurdle 2 Distributions to LP</v>
      </c>
      <c r="E154" s="24"/>
      <c r="F154" s="24"/>
      <c r="G154" s="24"/>
      <c r="H154" s="24">
        <f t="shared" ref="H154:AM154" si="222">-MIN(SUM(H149:H150,H152),MAX($J$87*H144,0))</f>
        <v>0</v>
      </c>
      <c r="I154" s="24">
        <f t="shared" si="222"/>
        <v>0</v>
      </c>
      <c r="J154" s="24">
        <f t="shared" si="222"/>
        <v>0</v>
      </c>
      <c r="K154" s="24">
        <f t="shared" si="222"/>
        <v>0</v>
      </c>
      <c r="L154" s="24">
        <f t="shared" si="222"/>
        <v>0</v>
      </c>
      <c r="M154" s="24">
        <f t="shared" si="222"/>
        <v>0</v>
      </c>
      <c r="N154" s="24">
        <f t="shared" si="222"/>
        <v>0</v>
      </c>
      <c r="O154" s="24">
        <f t="shared" si="222"/>
        <v>0</v>
      </c>
      <c r="P154" s="24">
        <f t="shared" si="222"/>
        <v>0</v>
      </c>
      <c r="Q154" s="24">
        <f t="shared" si="222"/>
        <v>0</v>
      </c>
      <c r="R154" s="24">
        <f t="shared" si="222"/>
        <v>0</v>
      </c>
      <c r="S154" s="24">
        <f t="shared" si="222"/>
        <v>0</v>
      </c>
      <c r="T154" s="24">
        <f t="shared" si="222"/>
        <v>0</v>
      </c>
      <c r="U154" s="24">
        <f t="shared" si="222"/>
        <v>0</v>
      </c>
      <c r="V154" s="24">
        <f t="shared" si="222"/>
        <v>0</v>
      </c>
      <c r="W154" s="24">
        <f t="shared" si="222"/>
        <v>0</v>
      </c>
      <c r="X154" s="24">
        <f t="shared" si="222"/>
        <v>0</v>
      </c>
      <c r="Y154" s="24">
        <f t="shared" si="222"/>
        <v>0</v>
      </c>
      <c r="Z154" s="24">
        <f t="shared" si="222"/>
        <v>0</v>
      </c>
      <c r="AA154" s="24">
        <f t="shared" si="222"/>
        <v>0</v>
      </c>
      <c r="AB154" s="24">
        <f t="shared" si="222"/>
        <v>0</v>
      </c>
      <c r="AC154" s="24">
        <f t="shared" si="222"/>
        <v>0</v>
      </c>
      <c r="AD154" s="24">
        <f t="shared" si="222"/>
        <v>0</v>
      </c>
      <c r="AE154" s="24">
        <f t="shared" si="222"/>
        <v>0</v>
      </c>
      <c r="AF154" s="24">
        <f t="shared" si="222"/>
        <v>0</v>
      </c>
      <c r="AG154" s="24">
        <f t="shared" si="222"/>
        <v>0</v>
      </c>
      <c r="AH154" s="24">
        <f t="shared" si="222"/>
        <v>0</v>
      </c>
      <c r="AI154" s="24">
        <f t="shared" si="222"/>
        <v>0</v>
      </c>
      <c r="AJ154" s="24">
        <f t="shared" si="222"/>
        <v>0</v>
      </c>
      <c r="AK154" s="24">
        <f t="shared" si="222"/>
        <v>0</v>
      </c>
      <c r="AL154" s="24">
        <f t="shared" si="222"/>
        <v>0</v>
      </c>
      <c r="AM154" s="24">
        <f t="shared" si="222"/>
        <v>0</v>
      </c>
      <c r="AN154" s="24">
        <f t="shared" ref="AN154:BS154" si="223">-MIN(SUM(AN149:AN150,AN152),MAX($J$87*AN144,0))</f>
        <v>0</v>
      </c>
      <c r="AO154" s="24">
        <f t="shared" si="223"/>
        <v>0</v>
      </c>
      <c r="AP154" s="24">
        <f t="shared" si="223"/>
        <v>0</v>
      </c>
      <c r="AQ154" s="24">
        <f t="shared" si="223"/>
        <v>-915328.24745037127</v>
      </c>
      <c r="AR154" s="24">
        <f t="shared" si="223"/>
        <v>0</v>
      </c>
      <c r="AS154" s="24">
        <f t="shared" si="223"/>
        <v>0</v>
      </c>
      <c r="AT154" s="24">
        <f t="shared" si="223"/>
        <v>0</v>
      </c>
      <c r="AU154" s="24">
        <f t="shared" si="223"/>
        <v>0</v>
      </c>
      <c r="AV154" s="24">
        <f t="shared" si="223"/>
        <v>0</v>
      </c>
      <c r="AW154" s="24">
        <f t="shared" si="223"/>
        <v>0</v>
      </c>
      <c r="AX154" s="24">
        <f t="shared" si="223"/>
        <v>0</v>
      </c>
      <c r="AY154" s="24">
        <f t="shared" si="223"/>
        <v>0</v>
      </c>
      <c r="AZ154" s="24">
        <f t="shared" si="223"/>
        <v>0</v>
      </c>
      <c r="BA154" s="24">
        <f t="shared" si="223"/>
        <v>0</v>
      </c>
      <c r="BB154" s="24">
        <f t="shared" si="223"/>
        <v>0</v>
      </c>
      <c r="BC154" s="24">
        <f t="shared" si="223"/>
        <v>0</v>
      </c>
      <c r="BD154" s="24">
        <f t="shared" si="223"/>
        <v>0</v>
      </c>
      <c r="BE154" s="24">
        <f t="shared" si="223"/>
        <v>0</v>
      </c>
      <c r="BF154" s="24">
        <f t="shared" si="223"/>
        <v>0</v>
      </c>
      <c r="BG154" s="24">
        <f t="shared" si="223"/>
        <v>0</v>
      </c>
      <c r="BH154" s="24">
        <f t="shared" si="223"/>
        <v>0</v>
      </c>
      <c r="BI154" s="24">
        <f t="shared" si="223"/>
        <v>0</v>
      </c>
      <c r="BJ154" s="24">
        <f t="shared" si="223"/>
        <v>0</v>
      </c>
      <c r="BK154" s="24">
        <f t="shared" si="223"/>
        <v>0</v>
      </c>
      <c r="BL154" s="24">
        <f t="shared" si="223"/>
        <v>0</v>
      </c>
      <c r="BM154" s="24">
        <f t="shared" si="223"/>
        <v>0</v>
      </c>
      <c r="BN154" s="24">
        <f t="shared" si="223"/>
        <v>0</v>
      </c>
      <c r="BO154" s="24">
        <f t="shared" si="223"/>
        <v>0</v>
      </c>
      <c r="BP154" s="24">
        <f t="shared" si="223"/>
        <v>0</v>
      </c>
      <c r="BQ154" s="24">
        <f t="shared" si="223"/>
        <v>14.065156392075551</v>
      </c>
      <c r="BR154" s="24">
        <f t="shared" si="223"/>
        <v>14.093494788254702</v>
      </c>
      <c r="BS154" s="24">
        <f t="shared" si="223"/>
        <v>14.121890452891421</v>
      </c>
      <c r="BT154" s="24">
        <f t="shared" ref="BT154:CY154" si="224">-MIN(SUM(BT149:BT150,BT152),MAX($J$87*BT144,0))</f>
        <v>14.150343502519263</v>
      </c>
      <c r="BU154" s="24">
        <f t="shared" si="224"/>
        <v>14.178854053901432</v>
      </c>
      <c r="BV154" s="24">
        <f t="shared" si="224"/>
        <v>14.20742222404624</v>
      </c>
      <c r="BW154" s="24">
        <f t="shared" si="224"/>
        <v>14.236048130194376</v>
      </c>
      <c r="BX154" s="24">
        <f t="shared" si="224"/>
        <v>14.264731889829818</v>
      </c>
      <c r="BY154" s="24">
        <f t="shared" si="224"/>
        <v>14.293473620675741</v>
      </c>
      <c r="BZ154" s="24">
        <f t="shared" si="224"/>
        <v>14.32227344069679</v>
      </c>
      <c r="CA154" s="24">
        <f t="shared" si="224"/>
        <v>14.351131468093627</v>
      </c>
      <c r="CB154" s="24">
        <f t="shared" si="224"/>
        <v>14.380047821312019</v>
      </c>
      <c r="CC154" s="24">
        <f t="shared" si="224"/>
        <v>14.409022619038296</v>
      </c>
      <c r="CD154" s="24">
        <f t="shared" si="224"/>
        <v>14.438055980201625</v>
      </c>
      <c r="CE154" s="24">
        <f t="shared" si="224"/>
        <v>14.46714802397446</v>
      </c>
      <c r="CF154" s="24">
        <f t="shared" si="224"/>
        <v>14.496298869768907</v>
      </c>
      <c r="CG154" s="24">
        <f t="shared" si="224"/>
        <v>14.525508637245821</v>
      </c>
      <c r="CH154" s="24">
        <f t="shared" si="224"/>
        <v>14.554777446307526</v>
      </c>
      <c r="CI154" s="24">
        <f t="shared" si="224"/>
        <v>14.584105417099636</v>
      </c>
      <c r="CJ154" s="24">
        <f t="shared" si="224"/>
        <v>14.613492670014239</v>
      </c>
      <c r="CK154" s="24">
        <f t="shared" si="224"/>
        <v>14.642939325691259</v>
      </c>
      <c r="CL154" s="24">
        <f t="shared" si="224"/>
        <v>14.672445505013457</v>
      </c>
      <c r="CM154" s="24">
        <f t="shared" si="224"/>
        <v>14.702011329111883</v>
      </c>
      <c r="CN154" s="24">
        <f t="shared" si="224"/>
        <v>14.731636919365883</v>
      </c>
      <c r="CO154" s="24">
        <f t="shared" si="224"/>
        <v>14.761322397397635</v>
      </c>
      <c r="CP154" s="24">
        <f t="shared" si="224"/>
        <v>14.791067885083976</v>
      </c>
      <c r="CQ154" s="24">
        <f t="shared" si="224"/>
        <v>14.820873504550946</v>
      </c>
      <c r="CR154" s="24">
        <f t="shared" si="224"/>
        <v>14.85073937816378</v>
      </c>
      <c r="CS154" s="24">
        <f t="shared" si="224"/>
        <v>14.880665628546012</v>
      </c>
      <c r="CT154" s="24">
        <f t="shared" si="224"/>
        <v>14.910652378569466</v>
      </c>
      <c r="CU154" s="24">
        <f t="shared" si="224"/>
        <v>14.940699751360626</v>
      </c>
      <c r="CV154" s="24">
        <f t="shared" si="224"/>
        <v>14.970807870288809</v>
      </c>
      <c r="CW154" s="24">
        <f t="shared" si="224"/>
        <v>15.000976858980721</v>
      </c>
      <c r="CX154" s="24">
        <f t="shared" si="224"/>
        <v>15.031206841314088</v>
      </c>
      <c r="CY154" s="24">
        <f t="shared" si="224"/>
        <v>15.061497941421294</v>
      </c>
      <c r="CZ154" s="24">
        <f t="shared" ref="CZ154:EI154" si="225">-MIN(SUM(CZ149:CZ150,CZ152),MAX($J$87*CZ144,0))</f>
        <v>15.091850283684835</v>
      </c>
      <c r="DA154" s="24">
        <f t="shared" si="225"/>
        <v>15.122263992740955</v>
      </c>
      <c r="DB154" s="24">
        <f t="shared" si="225"/>
        <v>15.152739193486013</v>
      </c>
      <c r="DC154" s="24">
        <f t="shared" si="225"/>
        <v>15.183276011061935</v>
      </c>
      <c r="DD154" s="24">
        <f t="shared" si="225"/>
        <v>15.213874570877124</v>
      </c>
      <c r="DE154" s="24">
        <f t="shared" si="225"/>
        <v>15.244534998583731</v>
      </c>
      <c r="DF154" s="24">
        <f t="shared" si="225"/>
        <v>15.275257420103117</v>
      </c>
      <c r="DG154" s="24">
        <f t="shared" si="225"/>
        <v>15.306041961601295</v>
      </c>
      <c r="DH154" s="24">
        <f t="shared" si="225"/>
        <v>15.336888749511672</v>
      </c>
      <c r="DI154" s="24">
        <f t="shared" si="225"/>
        <v>15.367797910519585</v>
      </c>
      <c r="DJ154" s="24">
        <f t="shared" si="225"/>
        <v>15.398769571570483</v>
      </c>
      <c r="DK154" s="24">
        <f t="shared" si="225"/>
        <v>15.429803859870844</v>
      </c>
      <c r="DL154" s="24">
        <f t="shared" si="225"/>
        <v>15.460900902882713</v>
      </c>
      <c r="DM154" s="24">
        <f t="shared" si="225"/>
        <v>15.492060828334616</v>
      </c>
      <c r="DN154" s="24">
        <f t="shared" si="225"/>
        <v>15.523283764210646</v>
      </c>
      <c r="DO154" s="24">
        <f t="shared" si="225"/>
        <v>15.554569838753196</v>
      </c>
      <c r="DP154" s="24">
        <f t="shared" si="225"/>
        <v>15.585919180475685</v>
      </c>
      <c r="DQ154" s="24">
        <f t="shared" si="225"/>
        <v>15.617331918148011</v>
      </c>
      <c r="DR154" s="24">
        <f t="shared" si="225"/>
        <v>15.648808180802007</v>
      </c>
      <c r="DS154" s="24">
        <f t="shared" si="225"/>
        <v>15.680348097733258</v>
      </c>
      <c r="DT154" s="24">
        <f t="shared" si="225"/>
        <v>15.711951798503833</v>
      </c>
      <c r="DU154" s="24">
        <f t="shared" si="225"/>
        <v>15.74361941294319</v>
      </c>
      <c r="DV154" s="24">
        <f t="shared" si="225"/>
        <v>15.775351071133628</v>
      </c>
      <c r="DW154" s="24">
        <f t="shared" si="225"/>
        <v>15.807146903433932</v>
      </c>
      <c r="DX154" s="24">
        <f t="shared" si="225"/>
        <v>15.839007040465731</v>
      </c>
      <c r="DY154" s="24">
        <f t="shared" si="225"/>
        <v>15.870931613119865</v>
      </c>
      <c r="DZ154" s="24">
        <f t="shared" si="225"/>
        <v>15.902920752547288</v>
      </c>
      <c r="EA154" s="24">
        <f t="shared" si="225"/>
        <v>15.934974590169986</v>
      </c>
      <c r="EB154" s="24">
        <f t="shared" si="225"/>
        <v>15.967093257687338</v>
      </c>
      <c r="EC154" s="24">
        <f t="shared" si="225"/>
        <v>15.999276887051565</v>
      </c>
      <c r="ED154" s="24">
        <f t="shared" si="225"/>
        <v>16.03152561049319</v>
      </c>
      <c r="EE154" s="24">
        <f t="shared" si="225"/>
        <v>16.06383956051377</v>
      </c>
      <c r="EF154" s="24">
        <f t="shared" si="225"/>
        <v>16.096218869880431</v>
      </c>
      <c r="EG154" s="24">
        <f t="shared" si="225"/>
        <v>16.128663671635877</v>
      </c>
      <c r="EH154" s="24">
        <f t="shared" si="225"/>
        <v>16.161174099092023</v>
      </c>
      <c r="EI154" s="24">
        <f t="shared" si="225"/>
        <v>16.193750285832721</v>
      </c>
      <c r="EJ154" s="24"/>
      <c r="EK154" s="24"/>
      <c r="EL154" s="24"/>
      <c r="EM154" s="1" t="s">
        <v>178</v>
      </c>
    </row>
    <row r="155" spans="3:143" x14ac:dyDescent="0.45">
      <c r="D155" s="1" t="s">
        <v>196</v>
      </c>
      <c r="E155" s="24"/>
      <c r="F155" s="24"/>
      <c r="G155" s="24">
        <f>-G151</f>
        <v>5340556.2753367089</v>
      </c>
      <c r="H155" s="24">
        <f t="shared" ref="H155:BS155" si="226">SUM(H153:H154)</f>
        <v>4850006.4328902904</v>
      </c>
      <c r="I155" s="24">
        <f t="shared" si="226"/>
        <v>4898842.8658884801</v>
      </c>
      <c r="J155" s="24">
        <f t="shared" si="226"/>
        <v>4948624.448783895</v>
      </c>
      <c r="K155" s="24">
        <f t="shared" si="226"/>
        <v>4996879.6024830993</v>
      </c>
      <c r="L155" s="24">
        <f t="shared" si="226"/>
        <v>4980997.0952964127</v>
      </c>
      <c r="M155" s="24">
        <f t="shared" si="226"/>
        <v>4998974.246067198</v>
      </c>
      <c r="N155" s="24">
        <f t="shared" si="226"/>
        <v>5044596.5439557415</v>
      </c>
      <c r="O155" s="24">
        <f t="shared" si="226"/>
        <v>5092995.7289563362</v>
      </c>
      <c r="P155" s="24">
        <f t="shared" si="226"/>
        <v>5144251.5869421866</v>
      </c>
      <c r="Q155" s="24">
        <f t="shared" si="226"/>
        <v>5176194.6263307128</v>
      </c>
      <c r="R155" s="24">
        <f t="shared" si="226"/>
        <v>5230867.1453376208</v>
      </c>
      <c r="S155" s="24">
        <f t="shared" si="226"/>
        <v>5295864.2839513654</v>
      </c>
      <c r="T155" s="24">
        <f t="shared" si="226"/>
        <v>5365355.0842067739</v>
      </c>
      <c r="U155" s="24">
        <f t="shared" si="226"/>
        <v>5439342.4558959929</v>
      </c>
      <c r="V155" s="24">
        <f t="shared" si="226"/>
        <v>5517317.6779930471</v>
      </c>
      <c r="W155" s="24">
        <f t="shared" si="226"/>
        <v>5598472.0245762058</v>
      </c>
      <c r="X155" s="24">
        <f t="shared" si="226"/>
        <v>5680859.7667465676</v>
      </c>
      <c r="Y155" s="24">
        <f t="shared" si="226"/>
        <v>5764107.0421022866</v>
      </c>
      <c r="Z155" s="24">
        <f t="shared" si="226"/>
        <v>5849059.4943219926</v>
      </c>
      <c r="AA155" s="24">
        <f t="shared" si="226"/>
        <v>5935391.8658548789</v>
      </c>
      <c r="AB155" s="24">
        <f t="shared" si="226"/>
        <v>6023400.2912697047</v>
      </c>
      <c r="AC155" s="24">
        <f t="shared" si="226"/>
        <v>6107314.626705857</v>
      </c>
      <c r="AD155" s="24">
        <f t="shared" si="226"/>
        <v>6188303.8193583414</v>
      </c>
      <c r="AE155" s="24">
        <f t="shared" si="226"/>
        <v>6240770.1060819309</v>
      </c>
      <c r="AF155" s="24">
        <f t="shared" si="226"/>
        <v>6315454.3787385747</v>
      </c>
      <c r="AG155" s="24">
        <f t="shared" si="226"/>
        <v>6393596.4982786532</v>
      </c>
      <c r="AH155" s="24">
        <f t="shared" si="226"/>
        <v>6471995.1605790183</v>
      </c>
      <c r="AI155" s="24">
        <f t="shared" si="226"/>
        <v>6544573.4747246839</v>
      </c>
      <c r="AJ155" s="24">
        <f t="shared" si="226"/>
        <v>6611213.99088067</v>
      </c>
      <c r="AK155" s="24">
        <f t="shared" si="226"/>
        <v>6671797.3743648492</v>
      </c>
      <c r="AL155" s="24">
        <f t="shared" si="226"/>
        <v>6730883.8783327267</v>
      </c>
      <c r="AM155" s="24">
        <f t="shared" si="226"/>
        <v>6790608.6731285416</v>
      </c>
      <c r="AN155" s="24">
        <f t="shared" si="226"/>
        <v>6886085.706684255</v>
      </c>
      <c r="AO155" s="24">
        <f t="shared" si="226"/>
        <v>6940640.0868553817</v>
      </c>
      <c r="AP155" s="24">
        <f t="shared" si="226"/>
        <v>6995761.6619390426</v>
      </c>
      <c r="AQ155" s="24">
        <f t="shared" si="226"/>
        <v>0</v>
      </c>
      <c r="AR155" s="24">
        <f t="shared" si="226"/>
        <v>0</v>
      </c>
      <c r="AS155" s="24">
        <f t="shared" si="226"/>
        <v>0</v>
      </c>
      <c r="AT155" s="24">
        <f t="shared" si="226"/>
        <v>0</v>
      </c>
      <c r="AU155" s="24">
        <f t="shared" si="226"/>
        <v>0</v>
      </c>
      <c r="AV155" s="24">
        <f t="shared" si="226"/>
        <v>0</v>
      </c>
      <c r="AW155" s="24">
        <f t="shared" si="226"/>
        <v>0</v>
      </c>
      <c r="AX155" s="24">
        <f t="shared" si="226"/>
        <v>0</v>
      </c>
      <c r="AY155" s="24">
        <f t="shared" si="226"/>
        <v>0</v>
      </c>
      <c r="AZ155" s="24">
        <f t="shared" si="226"/>
        <v>0</v>
      </c>
      <c r="BA155" s="24">
        <f t="shared" si="226"/>
        <v>0</v>
      </c>
      <c r="BB155" s="24">
        <f t="shared" si="226"/>
        <v>0</v>
      </c>
      <c r="BC155" s="24">
        <f t="shared" si="226"/>
        <v>0</v>
      </c>
      <c r="BD155" s="24">
        <f t="shared" si="226"/>
        <v>0</v>
      </c>
      <c r="BE155" s="24">
        <f t="shared" si="226"/>
        <v>0</v>
      </c>
      <c r="BF155" s="24">
        <f t="shared" si="226"/>
        <v>0</v>
      </c>
      <c r="BG155" s="24">
        <f t="shared" si="226"/>
        <v>0</v>
      </c>
      <c r="BH155" s="24">
        <f t="shared" si="226"/>
        <v>0</v>
      </c>
      <c r="BI155" s="24">
        <f t="shared" si="226"/>
        <v>0</v>
      </c>
      <c r="BJ155" s="24">
        <f t="shared" si="226"/>
        <v>0</v>
      </c>
      <c r="BK155" s="24">
        <f t="shared" si="226"/>
        <v>0</v>
      </c>
      <c r="BL155" s="24">
        <f t="shared" si="226"/>
        <v>0</v>
      </c>
      <c r="BM155" s="24">
        <f t="shared" si="226"/>
        <v>0</v>
      </c>
      <c r="BN155" s="24">
        <f t="shared" si="226"/>
        <v>0</v>
      </c>
      <c r="BO155" s="24">
        <f t="shared" si="226"/>
        <v>0</v>
      </c>
      <c r="BP155" s="24">
        <f t="shared" si="226"/>
        <v>-3912.9077031461611</v>
      </c>
      <c r="BQ155" s="24">
        <f t="shared" si="226"/>
        <v>-3920.7914070744559</v>
      </c>
      <c r="BR155" s="24">
        <f t="shared" si="226"/>
        <v>-3928.6910430117737</v>
      </c>
      <c r="BS155" s="24">
        <f t="shared" si="226"/>
        <v>-3936.6066433763149</v>
      </c>
      <c r="BT155" s="24">
        <f t="shared" ref="BT155:CH155" si="227">SUM(BT153:BT154)</f>
        <v>-3944.5382406524341</v>
      </c>
      <c r="BU155" s="24">
        <f t="shared" si="227"/>
        <v>-3952.4858673907775</v>
      </c>
      <c r="BV155" s="24">
        <f t="shared" si="227"/>
        <v>-3960.4495562084039</v>
      </c>
      <c r="BW155" s="24">
        <f t="shared" si="227"/>
        <v>-3968.4293397889178</v>
      </c>
      <c r="BX155" s="24">
        <f t="shared" si="227"/>
        <v>-3976.4252508826362</v>
      </c>
      <c r="BY155" s="24">
        <f t="shared" si="227"/>
        <v>-3984.4373223066841</v>
      </c>
      <c r="BZ155" s="24">
        <f t="shared" si="227"/>
        <v>-3992.4655869451831</v>
      </c>
      <c r="CA155" s="24">
        <f t="shared" si="227"/>
        <v>-4000.5100777493144</v>
      </c>
      <c r="CB155" s="24">
        <f t="shared" si="227"/>
        <v>-4008.5708277375397</v>
      </c>
      <c r="CC155" s="24">
        <f t="shared" si="227"/>
        <v>-4016.6478699956638</v>
      </c>
      <c r="CD155" s="24">
        <f t="shared" si="227"/>
        <v>-4024.7412376770235</v>
      </c>
      <c r="CE155" s="24">
        <f t="shared" si="227"/>
        <v>-4032.8509640026145</v>
      </c>
      <c r="CF155" s="24">
        <f t="shared" si="227"/>
        <v>-4040.977082261204</v>
      </c>
      <c r="CG155" s="24">
        <f t="shared" si="227"/>
        <v>-4049.1196258094988</v>
      </c>
      <c r="CH155" s="24">
        <f t="shared" si="227"/>
        <v>-4057.2786280722767</v>
      </c>
      <c r="CI155" s="24">
        <f>SUM(CI153:CI154)</f>
        <v>-4065.4541225425164</v>
      </c>
      <c r="CJ155" s="24">
        <f t="shared" ref="CJ155:CV155" si="228">SUM(CJ153:CJ154)</f>
        <v>-4073.6461427815457</v>
      </c>
      <c r="CK155" s="24">
        <f t="shared" si="228"/>
        <v>-4081.8547224191971</v>
      </c>
      <c r="CL155" s="24">
        <f t="shared" si="228"/>
        <v>-4090.0798951538927</v>
      </c>
      <c r="CM155" s="24">
        <f t="shared" si="228"/>
        <v>-4098.321694752849</v>
      </c>
      <c r="CN155" s="24">
        <f t="shared" si="228"/>
        <v>-4106.5801550521865</v>
      </c>
      <c r="CO155" s="24">
        <f t="shared" si="228"/>
        <v>-4114.8553099570654</v>
      </c>
      <c r="CP155" s="24">
        <f t="shared" si="228"/>
        <v>-4123.1471934418578</v>
      </c>
      <c r="CQ155" s="24">
        <f t="shared" si="228"/>
        <v>-4131.4558395502218</v>
      </c>
      <c r="CR155" s="24">
        <f t="shared" si="228"/>
        <v>-4139.7812823953454</v>
      </c>
      <c r="CS155" s="24">
        <f t="shared" si="228"/>
        <v>-4148.1235561599833</v>
      </c>
      <c r="CT155" s="24">
        <f t="shared" si="228"/>
        <v>-4156.4826950966808</v>
      </c>
      <c r="CU155" s="24">
        <f t="shared" si="228"/>
        <v>-4164.8587335278553</v>
      </c>
      <c r="CV155" s="24">
        <f t="shared" si="228"/>
        <v>-4173.2517058460044</v>
      </c>
      <c r="CW155" s="24">
        <f t="shared" ref="CW155:EI155" si="229">SUM(CW153:CW154)</f>
        <v>-4181.6616465137658</v>
      </c>
      <c r="CX155" s="24">
        <f t="shared" si="229"/>
        <v>-4190.0885900641406</v>
      </c>
      <c r="CY155" s="24">
        <f t="shared" si="229"/>
        <v>-4198.5325711005917</v>
      </c>
      <c r="CZ155" s="24">
        <f t="shared" si="229"/>
        <v>-4206.993624297208</v>
      </c>
      <c r="DA155" s="24">
        <f t="shared" si="229"/>
        <v>-4215.4717843988165</v>
      </c>
      <c r="DB155" s="24">
        <f t="shared" si="229"/>
        <v>-4223.9670862211924</v>
      </c>
      <c r="DC155" s="24">
        <f t="shared" si="229"/>
        <v>-4232.4795646511129</v>
      </c>
      <c r="DD155" s="24">
        <f t="shared" si="229"/>
        <v>-4241.0092546465885</v>
      </c>
      <c r="DE155" s="24">
        <f t="shared" si="229"/>
        <v>-4249.5561912369567</v>
      </c>
      <c r="DF155" s="24">
        <f t="shared" si="229"/>
        <v>-4258.1204095230569</v>
      </c>
      <c r="DG155" s="24">
        <f t="shared" si="229"/>
        <v>-4266.7019446773438</v>
      </c>
      <c r="DH155" s="24">
        <f t="shared" si="229"/>
        <v>-4275.3008319440532</v>
      </c>
      <c r="DI155" s="24">
        <f t="shared" si="229"/>
        <v>-4283.9171066393837</v>
      </c>
      <c r="DJ155" s="24">
        <f t="shared" si="229"/>
        <v>-4292.5508041515595</v>
      </c>
      <c r="DK155" s="24">
        <f t="shared" si="229"/>
        <v>-4301.2019599410569</v>
      </c>
      <c r="DL155" s="24">
        <f t="shared" si="229"/>
        <v>-4309.8706095407279</v>
      </c>
      <c r="DM155" s="24">
        <f t="shared" si="229"/>
        <v>-4318.5567885559194</v>
      </c>
      <c r="DN155" s="24">
        <f t="shared" si="229"/>
        <v>-4327.2605326646672</v>
      </c>
      <c r="DO155" s="24">
        <f t="shared" si="229"/>
        <v>-4335.9818776177781</v>
      </c>
      <c r="DP155" s="24">
        <f t="shared" si="229"/>
        <v>-4344.7208592390989</v>
      </c>
      <c r="DQ155" s="24">
        <f t="shared" si="229"/>
        <v>-4353.4775134255106</v>
      </c>
      <c r="DR155" s="24">
        <f t="shared" si="229"/>
        <v>-4362.251876147202</v>
      </c>
      <c r="DS155" s="24">
        <f t="shared" si="229"/>
        <v>-4371.0439834477629</v>
      </c>
      <c r="DT155" s="24">
        <f t="shared" si="229"/>
        <v>-4379.8538714443484</v>
      </c>
      <c r="DU155" s="24">
        <f t="shared" si="229"/>
        <v>-4388.6815763278346</v>
      </c>
      <c r="DV155" s="24">
        <f t="shared" si="229"/>
        <v>-4397.527134362922</v>
      </c>
      <c r="DW155" s="24">
        <f t="shared" si="229"/>
        <v>-4406.390581888365</v>
      </c>
      <c r="DX155" s="24">
        <f t="shared" si="229"/>
        <v>-4415.2719553170891</v>
      </c>
      <c r="DY155" s="24">
        <f t="shared" si="229"/>
        <v>-4424.1712911363038</v>
      </c>
      <c r="DZ155" s="24">
        <f t="shared" si="229"/>
        <v>-4433.0886259076979</v>
      </c>
      <c r="EA155" s="24">
        <f t="shared" si="229"/>
        <v>-4442.0239962676069</v>
      </c>
      <c r="EB155" s="24">
        <f t="shared" si="229"/>
        <v>-4450.9774389271242</v>
      </c>
      <c r="EC155" s="24">
        <f t="shared" si="229"/>
        <v>-4459.9489906722411</v>
      </c>
      <c r="ED155" s="24">
        <f t="shared" si="229"/>
        <v>-4468.9386883640827</v>
      </c>
      <c r="EE155" s="24">
        <f t="shared" si="229"/>
        <v>-4477.9465689389745</v>
      </c>
      <c r="EF155" s="24">
        <f t="shared" si="229"/>
        <v>-4486.9726694086548</v>
      </c>
      <c r="EG155" s="24">
        <f t="shared" si="229"/>
        <v>-4496.0170268603497</v>
      </c>
      <c r="EH155" s="24">
        <f t="shared" si="229"/>
        <v>-4505.0796784570557</v>
      </c>
      <c r="EI155" s="24">
        <f t="shared" si="229"/>
        <v>-4514.1606614375569</v>
      </c>
      <c r="EJ155" s="24"/>
      <c r="EK155" s="24"/>
      <c r="EL155" s="24"/>
      <c r="EM155" s="1" t="s">
        <v>178</v>
      </c>
    </row>
    <row r="156" spans="3:143" x14ac:dyDescent="0.45"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1" t="s">
        <v>178</v>
      </c>
    </row>
    <row r="157" spans="3:143" x14ac:dyDescent="0.45">
      <c r="D157" s="1" t="s">
        <v>182</v>
      </c>
      <c r="E157" s="154">
        <f>XIRR(G157:EI157,$G$2:$EI$2)</f>
        <v>2.9280057549476626E-2</v>
      </c>
      <c r="F157" s="24"/>
      <c r="G157" s="24">
        <f>+G151-G152-G154</f>
        <v>-5340556.2753367089</v>
      </c>
      <c r="H157" s="24">
        <f t="shared" ref="H157:BS157" si="230">+H151-H152-H154</f>
        <v>-572310.93119583989</v>
      </c>
      <c r="I157" s="24">
        <f t="shared" si="230"/>
        <v>-25414.597409650549</v>
      </c>
      <c r="J157" s="24">
        <f t="shared" si="230"/>
        <v>-25217.107442723533</v>
      </c>
      <c r="K157" s="24">
        <f t="shared" si="230"/>
        <v>-27505.666313701633</v>
      </c>
      <c r="L157" s="24">
        <f t="shared" si="230"/>
        <v>-92382.088051610059</v>
      </c>
      <c r="M157" s="24">
        <f t="shared" si="230"/>
        <v>-58279.277318902452</v>
      </c>
      <c r="N157" s="24">
        <f t="shared" si="230"/>
        <v>-30909.350860538416</v>
      </c>
      <c r="O157" s="24">
        <f t="shared" si="230"/>
        <v>-28830.916972141629</v>
      </c>
      <c r="P157" s="24">
        <f t="shared" si="230"/>
        <v>-26715.209881863735</v>
      </c>
      <c r="Q157" s="24">
        <f t="shared" si="230"/>
        <v>-46812.728524960221</v>
      </c>
      <c r="R157" s="24">
        <f t="shared" si="230"/>
        <v>-24572.279925768766</v>
      </c>
      <c r="S157" s="24">
        <f t="shared" si="230"/>
        <v>-15084.667635815664</v>
      </c>
      <c r="T157" s="24">
        <f t="shared" si="230"/>
        <v>-11586.077770324908</v>
      </c>
      <c r="U157" s="24">
        <f t="shared" si="230"/>
        <v>-8153.3736930275918</v>
      </c>
      <c r="V157" s="24">
        <f t="shared" si="230"/>
        <v>-5298.2307694213614</v>
      </c>
      <c r="W157" s="24">
        <f t="shared" si="230"/>
        <v>-3312.8656457211896</v>
      </c>
      <c r="X157" s="24">
        <f t="shared" si="230"/>
        <v>-3321.9001334578256</v>
      </c>
      <c r="Y157" s="24">
        <f t="shared" si="230"/>
        <v>-3723.6796563973567</v>
      </c>
      <c r="Z157" s="24">
        <f t="shared" si="230"/>
        <v>-3292.9744986522755</v>
      </c>
      <c r="AA157" s="24">
        <f t="shared" si="230"/>
        <v>-3213.632246609151</v>
      </c>
      <c r="AB157" s="24">
        <f t="shared" si="230"/>
        <v>2859.2812598236592</v>
      </c>
      <c r="AC157" s="24">
        <f t="shared" si="230"/>
        <v>8300.7336311133877</v>
      </c>
      <c r="AD157" s="24">
        <f t="shared" si="230"/>
        <v>12510.560457646283</v>
      </c>
      <c r="AE157" s="24">
        <f t="shared" si="230"/>
        <v>-42273.368042250731</v>
      </c>
      <c r="AF157" s="24">
        <f t="shared" si="230"/>
        <v>20858.613178022159</v>
      </c>
      <c r="AG157" s="24">
        <f t="shared" si="230"/>
        <v>18544.142963617662</v>
      </c>
      <c r="AH157" s="24">
        <f t="shared" si="230"/>
        <v>19483.914677216533</v>
      </c>
      <c r="AI157" s="24">
        <f t="shared" si="230"/>
        <v>26504.504839621608</v>
      </c>
      <c r="AJ157" s="24">
        <f t="shared" si="230"/>
        <v>33553.438388634058</v>
      </c>
      <c r="AK157" s="24">
        <f t="shared" si="230"/>
        <v>40630.802076618398</v>
      </c>
      <c r="AL157" s="24">
        <f t="shared" si="230"/>
        <v>43055.181115144747</v>
      </c>
      <c r="AM157" s="24">
        <f t="shared" si="230"/>
        <v>43321.473376636459</v>
      </c>
      <c r="AN157" s="24">
        <f t="shared" si="230"/>
        <v>8483.589600766787</v>
      </c>
      <c r="AO157" s="24">
        <f t="shared" si="230"/>
        <v>50867.945813976366</v>
      </c>
      <c r="AP157" s="24">
        <f t="shared" si="230"/>
        <v>51135.949575303523</v>
      </c>
      <c r="AQ157" s="24">
        <f t="shared" si="230"/>
        <v>7102863.0687256493</v>
      </c>
      <c r="AR157" s="24">
        <f t="shared" si="230"/>
        <v>0</v>
      </c>
      <c r="AS157" s="24">
        <f t="shared" si="230"/>
        <v>0</v>
      </c>
      <c r="AT157" s="24">
        <f t="shared" si="230"/>
        <v>0</v>
      </c>
      <c r="AU157" s="24">
        <f t="shared" si="230"/>
        <v>0</v>
      </c>
      <c r="AV157" s="24">
        <f t="shared" si="230"/>
        <v>0</v>
      </c>
      <c r="AW157" s="24">
        <f t="shared" si="230"/>
        <v>0</v>
      </c>
      <c r="AX157" s="24">
        <f t="shared" si="230"/>
        <v>0</v>
      </c>
      <c r="AY157" s="24">
        <f t="shared" si="230"/>
        <v>0</v>
      </c>
      <c r="AZ157" s="24">
        <f t="shared" si="230"/>
        <v>0</v>
      </c>
      <c r="BA157" s="24">
        <f t="shared" si="230"/>
        <v>0</v>
      </c>
      <c r="BB157" s="24">
        <f t="shared" si="230"/>
        <v>0</v>
      </c>
      <c r="BC157" s="24">
        <f t="shared" si="230"/>
        <v>0</v>
      </c>
      <c r="BD157" s="24">
        <f t="shared" si="230"/>
        <v>0</v>
      </c>
      <c r="BE157" s="24">
        <f t="shared" si="230"/>
        <v>0</v>
      </c>
      <c r="BF157" s="24">
        <f t="shared" si="230"/>
        <v>0</v>
      </c>
      <c r="BG157" s="24">
        <f t="shared" si="230"/>
        <v>0</v>
      </c>
      <c r="BH157" s="24">
        <f t="shared" si="230"/>
        <v>0</v>
      </c>
      <c r="BI157" s="24">
        <f t="shared" si="230"/>
        <v>0</v>
      </c>
      <c r="BJ157" s="24">
        <f t="shared" si="230"/>
        <v>0</v>
      </c>
      <c r="BK157" s="24">
        <f t="shared" si="230"/>
        <v>0</v>
      </c>
      <c r="BL157" s="24">
        <f t="shared" si="230"/>
        <v>0</v>
      </c>
      <c r="BM157" s="24">
        <f t="shared" si="230"/>
        <v>0</v>
      </c>
      <c r="BN157" s="24">
        <f t="shared" si="230"/>
        <v>0</v>
      </c>
      <c r="BO157" s="24">
        <f t="shared" si="230"/>
        <v>0</v>
      </c>
      <c r="BP157" s="24">
        <f t="shared" si="230"/>
        <v>-3912.9077031461611</v>
      </c>
      <c r="BQ157" s="24">
        <f t="shared" si="230"/>
        <v>-7893.6036552701034</v>
      </c>
      <c r="BR157" s="24">
        <f t="shared" si="230"/>
        <v>-7909.5076904684356</v>
      </c>
      <c r="BS157" s="24">
        <f t="shared" si="230"/>
        <v>-7925.4438660136357</v>
      </c>
      <c r="BT157" s="24">
        <f t="shared" ref="BT157:CH157" si="231">+BT151-BT152-BT154</f>
        <v>-7941.4122473045645</v>
      </c>
      <c r="BU157" s="24">
        <f t="shared" si="231"/>
        <v>-7957.4128998735414</v>
      </c>
      <c r="BV157" s="24">
        <f t="shared" si="231"/>
        <v>-7973.4458893866049</v>
      </c>
      <c r="BW157" s="24">
        <f t="shared" si="231"/>
        <v>-7989.5112816437686</v>
      </c>
      <c r="BX157" s="24">
        <f t="shared" si="231"/>
        <v>-8005.6091425793211</v>
      </c>
      <c r="BY157" s="24">
        <f t="shared" si="231"/>
        <v>-8021.7395382620944</v>
      </c>
      <c r="BZ157" s="24">
        <f t="shared" si="231"/>
        <v>-8037.9025348957493</v>
      </c>
      <c r="CA157" s="24">
        <f t="shared" si="231"/>
        <v>-8054.098198819026</v>
      </c>
      <c r="CB157" s="24">
        <f t="shared" si="231"/>
        <v>-8070.3265965060345</v>
      </c>
      <c r="CC157" s="24">
        <f t="shared" si="231"/>
        <v>-8086.5877945665343</v>
      </c>
      <c r="CD157" s="24">
        <f t="shared" si="231"/>
        <v>-8102.8818597461941</v>
      </c>
      <c r="CE157" s="24">
        <f t="shared" si="231"/>
        <v>-8119.208858926906</v>
      </c>
      <c r="CF157" s="24">
        <f t="shared" si="231"/>
        <v>-8135.5688591270291</v>
      </c>
      <c r="CG157" s="24">
        <f t="shared" si="231"/>
        <v>-8151.9619275016703</v>
      </c>
      <c r="CH157" s="24">
        <f t="shared" si="231"/>
        <v>-8168.3881313429883</v>
      </c>
      <c r="CI157" s="24">
        <f>+CI151-CI152-CI154</f>
        <v>-8184.8475380804557</v>
      </c>
      <c r="CJ157" s="24">
        <f t="shared" ref="CJ157:CV157" si="232">+CJ151-CJ152-CJ154</f>
        <v>-8201.3402152811377</v>
      </c>
      <c r="CK157" s="24">
        <f t="shared" si="232"/>
        <v>-8217.8662306500009</v>
      </c>
      <c r="CL157" s="24">
        <f t="shared" si="232"/>
        <v>-8234.4256520301551</v>
      </c>
      <c r="CM157" s="24">
        <f t="shared" si="232"/>
        <v>-8251.0185474031423</v>
      </c>
      <c r="CN157" s="24">
        <f t="shared" si="232"/>
        <v>-8267.6449848892626</v>
      </c>
      <c r="CO157" s="24">
        <f t="shared" si="232"/>
        <v>-8284.3050327478049</v>
      </c>
      <c r="CP157" s="24">
        <f t="shared" si="232"/>
        <v>-8300.9987593773712</v>
      </c>
      <c r="CQ157" s="24">
        <f t="shared" si="232"/>
        <v>-8317.726233316127</v>
      </c>
      <c r="CR157" s="24">
        <f t="shared" si="232"/>
        <v>-8334.4875232421036</v>
      </c>
      <c r="CS157" s="24">
        <f t="shared" si="232"/>
        <v>-8351.2826979735</v>
      </c>
      <c r="CT157" s="24">
        <f t="shared" si="232"/>
        <v>-8368.1118264689358</v>
      </c>
      <c r="CU157" s="24">
        <f t="shared" si="232"/>
        <v>-8384.9749778277619</v>
      </c>
      <c r="CV157" s="24">
        <f t="shared" si="232"/>
        <v>-8401.8722212903522</v>
      </c>
      <c r="CW157" s="24">
        <f t="shared" ref="CW157:EI157" si="233">+CW151-CW152-CW154</f>
        <v>-8418.8036262383721</v>
      </c>
      <c r="CX157" s="24">
        <f t="shared" si="233"/>
        <v>-8435.7692621950664</v>
      </c>
      <c r="CY157" s="24">
        <f t="shared" si="233"/>
        <v>-8452.7691988255792</v>
      </c>
      <c r="CZ157" s="24">
        <f t="shared" si="233"/>
        <v>-8469.8035059372251</v>
      </c>
      <c r="DA157" s="24">
        <f t="shared" si="233"/>
        <v>-8486.8722534797598</v>
      </c>
      <c r="DB157" s="24">
        <f t="shared" si="233"/>
        <v>-8503.9755115457119</v>
      </c>
      <c r="DC157" s="24">
        <f t="shared" si="233"/>
        <v>-8521.1133503706442</v>
      </c>
      <c r="DD157" s="24">
        <f t="shared" si="233"/>
        <v>-8538.285840333443</v>
      </c>
      <c r="DE157" s="24">
        <f t="shared" si="233"/>
        <v>-8555.4930519566442</v>
      </c>
      <c r="DF157" s="24">
        <f t="shared" si="233"/>
        <v>-8572.7350559067054</v>
      </c>
      <c r="DG157" s="24">
        <f t="shared" si="233"/>
        <v>-8590.0119229942975</v>
      </c>
      <c r="DH157" s="24">
        <f t="shared" si="233"/>
        <v>-8607.323724174581</v>
      </c>
      <c r="DI157" s="24">
        <f t="shared" si="233"/>
        <v>-8624.6705305475607</v>
      </c>
      <c r="DJ157" s="24">
        <f t="shared" si="233"/>
        <v>-8642.0524133583313</v>
      </c>
      <c r="DK157" s="24">
        <f t="shared" si="233"/>
        <v>-8659.4694439973719</v>
      </c>
      <c r="DL157" s="24">
        <f t="shared" si="233"/>
        <v>-8676.9216940008882</v>
      </c>
      <c r="DM157" s="24">
        <f t="shared" si="233"/>
        <v>-8694.4092350510691</v>
      </c>
      <c r="DN157" s="24">
        <f t="shared" si="233"/>
        <v>-8711.9321389763973</v>
      </c>
      <c r="DO157" s="24">
        <f t="shared" si="233"/>
        <v>-8729.4904777519259</v>
      </c>
      <c r="DP157" s="24">
        <f t="shared" si="233"/>
        <v>-8747.0843234996355</v>
      </c>
      <c r="DQ157" s="24">
        <f t="shared" si="233"/>
        <v>-8764.7137484886953</v>
      </c>
      <c r="DR157" s="24">
        <f t="shared" si="233"/>
        <v>-8782.3788251357437</v>
      </c>
      <c r="DS157" s="24">
        <f t="shared" si="233"/>
        <v>-8800.0796260052375</v>
      </c>
      <c r="DT157" s="24">
        <f t="shared" si="233"/>
        <v>-8817.816223809732</v>
      </c>
      <c r="DU157" s="24">
        <f t="shared" si="233"/>
        <v>-8835.5886914101939</v>
      </c>
      <c r="DV157" s="24">
        <f t="shared" si="233"/>
        <v>-8853.3971018162611</v>
      </c>
      <c r="DW157" s="24">
        <f t="shared" si="233"/>
        <v>-8871.2415281865833</v>
      </c>
      <c r="DX157" s="24">
        <f t="shared" si="233"/>
        <v>-8889.1220438291675</v>
      </c>
      <c r="DY157" s="24">
        <f t="shared" si="233"/>
        <v>-8907.0387222016107</v>
      </c>
      <c r="DZ157" s="24">
        <f t="shared" si="233"/>
        <v>-8924.9916369114126</v>
      </c>
      <c r="EA157" s="24">
        <f t="shared" si="233"/>
        <v>-8942.9808617163326</v>
      </c>
      <c r="EB157" s="24">
        <f t="shared" si="233"/>
        <v>-8961.0064705246878</v>
      </c>
      <c r="EC157" s="24">
        <f t="shared" si="233"/>
        <v>-8979.0685373955894</v>
      </c>
      <c r="ED157" s="24">
        <f t="shared" si="233"/>
        <v>-8997.1671365393267</v>
      </c>
      <c r="EE157" s="24">
        <f t="shared" si="233"/>
        <v>-9015.3023423176746</v>
      </c>
      <c r="EF157" s="24">
        <f t="shared" si="233"/>
        <v>-9033.4742292441733</v>
      </c>
      <c r="EG157" s="24">
        <f t="shared" si="233"/>
        <v>-9051.6828719844161</v>
      </c>
      <c r="EH157" s="24">
        <f t="shared" si="233"/>
        <v>-9069.928345356413</v>
      </c>
      <c r="EI157" s="24">
        <f t="shared" si="233"/>
        <v>-9088.2107243308874</v>
      </c>
      <c r="EJ157" s="24"/>
      <c r="EK157" s="24"/>
      <c r="EL157" s="24"/>
      <c r="EM157" s="1" t="s">
        <v>178</v>
      </c>
    </row>
    <row r="158" spans="3:143" x14ac:dyDescent="0.45"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1" t="s">
        <v>178</v>
      </c>
    </row>
    <row r="159" spans="3:143" x14ac:dyDescent="0.45">
      <c r="D159" s="1" t="s">
        <v>197</v>
      </c>
      <c r="E159" s="24"/>
      <c r="F159" s="24"/>
      <c r="G159" s="24">
        <f>-G154</f>
        <v>0</v>
      </c>
      <c r="H159" s="24">
        <f t="shared" ref="H159:BS159" si="234">-H154</f>
        <v>0</v>
      </c>
      <c r="I159" s="24">
        <f t="shared" si="234"/>
        <v>0</v>
      </c>
      <c r="J159" s="24">
        <f t="shared" si="234"/>
        <v>0</v>
      </c>
      <c r="K159" s="24">
        <f t="shared" si="234"/>
        <v>0</v>
      </c>
      <c r="L159" s="24">
        <f t="shared" si="234"/>
        <v>0</v>
      </c>
      <c r="M159" s="24">
        <f t="shared" si="234"/>
        <v>0</v>
      </c>
      <c r="N159" s="24">
        <f t="shared" si="234"/>
        <v>0</v>
      </c>
      <c r="O159" s="24">
        <f t="shared" si="234"/>
        <v>0</v>
      </c>
      <c r="P159" s="24">
        <f t="shared" si="234"/>
        <v>0</v>
      </c>
      <c r="Q159" s="24">
        <f t="shared" si="234"/>
        <v>0</v>
      </c>
      <c r="R159" s="24">
        <f t="shared" si="234"/>
        <v>0</v>
      </c>
      <c r="S159" s="24">
        <f t="shared" si="234"/>
        <v>0</v>
      </c>
      <c r="T159" s="24">
        <f t="shared" si="234"/>
        <v>0</v>
      </c>
      <c r="U159" s="24">
        <f t="shared" si="234"/>
        <v>0</v>
      </c>
      <c r="V159" s="24">
        <f t="shared" si="234"/>
        <v>0</v>
      </c>
      <c r="W159" s="24">
        <f t="shared" si="234"/>
        <v>0</v>
      </c>
      <c r="X159" s="24">
        <f t="shared" si="234"/>
        <v>0</v>
      </c>
      <c r="Y159" s="24">
        <f t="shared" si="234"/>
        <v>0</v>
      </c>
      <c r="Z159" s="24">
        <f t="shared" si="234"/>
        <v>0</v>
      </c>
      <c r="AA159" s="24">
        <f t="shared" si="234"/>
        <v>0</v>
      </c>
      <c r="AB159" s="24">
        <f t="shared" si="234"/>
        <v>0</v>
      </c>
      <c r="AC159" s="24">
        <f t="shared" si="234"/>
        <v>0</v>
      </c>
      <c r="AD159" s="24">
        <f t="shared" si="234"/>
        <v>0</v>
      </c>
      <c r="AE159" s="24">
        <f t="shared" si="234"/>
        <v>0</v>
      </c>
      <c r="AF159" s="24">
        <f t="shared" si="234"/>
        <v>0</v>
      </c>
      <c r="AG159" s="24">
        <f t="shared" si="234"/>
        <v>0</v>
      </c>
      <c r="AH159" s="24">
        <f t="shared" si="234"/>
        <v>0</v>
      </c>
      <c r="AI159" s="24">
        <f t="shared" si="234"/>
        <v>0</v>
      </c>
      <c r="AJ159" s="24">
        <f t="shared" si="234"/>
        <v>0</v>
      </c>
      <c r="AK159" s="24">
        <f t="shared" si="234"/>
        <v>0</v>
      </c>
      <c r="AL159" s="24">
        <f t="shared" si="234"/>
        <v>0</v>
      </c>
      <c r="AM159" s="24">
        <f t="shared" si="234"/>
        <v>0</v>
      </c>
      <c r="AN159" s="24">
        <f t="shared" si="234"/>
        <v>0</v>
      </c>
      <c r="AO159" s="24">
        <f t="shared" si="234"/>
        <v>0</v>
      </c>
      <c r="AP159" s="24">
        <f t="shared" si="234"/>
        <v>0</v>
      </c>
      <c r="AQ159" s="24">
        <f t="shared" si="234"/>
        <v>915328.24745037127</v>
      </c>
      <c r="AR159" s="24">
        <f t="shared" si="234"/>
        <v>0</v>
      </c>
      <c r="AS159" s="24">
        <f t="shared" si="234"/>
        <v>0</v>
      </c>
      <c r="AT159" s="24">
        <f t="shared" si="234"/>
        <v>0</v>
      </c>
      <c r="AU159" s="24">
        <f t="shared" si="234"/>
        <v>0</v>
      </c>
      <c r="AV159" s="24">
        <f t="shared" si="234"/>
        <v>0</v>
      </c>
      <c r="AW159" s="24">
        <f t="shared" si="234"/>
        <v>0</v>
      </c>
      <c r="AX159" s="24">
        <f t="shared" si="234"/>
        <v>0</v>
      </c>
      <c r="AY159" s="24">
        <f t="shared" si="234"/>
        <v>0</v>
      </c>
      <c r="AZ159" s="24">
        <f t="shared" si="234"/>
        <v>0</v>
      </c>
      <c r="BA159" s="24">
        <f t="shared" si="234"/>
        <v>0</v>
      </c>
      <c r="BB159" s="24">
        <f t="shared" si="234"/>
        <v>0</v>
      </c>
      <c r="BC159" s="24">
        <f t="shared" si="234"/>
        <v>0</v>
      </c>
      <c r="BD159" s="24">
        <f t="shared" si="234"/>
        <v>0</v>
      </c>
      <c r="BE159" s="24">
        <f t="shared" si="234"/>
        <v>0</v>
      </c>
      <c r="BF159" s="24">
        <f t="shared" si="234"/>
        <v>0</v>
      </c>
      <c r="BG159" s="24">
        <f t="shared" si="234"/>
        <v>0</v>
      </c>
      <c r="BH159" s="24">
        <f t="shared" si="234"/>
        <v>0</v>
      </c>
      <c r="BI159" s="24">
        <f t="shared" si="234"/>
        <v>0</v>
      </c>
      <c r="BJ159" s="24">
        <f t="shared" si="234"/>
        <v>0</v>
      </c>
      <c r="BK159" s="24">
        <f t="shared" si="234"/>
        <v>0</v>
      </c>
      <c r="BL159" s="24">
        <f t="shared" si="234"/>
        <v>0</v>
      </c>
      <c r="BM159" s="24">
        <f t="shared" si="234"/>
        <v>0</v>
      </c>
      <c r="BN159" s="24">
        <f t="shared" si="234"/>
        <v>0</v>
      </c>
      <c r="BO159" s="24">
        <f t="shared" si="234"/>
        <v>0</v>
      </c>
      <c r="BP159" s="24">
        <f t="shared" si="234"/>
        <v>0</v>
      </c>
      <c r="BQ159" s="24">
        <f t="shared" si="234"/>
        <v>-14.065156392075551</v>
      </c>
      <c r="BR159" s="24">
        <f t="shared" si="234"/>
        <v>-14.093494788254702</v>
      </c>
      <c r="BS159" s="24">
        <f t="shared" si="234"/>
        <v>-14.121890452891421</v>
      </c>
      <c r="BT159" s="24">
        <f t="shared" ref="BT159:CH159" si="235">-BT154</f>
        <v>-14.150343502519263</v>
      </c>
      <c r="BU159" s="24">
        <f t="shared" si="235"/>
        <v>-14.178854053901432</v>
      </c>
      <c r="BV159" s="24">
        <f t="shared" si="235"/>
        <v>-14.20742222404624</v>
      </c>
      <c r="BW159" s="24">
        <f t="shared" si="235"/>
        <v>-14.236048130194376</v>
      </c>
      <c r="BX159" s="24">
        <f t="shared" si="235"/>
        <v>-14.264731889829818</v>
      </c>
      <c r="BY159" s="24">
        <f t="shared" si="235"/>
        <v>-14.293473620675741</v>
      </c>
      <c r="BZ159" s="24">
        <f t="shared" si="235"/>
        <v>-14.32227344069679</v>
      </c>
      <c r="CA159" s="24">
        <f t="shared" si="235"/>
        <v>-14.351131468093627</v>
      </c>
      <c r="CB159" s="24">
        <f t="shared" si="235"/>
        <v>-14.380047821312019</v>
      </c>
      <c r="CC159" s="24">
        <f t="shared" si="235"/>
        <v>-14.409022619038296</v>
      </c>
      <c r="CD159" s="24">
        <f t="shared" si="235"/>
        <v>-14.438055980201625</v>
      </c>
      <c r="CE159" s="24">
        <f t="shared" si="235"/>
        <v>-14.46714802397446</v>
      </c>
      <c r="CF159" s="24">
        <f t="shared" si="235"/>
        <v>-14.496298869768907</v>
      </c>
      <c r="CG159" s="24">
        <f t="shared" si="235"/>
        <v>-14.525508637245821</v>
      </c>
      <c r="CH159" s="24">
        <f t="shared" si="235"/>
        <v>-14.554777446307526</v>
      </c>
      <c r="CI159" s="24">
        <f>-CI154</f>
        <v>-14.584105417099636</v>
      </c>
      <c r="CJ159" s="24">
        <f t="shared" ref="CJ159:CV159" si="236">-CJ154</f>
        <v>-14.613492670014239</v>
      </c>
      <c r="CK159" s="24">
        <f t="shared" si="236"/>
        <v>-14.642939325691259</v>
      </c>
      <c r="CL159" s="24">
        <f t="shared" si="236"/>
        <v>-14.672445505013457</v>
      </c>
      <c r="CM159" s="24">
        <f t="shared" si="236"/>
        <v>-14.702011329111883</v>
      </c>
      <c r="CN159" s="24">
        <f t="shared" si="236"/>
        <v>-14.731636919365883</v>
      </c>
      <c r="CO159" s="24">
        <f t="shared" si="236"/>
        <v>-14.761322397397635</v>
      </c>
      <c r="CP159" s="24">
        <f t="shared" si="236"/>
        <v>-14.791067885083976</v>
      </c>
      <c r="CQ159" s="24">
        <f t="shared" si="236"/>
        <v>-14.820873504550946</v>
      </c>
      <c r="CR159" s="24">
        <f t="shared" si="236"/>
        <v>-14.85073937816378</v>
      </c>
      <c r="CS159" s="24">
        <f t="shared" si="236"/>
        <v>-14.880665628546012</v>
      </c>
      <c r="CT159" s="24">
        <f t="shared" si="236"/>
        <v>-14.910652378569466</v>
      </c>
      <c r="CU159" s="24">
        <f t="shared" si="236"/>
        <v>-14.940699751360626</v>
      </c>
      <c r="CV159" s="24">
        <f t="shared" si="236"/>
        <v>-14.970807870288809</v>
      </c>
      <c r="CW159" s="24">
        <f t="shared" ref="CW159:EI159" si="237">-CW154</f>
        <v>-15.000976858980721</v>
      </c>
      <c r="CX159" s="24">
        <f t="shared" si="237"/>
        <v>-15.031206841314088</v>
      </c>
      <c r="CY159" s="24">
        <f t="shared" si="237"/>
        <v>-15.061497941421294</v>
      </c>
      <c r="CZ159" s="24">
        <f t="shared" si="237"/>
        <v>-15.091850283684835</v>
      </c>
      <c r="DA159" s="24">
        <f t="shared" si="237"/>
        <v>-15.122263992740955</v>
      </c>
      <c r="DB159" s="24">
        <f t="shared" si="237"/>
        <v>-15.152739193486013</v>
      </c>
      <c r="DC159" s="24">
        <f t="shared" si="237"/>
        <v>-15.183276011061935</v>
      </c>
      <c r="DD159" s="24">
        <f t="shared" si="237"/>
        <v>-15.213874570877124</v>
      </c>
      <c r="DE159" s="24">
        <f t="shared" si="237"/>
        <v>-15.244534998583731</v>
      </c>
      <c r="DF159" s="24">
        <f t="shared" si="237"/>
        <v>-15.275257420103117</v>
      </c>
      <c r="DG159" s="24">
        <f t="shared" si="237"/>
        <v>-15.306041961601295</v>
      </c>
      <c r="DH159" s="24">
        <f t="shared" si="237"/>
        <v>-15.336888749511672</v>
      </c>
      <c r="DI159" s="24">
        <f t="shared" si="237"/>
        <v>-15.367797910519585</v>
      </c>
      <c r="DJ159" s="24">
        <f t="shared" si="237"/>
        <v>-15.398769571570483</v>
      </c>
      <c r="DK159" s="24">
        <f t="shared" si="237"/>
        <v>-15.429803859870844</v>
      </c>
      <c r="DL159" s="24">
        <f t="shared" si="237"/>
        <v>-15.460900902882713</v>
      </c>
      <c r="DM159" s="24">
        <f t="shared" si="237"/>
        <v>-15.492060828334616</v>
      </c>
      <c r="DN159" s="24">
        <f t="shared" si="237"/>
        <v>-15.523283764210646</v>
      </c>
      <c r="DO159" s="24">
        <f t="shared" si="237"/>
        <v>-15.554569838753196</v>
      </c>
      <c r="DP159" s="24">
        <f t="shared" si="237"/>
        <v>-15.585919180475685</v>
      </c>
      <c r="DQ159" s="24">
        <f t="shared" si="237"/>
        <v>-15.617331918148011</v>
      </c>
      <c r="DR159" s="24">
        <f t="shared" si="237"/>
        <v>-15.648808180802007</v>
      </c>
      <c r="DS159" s="24">
        <f t="shared" si="237"/>
        <v>-15.680348097733258</v>
      </c>
      <c r="DT159" s="24">
        <f t="shared" si="237"/>
        <v>-15.711951798503833</v>
      </c>
      <c r="DU159" s="24">
        <f t="shared" si="237"/>
        <v>-15.74361941294319</v>
      </c>
      <c r="DV159" s="24">
        <f t="shared" si="237"/>
        <v>-15.775351071133628</v>
      </c>
      <c r="DW159" s="24">
        <f t="shared" si="237"/>
        <v>-15.807146903433932</v>
      </c>
      <c r="DX159" s="24">
        <f t="shared" si="237"/>
        <v>-15.839007040465731</v>
      </c>
      <c r="DY159" s="24">
        <f t="shared" si="237"/>
        <v>-15.870931613119865</v>
      </c>
      <c r="DZ159" s="24">
        <f t="shared" si="237"/>
        <v>-15.902920752547288</v>
      </c>
      <c r="EA159" s="24">
        <f t="shared" si="237"/>
        <v>-15.934974590169986</v>
      </c>
      <c r="EB159" s="24">
        <f t="shared" si="237"/>
        <v>-15.967093257687338</v>
      </c>
      <c r="EC159" s="24">
        <f t="shared" si="237"/>
        <v>-15.999276887051565</v>
      </c>
      <c r="ED159" s="24">
        <f t="shared" si="237"/>
        <v>-16.03152561049319</v>
      </c>
      <c r="EE159" s="24">
        <f t="shared" si="237"/>
        <v>-16.06383956051377</v>
      </c>
      <c r="EF159" s="24">
        <f t="shared" si="237"/>
        <v>-16.096218869880431</v>
      </c>
      <c r="EG159" s="24">
        <f t="shared" si="237"/>
        <v>-16.128663671635877</v>
      </c>
      <c r="EH159" s="24">
        <f t="shared" si="237"/>
        <v>-16.161174099092023</v>
      </c>
      <c r="EI159" s="24">
        <f t="shared" si="237"/>
        <v>-16.193750285832721</v>
      </c>
      <c r="EJ159" s="24"/>
      <c r="EK159" s="24"/>
      <c r="EL159" s="24"/>
      <c r="EM159" s="1" t="s">
        <v>178</v>
      </c>
    </row>
    <row r="160" spans="3:143" x14ac:dyDescent="0.45">
      <c r="D160" s="1" t="s">
        <v>198</v>
      </c>
      <c r="E160" s="24"/>
      <c r="F160" s="24"/>
      <c r="G160" s="24">
        <f t="shared" ref="G160:AL160" si="238">+(G159/$J$87)*$K$87</f>
        <v>0</v>
      </c>
      <c r="H160" s="24">
        <f t="shared" si="238"/>
        <v>0</v>
      </c>
      <c r="I160" s="24">
        <f t="shared" si="238"/>
        <v>0</v>
      </c>
      <c r="J160" s="24">
        <f t="shared" si="238"/>
        <v>0</v>
      </c>
      <c r="K160" s="24">
        <f t="shared" si="238"/>
        <v>0</v>
      </c>
      <c r="L160" s="24">
        <f t="shared" si="238"/>
        <v>0</v>
      </c>
      <c r="M160" s="24">
        <f t="shared" si="238"/>
        <v>0</v>
      </c>
      <c r="N160" s="24">
        <f t="shared" si="238"/>
        <v>0</v>
      </c>
      <c r="O160" s="24">
        <f t="shared" si="238"/>
        <v>0</v>
      </c>
      <c r="P160" s="24">
        <f t="shared" si="238"/>
        <v>0</v>
      </c>
      <c r="Q160" s="24">
        <f t="shared" si="238"/>
        <v>0</v>
      </c>
      <c r="R160" s="24">
        <f t="shared" si="238"/>
        <v>0</v>
      </c>
      <c r="S160" s="24">
        <f t="shared" si="238"/>
        <v>0</v>
      </c>
      <c r="T160" s="24">
        <f t="shared" si="238"/>
        <v>0</v>
      </c>
      <c r="U160" s="24">
        <f t="shared" si="238"/>
        <v>0</v>
      </c>
      <c r="V160" s="24">
        <f t="shared" si="238"/>
        <v>0</v>
      </c>
      <c r="W160" s="24">
        <f t="shared" si="238"/>
        <v>0</v>
      </c>
      <c r="X160" s="24">
        <f t="shared" si="238"/>
        <v>0</v>
      </c>
      <c r="Y160" s="24">
        <f t="shared" si="238"/>
        <v>0</v>
      </c>
      <c r="Z160" s="24">
        <f t="shared" si="238"/>
        <v>0</v>
      </c>
      <c r="AA160" s="24">
        <f t="shared" si="238"/>
        <v>0</v>
      </c>
      <c r="AB160" s="24">
        <f t="shared" si="238"/>
        <v>0</v>
      </c>
      <c r="AC160" s="24">
        <f t="shared" si="238"/>
        <v>0</v>
      </c>
      <c r="AD160" s="24">
        <f t="shared" si="238"/>
        <v>0</v>
      </c>
      <c r="AE160" s="24">
        <f t="shared" si="238"/>
        <v>0</v>
      </c>
      <c r="AF160" s="24">
        <f t="shared" si="238"/>
        <v>0</v>
      </c>
      <c r="AG160" s="24">
        <f t="shared" si="238"/>
        <v>0</v>
      </c>
      <c r="AH160" s="24">
        <f t="shared" si="238"/>
        <v>0</v>
      </c>
      <c r="AI160" s="24">
        <f t="shared" si="238"/>
        <v>0</v>
      </c>
      <c r="AJ160" s="24">
        <f t="shared" si="238"/>
        <v>0</v>
      </c>
      <c r="AK160" s="24">
        <f t="shared" si="238"/>
        <v>0</v>
      </c>
      <c r="AL160" s="24">
        <f t="shared" si="238"/>
        <v>0</v>
      </c>
      <c r="AM160" s="24">
        <f t="shared" ref="AM160:BR160" si="239">+(AM159/$J$87)*$K$87</f>
        <v>0</v>
      </c>
      <c r="AN160" s="24">
        <f t="shared" si="239"/>
        <v>0</v>
      </c>
      <c r="AO160" s="24">
        <f t="shared" si="239"/>
        <v>0</v>
      </c>
      <c r="AP160" s="24">
        <f t="shared" si="239"/>
        <v>0</v>
      </c>
      <c r="AQ160" s="24">
        <f t="shared" si="239"/>
        <v>228832.06186259282</v>
      </c>
      <c r="AR160" s="24">
        <f t="shared" si="239"/>
        <v>0</v>
      </c>
      <c r="AS160" s="24">
        <f t="shared" si="239"/>
        <v>0</v>
      </c>
      <c r="AT160" s="24">
        <f t="shared" si="239"/>
        <v>0</v>
      </c>
      <c r="AU160" s="24">
        <f t="shared" si="239"/>
        <v>0</v>
      </c>
      <c r="AV160" s="24">
        <f t="shared" si="239"/>
        <v>0</v>
      </c>
      <c r="AW160" s="24">
        <f t="shared" si="239"/>
        <v>0</v>
      </c>
      <c r="AX160" s="24">
        <f t="shared" si="239"/>
        <v>0</v>
      </c>
      <c r="AY160" s="24">
        <f t="shared" si="239"/>
        <v>0</v>
      </c>
      <c r="AZ160" s="24">
        <f t="shared" si="239"/>
        <v>0</v>
      </c>
      <c r="BA160" s="24">
        <f t="shared" si="239"/>
        <v>0</v>
      </c>
      <c r="BB160" s="24">
        <f t="shared" si="239"/>
        <v>0</v>
      </c>
      <c r="BC160" s="24">
        <f t="shared" si="239"/>
        <v>0</v>
      </c>
      <c r="BD160" s="24">
        <f t="shared" si="239"/>
        <v>0</v>
      </c>
      <c r="BE160" s="24">
        <f t="shared" si="239"/>
        <v>0</v>
      </c>
      <c r="BF160" s="24">
        <f t="shared" si="239"/>
        <v>0</v>
      </c>
      <c r="BG160" s="24">
        <f t="shared" si="239"/>
        <v>0</v>
      </c>
      <c r="BH160" s="24">
        <f t="shared" si="239"/>
        <v>0</v>
      </c>
      <c r="BI160" s="24">
        <f t="shared" si="239"/>
        <v>0</v>
      </c>
      <c r="BJ160" s="24">
        <f t="shared" si="239"/>
        <v>0</v>
      </c>
      <c r="BK160" s="24">
        <f t="shared" si="239"/>
        <v>0</v>
      </c>
      <c r="BL160" s="24">
        <f t="shared" si="239"/>
        <v>0</v>
      </c>
      <c r="BM160" s="24">
        <f t="shared" si="239"/>
        <v>0</v>
      </c>
      <c r="BN160" s="24">
        <f t="shared" si="239"/>
        <v>0</v>
      </c>
      <c r="BO160" s="24">
        <f t="shared" si="239"/>
        <v>0</v>
      </c>
      <c r="BP160" s="24">
        <f t="shared" si="239"/>
        <v>0</v>
      </c>
      <c r="BQ160" s="24">
        <f t="shared" si="239"/>
        <v>-3.5162890980188877</v>
      </c>
      <c r="BR160" s="24">
        <f t="shared" si="239"/>
        <v>-3.5233736970636755</v>
      </c>
      <c r="BS160" s="24">
        <f t="shared" ref="BS160:CX160" si="240">+(BS159/$J$87)*$K$87</f>
        <v>-3.5304726132228552</v>
      </c>
      <c r="BT160" s="24">
        <f t="shared" si="240"/>
        <v>-3.5375858756298157</v>
      </c>
      <c r="BU160" s="24">
        <f t="shared" si="240"/>
        <v>-3.544713513475358</v>
      </c>
      <c r="BV160" s="24">
        <f t="shared" si="240"/>
        <v>-3.5518555560115601</v>
      </c>
      <c r="BW160" s="24">
        <f t="shared" si="240"/>
        <v>-3.5590120325485941</v>
      </c>
      <c r="BX160" s="24">
        <f t="shared" si="240"/>
        <v>-3.5661829724574545</v>
      </c>
      <c r="BY160" s="24">
        <f t="shared" si="240"/>
        <v>-3.5733684051689352</v>
      </c>
      <c r="BZ160" s="24">
        <f t="shared" si="240"/>
        <v>-3.5805683601741976</v>
      </c>
      <c r="CA160" s="24">
        <f t="shared" si="240"/>
        <v>-3.5877828670234067</v>
      </c>
      <c r="CB160" s="24">
        <f t="shared" si="240"/>
        <v>-3.5950119553280047</v>
      </c>
      <c r="CC160" s="24">
        <f t="shared" si="240"/>
        <v>-3.6022556547595741</v>
      </c>
      <c r="CD160" s="24">
        <f t="shared" si="240"/>
        <v>-3.6095139950504063</v>
      </c>
      <c r="CE160" s="24">
        <f t="shared" si="240"/>
        <v>-3.6167870059936149</v>
      </c>
      <c r="CF160" s="24">
        <f t="shared" si="240"/>
        <v>-3.6240747174422268</v>
      </c>
      <c r="CG160" s="24">
        <f t="shared" si="240"/>
        <v>-3.6313771593114552</v>
      </c>
      <c r="CH160" s="24">
        <f t="shared" si="240"/>
        <v>-3.6386943615768814</v>
      </c>
      <c r="CI160" s="24">
        <f t="shared" si="240"/>
        <v>-3.646026354274909</v>
      </c>
      <c r="CJ160" s="24">
        <f t="shared" si="240"/>
        <v>-3.6533731675035597</v>
      </c>
      <c r="CK160" s="24">
        <f t="shared" si="240"/>
        <v>-3.6607348314228148</v>
      </c>
      <c r="CL160" s="24">
        <f t="shared" si="240"/>
        <v>-3.6681113762533641</v>
      </c>
      <c r="CM160" s="24">
        <f t="shared" si="240"/>
        <v>-3.6755028322779708</v>
      </c>
      <c r="CN160" s="24">
        <f t="shared" si="240"/>
        <v>-3.6829092298414707</v>
      </c>
      <c r="CO160" s="24">
        <f t="shared" si="240"/>
        <v>-3.6903305993494087</v>
      </c>
      <c r="CP160" s="24">
        <f t="shared" si="240"/>
        <v>-3.697766971270994</v>
      </c>
      <c r="CQ160" s="24">
        <f t="shared" si="240"/>
        <v>-3.7052183761377364</v>
      </c>
      <c r="CR160" s="24">
        <f t="shared" si="240"/>
        <v>-3.7126848445409451</v>
      </c>
      <c r="CS160" s="24">
        <f t="shared" si="240"/>
        <v>-3.720166407136503</v>
      </c>
      <c r="CT160" s="24">
        <f t="shared" si="240"/>
        <v>-3.7276630946423666</v>
      </c>
      <c r="CU160" s="24">
        <f t="shared" si="240"/>
        <v>-3.7351749378401564</v>
      </c>
      <c r="CV160" s="24">
        <f t="shared" si="240"/>
        <v>-3.7427019675722022</v>
      </c>
      <c r="CW160" s="24">
        <f t="shared" si="240"/>
        <v>-3.7502442147451802</v>
      </c>
      <c r="CX160" s="24">
        <f t="shared" si="240"/>
        <v>-3.7578017103285219</v>
      </c>
      <c r="CY160" s="24">
        <f t="shared" ref="CY160:ED160" si="241">+(CY159/$J$87)*$K$87</f>
        <v>-3.7653744853553235</v>
      </c>
      <c r="CZ160" s="24">
        <f t="shared" si="241"/>
        <v>-3.7729625709212087</v>
      </c>
      <c r="DA160" s="24">
        <f t="shared" si="241"/>
        <v>-3.7805659981852386</v>
      </c>
      <c r="DB160" s="24">
        <f t="shared" si="241"/>
        <v>-3.7881847983715033</v>
      </c>
      <c r="DC160" s="24">
        <f t="shared" si="241"/>
        <v>-3.7958190027654837</v>
      </c>
      <c r="DD160" s="24">
        <f t="shared" si="241"/>
        <v>-3.803468642719281</v>
      </c>
      <c r="DE160" s="24">
        <f t="shared" si="241"/>
        <v>-3.8111337496459328</v>
      </c>
      <c r="DF160" s="24">
        <f t="shared" si="241"/>
        <v>-3.8188143550257792</v>
      </c>
      <c r="DG160" s="24">
        <f t="shared" si="241"/>
        <v>-3.8265104904003238</v>
      </c>
      <c r="DH160" s="24">
        <f t="shared" si="241"/>
        <v>-3.8342221873779181</v>
      </c>
      <c r="DI160" s="24">
        <f t="shared" si="241"/>
        <v>-3.8419494776298961</v>
      </c>
      <c r="DJ160" s="24">
        <f t="shared" si="241"/>
        <v>-3.8496923928926208</v>
      </c>
      <c r="DK160" s="24">
        <f t="shared" si="241"/>
        <v>-3.8574509649677111</v>
      </c>
      <c r="DL160" s="24">
        <f t="shared" si="241"/>
        <v>-3.8652252257206783</v>
      </c>
      <c r="DM160" s="24">
        <f t="shared" si="241"/>
        <v>-3.8730152070836539</v>
      </c>
      <c r="DN160" s="24">
        <f t="shared" si="241"/>
        <v>-3.8808209410526615</v>
      </c>
      <c r="DO160" s="24">
        <f t="shared" si="241"/>
        <v>-3.8886424596882989</v>
      </c>
      <c r="DP160" s="24">
        <f t="shared" si="241"/>
        <v>-3.8964797951189212</v>
      </c>
      <c r="DQ160" s="24">
        <f t="shared" si="241"/>
        <v>-3.9043329795370028</v>
      </c>
      <c r="DR160" s="24">
        <f t="shared" si="241"/>
        <v>-3.9122020452005017</v>
      </c>
      <c r="DS160" s="24">
        <f t="shared" si="241"/>
        <v>-3.9200870244333146</v>
      </c>
      <c r="DT160" s="24">
        <f t="shared" si="241"/>
        <v>-3.9279879496259582</v>
      </c>
      <c r="DU160" s="24">
        <f t="shared" si="241"/>
        <v>-3.9359048532357974</v>
      </c>
      <c r="DV160" s="24">
        <f t="shared" si="241"/>
        <v>-3.9438377677834069</v>
      </c>
      <c r="DW160" s="24">
        <f t="shared" si="241"/>
        <v>-3.9517867258584829</v>
      </c>
      <c r="DX160" s="24">
        <f t="shared" si="241"/>
        <v>-3.9597517601164327</v>
      </c>
      <c r="DY160" s="24">
        <f t="shared" si="241"/>
        <v>-3.9677329032799662</v>
      </c>
      <c r="DZ160" s="24">
        <f t="shared" si="241"/>
        <v>-3.9757301881368221</v>
      </c>
      <c r="EA160" s="24">
        <f t="shared" si="241"/>
        <v>-3.9837436475424965</v>
      </c>
      <c r="EB160" s="24">
        <f t="shared" si="241"/>
        <v>-3.9917733144218346</v>
      </c>
      <c r="EC160" s="24">
        <f t="shared" si="241"/>
        <v>-3.9998192217628912</v>
      </c>
      <c r="ED160" s="24">
        <f t="shared" si="241"/>
        <v>-4.0078814026232976</v>
      </c>
      <c r="EE160" s="24">
        <f>+(EE159/$J$87)*$K$87</f>
        <v>-4.0159598901284426</v>
      </c>
      <c r="EF160" s="24">
        <f>+(EF159/$J$87)*$K$87</f>
        <v>-4.0240547174701078</v>
      </c>
      <c r="EG160" s="24">
        <f>+(EG159/$J$87)*$K$87</f>
        <v>-4.0321659179089693</v>
      </c>
      <c r="EH160" s="24">
        <f>+(EH159/$J$87)*$K$87</f>
        <v>-4.0402935247730056</v>
      </c>
      <c r="EI160" s="24">
        <f>+(EI159/$J$87)*$K$87</f>
        <v>-4.0484375714581802</v>
      </c>
      <c r="EJ160" s="24"/>
      <c r="EK160" s="24"/>
      <c r="EL160" s="24"/>
      <c r="EM160" s="1" t="s">
        <v>178</v>
      </c>
    </row>
    <row r="161" spans="4:143" x14ac:dyDescent="0.45">
      <c r="D161" s="1" t="s">
        <v>200</v>
      </c>
      <c r="E161" s="24"/>
      <c r="F161" s="24"/>
      <c r="G161" s="24">
        <f>SUM(G159:G160)</f>
        <v>0</v>
      </c>
      <c r="H161" s="24">
        <f t="shared" ref="H161:BS161" si="242">SUM(H159:H160)</f>
        <v>0</v>
      </c>
      <c r="I161" s="24">
        <f t="shared" si="242"/>
        <v>0</v>
      </c>
      <c r="J161" s="24">
        <f t="shared" si="242"/>
        <v>0</v>
      </c>
      <c r="K161" s="24">
        <f t="shared" si="242"/>
        <v>0</v>
      </c>
      <c r="L161" s="24">
        <f t="shared" si="242"/>
        <v>0</v>
      </c>
      <c r="M161" s="24">
        <f t="shared" si="242"/>
        <v>0</v>
      </c>
      <c r="N161" s="24">
        <f t="shared" si="242"/>
        <v>0</v>
      </c>
      <c r="O161" s="24">
        <f t="shared" si="242"/>
        <v>0</v>
      </c>
      <c r="P161" s="24">
        <f t="shared" si="242"/>
        <v>0</v>
      </c>
      <c r="Q161" s="24">
        <f t="shared" si="242"/>
        <v>0</v>
      </c>
      <c r="R161" s="24">
        <f t="shared" si="242"/>
        <v>0</v>
      </c>
      <c r="S161" s="24">
        <f t="shared" si="242"/>
        <v>0</v>
      </c>
      <c r="T161" s="24">
        <f t="shared" si="242"/>
        <v>0</v>
      </c>
      <c r="U161" s="24">
        <f t="shared" si="242"/>
        <v>0</v>
      </c>
      <c r="V161" s="24">
        <f t="shared" si="242"/>
        <v>0</v>
      </c>
      <c r="W161" s="24">
        <f t="shared" si="242"/>
        <v>0</v>
      </c>
      <c r="X161" s="24">
        <f t="shared" si="242"/>
        <v>0</v>
      </c>
      <c r="Y161" s="24">
        <f t="shared" si="242"/>
        <v>0</v>
      </c>
      <c r="Z161" s="24">
        <f t="shared" si="242"/>
        <v>0</v>
      </c>
      <c r="AA161" s="24">
        <f t="shared" si="242"/>
        <v>0</v>
      </c>
      <c r="AB161" s="24">
        <f t="shared" si="242"/>
        <v>0</v>
      </c>
      <c r="AC161" s="24">
        <f t="shared" si="242"/>
        <v>0</v>
      </c>
      <c r="AD161" s="24">
        <f t="shared" si="242"/>
        <v>0</v>
      </c>
      <c r="AE161" s="24">
        <f t="shared" si="242"/>
        <v>0</v>
      </c>
      <c r="AF161" s="24">
        <f t="shared" si="242"/>
        <v>0</v>
      </c>
      <c r="AG161" s="24">
        <f t="shared" si="242"/>
        <v>0</v>
      </c>
      <c r="AH161" s="24">
        <f t="shared" si="242"/>
        <v>0</v>
      </c>
      <c r="AI161" s="24">
        <f t="shared" si="242"/>
        <v>0</v>
      </c>
      <c r="AJ161" s="24">
        <f t="shared" si="242"/>
        <v>0</v>
      </c>
      <c r="AK161" s="24">
        <f t="shared" si="242"/>
        <v>0</v>
      </c>
      <c r="AL161" s="24">
        <f t="shared" si="242"/>
        <v>0</v>
      </c>
      <c r="AM161" s="24">
        <f t="shared" si="242"/>
        <v>0</v>
      </c>
      <c r="AN161" s="24">
        <f t="shared" si="242"/>
        <v>0</v>
      </c>
      <c r="AO161" s="24">
        <f t="shared" si="242"/>
        <v>0</v>
      </c>
      <c r="AP161" s="24">
        <f t="shared" si="242"/>
        <v>0</v>
      </c>
      <c r="AQ161" s="24">
        <f t="shared" si="242"/>
        <v>1144160.3093129641</v>
      </c>
      <c r="AR161" s="24">
        <f t="shared" si="242"/>
        <v>0</v>
      </c>
      <c r="AS161" s="24">
        <f t="shared" si="242"/>
        <v>0</v>
      </c>
      <c r="AT161" s="24">
        <f t="shared" si="242"/>
        <v>0</v>
      </c>
      <c r="AU161" s="24">
        <f t="shared" si="242"/>
        <v>0</v>
      </c>
      <c r="AV161" s="24">
        <f t="shared" si="242"/>
        <v>0</v>
      </c>
      <c r="AW161" s="24">
        <f t="shared" si="242"/>
        <v>0</v>
      </c>
      <c r="AX161" s="24">
        <f t="shared" si="242"/>
        <v>0</v>
      </c>
      <c r="AY161" s="24">
        <f t="shared" si="242"/>
        <v>0</v>
      </c>
      <c r="AZ161" s="24">
        <f t="shared" si="242"/>
        <v>0</v>
      </c>
      <c r="BA161" s="24">
        <f t="shared" si="242"/>
        <v>0</v>
      </c>
      <c r="BB161" s="24">
        <f t="shared" si="242"/>
        <v>0</v>
      </c>
      <c r="BC161" s="24">
        <f t="shared" si="242"/>
        <v>0</v>
      </c>
      <c r="BD161" s="24">
        <f t="shared" si="242"/>
        <v>0</v>
      </c>
      <c r="BE161" s="24">
        <f t="shared" si="242"/>
        <v>0</v>
      </c>
      <c r="BF161" s="24">
        <f t="shared" si="242"/>
        <v>0</v>
      </c>
      <c r="BG161" s="24">
        <f t="shared" si="242"/>
        <v>0</v>
      </c>
      <c r="BH161" s="24">
        <f t="shared" si="242"/>
        <v>0</v>
      </c>
      <c r="BI161" s="24">
        <f t="shared" si="242"/>
        <v>0</v>
      </c>
      <c r="BJ161" s="24">
        <f t="shared" si="242"/>
        <v>0</v>
      </c>
      <c r="BK161" s="24">
        <f t="shared" si="242"/>
        <v>0</v>
      </c>
      <c r="BL161" s="24">
        <f t="shared" si="242"/>
        <v>0</v>
      </c>
      <c r="BM161" s="24">
        <f t="shared" si="242"/>
        <v>0</v>
      </c>
      <c r="BN161" s="24">
        <f t="shared" si="242"/>
        <v>0</v>
      </c>
      <c r="BO161" s="24">
        <f t="shared" si="242"/>
        <v>0</v>
      </c>
      <c r="BP161" s="24">
        <f t="shared" si="242"/>
        <v>0</v>
      </c>
      <c r="BQ161" s="24">
        <f t="shared" si="242"/>
        <v>-17.581445490094438</v>
      </c>
      <c r="BR161" s="24">
        <f t="shared" si="242"/>
        <v>-17.616868485318378</v>
      </c>
      <c r="BS161" s="24">
        <f t="shared" si="242"/>
        <v>-17.652363066114276</v>
      </c>
      <c r="BT161" s="24">
        <f t="shared" ref="BT161:CH161" si="243">SUM(BT159:BT160)</f>
        <v>-17.687929378149079</v>
      </c>
      <c r="BU161" s="24">
        <f t="shared" si="243"/>
        <v>-17.72356756737679</v>
      </c>
      <c r="BV161" s="24">
        <f t="shared" si="243"/>
        <v>-17.759277780057801</v>
      </c>
      <c r="BW161" s="24">
        <f t="shared" si="243"/>
        <v>-17.795060162742971</v>
      </c>
      <c r="BX161" s="24">
        <f t="shared" si="243"/>
        <v>-17.830914862287273</v>
      </c>
      <c r="BY161" s="24">
        <f t="shared" si="243"/>
        <v>-17.866842025844676</v>
      </c>
      <c r="BZ161" s="24">
        <f t="shared" si="243"/>
        <v>-17.902841800870988</v>
      </c>
      <c r="CA161" s="24">
        <f t="shared" si="243"/>
        <v>-17.938914335117033</v>
      </c>
      <c r="CB161" s="24">
        <f t="shared" si="243"/>
        <v>-17.975059776640023</v>
      </c>
      <c r="CC161" s="24">
        <f t="shared" si="243"/>
        <v>-18.01127827379787</v>
      </c>
      <c r="CD161" s="24">
        <f t="shared" si="243"/>
        <v>-18.047569975252031</v>
      </c>
      <c r="CE161" s="24">
        <f t="shared" si="243"/>
        <v>-18.083935029968075</v>
      </c>
      <c r="CF161" s="24">
        <f t="shared" si="243"/>
        <v>-18.120373587211134</v>
      </c>
      <c r="CG161" s="24">
        <f t="shared" si="243"/>
        <v>-18.156885796557276</v>
      </c>
      <c r="CH161" s="24">
        <f t="shared" si="243"/>
        <v>-18.193471807884407</v>
      </c>
      <c r="CI161" s="24">
        <f>SUM(CI159:CI160)</f>
        <v>-18.230131771374545</v>
      </c>
      <c r="CJ161" s="24">
        <f t="shared" ref="CJ161:CV161" si="244">SUM(CJ159:CJ160)</f>
        <v>-18.266865837517798</v>
      </c>
      <c r="CK161" s="24">
        <f t="shared" si="244"/>
        <v>-18.303674157114074</v>
      </c>
      <c r="CL161" s="24">
        <f t="shared" si="244"/>
        <v>-18.340556881266821</v>
      </c>
      <c r="CM161" s="24">
        <f t="shared" si="244"/>
        <v>-18.377514161389854</v>
      </c>
      <c r="CN161" s="24">
        <f t="shared" si="244"/>
        <v>-18.414546149207354</v>
      </c>
      <c r="CO161" s="24">
        <f t="shared" si="244"/>
        <v>-18.451652996747043</v>
      </c>
      <c r="CP161" s="24">
        <f t="shared" si="244"/>
        <v>-18.48883485635497</v>
      </c>
      <c r="CQ161" s="24">
        <f t="shared" si="244"/>
        <v>-18.526091880688682</v>
      </c>
      <c r="CR161" s="24">
        <f t="shared" si="244"/>
        <v>-18.563424222704725</v>
      </c>
      <c r="CS161" s="24">
        <f t="shared" si="244"/>
        <v>-18.600832035682515</v>
      </c>
      <c r="CT161" s="24">
        <f t="shared" si="244"/>
        <v>-18.638315473211833</v>
      </c>
      <c r="CU161" s="24">
        <f t="shared" si="244"/>
        <v>-18.675874689200782</v>
      </c>
      <c r="CV161" s="24">
        <f t="shared" si="244"/>
        <v>-18.713509837861011</v>
      </c>
      <c r="CW161" s="24">
        <f t="shared" ref="CW161:EI161" si="245">SUM(CW159:CW160)</f>
        <v>-18.751221073725901</v>
      </c>
      <c r="CX161" s="24">
        <f t="shared" si="245"/>
        <v>-18.78900855164261</v>
      </c>
      <c r="CY161" s="24">
        <f t="shared" si="245"/>
        <v>-18.826872426776617</v>
      </c>
      <c r="CZ161" s="24">
        <f t="shared" si="245"/>
        <v>-18.864812854606043</v>
      </c>
      <c r="DA161" s="24">
        <f t="shared" si="245"/>
        <v>-18.902829990926193</v>
      </c>
      <c r="DB161" s="24">
        <f t="shared" si="245"/>
        <v>-18.940923991857517</v>
      </c>
      <c r="DC161" s="24">
        <f t="shared" si="245"/>
        <v>-18.979095013827418</v>
      </c>
      <c r="DD161" s="24">
        <f t="shared" si="245"/>
        <v>-19.017343213596405</v>
      </c>
      <c r="DE161" s="24">
        <f t="shared" si="245"/>
        <v>-19.055668748229664</v>
      </c>
      <c r="DF161" s="24">
        <f t="shared" si="245"/>
        <v>-19.094071775128896</v>
      </c>
      <c r="DG161" s="24">
        <f t="shared" si="245"/>
        <v>-19.132552452001619</v>
      </c>
      <c r="DH161" s="24">
        <f t="shared" si="245"/>
        <v>-19.17111093688959</v>
      </c>
      <c r="DI161" s="24">
        <f t="shared" si="245"/>
        <v>-19.209747388149481</v>
      </c>
      <c r="DJ161" s="24">
        <f t="shared" si="245"/>
        <v>-19.248461964463104</v>
      </c>
      <c r="DK161" s="24">
        <f t="shared" si="245"/>
        <v>-19.287254824838556</v>
      </c>
      <c r="DL161" s="24">
        <f t="shared" si="245"/>
        <v>-19.326126128603391</v>
      </c>
      <c r="DM161" s="24">
        <f t="shared" si="245"/>
        <v>-19.365076035418269</v>
      </c>
      <c r="DN161" s="24">
        <f t="shared" si="245"/>
        <v>-19.404104705263308</v>
      </c>
      <c r="DO161" s="24">
        <f t="shared" si="245"/>
        <v>-19.443212298441495</v>
      </c>
      <c r="DP161" s="24">
        <f t="shared" si="245"/>
        <v>-19.482398975594606</v>
      </c>
      <c r="DQ161" s="24">
        <f t="shared" si="245"/>
        <v>-19.521664897685014</v>
      </c>
      <c r="DR161" s="24">
        <f t="shared" si="245"/>
        <v>-19.561010226002509</v>
      </c>
      <c r="DS161" s="24">
        <f t="shared" si="245"/>
        <v>-19.600435122166573</v>
      </c>
      <c r="DT161" s="24">
        <f t="shared" si="245"/>
        <v>-19.639939748129791</v>
      </c>
      <c r="DU161" s="24">
        <f t="shared" si="245"/>
        <v>-19.679524266178987</v>
      </c>
      <c r="DV161" s="24">
        <f t="shared" si="245"/>
        <v>-19.719188838917034</v>
      </c>
      <c r="DW161" s="24">
        <f t="shared" si="245"/>
        <v>-19.758933629292414</v>
      </c>
      <c r="DX161" s="24">
        <f t="shared" si="245"/>
        <v>-19.798758800582164</v>
      </c>
      <c r="DY161" s="24">
        <f t="shared" si="245"/>
        <v>-19.838664516399831</v>
      </c>
      <c r="DZ161" s="24">
        <f t="shared" si="245"/>
        <v>-19.878650940684111</v>
      </c>
      <c r="EA161" s="24">
        <f t="shared" si="245"/>
        <v>-19.918718237712483</v>
      </c>
      <c r="EB161" s="24">
        <f t="shared" si="245"/>
        <v>-19.958866572109173</v>
      </c>
      <c r="EC161" s="24">
        <f t="shared" si="245"/>
        <v>-19.999096108814456</v>
      </c>
      <c r="ED161" s="24">
        <f t="shared" si="245"/>
        <v>-20.039407013116488</v>
      </c>
      <c r="EE161" s="24">
        <f t="shared" si="245"/>
        <v>-20.079799450642213</v>
      </c>
      <c r="EF161" s="24">
        <f t="shared" si="245"/>
        <v>-20.120273587350539</v>
      </c>
      <c r="EG161" s="24">
        <f t="shared" si="245"/>
        <v>-20.160829589544846</v>
      </c>
      <c r="EH161" s="24">
        <f t="shared" si="245"/>
        <v>-20.201467623865028</v>
      </c>
      <c r="EI161" s="24">
        <f t="shared" si="245"/>
        <v>-20.242187857290901</v>
      </c>
      <c r="EJ161" s="24"/>
      <c r="EK161" s="24"/>
      <c r="EL161" s="24"/>
      <c r="EM161" s="1" t="s">
        <v>178</v>
      </c>
    </row>
    <row r="162" spans="4:143" x14ac:dyDescent="0.45">
      <c r="D162" s="2" t="s">
        <v>191</v>
      </c>
      <c r="E162" s="167"/>
      <c r="F162" s="167"/>
      <c r="G162" s="167">
        <f>+G144+G161</f>
        <v>0</v>
      </c>
      <c r="H162" s="167">
        <f t="shared" ref="H162:BS162" si="246">+H144-H161</f>
        <v>0</v>
      </c>
      <c r="I162" s="167">
        <f t="shared" si="246"/>
        <v>0</v>
      </c>
      <c r="J162" s="167">
        <f t="shared" si="246"/>
        <v>0</v>
      </c>
      <c r="K162" s="167">
        <f t="shared" si="246"/>
        <v>0</v>
      </c>
      <c r="L162" s="167">
        <f t="shared" si="246"/>
        <v>0</v>
      </c>
      <c r="M162" s="167">
        <f t="shared" si="246"/>
        <v>0</v>
      </c>
      <c r="N162" s="167">
        <f t="shared" si="246"/>
        <v>0</v>
      </c>
      <c r="O162" s="167">
        <f t="shared" si="246"/>
        <v>0</v>
      </c>
      <c r="P162" s="167">
        <f t="shared" si="246"/>
        <v>0</v>
      </c>
      <c r="Q162" s="167">
        <f t="shared" si="246"/>
        <v>0</v>
      </c>
      <c r="R162" s="167">
        <f t="shared" si="246"/>
        <v>0</v>
      </c>
      <c r="S162" s="167">
        <f t="shared" si="246"/>
        <v>0</v>
      </c>
      <c r="T162" s="167">
        <f t="shared" si="246"/>
        <v>0</v>
      </c>
      <c r="U162" s="167">
        <f t="shared" si="246"/>
        <v>0</v>
      </c>
      <c r="V162" s="167">
        <f t="shared" si="246"/>
        <v>0</v>
      </c>
      <c r="W162" s="167">
        <f t="shared" si="246"/>
        <v>0</v>
      </c>
      <c r="X162" s="167">
        <f t="shared" si="246"/>
        <v>0</v>
      </c>
      <c r="Y162" s="167">
        <f t="shared" si="246"/>
        <v>0</v>
      </c>
      <c r="Z162" s="167">
        <f t="shared" si="246"/>
        <v>0</v>
      </c>
      <c r="AA162" s="167">
        <f t="shared" si="246"/>
        <v>0</v>
      </c>
      <c r="AB162" s="167">
        <f t="shared" si="246"/>
        <v>0</v>
      </c>
      <c r="AC162" s="167">
        <f t="shared" si="246"/>
        <v>0</v>
      </c>
      <c r="AD162" s="167">
        <f t="shared" si="246"/>
        <v>0</v>
      </c>
      <c r="AE162" s="167">
        <f t="shared" si="246"/>
        <v>0</v>
      </c>
      <c r="AF162" s="167">
        <f t="shared" si="246"/>
        <v>0</v>
      </c>
      <c r="AG162" s="167">
        <f t="shared" si="246"/>
        <v>0</v>
      </c>
      <c r="AH162" s="167">
        <f t="shared" si="246"/>
        <v>0</v>
      </c>
      <c r="AI162" s="167">
        <f t="shared" si="246"/>
        <v>0</v>
      </c>
      <c r="AJ162" s="167">
        <f t="shared" si="246"/>
        <v>0</v>
      </c>
      <c r="AK162" s="167">
        <f t="shared" si="246"/>
        <v>0</v>
      </c>
      <c r="AL162" s="167">
        <f t="shared" si="246"/>
        <v>0</v>
      </c>
      <c r="AM162" s="167">
        <f t="shared" si="246"/>
        <v>0</v>
      </c>
      <c r="AN162" s="167">
        <f t="shared" si="246"/>
        <v>0</v>
      </c>
      <c r="AO162" s="167">
        <f t="shared" si="246"/>
        <v>0</v>
      </c>
      <c r="AP162" s="167">
        <f t="shared" si="246"/>
        <v>0</v>
      </c>
      <c r="AQ162" s="167">
        <f t="shared" si="246"/>
        <v>95172.929790279828</v>
      </c>
      <c r="AR162" s="167">
        <f t="shared" si="246"/>
        <v>29554.818688960571</v>
      </c>
      <c r="AS162" s="167">
        <f t="shared" si="246"/>
        <v>29872.143654556086</v>
      </c>
      <c r="AT162" s="167">
        <f t="shared" si="246"/>
        <v>30190.14697385269</v>
      </c>
      <c r="AU162" s="167">
        <f t="shared" si="246"/>
        <v>30508.830091638858</v>
      </c>
      <c r="AV162" s="167">
        <f t="shared" si="246"/>
        <v>30828.194455759207</v>
      </c>
      <c r="AW162" s="167">
        <f t="shared" si="246"/>
        <v>31148.241517121634</v>
      </c>
      <c r="AX162" s="167">
        <f t="shared" si="246"/>
        <v>31468.972729705736</v>
      </c>
      <c r="AY162" s="167">
        <f t="shared" si="246"/>
        <v>31790.38955056556</v>
      </c>
      <c r="AZ162" s="167">
        <f t="shared" si="246"/>
        <v>32112.493439840677</v>
      </c>
      <c r="BA162" s="167">
        <f t="shared" si="246"/>
        <v>32435.285860759188</v>
      </c>
      <c r="BB162" s="167">
        <f t="shared" si="246"/>
        <v>32758.768279644544</v>
      </c>
      <c r="BC162" s="167">
        <f t="shared" si="246"/>
        <v>33082.942165923414</v>
      </c>
      <c r="BD162" s="167">
        <f t="shared" si="246"/>
        <v>33407.808992132588</v>
      </c>
      <c r="BE162" s="167">
        <f t="shared" si="246"/>
        <v>33733.370233923182</v>
      </c>
      <c r="BF162" s="167">
        <f t="shared" si="246"/>
        <v>34059.627370069022</v>
      </c>
      <c r="BG162" s="167">
        <f t="shared" si="246"/>
        <v>34386.581882473241</v>
      </c>
      <c r="BH162" s="167">
        <f t="shared" si="246"/>
        <v>34714.235256173881</v>
      </c>
      <c r="BI162" s="167">
        <f t="shared" si="246"/>
        <v>35042.588979350694</v>
      </c>
      <c r="BJ162" s="167">
        <f t="shared" si="246"/>
        <v>35371.644543332986</v>
      </c>
      <c r="BK162" s="167">
        <f t="shared" si="246"/>
        <v>35701.403442604234</v>
      </c>
      <c r="BL162" s="167">
        <f t="shared" si="246"/>
        <v>36031.867174810548</v>
      </c>
      <c r="BM162" s="167">
        <f t="shared" si="246"/>
        <v>36363.037240766993</v>
      </c>
      <c r="BN162" s="167">
        <f t="shared" si="246"/>
        <v>36694.915144462262</v>
      </c>
      <c r="BO162" s="167">
        <f t="shared" si="246"/>
        <v>9887473.8549254145</v>
      </c>
      <c r="BP162" s="167">
        <f t="shared" si="246"/>
        <v>0</v>
      </c>
      <c r="BQ162" s="167">
        <f t="shared" si="246"/>
        <v>4674.9309652590036</v>
      </c>
      <c r="BR162" s="167">
        <f t="shared" si="246"/>
        <v>4684.34998927168</v>
      </c>
      <c r="BS162" s="167">
        <f t="shared" si="246"/>
        <v>4693.7880479889718</v>
      </c>
      <c r="BT162" s="167">
        <f t="shared" ref="BT162:CH162" si="247">+BT144-BT161</f>
        <v>4703.2451801423977</v>
      </c>
      <c r="BU162" s="167">
        <f t="shared" si="247"/>
        <v>4712.7214245425093</v>
      </c>
      <c r="BV162" s="167">
        <f t="shared" si="247"/>
        <v>4722.2168200790638</v>
      </c>
      <c r="BW162" s="167">
        <f t="shared" si="247"/>
        <v>4731.7314057211606</v>
      </c>
      <c r="BX162" s="167">
        <f t="shared" si="247"/>
        <v>4741.2652205174099</v>
      </c>
      <c r="BY162" s="167">
        <f t="shared" si="247"/>
        <v>4750.8183035961201</v>
      </c>
      <c r="BZ162" s="167">
        <f t="shared" si="247"/>
        <v>4760.3906941654232</v>
      </c>
      <c r="CA162" s="167">
        <f t="shared" si="247"/>
        <v>4769.9824315134929</v>
      </c>
      <c r="CB162" s="167">
        <f t="shared" si="247"/>
        <v>4779.5935550086197</v>
      </c>
      <c r="CC162" s="167">
        <f t="shared" si="247"/>
        <v>4789.2241040994832</v>
      </c>
      <c r="CD162" s="167">
        <f t="shared" si="247"/>
        <v>4798.874118315216</v>
      </c>
      <c r="CE162" s="167">
        <f t="shared" si="247"/>
        <v>4808.5436372656359</v>
      </c>
      <c r="CF162" s="167">
        <f t="shared" si="247"/>
        <v>4818.2327006413952</v>
      </c>
      <c r="CG162" s="167">
        <f t="shared" si="247"/>
        <v>4827.9413482141172</v>
      </c>
      <c r="CH162" s="167">
        <f t="shared" si="247"/>
        <v>4837.6696198365953</v>
      </c>
      <c r="CI162" s="167">
        <f>+CI144-CI161</f>
        <v>4847.4175554429503</v>
      </c>
      <c r="CJ162" s="167">
        <f t="shared" ref="CJ162:CV162" si="248">+CJ144-CJ161</f>
        <v>4857.1851950487862</v>
      </c>
      <c r="CK162" s="167">
        <f t="shared" si="248"/>
        <v>4866.9725787513644</v>
      </c>
      <c r="CL162" s="167">
        <f t="shared" si="248"/>
        <v>4876.7797467297951</v>
      </c>
      <c r="CM162" s="167">
        <f t="shared" si="248"/>
        <v>4886.606739245135</v>
      </c>
      <c r="CN162" s="167">
        <f t="shared" si="248"/>
        <v>4896.4535966406311</v>
      </c>
      <c r="CO162" s="167">
        <f t="shared" si="248"/>
        <v>4906.3203593418548</v>
      </c>
      <c r="CP162" s="167">
        <f t="shared" si="248"/>
        <v>4916.2070678568616</v>
      </c>
      <c r="CQ162" s="167">
        <f t="shared" si="248"/>
        <v>4926.1137627764001</v>
      </c>
      <c r="CR162" s="167">
        <f t="shared" si="248"/>
        <v>4936.0404847739919</v>
      </c>
      <c r="CS162" s="167">
        <f t="shared" si="248"/>
        <v>4945.9872746062365</v>
      </c>
      <c r="CT162" s="167">
        <f t="shared" si="248"/>
        <v>4955.954173112842</v>
      </c>
      <c r="CU162" s="167">
        <f t="shared" si="248"/>
        <v>4965.9412212169027</v>
      </c>
      <c r="CV162" s="167">
        <f t="shared" si="248"/>
        <v>4975.948459924989</v>
      </c>
      <c r="CW162" s="167">
        <f t="shared" ref="CW162:EI162" si="249">+CW144-CW161</f>
        <v>4985.9759303274031</v>
      </c>
      <c r="CX162" s="167">
        <f t="shared" si="249"/>
        <v>4996.0236735982453</v>
      </c>
      <c r="CY162" s="167">
        <f t="shared" si="249"/>
        <v>5006.0917309956776</v>
      </c>
      <c r="CZ162" s="167">
        <f t="shared" si="249"/>
        <v>5016.180143862055</v>
      </c>
      <c r="DA162" s="167">
        <f t="shared" si="249"/>
        <v>5026.2889536241055</v>
      </c>
      <c r="DB162" s="167">
        <f t="shared" si="249"/>
        <v>5036.4182017930734</v>
      </c>
      <c r="DC162" s="167">
        <f t="shared" si="249"/>
        <v>5046.5679299649682</v>
      </c>
      <c r="DD162" s="167">
        <f t="shared" si="249"/>
        <v>5056.7381798206288</v>
      </c>
      <c r="DE162" s="167">
        <f t="shared" si="249"/>
        <v>5066.9289931259991</v>
      </c>
      <c r="DF162" s="167">
        <f t="shared" si="249"/>
        <v>5077.1404117322418</v>
      </c>
      <c r="DG162" s="167">
        <f t="shared" si="249"/>
        <v>5087.3724775759456</v>
      </c>
      <c r="DH162" s="167">
        <f t="shared" si="249"/>
        <v>5097.6252326792619</v>
      </c>
      <c r="DI162" s="167">
        <f t="shared" si="249"/>
        <v>5107.8987191500992</v>
      </c>
      <c r="DJ162" s="167">
        <f t="shared" si="249"/>
        <v>5118.1929791823486</v>
      </c>
      <c r="DK162" s="167">
        <f t="shared" si="249"/>
        <v>5128.5080550559496</v>
      </c>
      <c r="DL162" s="167">
        <f t="shared" si="249"/>
        <v>5138.8439891371654</v>
      </c>
      <c r="DM162" s="167">
        <f t="shared" si="249"/>
        <v>5149.2008238787303</v>
      </c>
      <c r="DN162" s="167">
        <f t="shared" si="249"/>
        <v>5159.5786018199924</v>
      </c>
      <c r="DO162" s="167">
        <f t="shared" si="249"/>
        <v>5169.9773655871413</v>
      </c>
      <c r="DP162" s="167">
        <f t="shared" si="249"/>
        <v>5180.3971578933142</v>
      </c>
      <c r="DQ162" s="167">
        <f t="shared" si="249"/>
        <v>5190.838021538907</v>
      </c>
      <c r="DR162" s="167">
        <f t="shared" si="249"/>
        <v>5201.2999994115789</v>
      </c>
      <c r="DS162" s="167">
        <f t="shared" si="249"/>
        <v>5211.7831344865681</v>
      </c>
      <c r="DT162" s="167">
        <f t="shared" si="249"/>
        <v>5222.2874698268124</v>
      </c>
      <c r="DU162" s="167">
        <f t="shared" si="249"/>
        <v>5232.8130485831389</v>
      </c>
      <c r="DV162" s="167">
        <f t="shared" si="249"/>
        <v>5243.3599139944527</v>
      </c>
      <c r="DW162" s="167">
        <f t="shared" si="249"/>
        <v>5253.9281093878626</v>
      </c>
      <c r="DX162" s="167">
        <f t="shared" si="249"/>
        <v>5264.5176781789505</v>
      </c>
      <c r="DY162" s="167">
        <f t="shared" si="249"/>
        <v>5275.1286638719139</v>
      </c>
      <c r="DZ162" s="167">
        <f t="shared" si="249"/>
        <v>5285.7611100597023</v>
      </c>
      <c r="EA162" s="167">
        <f t="shared" si="249"/>
        <v>5296.4150604242486</v>
      </c>
      <c r="EB162" s="167">
        <f t="shared" si="249"/>
        <v>5307.0905587366697</v>
      </c>
      <c r="EC162" s="167">
        <f t="shared" si="249"/>
        <v>5317.7876488573984</v>
      </c>
      <c r="ED162" s="167">
        <f t="shared" si="249"/>
        <v>5328.5063747363529</v>
      </c>
      <c r="EE162" s="167">
        <f t="shared" si="249"/>
        <v>5339.2467804132148</v>
      </c>
      <c r="EF162" s="167">
        <f t="shared" si="249"/>
        <v>5350.0089100175128</v>
      </c>
      <c r="EG162" s="167">
        <f t="shared" si="249"/>
        <v>5360.7928077688748</v>
      </c>
      <c r="EH162" s="167">
        <f t="shared" si="249"/>
        <v>5371.5985179771187</v>
      </c>
      <c r="EI162" s="167">
        <f t="shared" si="249"/>
        <v>5382.4260850425853</v>
      </c>
      <c r="EJ162" s="24"/>
      <c r="EK162" s="24"/>
      <c r="EL162" s="24"/>
      <c r="EM162" s="1" t="s">
        <v>178</v>
      </c>
    </row>
    <row r="163" spans="4:143" x14ac:dyDescent="0.45"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1" t="s">
        <v>178</v>
      </c>
    </row>
    <row r="164" spans="4:143" x14ac:dyDescent="0.45">
      <c r="D164" s="74" t="str">
        <f>H$88&amp;" above "&amp;TEXT(L$88,"0.0%")</f>
        <v>Hurdle 3 above 20.0%</v>
      </c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  <c r="BG164" s="167"/>
      <c r="BH164" s="167"/>
      <c r="BI164" s="167"/>
      <c r="BJ164" s="167"/>
      <c r="BK164" s="167"/>
      <c r="BL164" s="167"/>
      <c r="BM164" s="167"/>
      <c r="BN164" s="167"/>
      <c r="BO164" s="167"/>
      <c r="BP164" s="167"/>
      <c r="BQ164" s="167"/>
      <c r="BR164" s="167"/>
      <c r="BS164" s="167"/>
      <c r="BT164" s="167"/>
      <c r="BU164" s="167"/>
      <c r="BV164" s="167"/>
      <c r="BW164" s="167"/>
      <c r="BX164" s="167"/>
      <c r="BY164" s="167"/>
      <c r="BZ164" s="167"/>
      <c r="CA164" s="167"/>
      <c r="CB164" s="167"/>
      <c r="CC164" s="167"/>
      <c r="CD164" s="167"/>
      <c r="CE164" s="167"/>
      <c r="CF164" s="167"/>
      <c r="CG164" s="167"/>
      <c r="CH164" s="167"/>
      <c r="CI164" s="167"/>
      <c r="CJ164" s="167"/>
      <c r="CK164" s="167"/>
      <c r="CL164" s="167"/>
      <c r="CM164" s="167"/>
      <c r="CN164" s="167"/>
      <c r="CO164" s="167"/>
      <c r="CP164" s="167"/>
      <c r="CQ164" s="167"/>
      <c r="CR164" s="167"/>
      <c r="CS164" s="167"/>
      <c r="CT164" s="167"/>
      <c r="CU164" s="167"/>
      <c r="CV164" s="167"/>
      <c r="CW164" s="167"/>
      <c r="CX164" s="167"/>
      <c r="CY164" s="167"/>
      <c r="CZ164" s="167"/>
      <c r="DA164" s="167"/>
      <c r="DB164" s="167"/>
      <c r="DC164" s="167"/>
      <c r="DD164" s="167"/>
      <c r="DE164" s="167"/>
      <c r="DF164" s="167"/>
      <c r="DG164" s="167"/>
      <c r="DH164" s="167"/>
      <c r="DI164" s="167"/>
      <c r="DJ164" s="167"/>
      <c r="DK164" s="167"/>
      <c r="DL164" s="167"/>
      <c r="DM164" s="167"/>
      <c r="DN164" s="167"/>
      <c r="DO164" s="167"/>
      <c r="DP164" s="167"/>
      <c r="DQ164" s="167"/>
      <c r="DR164" s="167"/>
      <c r="DS164" s="167"/>
      <c r="DT164" s="167"/>
      <c r="DU164" s="167"/>
      <c r="DV164" s="167"/>
      <c r="DW164" s="167"/>
      <c r="DX164" s="167"/>
      <c r="DY164" s="167"/>
      <c r="DZ164" s="167"/>
      <c r="EA164" s="167"/>
      <c r="EB164" s="167"/>
      <c r="EC164" s="167"/>
      <c r="ED164" s="167"/>
      <c r="EE164" s="167"/>
      <c r="EF164" s="167"/>
      <c r="EG164" s="167"/>
      <c r="EH164" s="167"/>
      <c r="EI164" s="167"/>
      <c r="EJ164" s="24"/>
      <c r="EK164" s="24"/>
      <c r="EL164" s="24"/>
      <c r="EM164" s="1" t="s">
        <v>178</v>
      </c>
    </row>
    <row r="165" spans="4:143" x14ac:dyDescent="0.45">
      <c r="D165" s="1" t="s">
        <v>201</v>
      </c>
      <c r="E165" s="154">
        <f>+$K$88</f>
        <v>0.3</v>
      </c>
      <c r="F165" s="24"/>
      <c r="G165" s="24">
        <f>+$E$165*G162</f>
        <v>0</v>
      </c>
      <c r="H165" s="24">
        <f t="shared" ref="H165:BS165" si="250">+$E$165*H162</f>
        <v>0</v>
      </c>
      <c r="I165" s="24">
        <f t="shared" si="250"/>
        <v>0</v>
      </c>
      <c r="J165" s="24">
        <f t="shared" si="250"/>
        <v>0</v>
      </c>
      <c r="K165" s="24">
        <f t="shared" si="250"/>
        <v>0</v>
      </c>
      <c r="L165" s="24">
        <f t="shared" si="250"/>
        <v>0</v>
      </c>
      <c r="M165" s="24">
        <f t="shared" si="250"/>
        <v>0</v>
      </c>
      <c r="N165" s="24">
        <f t="shared" si="250"/>
        <v>0</v>
      </c>
      <c r="O165" s="24">
        <f t="shared" si="250"/>
        <v>0</v>
      </c>
      <c r="P165" s="24">
        <f t="shared" si="250"/>
        <v>0</v>
      </c>
      <c r="Q165" s="24">
        <f t="shared" si="250"/>
        <v>0</v>
      </c>
      <c r="R165" s="24">
        <f t="shared" si="250"/>
        <v>0</v>
      </c>
      <c r="S165" s="24">
        <f t="shared" si="250"/>
        <v>0</v>
      </c>
      <c r="T165" s="24">
        <f t="shared" si="250"/>
        <v>0</v>
      </c>
      <c r="U165" s="24">
        <f t="shared" si="250"/>
        <v>0</v>
      </c>
      <c r="V165" s="24">
        <f t="shared" si="250"/>
        <v>0</v>
      </c>
      <c r="W165" s="24">
        <f t="shared" si="250"/>
        <v>0</v>
      </c>
      <c r="X165" s="24">
        <f t="shared" si="250"/>
        <v>0</v>
      </c>
      <c r="Y165" s="24">
        <f t="shared" si="250"/>
        <v>0</v>
      </c>
      <c r="Z165" s="24">
        <f t="shared" si="250"/>
        <v>0</v>
      </c>
      <c r="AA165" s="24">
        <f t="shared" si="250"/>
        <v>0</v>
      </c>
      <c r="AB165" s="24">
        <f t="shared" si="250"/>
        <v>0</v>
      </c>
      <c r="AC165" s="24">
        <f t="shared" si="250"/>
        <v>0</v>
      </c>
      <c r="AD165" s="24">
        <f t="shared" si="250"/>
        <v>0</v>
      </c>
      <c r="AE165" s="24">
        <f t="shared" si="250"/>
        <v>0</v>
      </c>
      <c r="AF165" s="24">
        <f t="shared" si="250"/>
        <v>0</v>
      </c>
      <c r="AG165" s="24">
        <f t="shared" si="250"/>
        <v>0</v>
      </c>
      <c r="AH165" s="24">
        <f t="shared" si="250"/>
        <v>0</v>
      </c>
      <c r="AI165" s="24">
        <f t="shared" si="250"/>
        <v>0</v>
      </c>
      <c r="AJ165" s="24">
        <f t="shared" si="250"/>
        <v>0</v>
      </c>
      <c r="AK165" s="24">
        <f t="shared" si="250"/>
        <v>0</v>
      </c>
      <c r="AL165" s="24">
        <f t="shared" si="250"/>
        <v>0</v>
      </c>
      <c r="AM165" s="24">
        <f t="shared" si="250"/>
        <v>0</v>
      </c>
      <c r="AN165" s="24">
        <f t="shared" si="250"/>
        <v>0</v>
      </c>
      <c r="AO165" s="24">
        <f t="shared" si="250"/>
        <v>0</v>
      </c>
      <c r="AP165" s="24">
        <f t="shared" si="250"/>
        <v>0</v>
      </c>
      <c r="AQ165" s="24">
        <f t="shared" si="250"/>
        <v>28551.878937083948</v>
      </c>
      <c r="AR165" s="24">
        <f t="shared" si="250"/>
        <v>8866.4456066881703</v>
      </c>
      <c r="AS165" s="24">
        <f t="shared" si="250"/>
        <v>8961.6430963668263</v>
      </c>
      <c r="AT165" s="24">
        <f t="shared" si="250"/>
        <v>9057.0440921558074</v>
      </c>
      <c r="AU165" s="24">
        <f t="shared" si="250"/>
        <v>9152.6490274916578</v>
      </c>
      <c r="AV165" s="24">
        <f t="shared" si="250"/>
        <v>9248.458336727761</v>
      </c>
      <c r="AW165" s="24">
        <f t="shared" si="250"/>
        <v>9344.4724551364907</v>
      </c>
      <c r="AX165" s="24">
        <f t="shared" si="250"/>
        <v>9440.6918189117205</v>
      </c>
      <c r="AY165" s="24">
        <f t="shared" si="250"/>
        <v>9537.116865169668</v>
      </c>
      <c r="AZ165" s="24">
        <f t="shared" si="250"/>
        <v>9633.7480319522019</v>
      </c>
      <c r="BA165" s="24">
        <f t="shared" si="250"/>
        <v>9730.5857582277567</v>
      </c>
      <c r="BB165" s="24">
        <f t="shared" si="250"/>
        <v>9827.6304838933629</v>
      </c>
      <c r="BC165" s="24">
        <f t="shared" si="250"/>
        <v>9924.8826497770242</v>
      </c>
      <c r="BD165" s="24">
        <f t="shared" si="250"/>
        <v>10022.342697639777</v>
      </c>
      <c r="BE165" s="24">
        <f t="shared" si="250"/>
        <v>10120.011070176954</v>
      </c>
      <c r="BF165" s="24">
        <f t="shared" si="250"/>
        <v>10217.888211020707</v>
      </c>
      <c r="BG165" s="24">
        <f t="shared" si="250"/>
        <v>10315.974564741971</v>
      </c>
      <c r="BH165" s="24">
        <f t="shared" si="250"/>
        <v>10414.270576852165</v>
      </c>
      <c r="BI165" s="24">
        <f t="shared" si="250"/>
        <v>10512.776693805208</v>
      </c>
      <c r="BJ165" s="24">
        <f t="shared" si="250"/>
        <v>10611.493362999896</v>
      </c>
      <c r="BK165" s="24">
        <f t="shared" si="250"/>
        <v>10710.421032781271</v>
      </c>
      <c r="BL165" s="24">
        <f t="shared" si="250"/>
        <v>10809.560152443164</v>
      </c>
      <c r="BM165" s="24">
        <f t="shared" si="250"/>
        <v>10908.911172230097</v>
      </c>
      <c r="BN165" s="24">
        <f t="shared" si="250"/>
        <v>11008.474543338678</v>
      </c>
      <c r="BO165" s="24">
        <f t="shared" si="250"/>
        <v>2966242.1564776241</v>
      </c>
      <c r="BP165" s="24">
        <f t="shared" si="250"/>
        <v>0</v>
      </c>
      <c r="BQ165" s="24">
        <f t="shared" si="250"/>
        <v>1402.4792895777011</v>
      </c>
      <c r="BR165" s="24">
        <f t="shared" si="250"/>
        <v>1405.3049967815039</v>
      </c>
      <c r="BS165" s="24">
        <f t="shared" si="250"/>
        <v>1408.1364143966914</v>
      </c>
      <c r="BT165" s="24">
        <f t="shared" ref="BT165:CV165" si="251">+$E$165*BT162</f>
        <v>1410.9735540427193</v>
      </c>
      <c r="BU165" s="24">
        <f t="shared" si="251"/>
        <v>1413.8164273627528</v>
      </c>
      <c r="BV165" s="24">
        <f t="shared" si="251"/>
        <v>1416.665046023719</v>
      </c>
      <c r="BW165" s="24">
        <f t="shared" si="251"/>
        <v>1419.5194217163482</v>
      </c>
      <c r="BX165" s="24">
        <f t="shared" si="251"/>
        <v>1422.3795661552228</v>
      </c>
      <c r="BY165" s="24">
        <f t="shared" si="251"/>
        <v>1425.245491078836</v>
      </c>
      <c r="BZ165" s="24">
        <f t="shared" si="251"/>
        <v>1428.1172082496269</v>
      </c>
      <c r="CA165" s="24">
        <f t="shared" si="251"/>
        <v>1430.9947294540477</v>
      </c>
      <c r="CB165" s="24">
        <f t="shared" si="251"/>
        <v>1433.8780665025859</v>
      </c>
      <c r="CC165" s="24">
        <f t="shared" si="251"/>
        <v>1436.7672312298448</v>
      </c>
      <c r="CD165" s="24">
        <f t="shared" si="251"/>
        <v>1439.6622354945648</v>
      </c>
      <c r="CE165" s="24">
        <f t="shared" si="251"/>
        <v>1442.5630911796907</v>
      </c>
      <c r="CF165" s="24">
        <f t="shared" si="251"/>
        <v>1445.4698101924184</v>
      </c>
      <c r="CG165" s="24">
        <f t="shared" si="251"/>
        <v>1448.3824044642352</v>
      </c>
      <c r="CH165" s="24">
        <f t="shared" si="251"/>
        <v>1451.3008859509785</v>
      </c>
      <c r="CI165" s="24">
        <f t="shared" si="251"/>
        <v>1454.225266632885</v>
      </c>
      <c r="CJ165" s="24">
        <f t="shared" si="251"/>
        <v>1457.1555585146359</v>
      </c>
      <c r="CK165" s="24">
        <f t="shared" si="251"/>
        <v>1460.0917736254094</v>
      </c>
      <c r="CL165" s="24">
        <f t="shared" si="251"/>
        <v>1463.0339240189385</v>
      </c>
      <c r="CM165" s="24">
        <f t="shared" si="251"/>
        <v>1465.9820217735405</v>
      </c>
      <c r="CN165" s="24">
        <f t="shared" si="251"/>
        <v>1468.9360789921893</v>
      </c>
      <c r="CO165" s="24">
        <f t="shared" si="251"/>
        <v>1471.8961078025563</v>
      </c>
      <c r="CP165" s="24">
        <f t="shared" si="251"/>
        <v>1474.8621203570585</v>
      </c>
      <c r="CQ165" s="24">
        <f t="shared" si="251"/>
        <v>1477.83412883292</v>
      </c>
      <c r="CR165" s="24">
        <f t="shared" si="251"/>
        <v>1480.8121454321974</v>
      </c>
      <c r="CS165" s="24">
        <f t="shared" si="251"/>
        <v>1483.7961823818709</v>
      </c>
      <c r="CT165" s="24">
        <f t="shared" si="251"/>
        <v>1486.7862519338526</v>
      </c>
      <c r="CU165" s="24">
        <f t="shared" si="251"/>
        <v>1489.7823663650709</v>
      </c>
      <c r="CV165" s="24">
        <f t="shared" si="251"/>
        <v>1492.7845379774967</v>
      </c>
      <c r="CW165" s="24">
        <f t="shared" ref="CW165:EI165" si="252">+$E$165*CW162</f>
        <v>1495.792779098221</v>
      </c>
      <c r="CX165" s="24">
        <f t="shared" si="252"/>
        <v>1498.8071020794735</v>
      </c>
      <c r="CY165" s="24">
        <f t="shared" si="252"/>
        <v>1501.8275192987032</v>
      </c>
      <c r="CZ165" s="24">
        <f t="shared" si="252"/>
        <v>1504.8540431586164</v>
      </c>
      <c r="DA165" s="24">
        <f t="shared" si="252"/>
        <v>1507.8866860872315</v>
      </c>
      <c r="DB165" s="24">
        <f t="shared" si="252"/>
        <v>1510.9254605379219</v>
      </c>
      <c r="DC165" s="24">
        <f t="shared" si="252"/>
        <v>1513.9703789894904</v>
      </c>
      <c r="DD165" s="24">
        <f t="shared" si="252"/>
        <v>1517.0214539461886</v>
      </c>
      <c r="DE165" s="24">
        <f t="shared" si="252"/>
        <v>1520.0786979377997</v>
      </c>
      <c r="DF165" s="24">
        <f t="shared" si="252"/>
        <v>1523.1421235196724</v>
      </c>
      <c r="DG165" s="24">
        <f t="shared" si="252"/>
        <v>1526.2117432727837</v>
      </c>
      <c r="DH165" s="24">
        <f t="shared" si="252"/>
        <v>1529.2875698037785</v>
      </c>
      <c r="DI165" s="24">
        <f t="shared" si="252"/>
        <v>1532.3696157450297</v>
      </c>
      <c r="DJ165" s="24">
        <f t="shared" si="252"/>
        <v>1535.4578937547046</v>
      </c>
      <c r="DK165" s="24">
        <f t="shared" si="252"/>
        <v>1538.5524165167849</v>
      </c>
      <c r="DL165" s="24">
        <f t="shared" si="252"/>
        <v>1541.6531967411495</v>
      </c>
      <c r="DM165" s="24">
        <f t="shared" si="252"/>
        <v>1544.7602471636189</v>
      </c>
      <c r="DN165" s="24">
        <f t="shared" si="252"/>
        <v>1547.8735805459976</v>
      </c>
      <c r="DO165" s="24">
        <f t="shared" si="252"/>
        <v>1550.9932096761424</v>
      </c>
      <c r="DP165" s="24">
        <f t="shared" si="252"/>
        <v>1554.1191473679942</v>
      </c>
      <c r="DQ165" s="24">
        <f t="shared" si="252"/>
        <v>1557.2514064616721</v>
      </c>
      <c r="DR165" s="24">
        <f t="shared" si="252"/>
        <v>1560.3899998234735</v>
      </c>
      <c r="DS165" s="24">
        <f t="shared" si="252"/>
        <v>1563.5349403459704</v>
      </c>
      <c r="DT165" s="24">
        <f t="shared" si="252"/>
        <v>1566.6862409480436</v>
      </c>
      <c r="DU165" s="24">
        <f t="shared" si="252"/>
        <v>1569.8439145749417</v>
      </c>
      <c r="DV165" s="24">
        <f t="shared" si="252"/>
        <v>1573.0079741983357</v>
      </c>
      <c r="DW165" s="24">
        <f t="shared" si="252"/>
        <v>1576.1784328163587</v>
      </c>
      <c r="DX165" s="24">
        <f t="shared" si="252"/>
        <v>1579.3553034536851</v>
      </c>
      <c r="DY165" s="24">
        <f t="shared" si="252"/>
        <v>1582.5385991615742</v>
      </c>
      <c r="DZ165" s="24">
        <f t="shared" si="252"/>
        <v>1585.7283330179107</v>
      </c>
      <c r="EA165" s="24">
        <f t="shared" si="252"/>
        <v>1588.9245181272745</v>
      </c>
      <c r="EB165" s="24">
        <f t="shared" si="252"/>
        <v>1592.1271676210008</v>
      </c>
      <c r="EC165" s="24">
        <f t="shared" si="252"/>
        <v>1595.3362946572195</v>
      </c>
      <c r="ED165" s="24">
        <f t="shared" si="252"/>
        <v>1598.5519124209059</v>
      </c>
      <c r="EE165" s="24">
        <f t="shared" si="252"/>
        <v>1601.7740341239644</v>
      </c>
      <c r="EF165" s="24">
        <f t="shared" si="252"/>
        <v>1605.0026730052539</v>
      </c>
      <c r="EG165" s="24">
        <f t="shared" si="252"/>
        <v>1608.2378423306625</v>
      </c>
      <c r="EH165" s="24">
        <f t="shared" si="252"/>
        <v>1611.4795553931356</v>
      </c>
      <c r="EI165" s="24">
        <f t="shared" si="252"/>
        <v>1614.7278255127756</v>
      </c>
      <c r="EJ165" s="24"/>
      <c r="EK165" s="24"/>
      <c r="EL165" s="24"/>
      <c r="EM165" s="1" t="s">
        <v>178</v>
      </c>
    </row>
    <row r="166" spans="4:143" x14ac:dyDescent="0.45"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1" t="s">
        <v>178</v>
      </c>
    </row>
    <row r="167" spans="4:143" x14ac:dyDescent="0.45">
      <c r="D167" s="1" t="s">
        <v>197</v>
      </c>
      <c r="E167" s="154">
        <f>(1-E165)</f>
        <v>0.7</v>
      </c>
      <c r="F167" s="24"/>
      <c r="G167" s="24">
        <f>+$E$167*G162</f>
        <v>0</v>
      </c>
      <c r="H167" s="24">
        <f t="shared" ref="H167:BS167" si="253">+$E$167*H162</f>
        <v>0</v>
      </c>
      <c r="I167" s="24">
        <f t="shared" si="253"/>
        <v>0</v>
      </c>
      <c r="J167" s="24">
        <f t="shared" si="253"/>
        <v>0</v>
      </c>
      <c r="K167" s="24">
        <f t="shared" si="253"/>
        <v>0</v>
      </c>
      <c r="L167" s="24">
        <f t="shared" si="253"/>
        <v>0</v>
      </c>
      <c r="M167" s="24">
        <f t="shared" si="253"/>
        <v>0</v>
      </c>
      <c r="N167" s="24">
        <f t="shared" si="253"/>
        <v>0</v>
      </c>
      <c r="O167" s="24">
        <f t="shared" si="253"/>
        <v>0</v>
      </c>
      <c r="P167" s="24">
        <f t="shared" si="253"/>
        <v>0</v>
      </c>
      <c r="Q167" s="24">
        <f t="shared" si="253"/>
        <v>0</v>
      </c>
      <c r="R167" s="24">
        <f t="shared" si="253"/>
        <v>0</v>
      </c>
      <c r="S167" s="24">
        <f t="shared" si="253"/>
        <v>0</v>
      </c>
      <c r="T167" s="24">
        <f t="shared" si="253"/>
        <v>0</v>
      </c>
      <c r="U167" s="24">
        <f t="shared" si="253"/>
        <v>0</v>
      </c>
      <c r="V167" s="24">
        <f t="shared" si="253"/>
        <v>0</v>
      </c>
      <c r="W167" s="24">
        <f t="shared" si="253"/>
        <v>0</v>
      </c>
      <c r="X167" s="24">
        <f t="shared" si="253"/>
        <v>0</v>
      </c>
      <c r="Y167" s="24">
        <f t="shared" si="253"/>
        <v>0</v>
      </c>
      <c r="Z167" s="24">
        <f t="shared" si="253"/>
        <v>0</v>
      </c>
      <c r="AA167" s="24">
        <f t="shared" si="253"/>
        <v>0</v>
      </c>
      <c r="AB167" s="24">
        <f t="shared" si="253"/>
        <v>0</v>
      </c>
      <c r="AC167" s="24">
        <f t="shared" si="253"/>
        <v>0</v>
      </c>
      <c r="AD167" s="24">
        <f t="shared" si="253"/>
        <v>0</v>
      </c>
      <c r="AE167" s="24">
        <f t="shared" si="253"/>
        <v>0</v>
      </c>
      <c r="AF167" s="24">
        <f t="shared" si="253"/>
        <v>0</v>
      </c>
      <c r="AG167" s="24">
        <f t="shared" si="253"/>
        <v>0</v>
      </c>
      <c r="AH167" s="24">
        <f t="shared" si="253"/>
        <v>0</v>
      </c>
      <c r="AI167" s="24">
        <f t="shared" si="253"/>
        <v>0</v>
      </c>
      <c r="AJ167" s="24">
        <f t="shared" si="253"/>
        <v>0</v>
      </c>
      <c r="AK167" s="24">
        <f t="shared" si="253"/>
        <v>0</v>
      </c>
      <c r="AL167" s="24">
        <f t="shared" si="253"/>
        <v>0</v>
      </c>
      <c r="AM167" s="24">
        <f t="shared" si="253"/>
        <v>0</v>
      </c>
      <c r="AN167" s="24">
        <f t="shared" si="253"/>
        <v>0</v>
      </c>
      <c r="AO167" s="24">
        <f t="shared" si="253"/>
        <v>0</v>
      </c>
      <c r="AP167" s="24">
        <f t="shared" si="253"/>
        <v>0</v>
      </c>
      <c r="AQ167" s="24">
        <f t="shared" si="253"/>
        <v>66621.050853195877</v>
      </c>
      <c r="AR167" s="24">
        <f t="shared" si="253"/>
        <v>20688.373082272399</v>
      </c>
      <c r="AS167" s="24">
        <f t="shared" si="253"/>
        <v>20910.500558189258</v>
      </c>
      <c r="AT167" s="24">
        <f t="shared" si="253"/>
        <v>21133.102881696883</v>
      </c>
      <c r="AU167" s="24">
        <f t="shared" si="253"/>
        <v>21356.1810641472</v>
      </c>
      <c r="AV167" s="24">
        <f t="shared" si="253"/>
        <v>21579.736119031444</v>
      </c>
      <c r="AW167" s="24">
        <f t="shared" si="253"/>
        <v>21803.769061985142</v>
      </c>
      <c r="AX167" s="24">
        <f t="shared" si="253"/>
        <v>22028.280910794016</v>
      </c>
      <c r="AY167" s="24">
        <f t="shared" si="253"/>
        <v>22253.272685395892</v>
      </c>
      <c r="AZ167" s="24">
        <f t="shared" si="253"/>
        <v>22478.745407888473</v>
      </c>
      <c r="BA167" s="24">
        <f t="shared" si="253"/>
        <v>22704.700102531431</v>
      </c>
      <c r="BB167" s="24">
        <f t="shared" si="253"/>
        <v>22931.13779575118</v>
      </c>
      <c r="BC167" s="24">
        <f t="shared" si="253"/>
        <v>23158.05951614639</v>
      </c>
      <c r="BD167" s="24">
        <f t="shared" si="253"/>
        <v>23385.46629449281</v>
      </c>
      <c r="BE167" s="24">
        <f t="shared" si="253"/>
        <v>23613.359163746227</v>
      </c>
      <c r="BF167" s="24">
        <f t="shared" si="253"/>
        <v>23841.739159048313</v>
      </c>
      <c r="BG167" s="24">
        <f t="shared" si="253"/>
        <v>24070.607317731268</v>
      </c>
      <c r="BH167" s="24">
        <f t="shared" si="253"/>
        <v>24299.964679321714</v>
      </c>
      <c r="BI167" s="24">
        <f t="shared" si="253"/>
        <v>24529.812285545486</v>
      </c>
      <c r="BJ167" s="24">
        <f t="shared" si="253"/>
        <v>24760.15118033309</v>
      </c>
      <c r="BK167" s="24">
        <f t="shared" si="253"/>
        <v>24990.982409822962</v>
      </c>
      <c r="BL167" s="24">
        <f t="shared" si="253"/>
        <v>25222.307022367382</v>
      </c>
      <c r="BM167" s="24">
        <f t="shared" si="253"/>
        <v>25454.126068536894</v>
      </c>
      <c r="BN167" s="24">
        <f t="shared" si="253"/>
        <v>25686.440601123581</v>
      </c>
      <c r="BO167" s="24">
        <f t="shared" si="253"/>
        <v>6921231.69844779</v>
      </c>
      <c r="BP167" s="24">
        <f t="shared" si="253"/>
        <v>0</v>
      </c>
      <c r="BQ167" s="24">
        <f t="shared" si="253"/>
        <v>3272.4516756813023</v>
      </c>
      <c r="BR167" s="24">
        <f t="shared" si="253"/>
        <v>3279.0449924901759</v>
      </c>
      <c r="BS167" s="24">
        <f t="shared" si="253"/>
        <v>3285.6516335922802</v>
      </c>
      <c r="BT167" s="24">
        <f t="shared" ref="BT167:CV167" si="254">+$E$167*BT162</f>
        <v>3292.2716260996781</v>
      </c>
      <c r="BU167" s="24">
        <f t="shared" si="254"/>
        <v>3298.9049971797563</v>
      </c>
      <c r="BV167" s="24">
        <f t="shared" si="254"/>
        <v>3305.5517740553446</v>
      </c>
      <c r="BW167" s="24">
        <f t="shared" si="254"/>
        <v>3312.2119840048122</v>
      </c>
      <c r="BX167" s="24">
        <f t="shared" si="254"/>
        <v>3318.8856543621869</v>
      </c>
      <c r="BY167" s="24">
        <f t="shared" si="254"/>
        <v>3325.5728125172841</v>
      </c>
      <c r="BZ167" s="24">
        <f t="shared" si="254"/>
        <v>3332.2734859157958</v>
      </c>
      <c r="CA167" s="24">
        <f t="shared" si="254"/>
        <v>3338.9877020594449</v>
      </c>
      <c r="CB167" s="24">
        <f t="shared" si="254"/>
        <v>3345.7154885060336</v>
      </c>
      <c r="CC167" s="24">
        <f t="shared" si="254"/>
        <v>3352.4568728696381</v>
      </c>
      <c r="CD167" s="24">
        <f t="shared" si="254"/>
        <v>3359.2118828206512</v>
      </c>
      <c r="CE167" s="24">
        <f t="shared" si="254"/>
        <v>3365.9805460859448</v>
      </c>
      <c r="CF167" s="24">
        <f t="shared" si="254"/>
        <v>3372.7628904489766</v>
      </c>
      <c r="CG167" s="24">
        <f t="shared" si="254"/>
        <v>3379.558943749882</v>
      </c>
      <c r="CH167" s="24">
        <f t="shared" si="254"/>
        <v>3386.3687338856166</v>
      </c>
      <c r="CI167" s="24">
        <f t="shared" si="254"/>
        <v>3393.1922888100648</v>
      </c>
      <c r="CJ167" s="24">
        <f t="shared" si="254"/>
        <v>3400.0296365341501</v>
      </c>
      <c r="CK167" s="24">
        <f t="shared" si="254"/>
        <v>3406.8808051259548</v>
      </c>
      <c r="CL167" s="24">
        <f t="shared" si="254"/>
        <v>3413.7458227108564</v>
      </c>
      <c r="CM167" s="24">
        <f t="shared" si="254"/>
        <v>3420.6247174715945</v>
      </c>
      <c r="CN167" s="24">
        <f t="shared" si="254"/>
        <v>3427.5175176484418</v>
      </c>
      <c r="CO167" s="24">
        <f t="shared" si="254"/>
        <v>3434.424251539298</v>
      </c>
      <c r="CP167" s="24">
        <f t="shared" si="254"/>
        <v>3441.3449474998029</v>
      </c>
      <c r="CQ167" s="24">
        <f t="shared" si="254"/>
        <v>3448.2796339434799</v>
      </c>
      <c r="CR167" s="24">
        <f t="shared" si="254"/>
        <v>3455.2283393417943</v>
      </c>
      <c r="CS167" s="24">
        <f t="shared" si="254"/>
        <v>3462.1910922243655</v>
      </c>
      <c r="CT167" s="24">
        <f t="shared" si="254"/>
        <v>3469.1679211789892</v>
      </c>
      <c r="CU167" s="24">
        <f t="shared" si="254"/>
        <v>3476.1588548518316</v>
      </c>
      <c r="CV167" s="24">
        <f t="shared" si="254"/>
        <v>3483.1639219474923</v>
      </c>
      <c r="CW167" s="24">
        <f t="shared" ref="CW167:EI167" si="255">+$E$167*CW162</f>
        <v>3490.1831512291819</v>
      </c>
      <c r="CX167" s="24">
        <f t="shared" si="255"/>
        <v>3497.2165715187716</v>
      </c>
      <c r="CY167" s="24">
        <f t="shared" si="255"/>
        <v>3504.2642116969741</v>
      </c>
      <c r="CZ167" s="24">
        <f t="shared" si="255"/>
        <v>3511.3261007034384</v>
      </c>
      <c r="DA167" s="24">
        <f t="shared" si="255"/>
        <v>3518.4022675368738</v>
      </c>
      <c r="DB167" s="24">
        <f t="shared" si="255"/>
        <v>3525.492741255151</v>
      </c>
      <c r="DC167" s="24">
        <f t="shared" si="255"/>
        <v>3532.5975509754776</v>
      </c>
      <c r="DD167" s="24">
        <f t="shared" si="255"/>
        <v>3539.7167258744398</v>
      </c>
      <c r="DE167" s="24">
        <f t="shared" si="255"/>
        <v>3546.8502951881992</v>
      </c>
      <c r="DF167" s="24">
        <f t="shared" si="255"/>
        <v>3553.9982882125692</v>
      </c>
      <c r="DG167" s="24">
        <f t="shared" si="255"/>
        <v>3561.1607343031619</v>
      </c>
      <c r="DH167" s="24">
        <f t="shared" si="255"/>
        <v>3568.3376628754831</v>
      </c>
      <c r="DI167" s="24">
        <f t="shared" si="255"/>
        <v>3575.5291034050692</v>
      </c>
      <c r="DJ167" s="24">
        <f t="shared" si="255"/>
        <v>3582.7350854276438</v>
      </c>
      <c r="DK167" s="24">
        <f t="shared" si="255"/>
        <v>3589.9556385391643</v>
      </c>
      <c r="DL167" s="24">
        <f t="shared" si="255"/>
        <v>3597.1907923960157</v>
      </c>
      <c r="DM167" s="24">
        <f t="shared" si="255"/>
        <v>3604.4405767151111</v>
      </c>
      <c r="DN167" s="24">
        <f t="shared" si="255"/>
        <v>3611.7050212739946</v>
      </c>
      <c r="DO167" s="24">
        <f t="shared" si="255"/>
        <v>3618.9841559109987</v>
      </c>
      <c r="DP167" s="24">
        <f t="shared" si="255"/>
        <v>3626.2780105253196</v>
      </c>
      <c r="DQ167" s="24">
        <f t="shared" si="255"/>
        <v>3633.5866150772345</v>
      </c>
      <c r="DR167" s="24">
        <f t="shared" si="255"/>
        <v>3640.9099995881052</v>
      </c>
      <c r="DS167" s="24">
        <f t="shared" si="255"/>
        <v>3648.2481941405972</v>
      </c>
      <c r="DT167" s="24">
        <f t="shared" si="255"/>
        <v>3655.6012288787683</v>
      </c>
      <c r="DU167" s="24">
        <f t="shared" si="255"/>
        <v>3662.9691340081968</v>
      </c>
      <c r="DV167" s="24">
        <f t="shared" si="255"/>
        <v>3670.3519397961168</v>
      </c>
      <c r="DW167" s="24">
        <f t="shared" si="255"/>
        <v>3677.7496765715036</v>
      </c>
      <c r="DX167" s="24">
        <f t="shared" si="255"/>
        <v>3685.1623747252652</v>
      </c>
      <c r="DY167" s="24">
        <f t="shared" si="255"/>
        <v>3692.5900647103394</v>
      </c>
      <c r="DZ167" s="24">
        <f t="shared" si="255"/>
        <v>3700.0327770417912</v>
      </c>
      <c r="EA167" s="24">
        <f t="shared" si="255"/>
        <v>3707.4905422969737</v>
      </c>
      <c r="EB167" s="24">
        <f t="shared" si="255"/>
        <v>3714.9633911156684</v>
      </c>
      <c r="EC167" s="24">
        <f t="shared" si="255"/>
        <v>3722.4513542001787</v>
      </c>
      <c r="ED167" s="24">
        <f t="shared" si="255"/>
        <v>3729.9544623154466</v>
      </c>
      <c r="EE167" s="24">
        <f t="shared" si="255"/>
        <v>3737.4727462892502</v>
      </c>
      <c r="EF167" s="24">
        <f t="shared" si="255"/>
        <v>3745.0062370122587</v>
      </c>
      <c r="EG167" s="24">
        <f t="shared" si="255"/>
        <v>3752.5549654382121</v>
      </c>
      <c r="EH167" s="24">
        <f t="shared" si="255"/>
        <v>3760.1189625839829</v>
      </c>
      <c r="EI167" s="24">
        <f t="shared" si="255"/>
        <v>3767.6982595298095</v>
      </c>
      <c r="EJ167" s="24"/>
      <c r="EK167" s="24"/>
      <c r="EL167" s="24"/>
      <c r="EM167" s="1" t="s">
        <v>178</v>
      </c>
    </row>
    <row r="168" spans="4:143" x14ac:dyDescent="0.45">
      <c r="D168" s="2" t="s">
        <v>202</v>
      </c>
      <c r="E168" s="167"/>
      <c r="F168" s="167"/>
      <c r="G168" s="167">
        <f t="shared" ref="G168:AL168" si="256">SUM(G165:G167)</f>
        <v>0</v>
      </c>
      <c r="H168" s="167">
        <f t="shared" si="256"/>
        <v>0</v>
      </c>
      <c r="I168" s="167">
        <f t="shared" si="256"/>
        <v>0</v>
      </c>
      <c r="J168" s="167">
        <f t="shared" si="256"/>
        <v>0</v>
      </c>
      <c r="K168" s="167">
        <f t="shared" si="256"/>
        <v>0</v>
      </c>
      <c r="L168" s="167">
        <f t="shared" si="256"/>
        <v>0</v>
      </c>
      <c r="M168" s="167">
        <f t="shared" si="256"/>
        <v>0</v>
      </c>
      <c r="N168" s="167">
        <f t="shared" si="256"/>
        <v>0</v>
      </c>
      <c r="O168" s="167">
        <f t="shared" si="256"/>
        <v>0</v>
      </c>
      <c r="P168" s="167">
        <f t="shared" si="256"/>
        <v>0</v>
      </c>
      <c r="Q168" s="167">
        <f t="shared" si="256"/>
        <v>0</v>
      </c>
      <c r="R168" s="167">
        <f t="shared" si="256"/>
        <v>0</v>
      </c>
      <c r="S168" s="167">
        <f t="shared" si="256"/>
        <v>0</v>
      </c>
      <c r="T168" s="167">
        <f t="shared" si="256"/>
        <v>0</v>
      </c>
      <c r="U168" s="167">
        <f t="shared" si="256"/>
        <v>0</v>
      </c>
      <c r="V168" s="167">
        <f t="shared" si="256"/>
        <v>0</v>
      </c>
      <c r="W168" s="167">
        <f t="shared" si="256"/>
        <v>0</v>
      </c>
      <c r="X168" s="167">
        <f t="shared" si="256"/>
        <v>0</v>
      </c>
      <c r="Y168" s="167">
        <f t="shared" si="256"/>
        <v>0</v>
      </c>
      <c r="Z168" s="167">
        <f t="shared" si="256"/>
        <v>0</v>
      </c>
      <c r="AA168" s="167">
        <f t="shared" si="256"/>
        <v>0</v>
      </c>
      <c r="AB168" s="167">
        <f t="shared" si="256"/>
        <v>0</v>
      </c>
      <c r="AC168" s="167">
        <f t="shared" si="256"/>
        <v>0</v>
      </c>
      <c r="AD168" s="167">
        <f t="shared" si="256"/>
        <v>0</v>
      </c>
      <c r="AE168" s="167">
        <f t="shared" si="256"/>
        <v>0</v>
      </c>
      <c r="AF168" s="167">
        <f t="shared" si="256"/>
        <v>0</v>
      </c>
      <c r="AG168" s="167">
        <f t="shared" si="256"/>
        <v>0</v>
      </c>
      <c r="AH168" s="167">
        <f t="shared" si="256"/>
        <v>0</v>
      </c>
      <c r="AI168" s="167">
        <f t="shared" si="256"/>
        <v>0</v>
      </c>
      <c r="AJ168" s="167">
        <f t="shared" si="256"/>
        <v>0</v>
      </c>
      <c r="AK168" s="167">
        <f t="shared" si="256"/>
        <v>0</v>
      </c>
      <c r="AL168" s="167">
        <f t="shared" si="256"/>
        <v>0</v>
      </c>
      <c r="AM168" s="167">
        <f t="shared" ref="AM168:BR168" si="257">SUM(AM165:AM167)</f>
        <v>0</v>
      </c>
      <c r="AN168" s="167">
        <f t="shared" si="257"/>
        <v>0</v>
      </c>
      <c r="AO168" s="167">
        <f t="shared" si="257"/>
        <v>0</v>
      </c>
      <c r="AP168" s="167">
        <f t="shared" si="257"/>
        <v>0</v>
      </c>
      <c r="AQ168" s="167">
        <f t="shared" si="257"/>
        <v>95172.929790279828</v>
      </c>
      <c r="AR168" s="167">
        <f t="shared" si="257"/>
        <v>29554.818688960571</v>
      </c>
      <c r="AS168" s="167">
        <f t="shared" si="257"/>
        <v>29872.143654556086</v>
      </c>
      <c r="AT168" s="167">
        <f t="shared" si="257"/>
        <v>30190.14697385269</v>
      </c>
      <c r="AU168" s="167">
        <f t="shared" si="257"/>
        <v>30508.830091638858</v>
      </c>
      <c r="AV168" s="167">
        <f t="shared" si="257"/>
        <v>30828.194455759207</v>
      </c>
      <c r="AW168" s="167">
        <f t="shared" si="257"/>
        <v>31148.241517121634</v>
      </c>
      <c r="AX168" s="167">
        <f t="shared" si="257"/>
        <v>31468.972729705736</v>
      </c>
      <c r="AY168" s="167">
        <f t="shared" si="257"/>
        <v>31790.38955056556</v>
      </c>
      <c r="AZ168" s="167">
        <f t="shared" si="257"/>
        <v>32112.493439840677</v>
      </c>
      <c r="BA168" s="167">
        <f t="shared" si="257"/>
        <v>32435.285860759188</v>
      </c>
      <c r="BB168" s="167">
        <f t="shared" si="257"/>
        <v>32758.768279644544</v>
      </c>
      <c r="BC168" s="167">
        <f t="shared" si="257"/>
        <v>33082.942165923414</v>
      </c>
      <c r="BD168" s="167">
        <f t="shared" si="257"/>
        <v>33407.808992132588</v>
      </c>
      <c r="BE168" s="167">
        <f t="shared" si="257"/>
        <v>33733.370233923182</v>
      </c>
      <c r="BF168" s="167">
        <f t="shared" si="257"/>
        <v>34059.627370069022</v>
      </c>
      <c r="BG168" s="167">
        <f t="shared" si="257"/>
        <v>34386.581882473241</v>
      </c>
      <c r="BH168" s="167">
        <f t="shared" si="257"/>
        <v>34714.235256173881</v>
      </c>
      <c r="BI168" s="167">
        <f t="shared" si="257"/>
        <v>35042.588979350694</v>
      </c>
      <c r="BJ168" s="167">
        <f t="shared" si="257"/>
        <v>35371.644543332986</v>
      </c>
      <c r="BK168" s="167">
        <f t="shared" si="257"/>
        <v>35701.403442604234</v>
      </c>
      <c r="BL168" s="167">
        <f t="shared" si="257"/>
        <v>36031.867174810548</v>
      </c>
      <c r="BM168" s="167">
        <f t="shared" si="257"/>
        <v>36363.037240766993</v>
      </c>
      <c r="BN168" s="167">
        <f t="shared" si="257"/>
        <v>36694.915144462255</v>
      </c>
      <c r="BO168" s="167">
        <f t="shared" si="257"/>
        <v>9887473.8549254145</v>
      </c>
      <c r="BP168" s="167">
        <f t="shared" si="257"/>
        <v>0</v>
      </c>
      <c r="BQ168" s="167">
        <f t="shared" si="257"/>
        <v>4674.9309652590036</v>
      </c>
      <c r="BR168" s="167">
        <f t="shared" si="257"/>
        <v>4684.34998927168</v>
      </c>
      <c r="BS168" s="167">
        <f t="shared" ref="BS168:CX168" si="258">SUM(BS165:BS167)</f>
        <v>4693.7880479889718</v>
      </c>
      <c r="BT168" s="167">
        <f t="shared" si="258"/>
        <v>4703.2451801423977</v>
      </c>
      <c r="BU168" s="167">
        <f t="shared" si="258"/>
        <v>4712.7214245425093</v>
      </c>
      <c r="BV168" s="167">
        <f t="shared" si="258"/>
        <v>4722.2168200790638</v>
      </c>
      <c r="BW168" s="167">
        <f t="shared" si="258"/>
        <v>4731.7314057211606</v>
      </c>
      <c r="BX168" s="167">
        <f t="shared" si="258"/>
        <v>4741.2652205174099</v>
      </c>
      <c r="BY168" s="167">
        <f t="shared" si="258"/>
        <v>4750.8183035961201</v>
      </c>
      <c r="BZ168" s="167">
        <f t="shared" si="258"/>
        <v>4760.3906941654222</v>
      </c>
      <c r="CA168" s="167">
        <f t="shared" si="258"/>
        <v>4769.9824315134929</v>
      </c>
      <c r="CB168" s="167">
        <f t="shared" si="258"/>
        <v>4779.5935550086197</v>
      </c>
      <c r="CC168" s="167">
        <f t="shared" si="258"/>
        <v>4789.2241040994832</v>
      </c>
      <c r="CD168" s="167">
        <f t="shared" si="258"/>
        <v>4798.874118315216</v>
      </c>
      <c r="CE168" s="167">
        <f t="shared" si="258"/>
        <v>4808.543637265635</v>
      </c>
      <c r="CF168" s="167">
        <f t="shared" si="258"/>
        <v>4818.2327006413952</v>
      </c>
      <c r="CG168" s="167">
        <f t="shared" si="258"/>
        <v>4827.9413482141172</v>
      </c>
      <c r="CH168" s="167">
        <f t="shared" si="258"/>
        <v>4837.6696198365953</v>
      </c>
      <c r="CI168" s="167">
        <f t="shared" si="258"/>
        <v>4847.4175554429494</v>
      </c>
      <c r="CJ168" s="167">
        <f t="shared" si="258"/>
        <v>4857.1851950487862</v>
      </c>
      <c r="CK168" s="167">
        <f t="shared" si="258"/>
        <v>4866.9725787513644</v>
      </c>
      <c r="CL168" s="167">
        <f t="shared" si="258"/>
        <v>4876.7797467297951</v>
      </c>
      <c r="CM168" s="167">
        <f t="shared" si="258"/>
        <v>4886.606739245135</v>
      </c>
      <c r="CN168" s="167">
        <f t="shared" si="258"/>
        <v>4896.4535966406311</v>
      </c>
      <c r="CO168" s="167">
        <f t="shared" si="258"/>
        <v>4906.3203593418548</v>
      </c>
      <c r="CP168" s="167">
        <f t="shared" si="258"/>
        <v>4916.2070678568616</v>
      </c>
      <c r="CQ168" s="167">
        <f t="shared" si="258"/>
        <v>4926.1137627764001</v>
      </c>
      <c r="CR168" s="167">
        <f t="shared" si="258"/>
        <v>4936.0404847739919</v>
      </c>
      <c r="CS168" s="167">
        <f t="shared" si="258"/>
        <v>4945.9872746062365</v>
      </c>
      <c r="CT168" s="167">
        <f t="shared" si="258"/>
        <v>4955.954173112842</v>
      </c>
      <c r="CU168" s="167">
        <f t="shared" si="258"/>
        <v>4965.9412212169027</v>
      </c>
      <c r="CV168" s="167">
        <f t="shared" si="258"/>
        <v>4975.948459924989</v>
      </c>
      <c r="CW168" s="167">
        <f t="shared" si="258"/>
        <v>4985.9759303274031</v>
      </c>
      <c r="CX168" s="167">
        <f t="shared" si="258"/>
        <v>4996.0236735982453</v>
      </c>
      <c r="CY168" s="167">
        <f t="shared" ref="CY168:ED168" si="259">SUM(CY165:CY167)</f>
        <v>5006.0917309956776</v>
      </c>
      <c r="CZ168" s="167">
        <f t="shared" si="259"/>
        <v>5016.180143862055</v>
      </c>
      <c r="DA168" s="167">
        <f t="shared" si="259"/>
        <v>5026.2889536241055</v>
      </c>
      <c r="DB168" s="167">
        <f t="shared" si="259"/>
        <v>5036.4182017930725</v>
      </c>
      <c r="DC168" s="167">
        <f t="shared" si="259"/>
        <v>5046.5679299649682</v>
      </c>
      <c r="DD168" s="167">
        <f t="shared" si="259"/>
        <v>5056.7381798206279</v>
      </c>
      <c r="DE168" s="167">
        <f t="shared" si="259"/>
        <v>5066.9289931259991</v>
      </c>
      <c r="DF168" s="167">
        <f t="shared" si="259"/>
        <v>5077.1404117322418</v>
      </c>
      <c r="DG168" s="167">
        <f t="shared" si="259"/>
        <v>5087.3724775759456</v>
      </c>
      <c r="DH168" s="167">
        <f t="shared" si="259"/>
        <v>5097.6252326792619</v>
      </c>
      <c r="DI168" s="167">
        <f t="shared" si="259"/>
        <v>5107.8987191500992</v>
      </c>
      <c r="DJ168" s="167">
        <f t="shared" si="259"/>
        <v>5118.1929791823486</v>
      </c>
      <c r="DK168" s="167">
        <f t="shared" si="259"/>
        <v>5128.5080550559487</v>
      </c>
      <c r="DL168" s="167">
        <f t="shared" si="259"/>
        <v>5138.8439891371654</v>
      </c>
      <c r="DM168" s="167">
        <f t="shared" si="259"/>
        <v>5149.2008238787303</v>
      </c>
      <c r="DN168" s="167">
        <f t="shared" si="259"/>
        <v>5159.5786018199924</v>
      </c>
      <c r="DO168" s="167">
        <f t="shared" si="259"/>
        <v>5169.9773655871413</v>
      </c>
      <c r="DP168" s="167">
        <f t="shared" si="259"/>
        <v>5180.3971578933142</v>
      </c>
      <c r="DQ168" s="167">
        <f t="shared" si="259"/>
        <v>5190.8380215389061</v>
      </c>
      <c r="DR168" s="167">
        <f t="shared" si="259"/>
        <v>5201.2999994115789</v>
      </c>
      <c r="DS168" s="167">
        <f t="shared" si="259"/>
        <v>5211.7831344865681</v>
      </c>
      <c r="DT168" s="167">
        <f t="shared" si="259"/>
        <v>5222.2874698268115</v>
      </c>
      <c r="DU168" s="167">
        <f t="shared" si="259"/>
        <v>5232.8130485831389</v>
      </c>
      <c r="DV168" s="167">
        <f t="shared" si="259"/>
        <v>5243.3599139944527</v>
      </c>
      <c r="DW168" s="167">
        <f t="shared" si="259"/>
        <v>5253.9281093878626</v>
      </c>
      <c r="DX168" s="167">
        <f t="shared" si="259"/>
        <v>5264.5176781789505</v>
      </c>
      <c r="DY168" s="167">
        <f t="shared" si="259"/>
        <v>5275.1286638719139</v>
      </c>
      <c r="DZ168" s="167">
        <f t="shared" si="259"/>
        <v>5285.7611100597023</v>
      </c>
      <c r="EA168" s="167">
        <f t="shared" si="259"/>
        <v>5296.4150604242477</v>
      </c>
      <c r="EB168" s="167">
        <f t="shared" si="259"/>
        <v>5307.0905587366688</v>
      </c>
      <c r="EC168" s="167">
        <f t="shared" si="259"/>
        <v>5317.7876488573984</v>
      </c>
      <c r="ED168" s="167">
        <f t="shared" si="259"/>
        <v>5328.5063747363529</v>
      </c>
      <c r="EE168" s="167">
        <f>SUM(EE165:EE167)</f>
        <v>5339.2467804132148</v>
      </c>
      <c r="EF168" s="167">
        <f>SUM(EF165:EF167)</f>
        <v>5350.0089100175128</v>
      </c>
      <c r="EG168" s="167">
        <f>SUM(EG165:EG167)</f>
        <v>5360.7928077688748</v>
      </c>
      <c r="EH168" s="167">
        <f>SUM(EH165:EH167)</f>
        <v>5371.5985179771187</v>
      </c>
      <c r="EI168" s="167">
        <f>SUM(EI165:EI167)</f>
        <v>5382.4260850425853</v>
      </c>
      <c r="EJ168" s="24"/>
      <c r="EK168" s="24"/>
      <c r="EL168" s="24"/>
      <c r="EM168" s="1" t="s">
        <v>178</v>
      </c>
    </row>
    <row r="169" spans="4:143" x14ac:dyDescent="0.45"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1" t="s">
        <v>178</v>
      </c>
    </row>
    <row r="170" spans="4:143" x14ac:dyDescent="0.45"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1" t="s">
        <v>178</v>
      </c>
    </row>
    <row r="171" spans="4:143" x14ac:dyDescent="0.45"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1" t="s">
        <v>178</v>
      </c>
    </row>
    <row r="172" spans="4:143" x14ac:dyDescent="0.45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1" t="s">
        <v>178</v>
      </c>
    </row>
    <row r="173" spans="4:143" x14ac:dyDescent="0.45"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1" t="s">
        <v>178</v>
      </c>
    </row>
    <row r="174" spans="4:143" x14ac:dyDescent="0.45"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1" t="s">
        <v>178</v>
      </c>
    </row>
    <row r="175" spans="4:143" x14ac:dyDescent="0.45"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1" t="s">
        <v>178</v>
      </c>
    </row>
    <row r="176" spans="4:143" x14ac:dyDescent="0.45"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1" t="s">
        <v>178</v>
      </c>
    </row>
    <row r="177" spans="5:143" x14ac:dyDescent="0.45"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1" t="s">
        <v>178</v>
      </c>
    </row>
    <row r="178" spans="5:143" x14ac:dyDescent="0.45"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1" t="s">
        <v>178</v>
      </c>
    </row>
    <row r="179" spans="5:143" x14ac:dyDescent="0.45"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1" t="s">
        <v>178</v>
      </c>
    </row>
    <row r="180" spans="5:143" x14ac:dyDescent="0.45"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1" t="s">
        <v>178</v>
      </c>
    </row>
    <row r="181" spans="5:143" x14ac:dyDescent="0.45"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1" t="s">
        <v>178</v>
      </c>
    </row>
    <row r="182" spans="5:143" x14ac:dyDescent="0.45"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1" t="s">
        <v>178</v>
      </c>
    </row>
    <row r="183" spans="5:143" x14ac:dyDescent="0.45"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</row>
    <row r="184" spans="5:143" x14ac:dyDescent="0.45"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</row>
    <row r="185" spans="5:143" x14ac:dyDescent="0.45"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</row>
    <row r="186" spans="5:143" x14ac:dyDescent="0.45"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</row>
    <row r="187" spans="5:143" x14ac:dyDescent="0.45"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</row>
    <row r="188" spans="5:143" x14ac:dyDescent="0.45"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</row>
    <row r="189" spans="5:143" x14ac:dyDescent="0.45"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</row>
    <row r="190" spans="5:143" x14ac:dyDescent="0.45"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</row>
    <row r="191" spans="5:143" x14ac:dyDescent="0.45"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</row>
    <row r="192" spans="5:143" x14ac:dyDescent="0.45"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</row>
    <row r="193" spans="7:139" x14ac:dyDescent="0.45"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</row>
    <row r="194" spans="7:139" x14ac:dyDescent="0.45"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</row>
    <row r="195" spans="7:139" x14ac:dyDescent="0.45"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</row>
    <row r="196" spans="7:139" x14ac:dyDescent="0.45"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</row>
    <row r="197" spans="7:139" x14ac:dyDescent="0.45"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</row>
    <row r="198" spans="7:139" x14ac:dyDescent="0.45"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</row>
    <row r="199" spans="7:139" x14ac:dyDescent="0.45"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</row>
    <row r="200" spans="7:139" x14ac:dyDescent="0.45"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</row>
    <row r="201" spans="7:139" x14ac:dyDescent="0.45"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</row>
    <row r="202" spans="7:139" x14ac:dyDescent="0.45"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</row>
    <row r="203" spans="7:139" x14ac:dyDescent="0.45"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</row>
    <row r="204" spans="7:139" x14ac:dyDescent="0.45"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</row>
    <row r="205" spans="7:139" x14ac:dyDescent="0.45"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</row>
    <row r="206" spans="7:139" x14ac:dyDescent="0.45"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</row>
    <row r="207" spans="7:139" x14ac:dyDescent="0.45"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</row>
    <row r="208" spans="7:139" x14ac:dyDescent="0.45"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</row>
    <row r="209" spans="7:139" x14ac:dyDescent="0.45"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</row>
    <row r="210" spans="7:139" x14ac:dyDescent="0.45"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</row>
    <row r="211" spans="7:139" x14ac:dyDescent="0.45"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</row>
    <row r="212" spans="7:139" x14ac:dyDescent="0.45"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</row>
    <row r="213" spans="7:139" x14ac:dyDescent="0.45"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</row>
    <row r="214" spans="7:139" x14ac:dyDescent="0.45"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</row>
    <row r="215" spans="7:139" x14ac:dyDescent="0.45"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</row>
    <row r="216" spans="7:139" x14ac:dyDescent="0.45"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</row>
    <row r="217" spans="7:139" x14ac:dyDescent="0.45"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</row>
    <row r="218" spans="7:139" x14ac:dyDescent="0.45"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</row>
    <row r="219" spans="7:139" x14ac:dyDescent="0.45"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</row>
    <row r="220" spans="7:139" x14ac:dyDescent="0.45"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</row>
    <row r="221" spans="7:139" x14ac:dyDescent="0.45"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</row>
    <row r="222" spans="7:139" x14ac:dyDescent="0.45"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</row>
    <row r="223" spans="7:139" x14ac:dyDescent="0.45"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</row>
    <row r="224" spans="7:139" x14ac:dyDescent="0.45"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</row>
    <row r="225" spans="7:139" x14ac:dyDescent="0.45"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</row>
    <row r="226" spans="7:139" x14ac:dyDescent="0.45"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</row>
    <row r="227" spans="7:139" x14ac:dyDescent="0.45"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</row>
    <row r="228" spans="7:139" x14ac:dyDescent="0.45"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</row>
    <row r="229" spans="7:139" x14ac:dyDescent="0.45"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5142-EC4B-4DDC-80D4-698513F702A9}">
  <sheetPr>
    <tabColor theme="4"/>
  </sheetPr>
  <dimension ref="A1:W206"/>
  <sheetViews>
    <sheetView showGridLines="0" topLeftCell="A21" zoomScale="110" zoomScaleNormal="110" workbookViewId="0">
      <selection activeCell="G169" sqref="G169"/>
    </sheetView>
  </sheetViews>
  <sheetFormatPr defaultColWidth="9.1328125" defaultRowHeight="12.75" x14ac:dyDescent="0.45"/>
  <cols>
    <col min="1" max="1" width="9.46484375" style="1" bestFit="1" customWidth="1"/>
    <col min="2" max="2" width="9.1328125" style="1"/>
    <col min="3" max="3" width="11.3984375" style="1" bestFit="1" customWidth="1"/>
    <col min="4" max="4" width="16.19921875" style="1" bestFit="1" customWidth="1"/>
    <col min="5" max="5" width="13.46484375" style="1" bestFit="1" customWidth="1"/>
    <col min="6" max="6" width="11.796875" style="6" customWidth="1"/>
    <col min="7" max="7" width="11.46484375" style="1" customWidth="1"/>
    <col min="8" max="8" width="12.796875" style="1" customWidth="1"/>
    <col min="9" max="9" width="10.796875" style="1" customWidth="1"/>
    <col min="10" max="10" width="11.86328125" style="1" bestFit="1" customWidth="1"/>
    <col min="11" max="11" width="10.796875" style="1" customWidth="1"/>
    <col min="12" max="12" width="23.3984375" style="1" bestFit="1" customWidth="1"/>
    <col min="13" max="13" width="12.796875" style="1" customWidth="1"/>
    <col min="14" max="16" width="12" style="1" bestFit="1" customWidth="1"/>
    <col min="17" max="17" width="11" style="1" bestFit="1" customWidth="1"/>
    <col min="18" max="20" width="12" style="1" customWidth="1"/>
    <col min="21" max="16384" width="9.1328125" style="1"/>
  </cols>
  <sheetData>
    <row r="1" spans="1:19" x14ac:dyDescent="0.45">
      <c r="A1" s="412" t="s">
        <v>390</v>
      </c>
    </row>
    <row r="2" spans="1:19" x14ac:dyDescent="0.45">
      <c r="B2" s="1" t="s">
        <v>9</v>
      </c>
      <c r="F2" s="17">
        <v>45838</v>
      </c>
      <c r="I2" s="8" t="s">
        <v>30</v>
      </c>
      <c r="K2" s="47"/>
      <c r="N2" s="212" t="s">
        <v>267</v>
      </c>
      <c r="O2" s="213" t="s">
        <v>269</v>
      </c>
      <c r="P2" s="213" t="s">
        <v>268</v>
      </c>
      <c r="Q2" s="214"/>
      <c r="R2" s="214"/>
      <c r="S2" s="215"/>
    </row>
    <row r="3" spans="1:19" x14ac:dyDescent="0.45">
      <c r="I3" s="3" t="s">
        <v>28</v>
      </c>
      <c r="J3" s="3"/>
      <c r="K3" s="273">
        <v>0.1</v>
      </c>
      <c r="L3" s="10">
        <f>+F5</f>
        <v>679440.94779959321</v>
      </c>
      <c r="M3" s="6"/>
      <c r="N3" s="261" t="s">
        <v>299</v>
      </c>
      <c r="O3" s="443">
        <v>15000000</v>
      </c>
      <c r="P3" s="262"/>
      <c r="Q3" s="3"/>
      <c r="R3" s="3"/>
      <c r="S3" s="140"/>
    </row>
    <row r="4" spans="1:19" x14ac:dyDescent="0.45">
      <c r="B4" s="2" t="s">
        <v>0</v>
      </c>
      <c r="C4" s="2"/>
      <c r="D4" s="2"/>
      <c r="E4" s="290"/>
      <c r="F4" s="159" t="s">
        <v>166</v>
      </c>
      <c r="G4" s="45" t="s">
        <v>167</v>
      </c>
      <c r="I4" s="2" t="s">
        <v>29</v>
      </c>
      <c r="J4" s="2"/>
      <c r="K4" s="274">
        <f>1-K3</f>
        <v>0.9</v>
      </c>
      <c r="L4" s="5">
        <f>+F6</f>
        <v>6114968.5301963408</v>
      </c>
      <c r="N4" s="216" t="s">
        <v>306</v>
      </c>
      <c r="O4" s="263"/>
      <c r="P4" s="264"/>
      <c r="S4" s="161"/>
    </row>
    <row r="5" spans="1:19" x14ac:dyDescent="0.45">
      <c r="B5" s="1" t="s">
        <v>28</v>
      </c>
      <c r="E5" s="176"/>
      <c r="F5" s="24">
        <f>+F8-SUM(F6:F7)</f>
        <v>679440.94779959321</v>
      </c>
      <c r="G5" s="154">
        <f>+F5/$F$8</f>
        <v>4.0770778940524693E-2</v>
      </c>
      <c r="I5" s="8" t="s">
        <v>31</v>
      </c>
      <c r="J5" s="8"/>
      <c r="K5" s="275">
        <f>SUM(K3:K4)</f>
        <v>1</v>
      </c>
      <c r="L5" s="11">
        <f>SUM(L3:L4)</f>
        <v>6794409.477995934</v>
      </c>
      <c r="N5" s="216"/>
      <c r="O5" s="263"/>
      <c r="P5" s="217"/>
      <c r="S5" s="161"/>
    </row>
    <row r="6" spans="1:19" x14ac:dyDescent="0.45">
      <c r="B6" s="1" t="s">
        <v>29</v>
      </c>
      <c r="E6" s="176"/>
      <c r="F6" s="24">
        <f>(F8-SUM(F7:F7))*K4</f>
        <v>6114968.5301963408</v>
      </c>
      <c r="G6" s="154">
        <f>+F6/$F$8</f>
        <v>0.36693701046472232</v>
      </c>
      <c r="K6" s="47"/>
      <c r="N6" s="216"/>
      <c r="O6" s="263"/>
      <c r="P6" s="217"/>
      <c r="S6" s="161"/>
    </row>
    <row r="7" spans="1:19" x14ac:dyDescent="0.45">
      <c r="B7" s="6" t="str">
        <f>+B27</f>
        <v>Acquisition Loan</v>
      </c>
      <c r="E7" s="176"/>
      <c r="F7" s="24">
        <f>+G31</f>
        <v>9870490.3707595505</v>
      </c>
      <c r="G7" s="154">
        <f>+F7/$F$8</f>
        <v>0.59229221059475301</v>
      </c>
      <c r="K7" s="47"/>
      <c r="L7" s="409"/>
      <c r="N7" s="216"/>
      <c r="O7" s="263"/>
      <c r="P7" s="217"/>
      <c r="S7" s="161"/>
    </row>
    <row r="8" spans="1:19" x14ac:dyDescent="0.45">
      <c r="A8" s="6"/>
      <c r="B8" s="4" t="s">
        <v>1</v>
      </c>
      <c r="C8" s="4"/>
      <c r="D8" s="4"/>
      <c r="E8" s="291"/>
      <c r="F8" s="26">
        <f>+F17</f>
        <v>16664899.848755484</v>
      </c>
      <c r="G8" s="158">
        <f>+F8/$F$8</f>
        <v>1</v>
      </c>
      <c r="I8" s="254" t="s">
        <v>164</v>
      </c>
      <c r="J8" s="255"/>
      <c r="K8" s="258">
        <f>+E184</f>
        <v>0.30392408967018125</v>
      </c>
      <c r="L8" s="410"/>
      <c r="N8" s="129"/>
      <c r="O8" s="263"/>
      <c r="P8" s="217"/>
      <c r="S8" s="161"/>
    </row>
    <row r="9" spans="1:19" x14ac:dyDescent="0.45">
      <c r="E9" s="176"/>
      <c r="F9" s="24"/>
      <c r="I9" s="256" t="s">
        <v>165</v>
      </c>
      <c r="J9" s="257"/>
      <c r="K9" s="276">
        <f>+E185</f>
        <v>2.6459410060804438</v>
      </c>
      <c r="L9" s="411"/>
      <c r="N9" s="131"/>
      <c r="O9" s="265"/>
      <c r="P9" s="266"/>
      <c r="Q9" s="2"/>
      <c r="R9" s="2"/>
      <c r="S9" s="267"/>
    </row>
    <row r="10" spans="1:19" x14ac:dyDescent="0.45">
      <c r="B10" s="2" t="s">
        <v>2</v>
      </c>
      <c r="C10" s="2"/>
      <c r="D10" s="2"/>
      <c r="E10" s="290"/>
      <c r="F10" s="168" t="s">
        <v>166</v>
      </c>
      <c r="G10" s="45" t="s">
        <v>167</v>
      </c>
      <c r="K10" s="47"/>
    </row>
    <row r="11" spans="1:19" x14ac:dyDescent="0.45">
      <c r="B11" s="1" t="s">
        <v>4</v>
      </c>
      <c r="E11" s="176"/>
      <c r="F11" s="24">
        <f>+G22</f>
        <v>14900000</v>
      </c>
      <c r="G11" s="154">
        <f t="shared" ref="G11:G17" si="0">+F11/$F$17</f>
        <v>0.89409478216052496</v>
      </c>
      <c r="I11" s="24"/>
      <c r="K11" s="47"/>
      <c r="L11" s="398"/>
    </row>
    <row r="12" spans="1:19" x14ac:dyDescent="0.45">
      <c r="B12" s="1" t="s">
        <v>18</v>
      </c>
      <c r="E12" s="176"/>
      <c r="F12" s="24">
        <f>+'Closing Costs'!E18</f>
        <v>646260.72389297537</v>
      </c>
      <c r="G12" s="154">
        <f t="shared" si="0"/>
        <v>3.8779754439462619E-2</v>
      </c>
      <c r="I12" s="24"/>
      <c r="K12" s="47"/>
      <c r="L12" s="398"/>
    </row>
    <row r="13" spans="1:19" x14ac:dyDescent="0.45">
      <c r="B13" s="1" t="s">
        <v>415</v>
      </c>
      <c r="E13" s="176"/>
      <c r="F13" s="24">
        <f>+'Legal and Pre-Dev'!E12</f>
        <v>34650</v>
      </c>
      <c r="G13" s="154">
        <f t="shared" si="0"/>
        <v>2.0792204162323616E-3</v>
      </c>
      <c r="I13" s="24"/>
      <c r="J13" s="24"/>
      <c r="L13" s="398"/>
    </row>
    <row r="14" spans="1:19" x14ac:dyDescent="0.45">
      <c r="B14" s="1" t="s">
        <v>78</v>
      </c>
      <c r="E14" s="176"/>
      <c r="F14" s="24">
        <f>+Reserves!E12</f>
        <v>386152.19856246561</v>
      </c>
      <c r="G14" s="154">
        <f t="shared" si="0"/>
        <v>2.3171588312383588E-2</v>
      </c>
      <c r="I14" s="24"/>
      <c r="J14" s="24"/>
    </row>
    <row r="15" spans="1:19" x14ac:dyDescent="0.45">
      <c r="B15" s="1" t="s">
        <v>5</v>
      </c>
      <c r="E15" s="176"/>
      <c r="F15" s="24">
        <f>+'Hard Costs'!E17</f>
        <v>596750</v>
      </c>
      <c r="G15" s="154">
        <f t="shared" si="0"/>
        <v>3.580879605733512E-2</v>
      </c>
      <c r="I15" s="24"/>
    </row>
    <row r="16" spans="1:19" x14ac:dyDescent="0.45">
      <c r="B16" s="1" t="s">
        <v>217</v>
      </c>
      <c r="E16" s="176"/>
      <c r="F16" s="24">
        <f>+L31</f>
        <v>101086.92630004312</v>
      </c>
      <c r="G16" s="154">
        <f t="shared" si="0"/>
        <v>6.065858614061349E-3</v>
      </c>
      <c r="I16" s="24"/>
    </row>
    <row r="17" spans="1:19" x14ac:dyDescent="0.45">
      <c r="A17" s="6"/>
      <c r="B17" s="4" t="s">
        <v>3</v>
      </c>
      <c r="C17" s="4"/>
      <c r="D17" s="4"/>
      <c r="E17" s="291"/>
      <c r="F17" s="26">
        <f>SUM(F11:F16)</f>
        <v>16664899.848755484</v>
      </c>
      <c r="G17" s="158">
        <f t="shared" si="0"/>
        <v>1</v>
      </c>
      <c r="L17" s="128"/>
      <c r="M17" s="163"/>
    </row>
    <row r="18" spans="1:19" x14ac:dyDescent="0.45">
      <c r="F18" s="279"/>
      <c r="L18" s="128"/>
      <c r="M18" s="163"/>
    </row>
    <row r="19" spans="1:19" x14ac:dyDescent="0.45">
      <c r="M19" s="154"/>
    </row>
    <row r="21" spans="1:19" x14ac:dyDescent="0.45">
      <c r="B21" s="139" t="s">
        <v>90</v>
      </c>
      <c r="C21" s="3"/>
      <c r="D21" s="3"/>
      <c r="E21" s="3"/>
      <c r="F21" s="10"/>
      <c r="G21" s="3"/>
      <c r="H21" s="3"/>
      <c r="I21" s="3" t="s">
        <v>393</v>
      </c>
      <c r="J21" s="3"/>
      <c r="K21" s="3"/>
      <c r="L21" s="252">
        <f>('NOI Walk'!E51*12)/G22</f>
        <v>5.7099746658630886E-2</v>
      </c>
    </row>
    <row r="22" spans="1:19" x14ac:dyDescent="0.45">
      <c r="B22" s="129" t="s">
        <v>168</v>
      </c>
      <c r="C22" s="423"/>
      <c r="D22" s="423"/>
      <c r="E22" s="446">
        <f>+G22/E124</f>
        <v>191025.64102564103</v>
      </c>
      <c r="F22" s="447">
        <f>+G22/O3-1</f>
        <v>-6.6666666666667096E-3</v>
      </c>
      <c r="G22" s="448">
        <v>14900000</v>
      </c>
      <c r="H22" s="423"/>
      <c r="I22" s="423" t="s">
        <v>298</v>
      </c>
      <c r="J22" s="423"/>
      <c r="K22" s="423"/>
      <c r="L22" s="156" cm="1">
        <f t="array" ref="L22">+INDEX(Model!65:65,,MATCH(1,Model!4:4,0))*12/L5</f>
        <v>-1.0063644207368703</v>
      </c>
    </row>
    <row r="23" spans="1:19" x14ac:dyDescent="0.45">
      <c r="B23" s="129" t="s">
        <v>26</v>
      </c>
      <c r="C23" s="423"/>
      <c r="D23" s="423"/>
      <c r="E23" s="423"/>
      <c r="F23" s="444"/>
      <c r="G23" s="449">
        <v>0</v>
      </c>
      <c r="H23" s="423"/>
      <c r="I23" s="423" t="s">
        <v>274</v>
      </c>
      <c r="J23" s="423"/>
      <c r="K23" s="423"/>
      <c r="L23" s="156" cm="1">
        <f t="array" ref="L23">INDEX('NOI Walk'!$E$64:$EF$64,,MATCH(Assumptions!G146+1,'NOI Walk'!$E$15:$EF$15,0))*12/F17</f>
        <v>8.9156529005787022E-2</v>
      </c>
      <c r="N23" s="8" t="s">
        <v>275</v>
      </c>
    </row>
    <row r="24" spans="1:19" x14ac:dyDescent="0.45">
      <c r="B24" s="129" t="s">
        <v>23</v>
      </c>
      <c r="C24" s="423"/>
      <c r="D24" s="423"/>
      <c r="E24" s="423"/>
      <c r="F24" s="444"/>
      <c r="G24" s="445">
        <v>55000</v>
      </c>
      <c r="H24" s="423"/>
      <c r="I24" s="423" t="s">
        <v>301</v>
      </c>
      <c r="J24" s="423"/>
      <c r="K24" s="423"/>
      <c r="L24" s="156" cm="1">
        <f t="array" ref="L24">+INDEX(Model!65:65,,MATCH(G146+3,Model!4:4,0))*12/L5</f>
        <v>9.0822619355077489E-2</v>
      </c>
      <c r="N24" s="1" t="str">
        <f>"Stabilized Annualized NOI in Month "&amp;1</f>
        <v>Stabilized Annualized NOI in Month 1</v>
      </c>
      <c r="R24" s="6" cm="1">
        <f t="array" ref="R24">INDEX('NOI Walk'!$E$64:$EF$64,,MATCH(1,'NOI Walk'!$E$15:$EF$15,0))*12</f>
        <v>835746.61732480023</v>
      </c>
      <c r="S24" s="6"/>
    </row>
    <row r="25" spans="1:19" x14ac:dyDescent="0.45">
      <c r="B25" s="131" t="s">
        <v>83</v>
      </c>
      <c r="C25" s="2"/>
      <c r="D25" s="2"/>
      <c r="E25" s="2"/>
      <c r="F25" s="5"/>
      <c r="G25" s="5">
        <f>SUM(F46:F123)+'Retail Assumptions'!F19</f>
        <v>49950</v>
      </c>
      <c r="H25" s="2"/>
      <c r="I25" s="2" t="s">
        <v>84</v>
      </c>
      <c r="J25" s="2"/>
      <c r="K25" s="2"/>
      <c r="L25" s="450">
        <f>+G25/G24</f>
        <v>0.9081818181818182</v>
      </c>
      <c r="N25" s="1" t="s">
        <v>214</v>
      </c>
      <c r="R25" s="148">
        <v>1</v>
      </c>
    </row>
    <row r="26" spans="1:19" x14ac:dyDescent="0.45">
      <c r="G26" s="9"/>
      <c r="N26" s="3" t="s">
        <v>215</v>
      </c>
      <c r="O26" s="4"/>
      <c r="P26" s="4"/>
      <c r="Q26" s="4"/>
      <c r="R26" s="10">
        <f>+R24/R25/L27</f>
        <v>9870490.3707595505</v>
      </c>
    </row>
    <row r="27" spans="1:19" x14ac:dyDescent="0.45">
      <c r="B27" s="142" t="s">
        <v>313</v>
      </c>
      <c r="C27" s="3"/>
      <c r="D27" s="3"/>
      <c r="E27" s="4"/>
      <c r="F27" s="10"/>
      <c r="G27" s="10"/>
      <c r="H27" s="3"/>
      <c r="I27" s="3" t="s">
        <v>260</v>
      </c>
      <c r="J27" s="3"/>
      <c r="K27" s="3"/>
      <c r="L27" s="228">
        <f>IFERROR(PMT(L29,L30,-1),L29)</f>
        <v>8.4671235767639796E-2</v>
      </c>
    </row>
    <row r="28" spans="1:19" x14ac:dyDescent="0.45">
      <c r="B28" s="129" t="s">
        <v>91</v>
      </c>
      <c r="G28" s="144">
        <v>0</v>
      </c>
      <c r="I28" s="1" t="s">
        <v>115</v>
      </c>
      <c r="L28" s="145">
        <v>0.01</v>
      </c>
      <c r="N28" s="1" t="s">
        <v>232</v>
      </c>
      <c r="R28" s="19">
        <f>+G22</f>
        <v>14900000</v>
      </c>
    </row>
    <row r="29" spans="1:19" x14ac:dyDescent="0.45">
      <c r="B29" s="129" t="s">
        <v>230</v>
      </c>
      <c r="G29" s="62">
        <f>+G31/G22</f>
        <v>0.66244901817178192</v>
      </c>
      <c r="I29" s="1" t="s">
        <v>25</v>
      </c>
      <c r="K29" s="229">
        <f>(L29-'1-month Term SOFR'!Q16)*10000</f>
        <v>346.37499999999994</v>
      </c>
      <c r="L29" s="146">
        <v>7.4999999999999997E-2</v>
      </c>
      <c r="M29" s="40"/>
      <c r="N29" s="1" t="s">
        <v>257</v>
      </c>
      <c r="R29" s="221">
        <v>0.7</v>
      </c>
    </row>
    <row r="30" spans="1:19" x14ac:dyDescent="0.45">
      <c r="B30" s="129" t="s">
        <v>231</v>
      </c>
      <c r="G30" s="54">
        <v>1</v>
      </c>
      <c r="I30" s="1" t="s">
        <v>259</v>
      </c>
      <c r="L30" s="220">
        <v>30</v>
      </c>
      <c r="M30" s="6"/>
      <c r="N30" s="3" t="s">
        <v>216</v>
      </c>
      <c r="O30" s="4"/>
      <c r="P30" s="4"/>
      <c r="Q30" s="4"/>
      <c r="R30" s="10">
        <f>+R29*R28</f>
        <v>10430000</v>
      </c>
    </row>
    <row r="31" spans="1:19" x14ac:dyDescent="0.45">
      <c r="B31" s="131" t="s">
        <v>116</v>
      </c>
      <c r="C31" s="2"/>
      <c r="D31" s="2"/>
      <c r="E31" s="2"/>
      <c r="F31" s="5"/>
      <c r="G31" s="46">
        <f>+R33</f>
        <v>9870490.3707595505</v>
      </c>
      <c r="H31" s="2"/>
      <c r="I31" s="2" t="s">
        <v>217</v>
      </c>
      <c r="J31" s="2"/>
      <c r="K31" s="2"/>
      <c r="L31" s="153">
        <f>-Model!B49</f>
        <v>101086.92630004312</v>
      </c>
      <c r="N31" s="1" t="s">
        <v>350</v>
      </c>
      <c r="R31" s="6">
        <f>+G30*F15</f>
        <v>596750</v>
      </c>
    </row>
    <row r="32" spans="1:19" x14ac:dyDescent="0.45">
      <c r="F32" s="1"/>
      <c r="L32" s="218"/>
    </row>
    <row r="33" spans="1:23" x14ac:dyDescent="0.45">
      <c r="B33" s="142" t="s">
        <v>43</v>
      </c>
      <c r="C33" s="3"/>
      <c r="D33" s="3"/>
      <c r="E33" s="4"/>
      <c r="F33" s="143"/>
      <c r="G33" s="4"/>
      <c r="H33" s="3"/>
      <c r="I33" s="4" t="s">
        <v>59</v>
      </c>
      <c r="J33" s="3"/>
      <c r="K33" s="3"/>
      <c r="L33" s="140"/>
      <c r="N33" s="187" t="s">
        <v>275</v>
      </c>
      <c r="O33" s="188"/>
      <c r="P33" s="188"/>
      <c r="Q33" s="188"/>
      <c r="R33" s="189">
        <f>MIN(R30+R31,R26)</f>
        <v>9870490.3707595505</v>
      </c>
    </row>
    <row r="34" spans="1:23" x14ac:dyDescent="0.45">
      <c r="B34" s="129" t="s">
        <v>151</v>
      </c>
      <c r="G34" s="147" t="s">
        <v>379</v>
      </c>
      <c r="I34" s="1" t="s">
        <v>60</v>
      </c>
      <c r="K34" s="148">
        <v>1.25</v>
      </c>
      <c r="L34" s="130">
        <f>+L38/K34/L39</f>
        <v>17202325.780713908</v>
      </c>
    </row>
    <row r="35" spans="1:23" x14ac:dyDescent="0.45">
      <c r="B35" s="129" t="s">
        <v>57</v>
      </c>
      <c r="G35" s="260">
        <f>+G36-G146</f>
        <v>5</v>
      </c>
      <c r="I35" s="1" t="s">
        <v>256</v>
      </c>
      <c r="K35" s="149">
        <v>8.7499999999999994E-2</v>
      </c>
      <c r="L35" s="130">
        <f>+L38/K35</f>
        <v>17127872.151652358</v>
      </c>
      <c r="N35" s="419" t="s">
        <v>380</v>
      </c>
      <c r="O35" s="214"/>
      <c r="P35" s="214"/>
      <c r="Q35" s="214"/>
      <c r="R35" s="420">
        <v>0</v>
      </c>
    </row>
    <row r="36" spans="1:23" x14ac:dyDescent="0.45">
      <c r="B36" s="129" t="s">
        <v>58</v>
      </c>
      <c r="G36" s="27">
        <v>36</v>
      </c>
      <c r="I36" s="1" t="s">
        <v>257</v>
      </c>
      <c r="J36" s="150">
        <v>0.06</v>
      </c>
      <c r="K36" s="149">
        <v>0.75</v>
      </c>
      <c r="L36" s="130">
        <f>+L38/J36*K36</f>
        <v>18733610.165869769</v>
      </c>
      <c r="R36" s="9"/>
    </row>
    <row r="37" spans="1:23" x14ac:dyDescent="0.45">
      <c r="B37" s="129" t="s">
        <v>149</v>
      </c>
      <c r="G37" s="242" cm="1">
        <f t="array" ref="G37">G38/10000+INDEX(Model!$G$72:$EI$72,,MATCH(Assumptions!G36,Model!$G$4:$EI$4,0))</f>
        <v>5.7064400000000001E-2</v>
      </c>
      <c r="I37" s="4" t="s">
        <v>61</v>
      </c>
      <c r="J37" s="4"/>
      <c r="K37" s="4"/>
      <c r="L37" s="151">
        <f>MIN(L34:L36)</f>
        <v>17127872.151652358</v>
      </c>
    </row>
    <row r="38" spans="1:23" x14ac:dyDescent="0.45">
      <c r="B38" s="129" t="s">
        <v>148</v>
      </c>
      <c r="G38" s="243">
        <v>200</v>
      </c>
      <c r="I38" s="1" t="str">
        <f>"Annualized NOI in Month "&amp;G36</f>
        <v>Annualized NOI in Month 36</v>
      </c>
      <c r="L38" s="130" cm="1">
        <f t="array" ref="L38">INDEX('NOI Walk'!$E$64:$EF$64,,MATCH(Assumptions!G36,'NOI Walk'!$E$15:$EF$15,0))*12</f>
        <v>1498688.8132695814</v>
      </c>
      <c r="R38" s="6"/>
      <c r="S38" s="6"/>
      <c r="T38" s="6"/>
    </row>
    <row r="39" spans="1:23" x14ac:dyDescent="0.45">
      <c r="B39" s="129" t="s">
        <v>259</v>
      </c>
      <c r="G39" s="244">
        <v>30</v>
      </c>
      <c r="I39" s="1" t="s">
        <v>270</v>
      </c>
      <c r="L39" s="156">
        <f>+PMT(G37/12,G39*12,-1)*12</f>
        <v>6.9697032011790422E-2</v>
      </c>
      <c r="R39" s="6"/>
      <c r="S39" s="6"/>
      <c r="T39" s="6"/>
    </row>
    <row r="40" spans="1:23" x14ac:dyDescent="0.45">
      <c r="B40" s="129" t="s">
        <v>388</v>
      </c>
      <c r="G40" s="162">
        <v>1.0999999999999999E-2</v>
      </c>
      <c r="I40" s="1" t="s">
        <v>271</v>
      </c>
      <c r="L40" s="141">
        <f>+L37*(1-G40)</f>
        <v>16939465.557984181</v>
      </c>
      <c r="R40" s="6"/>
      <c r="S40" s="6"/>
      <c r="T40" s="6"/>
    </row>
    <row r="41" spans="1:23" x14ac:dyDescent="0.45">
      <c r="B41" s="131"/>
      <c r="C41" s="2"/>
      <c r="D41" s="2"/>
      <c r="E41" s="2"/>
      <c r="F41" s="5"/>
      <c r="G41" s="2"/>
      <c r="H41" s="2"/>
      <c r="I41" s="2" t="s">
        <v>291</v>
      </c>
      <c r="J41" s="2"/>
      <c r="K41" s="2"/>
      <c r="L41" s="153" cm="1">
        <f t="array" ref="L41">+INDEX(Model!G65:EI65,,MATCH(Assumptions!G36,Model!$G$4:$EI$4,0))</f>
        <v>7241526.2094415054</v>
      </c>
      <c r="R41" s="6"/>
      <c r="S41" s="6"/>
      <c r="T41" s="6"/>
    </row>
    <row r="42" spans="1:23" x14ac:dyDescent="0.45">
      <c r="R42" s="6"/>
    </row>
    <row r="43" spans="1:23" x14ac:dyDescent="0.45">
      <c r="G43" s="1" t="s">
        <v>310</v>
      </c>
      <c r="H43" s="154">
        <f>((J124-I124)*12)/'Hard Costs'!E15</f>
        <v>1.7118171999999992</v>
      </c>
    </row>
    <row r="44" spans="1:23" x14ac:dyDescent="0.45">
      <c r="B44" s="8" t="s">
        <v>62</v>
      </c>
      <c r="E44" s="218"/>
    </row>
    <row r="45" spans="1:23" ht="25.5" x14ac:dyDescent="0.45">
      <c r="A45" s="78" t="s">
        <v>383</v>
      </c>
      <c r="B45" s="2" t="s">
        <v>45</v>
      </c>
      <c r="C45" s="422" t="s">
        <v>394</v>
      </c>
      <c r="D45" s="422" t="s">
        <v>381</v>
      </c>
      <c r="E45" s="44" t="s">
        <v>292</v>
      </c>
      <c r="F45" s="44" t="s">
        <v>234</v>
      </c>
      <c r="G45" s="44" t="s">
        <v>238</v>
      </c>
      <c r="H45" s="44" t="s">
        <v>238</v>
      </c>
      <c r="I45" s="45" t="s">
        <v>233</v>
      </c>
      <c r="J45" s="451" t="s">
        <v>413</v>
      </c>
      <c r="K45" s="451" t="s">
        <v>308</v>
      </c>
      <c r="M45" s="2" t="s">
        <v>235</v>
      </c>
      <c r="N45" s="2"/>
      <c r="O45" s="452" t="s">
        <v>399</v>
      </c>
      <c r="P45" s="452" t="s">
        <v>400</v>
      </c>
      <c r="Q45" s="452" t="s">
        <v>401</v>
      </c>
      <c r="R45" s="452" t="s">
        <v>402</v>
      </c>
      <c r="S45" s="452" t="s">
        <v>403</v>
      </c>
      <c r="T45" s="452" t="s">
        <v>404</v>
      </c>
      <c r="U45" s="8"/>
    </row>
    <row r="46" spans="1:23" ht="13.9" x14ac:dyDescent="0.4">
      <c r="A46" s="268" t="s">
        <v>382</v>
      </c>
      <c r="B46" s="230">
        <v>1</v>
      </c>
      <c r="C46" s="231" t="s">
        <v>395</v>
      </c>
      <c r="D46" s="231">
        <v>1</v>
      </c>
      <c r="E46" s="248" t="s">
        <v>348</v>
      </c>
      <c r="F46" s="245">
        <v>825</v>
      </c>
      <c r="G46" s="13">
        <v>2</v>
      </c>
      <c r="H46" s="232">
        <f>+EOMONTH($F$2,G46)</f>
        <v>45900</v>
      </c>
      <c r="I46" s="77">
        <v>1522.5</v>
      </c>
      <c r="J46" s="233">
        <f>+IFERROR(IF(OR(D46=1,D46=2),INDEX($O$46:$O$51,MATCH(E46,$M$46:$M$51,0)),I46),I46)</f>
        <v>2600</v>
      </c>
      <c r="K46" s="233">
        <f>+J46*12</f>
        <v>31200</v>
      </c>
      <c r="L46" s="417"/>
      <c r="M46" s="247" t="s">
        <v>293</v>
      </c>
      <c r="N46" s="77"/>
      <c r="O46" s="479">
        <v>2000</v>
      </c>
      <c r="P46" s="234">
        <v>2.25</v>
      </c>
      <c r="Q46" s="24">
        <f>IFERROR(AVERAGEIF($E$46:$E$123,M46,$I$46:$I$123),0)</f>
        <v>0</v>
      </c>
      <c r="R46" s="403">
        <f t="shared" ref="R46:R49" si="1">IFERROR(SUMIF($E$46:$E$123,M46,$I$46:$I$123)/SUMIF($E$46:$E$123,M46,$F$46:$F$123),0)</f>
        <v>0</v>
      </c>
      <c r="S46" s="24">
        <f>IFERROR(AVERAGEIF($E$46:$E$123,M46,$J$46:$J$123),0)</f>
        <v>0</v>
      </c>
      <c r="T46" s="403">
        <f t="shared" ref="T46:T49" si="2">IFERROR(SUMIF($E$46:$E$123,M46,$J$46:$J$123)/SUMIF($E$46:$E$123,M46,$F$46:$F$123),0)</f>
        <v>0</v>
      </c>
      <c r="U46" s="8"/>
      <c r="V46" s="238"/>
      <c r="W46" s="239"/>
    </row>
    <row r="47" spans="1:23" ht="13.9" x14ac:dyDescent="0.4">
      <c r="A47" s="268">
        <v>2</v>
      </c>
      <c r="B47" s="230">
        <f>+B46+1</f>
        <v>2</v>
      </c>
      <c r="C47" s="231" t="s">
        <v>396</v>
      </c>
      <c r="D47" s="231">
        <v>1</v>
      </c>
      <c r="E47" s="248" t="s">
        <v>348</v>
      </c>
      <c r="F47" s="246">
        <v>825</v>
      </c>
      <c r="G47" s="13">
        <v>2</v>
      </c>
      <c r="H47" s="232">
        <f>+EOMONTH($F$2,G47)</f>
        <v>45900</v>
      </c>
      <c r="I47" s="77">
        <v>1764</v>
      </c>
      <c r="J47" s="233">
        <f>+IFERROR(IF(OR(D47=1,D47=2),INDEX($O$46:$O$51,MATCH(E47,$M$46:$M$51,0)),I47),I47)</f>
        <v>2600</v>
      </c>
      <c r="K47" s="233">
        <f>+J47*12</f>
        <v>31200</v>
      </c>
      <c r="L47" s="417"/>
      <c r="M47" s="249" t="s">
        <v>347</v>
      </c>
      <c r="N47" s="77"/>
      <c r="O47" s="479">
        <v>2200</v>
      </c>
      <c r="P47" s="234">
        <v>2</v>
      </c>
      <c r="Q47" s="24">
        <f>IFERROR(AVERAGEIF($E$46:$E$123,M47,$I$46:$I$123),0)</f>
        <v>1544.0186111111113</v>
      </c>
      <c r="R47" s="403">
        <f t="shared" si="1"/>
        <v>2.4704297777777779</v>
      </c>
      <c r="S47" s="24">
        <f>IFERROR(AVERAGEIF($E$46:$E$123,M47,$J$46:$J$123),0)</f>
        <v>2097.5113888888891</v>
      </c>
      <c r="T47" s="403">
        <f t="shared" si="2"/>
        <v>3.3560182222222226</v>
      </c>
      <c r="U47" s="253"/>
      <c r="V47" s="238"/>
      <c r="W47" s="239"/>
    </row>
    <row r="48" spans="1:23" ht="13.9" x14ac:dyDescent="0.4">
      <c r="A48" s="268">
        <v>3</v>
      </c>
      <c r="B48" s="230">
        <f t="shared" ref="B48:B111" si="3">+B47+1</f>
        <v>3</v>
      </c>
      <c r="C48" s="231" t="s">
        <v>397</v>
      </c>
      <c r="D48" s="231">
        <v>1</v>
      </c>
      <c r="E48" s="248" t="s">
        <v>347</v>
      </c>
      <c r="F48" s="246">
        <v>625</v>
      </c>
      <c r="G48" s="13">
        <v>2</v>
      </c>
      <c r="H48" s="232">
        <f>+EOMONTH($F$2,G48)</f>
        <v>45900</v>
      </c>
      <c r="I48" s="77">
        <v>1457.71</v>
      </c>
      <c r="J48" s="233">
        <f>+IFERROR(IF(OR(D48=1,D48=2),INDEX($O$46:$O$51,MATCH(E48,$M$46:$M$51,0)),I48),I48)</f>
        <v>2200</v>
      </c>
      <c r="K48" s="233">
        <f>+J48*12</f>
        <v>26400</v>
      </c>
      <c r="L48" s="417"/>
      <c r="M48" s="249" t="s">
        <v>348</v>
      </c>
      <c r="N48" s="77"/>
      <c r="O48" s="479">
        <v>2600</v>
      </c>
      <c r="P48" s="234">
        <v>1.9</v>
      </c>
      <c r="Q48" s="24">
        <f>IFERROR(AVERAGEIF($E$46:$E$123,M48,$I$46:$I$123),0)</f>
        <v>1891.2166666666665</v>
      </c>
      <c r="R48" s="403">
        <f t="shared" si="1"/>
        <v>2.2923838383838384</v>
      </c>
      <c r="S48" s="24">
        <f>IFERROR(AVERAGEIF($E$46:$E$123,M48,$J$46:$J$123),0)</f>
        <v>2381.875</v>
      </c>
      <c r="T48" s="403">
        <f t="shared" si="2"/>
        <v>2.8871212121212122</v>
      </c>
      <c r="U48" s="253"/>
      <c r="V48" s="238"/>
      <c r="W48" s="239"/>
    </row>
    <row r="49" spans="1:23" ht="13.9" x14ac:dyDescent="0.4">
      <c r="A49" s="268">
        <v>4</v>
      </c>
      <c r="B49" s="230">
        <f t="shared" si="3"/>
        <v>4</v>
      </c>
      <c r="C49" s="231" t="s">
        <v>395</v>
      </c>
      <c r="D49" s="231">
        <v>0</v>
      </c>
      <c r="E49" s="248" t="s">
        <v>347</v>
      </c>
      <c r="F49" s="246">
        <v>625</v>
      </c>
      <c r="G49" s="13">
        <f t="shared" ref="G49:G80" si="4">+G46+1</f>
        <v>3</v>
      </c>
      <c r="H49" s="232">
        <f>+EOMONTH($F$2,G49)</f>
        <v>45930</v>
      </c>
      <c r="I49" s="77">
        <v>1680</v>
      </c>
      <c r="J49" s="233">
        <f>+IFERROR(IF(OR(D49=1,D49=2),INDEX($O$46:$O$51,MATCH(E49,$M$46:$M$51,0)),I49),I49)</f>
        <v>1680</v>
      </c>
      <c r="K49" s="233">
        <f>+J49*12</f>
        <v>20160</v>
      </c>
      <c r="L49" s="417"/>
      <c r="M49" s="249" t="s">
        <v>349</v>
      </c>
      <c r="O49" s="479">
        <v>3000</v>
      </c>
      <c r="P49" s="234">
        <v>1.85</v>
      </c>
      <c r="Q49" s="24">
        <f>IFERROR(AVERAGEIF($E$46:$E$123,M49,$I$46:$I$123),0)</f>
        <v>0</v>
      </c>
      <c r="R49" s="403">
        <f t="shared" si="1"/>
        <v>0</v>
      </c>
      <c r="S49" s="24">
        <f>IFERROR(AVERAGEIF($E$46:$E$123,M49,$J$46:$J$123),0)</f>
        <v>0</v>
      </c>
      <c r="T49" s="403">
        <f t="shared" si="2"/>
        <v>0</v>
      </c>
      <c r="U49" s="253"/>
      <c r="V49" s="238"/>
      <c r="W49" s="239"/>
    </row>
    <row r="50" spans="1:23" ht="13.9" x14ac:dyDescent="0.4">
      <c r="A50" s="268">
        <v>5</v>
      </c>
      <c r="B50" s="230">
        <f t="shared" si="3"/>
        <v>5</v>
      </c>
      <c r="C50" s="231" t="s">
        <v>395</v>
      </c>
      <c r="D50" s="231">
        <v>0</v>
      </c>
      <c r="E50" s="248" t="s">
        <v>347</v>
      </c>
      <c r="F50" s="246">
        <v>625</v>
      </c>
      <c r="G50" s="13">
        <f t="shared" si="4"/>
        <v>3</v>
      </c>
      <c r="H50" s="232">
        <f t="shared" ref="H50:H85" si="5">+EOMONTH($F$2,G50)</f>
        <v>45930</v>
      </c>
      <c r="I50" s="77">
        <v>1451.66</v>
      </c>
      <c r="J50" s="233">
        <f>+IFERROR(IF(OR(D50=1,D50=2),INDEX($O$46:$O$51,MATCH(E50,$M$46:$M$51,0)),I50),I50)</f>
        <v>1451.66</v>
      </c>
      <c r="K50" s="233">
        <f t="shared" ref="K50:K85" si="6">+J50*12</f>
        <v>17419.920000000002</v>
      </c>
      <c r="L50" s="417"/>
      <c r="M50" s="249" t="s">
        <v>368</v>
      </c>
      <c r="N50" s="77"/>
      <c r="O50" s="479">
        <v>3200</v>
      </c>
      <c r="P50" s="234">
        <v>1.8</v>
      </c>
      <c r="Q50" s="24">
        <f>IFERROR(AVERAGEIF($E$46:$E$123,M50,$I$46:$I$123),0)</f>
        <v>0</v>
      </c>
      <c r="R50" s="403">
        <f>IFERROR(SUMIF($E$46:$E$123,M50,$I$46:$I$123)/SUMIF($E$46:$E$123,M50,$F$46:$F$123),0)</f>
        <v>0</v>
      </c>
      <c r="S50" s="24">
        <f>IFERROR(AVERAGEIF($E$46:$E$123,M50,$J$46:$J$123),0)</f>
        <v>0</v>
      </c>
      <c r="T50" s="403">
        <f>IFERROR(SUMIF($E$46:$E$123,M50,$J$46:$J$123)/SUMIF($E$46:$E$123,M50,$F$46:$F$123),0)</f>
        <v>0</v>
      </c>
      <c r="U50" s="253"/>
      <c r="V50" s="238"/>
      <c r="W50" s="239"/>
    </row>
    <row r="51" spans="1:23" ht="13.9" x14ac:dyDescent="0.4">
      <c r="A51" s="268">
        <v>6</v>
      </c>
      <c r="B51" s="230">
        <f t="shared" si="3"/>
        <v>6</v>
      </c>
      <c r="C51" s="231" t="s">
        <v>395</v>
      </c>
      <c r="D51" s="231">
        <v>0</v>
      </c>
      <c r="E51" s="248" t="s">
        <v>347</v>
      </c>
      <c r="F51" s="246">
        <v>625</v>
      </c>
      <c r="G51" s="13">
        <f t="shared" si="4"/>
        <v>3</v>
      </c>
      <c r="H51" s="232">
        <f t="shared" si="5"/>
        <v>45930</v>
      </c>
      <c r="I51" s="77">
        <v>1627.5</v>
      </c>
      <c r="J51" s="233">
        <f>+IFERROR(IF(OR(D51=1,D51=2),INDEX($O$46:$O$51,MATCH(E51,$M$46:$M$51,0)),I51),I51)</f>
        <v>1627.5</v>
      </c>
      <c r="K51" s="233">
        <f t="shared" si="6"/>
        <v>19530</v>
      </c>
      <c r="L51" s="417"/>
      <c r="M51" s="250" t="s">
        <v>369</v>
      </c>
      <c r="N51" s="198"/>
      <c r="O51" s="480">
        <v>4000</v>
      </c>
      <c r="P51" s="235">
        <v>1.75</v>
      </c>
      <c r="Q51" s="167">
        <f>IFERROR(AVERAGEIF($E$46:$E$123,M51,$I$46:$I$123),0)</f>
        <v>0</v>
      </c>
      <c r="R51" s="404">
        <f>IFERROR(SUMIF($E$46:$E$123,M51,$I$46:$I$123)/SUMIF($E$46:$E$123,M51,$F$46:$F$123),0)</f>
        <v>0</v>
      </c>
      <c r="S51" s="167">
        <f>IFERROR(AVERAGEIF($E$46:$E$123,M51,$J$46:$J$123),0)</f>
        <v>0</v>
      </c>
      <c r="T51" s="404">
        <f>IFERROR(SUMIF($E$46:$E$123,M51,$J$46:$J$123)/SUMIF($E$46:$E$123,M51,$F$46:$F$123),0)</f>
        <v>0</v>
      </c>
      <c r="U51" s="218"/>
      <c r="V51" s="238"/>
      <c r="W51" s="239"/>
    </row>
    <row r="52" spans="1:23" ht="13.9" x14ac:dyDescent="0.45">
      <c r="A52" s="268">
        <v>7</v>
      </c>
      <c r="B52" s="230">
        <f t="shared" si="3"/>
        <v>7</v>
      </c>
      <c r="C52" s="231" t="s">
        <v>395</v>
      </c>
      <c r="D52" s="231">
        <v>2</v>
      </c>
      <c r="E52" s="248" t="s">
        <v>347</v>
      </c>
      <c r="F52" s="246">
        <v>625</v>
      </c>
      <c r="G52" s="13">
        <f t="shared" si="4"/>
        <v>4</v>
      </c>
      <c r="H52" s="232">
        <f t="shared" si="5"/>
        <v>45961</v>
      </c>
      <c r="I52" s="77">
        <v>1881</v>
      </c>
      <c r="J52" s="233">
        <f>+IFERROR(IF(OR(D52=1,D52=2),INDEX($O$46:$O$51,MATCH(E52,$M$46:$M$51,0)),I52),I52)</f>
        <v>2200</v>
      </c>
      <c r="K52" s="233">
        <f t="shared" si="6"/>
        <v>26400</v>
      </c>
      <c r="L52" s="417"/>
      <c r="M52" s="217" t="s">
        <v>286</v>
      </c>
      <c r="O52" s="481">
        <f>+K124+J134</f>
        <v>1983744.8399999999</v>
      </c>
      <c r="R52" s="241"/>
      <c r="S52" s="12"/>
      <c r="U52" s="218"/>
      <c r="V52" s="238"/>
      <c r="W52" s="239"/>
    </row>
    <row r="53" spans="1:23" ht="13.9" x14ac:dyDescent="0.45">
      <c r="A53" s="268">
        <v>8</v>
      </c>
      <c r="B53" s="230">
        <f t="shared" si="3"/>
        <v>8</v>
      </c>
      <c r="C53" s="231" t="s">
        <v>395</v>
      </c>
      <c r="D53" s="231">
        <v>1</v>
      </c>
      <c r="E53" s="248" t="s">
        <v>347</v>
      </c>
      <c r="F53" s="246">
        <v>625</v>
      </c>
      <c r="G53" s="13">
        <f t="shared" si="4"/>
        <v>4</v>
      </c>
      <c r="H53" s="232">
        <f t="shared" si="5"/>
        <v>45961</v>
      </c>
      <c r="I53" s="77">
        <v>1417.5</v>
      </c>
      <c r="J53" s="233">
        <f>+IFERROR(IF(OR(D53=1,D53=2),INDEX($O$46:$O$51,MATCH(E53,$M$46:$M$51,0)),I53),I53)</f>
        <v>2200</v>
      </c>
      <c r="K53" s="233">
        <f t="shared" si="6"/>
        <v>26400</v>
      </c>
      <c r="L53" s="417"/>
      <c r="M53" s="217" t="s">
        <v>285</v>
      </c>
      <c r="O53" s="482">
        <f>181800*12</f>
        <v>2181600</v>
      </c>
      <c r="R53" s="241"/>
      <c r="S53" s="12"/>
      <c r="U53" s="218"/>
      <c r="V53" s="238"/>
      <c r="W53" s="239"/>
    </row>
    <row r="54" spans="1:23" ht="13.9" x14ac:dyDescent="0.45">
      <c r="A54" s="268">
        <v>20</v>
      </c>
      <c r="B54" s="230">
        <f t="shared" si="3"/>
        <v>9</v>
      </c>
      <c r="C54" s="231" t="s">
        <v>395</v>
      </c>
      <c r="D54" s="231">
        <v>1</v>
      </c>
      <c r="E54" s="248" t="s">
        <v>347</v>
      </c>
      <c r="F54" s="246">
        <v>625</v>
      </c>
      <c r="G54" s="13">
        <f t="shared" si="4"/>
        <v>4</v>
      </c>
      <c r="H54" s="232">
        <f t="shared" si="5"/>
        <v>45961</v>
      </c>
      <c r="I54" s="77">
        <v>1650</v>
      </c>
      <c r="J54" s="233">
        <f>+IFERROR(IF(OR(D54=1,D54=2),INDEX($O$46:$O$51,MATCH(E54,$M$46:$M$51,0)),I54),I54)</f>
        <v>2200</v>
      </c>
      <c r="K54" s="233">
        <f t="shared" si="6"/>
        <v>26400</v>
      </c>
      <c r="L54" s="417"/>
      <c r="M54" s="251" t="s">
        <v>287</v>
      </c>
      <c r="N54" s="78"/>
      <c r="O54" s="483">
        <f>+O52/O53-1</f>
        <v>-9.0692684268426915E-2</v>
      </c>
      <c r="R54" s="241"/>
      <c r="S54" s="12"/>
      <c r="U54" s="218"/>
      <c r="V54" s="238"/>
      <c r="W54" s="239"/>
    </row>
    <row r="55" spans="1:23" ht="13.9" x14ac:dyDescent="0.45">
      <c r="A55" s="268">
        <v>21</v>
      </c>
      <c r="B55" s="230">
        <f t="shared" si="3"/>
        <v>10</v>
      </c>
      <c r="C55" s="231" t="s">
        <v>395</v>
      </c>
      <c r="D55" s="231">
        <v>1</v>
      </c>
      <c r="E55" s="248" t="s">
        <v>347</v>
      </c>
      <c r="F55" s="246">
        <v>625</v>
      </c>
      <c r="G55" s="13">
        <f t="shared" si="4"/>
        <v>5</v>
      </c>
      <c r="H55" s="232">
        <f t="shared" si="5"/>
        <v>45991</v>
      </c>
      <c r="I55" s="77">
        <v>1391.18</v>
      </c>
      <c r="J55" s="233">
        <f>+IFERROR(IF(OR(D55=1,D55=2),INDEX($O$46:$O$51,MATCH(E55,$M$46:$M$51,0)),I55),I55)</f>
        <v>2200</v>
      </c>
      <c r="K55" s="233">
        <f t="shared" si="6"/>
        <v>26400</v>
      </c>
      <c r="L55" s="417"/>
      <c r="M55" s="78"/>
      <c r="N55" s="236"/>
      <c r="Q55" s="241"/>
      <c r="R55" s="12"/>
      <c r="U55" s="218"/>
      <c r="V55" s="238"/>
      <c r="W55" s="239"/>
    </row>
    <row r="56" spans="1:23" ht="13.9" x14ac:dyDescent="0.45">
      <c r="A56" s="268">
        <v>22</v>
      </c>
      <c r="B56" s="230">
        <f t="shared" si="3"/>
        <v>11</v>
      </c>
      <c r="C56" s="231" t="s">
        <v>395</v>
      </c>
      <c r="D56" s="231">
        <v>1</v>
      </c>
      <c r="E56" s="248" t="s">
        <v>347</v>
      </c>
      <c r="F56" s="246">
        <v>625</v>
      </c>
      <c r="G56" s="13">
        <f t="shared" si="4"/>
        <v>5</v>
      </c>
      <c r="H56" s="232">
        <f t="shared" si="5"/>
        <v>45991</v>
      </c>
      <c r="I56" s="77">
        <v>1391.25</v>
      </c>
      <c r="J56" s="233">
        <f>+IFERROR(IF(OR(D56=1,D56=2),INDEX($O$46:$O$51,MATCH(E56,$M$46:$M$51,0)),I56),I56)</f>
        <v>2200</v>
      </c>
      <c r="K56" s="233">
        <f t="shared" si="6"/>
        <v>26400</v>
      </c>
      <c r="L56" s="417"/>
      <c r="M56" s="416"/>
      <c r="N56" s="236"/>
      <c r="Q56" s="241"/>
      <c r="R56" s="12"/>
      <c r="U56" s="218"/>
      <c r="V56" s="238"/>
      <c r="W56" s="239"/>
    </row>
    <row r="57" spans="1:23" ht="13.9" x14ac:dyDescent="0.45">
      <c r="A57" s="268">
        <v>23</v>
      </c>
      <c r="B57" s="230">
        <f t="shared" si="3"/>
        <v>12</v>
      </c>
      <c r="C57" s="231" t="s">
        <v>395</v>
      </c>
      <c r="D57" s="231">
        <v>1</v>
      </c>
      <c r="E57" s="248" t="s">
        <v>347</v>
      </c>
      <c r="F57" s="246">
        <v>625</v>
      </c>
      <c r="G57" s="13">
        <f t="shared" si="4"/>
        <v>5</v>
      </c>
      <c r="H57" s="232">
        <f t="shared" si="5"/>
        <v>45991</v>
      </c>
      <c r="I57" s="77">
        <v>1428</v>
      </c>
      <c r="J57" s="233">
        <f>+IFERROR(IF(OR(D57=1,D57=2),INDEX($O$46:$O$51,MATCH(E57,$M$46:$M$51,0)),I57),I57)</f>
        <v>2200</v>
      </c>
      <c r="K57" s="233">
        <f t="shared" si="6"/>
        <v>26400</v>
      </c>
      <c r="L57" s="417"/>
      <c r="M57" s="415"/>
      <c r="N57" s="236"/>
      <c r="Q57" s="241"/>
      <c r="R57" s="12"/>
      <c r="U57" s="218"/>
      <c r="V57" s="238"/>
      <c r="W57" s="239"/>
    </row>
    <row r="58" spans="1:23" ht="13.9" x14ac:dyDescent="0.45">
      <c r="A58" s="268">
        <v>24</v>
      </c>
      <c r="B58" s="230">
        <f t="shared" si="3"/>
        <v>13</v>
      </c>
      <c r="C58" s="231" t="s">
        <v>395</v>
      </c>
      <c r="D58" s="231">
        <v>1</v>
      </c>
      <c r="E58" s="248" t="s">
        <v>347</v>
      </c>
      <c r="F58" s="246">
        <v>625</v>
      </c>
      <c r="G58" s="13">
        <f t="shared" si="4"/>
        <v>6</v>
      </c>
      <c r="H58" s="232">
        <f t="shared" si="5"/>
        <v>46022</v>
      </c>
      <c r="I58" s="77">
        <v>1391.25</v>
      </c>
      <c r="J58" s="233">
        <f>+IFERROR(IF(OR(D58=1,D58=2),INDEX($O$46:$O$51,MATCH(E58,$M$46:$M$51,0)),I58),I58)</f>
        <v>2200</v>
      </c>
      <c r="K58" s="233">
        <f t="shared" si="6"/>
        <v>26400</v>
      </c>
      <c r="L58" s="417"/>
      <c r="M58" s="78"/>
      <c r="N58" s="236"/>
      <c r="Q58" s="241"/>
      <c r="R58" s="12"/>
      <c r="U58" s="218"/>
      <c r="V58" s="238"/>
      <c r="W58" s="239"/>
    </row>
    <row r="59" spans="1:23" ht="13.9" x14ac:dyDescent="0.45">
      <c r="A59" s="268">
        <v>25</v>
      </c>
      <c r="B59" s="230">
        <f t="shared" si="3"/>
        <v>14</v>
      </c>
      <c r="C59" s="231" t="s">
        <v>395</v>
      </c>
      <c r="D59" s="231">
        <v>1</v>
      </c>
      <c r="E59" s="248" t="s">
        <v>347</v>
      </c>
      <c r="F59" s="246">
        <v>625</v>
      </c>
      <c r="G59" s="13">
        <f t="shared" si="4"/>
        <v>6</v>
      </c>
      <c r="H59" s="232">
        <f t="shared" si="5"/>
        <v>46022</v>
      </c>
      <c r="I59" s="77">
        <v>1776.5</v>
      </c>
      <c r="J59" s="233">
        <f>+IFERROR(IF(OR(D59=1,D59=2),INDEX($O$46:$O$51,MATCH(E59,$M$46:$M$51,0)),I59),I59)</f>
        <v>2200</v>
      </c>
      <c r="K59" s="233">
        <f t="shared" si="6"/>
        <v>26400</v>
      </c>
      <c r="L59" s="417"/>
      <c r="M59" s="78"/>
      <c r="N59" s="236"/>
      <c r="Q59" s="241"/>
      <c r="R59" s="12"/>
      <c r="U59" s="218"/>
      <c r="V59" s="238"/>
      <c r="W59" s="239"/>
    </row>
    <row r="60" spans="1:23" ht="13.9" x14ac:dyDescent="0.45">
      <c r="A60" s="268">
        <v>26</v>
      </c>
      <c r="B60" s="230">
        <f t="shared" si="3"/>
        <v>15</v>
      </c>
      <c r="C60" s="231" t="s">
        <v>395</v>
      </c>
      <c r="D60" s="231">
        <v>0</v>
      </c>
      <c r="E60" s="248" t="s">
        <v>347</v>
      </c>
      <c r="F60" s="246">
        <v>625</v>
      </c>
      <c r="G60" s="13">
        <f t="shared" si="4"/>
        <v>6</v>
      </c>
      <c r="H60" s="232">
        <f t="shared" si="5"/>
        <v>46022</v>
      </c>
      <c r="I60" s="77">
        <v>1365</v>
      </c>
      <c r="J60" s="233">
        <f>+IFERROR(IF(OR(D60=1,D60=2),INDEX($O$46:$O$51,MATCH(E60,$M$46:$M$51,0)),I60),I60)</f>
        <v>1365</v>
      </c>
      <c r="K60" s="233">
        <f t="shared" si="6"/>
        <v>16380</v>
      </c>
      <c r="L60" s="417"/>
      <c r="M60" s="416"/>
      <c r="N60" s="236"/>
      <c r="Q60" s="241"/>
      <c r="R60" s="12"/>
      <c r="U60" s="218"/>
      <c r="V60" s="238"/>
      <c r="W60" s="239"/>
    </row>
    <row r="61" spans="1:23" ht="13.9" x14ac:dyDescent="0.45">
      <c r="A61" s="268">
        <v>27</v>
      </c>
      <c r="B61" s="230">
        <f t="shared" si="3"/>
        <v>16</v>
      </c>
      <c r="C61" s="231" t="s">
        <v>395</v>
      </c>
      <c r="D61" s="231">
        <v>1</v>
      </c>
      <c r="E61" s="248" t="s">
        <v>347</v>
      </c>
      <c r="F61" s="246">
        <v>625</v>
      </c>
      <c r="G61" s="13">
        <f t="shared" si="4"/>
        <v>7</v>
      </c>
      <c r="H61" s="232">
        <f t="shared" si="5"/>
        <v>46053</v>
      </c>
      <c r="I61" s="77">
        <v>1548.75</v>
      </c>
      <c r="J61" s="233">
        <f>+IFERROR(IF(OR(D61=1,D61=2),INDEX($O$46:$O$51,MATCH(E61,$M$46:$M$51,0)),I61),I61)</f>
        <v>2200</v>
      </c>
      <c r="K61" s="233">
        <f t="shared" si="6"/>
        <v>26400</v>
      </c>
      <c r="L61" s="417"/>
      <c r="M61" s="416"/>
      <c r="N61" s="236"/>
      <c r="Q61" s="241"/>
      <c r="R61" s="12"/>
      <c r="U61" s="218"/>
      <c r="V61" s="238"/>
      <c r="W61" s="239"/>
    </row>
    <row r="62" spans="1:23" ht="13.9" x14ac:dyDescent="0.45">
      <c r="A62" s="268">
        <v>28</v>
      </c>
      <c r="B62" s="230">
        <f t="shared" si="3"/>
        <v>17</v>
      </c>
      <c r="C62" s="231" t="s">
        <v>395</v>
      </c>
      <c r="D62" s="231">
        <v>1</v>
      </c>
      <c r="E62" s="248" t="s">
        <v>347</v>
      </c>
      <c r="F62" s="246">
        <v>625</v>
      </c>
      <c r="G62" s="13">
        <f t="shared" si="4"/>
        <v>7</v>
      </c>
      <c r="H62" s="232">
        <f t="shared" si="5"/>
        <v>46053</v>
      </c>
      <c r="I62" s="77">
        <v>1417.5</v>
      </c>
      <c r="J62" s="233">
        <f>+IFERROR(IF(OR(D62=1,D62=2),INDEX($O$46:$O$51,MATCH(E62,$M$46:$M$51,0)),I62),I62)</f>
        <v>2200</v>
      </c>
      <c r="K62" s="233">
        <f t="shared" si="6"/>
        <v>26400</v>
      </c>
      <c r="L62" s="417"/>
      <c r="M62" s="416"/>
      <c r="N62" s="236"/>
      <c r="Q62" s="241"/>
      <c r="R62" s="12"/>
      <c r="U62" s="218"/>
      <c r="V62" s="238"/>
      <c r="W62" s="239"/>
    </row>
    <row r="63" spans="1:23" ht="13.9" x14ac:dyDescent="0.45">
      <c r="A63" s="268">
        <v>29</v>
      </c>
      <c r="B63" s="230">
        <f t="shared" si="3"/>
        <v>18</v>
      </c>
      <c r="C63" s="231" t="s">
        <v>395</v>
      </c>
      <c r="D63" s="231">
        <v>1</v>
      </c>
      <c r="E63" s="248" t="s">
        <v>347</v>
      </c>
      <c r="F63" s="246">
        <v>625</v>
      </c>
      <c r="G63" s="13">
        <f t="shared" si="4"/>
        <v>7</v>
      </c>
      <c r="H63" s="232">
        <f t="shared" si="5"/>
        <v>46053</v>
      </c>
      <c r="I63" s="77">
        <v>1494.01</v>
      </c>
      <c r="J63" s="233">
        <f>+IFERROR(IF(OR(D63=1,D63=2),INDEX($O$46:$O$51,MATCH(E63,$M$46:$M$51,0)),I63),I63)</f>
        <v>2200</v>
      </c>
      <c r="K63" s="233">
        <f t="shared" si="6"/>
        <v>26400</v>
      </c>
      <c r="L63" s="417"/>
      <c r="M63" s="416"/>
      <c r="N63" s="236"/>
      <c r="Q63" s="241"/>
      <c r="R63" s="12"/>
      <c r="U63" s="218"/>
      <c r="V63" s="238"/>
      <c r="W63" s="239"/>
    </row>
    <row r="64" spans="1:23" ht="13.9" x14ac:dyDescent="0.45">
      <c r="A64" s="268">
        <v>30</v>
      </c>
      <c r="B64" s="230">
        <f t="shared" si="3"/>
        <v>19</v>
      </c>
      <c r="C64" s="231" t="s">
        <v>395</v>
      </c>
      <c r="D64" s="231">
        <v>1</v>
      </c>
      <c r="E64" s="248" t="s">
        <v>347</v>
      </c>
      <c r="F64" s="246">
        <v>625</v>
      </c>
      <c r="G64" s="13">
        <f t="shared" si="4"/>
        <v>8</v>
      </c>
      <c r="H64" s="232">
        <f t="shared" si="5"/>
        <v>46081</v>
      </c>
      <c r="I64" s="77">
        <v>1548.75</v>
      </c>
      <c r="J64" s="233">
        <f>+IFERROR(IF(OR(D64=1,D64=2),INDEX($O$46:$O$51,MATCH(E64,$M$46:$M$51,0)),I64),I64)</f>
        <v>2200</v>
      </c>
      <c r="K64" s="233">
        <f t="shared" si="6"/>
        <v>26400</v>
      </c>
      <c r="L64" s="417"/>
      <c r="M64" s="416"/>
      <c r="N64" s="236"/>
      <c r="Q64" s="241"/>
      <c r="R64" s="12"/>
      <c r="U64" s="218"/>
      <c r="V64" s="238"/>
      <c r="W64" s="239"/>
    </row>
    <row r="65" spans="1:23" ht="13.9" x14ac:dyDescent="0.45">
      <c r="A65" s="268">
        <v>31</v>
      </c>
      <c r="B65" s="230">
        <f t="shared" si="3"/>
        <v>20</v>
      </c>
      <c r="C65" s="231" t="s">
        <v>395</v>
      </c>
      <c r="D65" s="231">
        <v>1</v>
      </c>
      <c r="E65" s="248" t="s">
        <v>347</v>
      </c>
      <c r="F65" s="246">
        <v>625</v>
      </c>
      <c r="G65" s="13">
        <f t="shared" si="4"/>
        <v>8</v>
      </c>
      <c r="H65" s="232">
        <f t="shared" si="5"/>
        <v>46081</v>
      </c>
      <c r="I65" s="77">
        <v>1344</v>
      </c>
      <c r="J65" s="233">
        <f>+IFERROR(IF(OR(D65=1,D65=2),INDEX($O$46:$O$51,MATCH(E65,$M$46:$M$51,0)),I65),I65)</f>
        <v>2200</v>
      </c>
      <c r="K65" s="233">
        <f t="shared" si="6"/>
        <v>26400</v>
      </c>
      <c r="L65" s="417"/>
      <c r="M65" s="416"/>
      <c r="N65" s="236"/>
      <c r="Q65" s="241"/>
      <c r="R65" s="12"/>
      <c r="U65" s="218"/>
      <c r="V65" s="238"/>
      <c r="W65" s="239"/>
    </row>
    <row r="66" spans="1:23" ht="13.9" x14ac:dyDescent="0.45">
      <c r="A66" s="268">
        <v>32</v>
      </c>
      <c r="B66" s="230">
        <f t="shared" si="3"/>
        <v>21</v>
      </c>
      <c r="C66" s="231" t="s">
        <v>395</v>
      </c>
      <c r="D66" s="231">
        <v>2</v>
      </c>
      <c r="E66" s="248" t="s">
        <v>347</v>
      </c>
      <c r="F66" s="246">
        <v>625</v>
      </c>
      <c r="G66" s="13">
        <f t="shared" si="4"/>
        <v>8</v>
      </c>
      <c r="H66" s="232">
        <f t="shared" si="5"/>
        <v>46081</v>
      </c>
      <c r="I66" s="77">
        <v>1700</v>
      </c>
      <c r="J66" s="233">
        <f>+IFERROR(IF(OR(D66=1,D66=2),INDEX($O$46:$O$51,MATCH(E66,$M$46:$M$51,0)),I66),I66)</f>
        <v>2200</v>
      </c>
      <c r="K66" s="233">
        <f t="shared" si="6"/>
        <v>26400</v>
      </c>
      <c r="L66" s="417"/>
      <c r="M66" s="416"/>
      <c r="N66" s="236"/>
      <c r="Q66" s="241"/>
      <c r="R66" s="12"/>
      <c r="U66" s="218"/>
      <c r="V66" s="238"/>
      <c r="W66" s="239"/>
    </row>
    <row r="67" spans="1:23" ht="13.9" x14ac:dyDescent="0.45">
      <c r="A67" s="268">
        <v>33</v>
      </c>
      <c r="B67" s="230">
        <f t="shared" si="3"/>
        <v>22</v>
      </c>
      <c r="C67" s="231" t="s">
        <v>395</v>
      </c>
      <c r="D67" s="231">
        <v>1</v>
      </c>
      <c r="E67" s="248" t="s">
        <v>347</v>
      </c>
      <c r="F67" s="246">
        <v>625</v>
      </c>
      <c r="G67" s="13">
        <f t="shared" si="4"/>
        <v>9</v>
      </c>
      <c r="H67" s="232">
        <f t="shared" si="5"/>
        <v>46112</v>
      </c>
      <c r="I67" s="77">
        <v>1412.25</v>
      </c>
      <c r="J67" s="233">
        <f>+IFERROR(IF(OR(D67=1,D67=2),INDEX($O$46:$O$51,MATCH(E67,$M$46:$M$51,0)),I67),I67)</f>
        <v>2200</v>
      </c>
      <c r="K67" s="233">
        <f t="shared" si="6"/>
        <v>26400</v>
      </c>
      <c r="L67" s="417"/>
      <c r="M67" s="78"/>
      <c r="N67" s="236"/>
      <c r="Q67" s="241"/>
      <c r="R67" s="12"/>
      <c r="U67" s="218"/>
      <c r="V67" s="238"/>
      <c r="W67" s="239"/>
    </row>
    <row r="68" spans="1:23" ht="13.9" x14ac:dyDescent="0.45">
      <c r="A68" s="268">
        <v>34</v>
      </c>
      <c r="B68" s="230">
        <f t="shared" si="3"/>
        <v>23</v>
      </c>
      <c r="C68" s="231" t="s">
        <v>395</v>
      </c>
      <c r="D68" s="231">
        <v>1</v>
      </c>
      <c r="E68" s="248" t="s">
        <v>347</v>
      </c>
      <c r="F68" s="246">
        <v>625</v>
      </c>
      <c r="G68" s="13">
        <f t="shared" si="4"/>
        <v>9</v>
      </c>
      <c r="H68" s="232">
        <f t="shared" si="5"/>
        <v>46112</v>
      </c>
      <c r="I68" s="77">
        <v>1522.5</v>
      </c>
      <c r="J68" s="233">
        <f>+IFERROR(IF(OR(D68=1,D68=2),INDEX($O$46:$O$51,MATCH(E68,$M$46:$M$51,0)),I68),I68)</f>
        <v>2200</v>
      </c>
      <c r="K68" s="233">
        <f t="shared" si="6"/>
        <v>26400</v>
      </c>
      <c r="L68" s="417"/>
      <c r="M68" s="78"/>
      <c r="N68" s="236"/>
      <c r="Q68" s="241"/>
      <c r="R68" s="12"/>
      <c r="U68" s="218"/>
      <c r="V68" s="238"/>
      <c r="W68" s="239"/>
    </row>
    <row r="69" spans="1:23" ht="13.9" x14ac:dyDescent="0.45">
      <c r="A69" s="268">
        <v>35</v>
      </c>
      <c r="B69" s="230">
        <f t="shared" si="3"/>
        <v>24</v>
      </c>
      <c r="C69" s="231" t="s">
        <v>395</v>
      </c>
      <c r="D69" s="231">
        <v>1</v>
      </c>
      <c r="E69" s="248" t="s">
        <v>347</v>
      </c>
      <c r="F69" s="246">
        <v>625</v>
      </c>
      <c r="G69" s="13">
        <f t="shared" si="4"/>
        <v>9</v>
      </c>
      <c r="H69" s="232">
        <f t="shared" si="5"/>
        <v>46112</v>
      </c>
      <c r="I69" s="77">
        <v>1627.5</v>
      </c>
      <c r="J69" s="233">
        <f>+IFERROR(IF(OR(D69=1,D69=2),INDEX($O$46:$O$51,MATCH(E69,$M$46:$M$51,0)),I69),I69)</f>
        <v>2200</v>
      </c>
      <c r="K69" s="233">
        <f t="shared" si="6"/>
        <v>26400</v>
      </c>
      <c r="L69" s="417"/>
      <c r="M69" s="78"/>
      <c r="N69" s="236"/>
      <c r="Q69" s="241"/>
      <c r="R69" s="12"/>
      <c r="U69" s="218"/>
      <c r="V69" s="238"/>
      <c r="W69" s="239"/>
    </row>
    <row r="70" spans="1:23" ht="13.9" x14ac:dyDescent="0.45">
      <c r="A70" s="268">
        <v>36</v>
      </c>
      <c r="B70" s="230">
        <f t="shared" si="3"/>
        <v>25</v>
      </c>
      <c r="C70" s="231" t="s">
        <v>395</v>
      </c>
      <c r="D70" s="231">
        <v>1</v>
      </c>
      <c r="E70" s="248" t="s">
        <v>347</v>
      </c>
      <c r="F70" s="246">
        <v>625</v>
      </c>
      <c r="G70" s="13">
        <f t="shared" si="4"/>
        <v>10</v>
      </c>
      <c r="H70" s="232">
        <f t="shared" si="5"/>
        <v>46142</v>
      </c>
      <c r="I70" s="77">
        <v>1522.5</v>
      </c>
      <c r="J70" s="233">
        <f>+IFERROR(IF(OR(D70=1,D70=2),INDEX($O$46:$O$51,MATCH(E70,$M$46:$M$51,0)),I70),I70)</f>
        <v>2200</v>
      </c>
      <c r="K70" s="233">
        <f t="shared" si="6"/>
        <v>26400</v>
      </c>
      <c r="L70" s="417"/>
      <c r="M70" s="78"/>
      <c r="N70" s="236"/>
      <c r="Q70" s="241"/>
      <c r="R70" s="12"/>
      <c r="U70" s="218"/>
      <c r="V70" s="238"/>
      <c r="W70" s="239"/>
    </row>
    <row r="71" spans="1:23" ht="13.9" x14ac:dyDescent="0.45">
      <c r="A71" s="268">
        <v>37</v>
      </c>
      <c r="B71" s="230">
        <f t="shared" si="3"/>
        <v>26</v>
      </c>
      <c r="C71" s="231" t="s">
        <v>395</v>
      </c>
      <c r="D71" s="231">
        <v>1</v>
      </c>
      <c r="E71" s="248" t="s">
        <v>347</v>
      </c>
      <c r="F71" s="246">
        <v>625</v>
      </c>
      <c r="G71" s="13">
        <f t="shared" si="4"/>
        <v>10</v>
      </c>
      <c r="H71" s="232">
        <f t="shared" si="5"/>
        <v>46142</v>
      </c>
      <c r="I71" s="77">
        <v>1444.72</v>
      </c>
      <c r="J71" s="233">
        <f>+IFERROR(IF(OR(D71=1,D71=2),INDEX($O$46:$O$51,MATCH(E71,$M$46:$M$51,0)),I71),I71)</f>
        <v>2200</v>
      </c>
      <c r="K71" s="233">
        <f t="shared" si="6"/>
        <v>26400</v>
      </c>
      <c r="L71" s="417"/>
      <c r="M71" s="78"/>
      <c r="N71" s="236"/>
      <c r="Q71" s="241"/>
      <c r="R71" s="12"/>
      <c r="U71" s="218"/>
      <c r="V71" s="238"/>
      <c r="W71" s="239"/>
    </row>
    <row r="72" spans="1:23" ht="13.9" x14ac:dyDescent="0.45">
      <c r="A72" s="268">
        <v>38</v>
      </c>
      <c r="B72" s="230">
        <f t="shared" si="3"/>
        <v>27</v>
      </c>
      <c r="C72" s="231" t="s">
        <v>395</v>
      </c>
      <c r="D72" s="231">
        <v>1</v>
      </c>
      <c r="E72" s="248" t="s">
        <v>347</v>
      </c>
      <c r="F72" s="246">
        <v>625</v>
      </c>
      <c r="G72" s="13">
        <f t="shared" si="4"/>
        <v>10</v>
      </c>
      <c r="H72" s="232">
        <f t="shared" si="5"/>
        <v>46142</v>
      </c>
      <c r="I72" s="77">
        <v>1785</v>
      </c>
      <c r="J72" s="233">
        <f>+IFERROR(IF(OR(D72=1,D72=2),INDEX($O$46:$O$51,MATCH(E72,$M$46:$M$51,0)),I72),I72)</f>
        <v>2200</v>
      </c>
      <c r="K72" s="233">
        <f t="shared" si="6"/>
        <v>26400</v>
      </c>
      <c r="L72" s="417"/>
      <c r="M72" s="78"/>
      <c r="N72" s="236"/>
      <c r="Q72" s="241"/>
      <c r="R72" s="12"/>
      <c r="U72" s="218"/>
      <c r="V72" s="238"/>
      <c r="W72" s="239"/>
    </row>
    <row r="73" spans="1:23" ht="13.9" x14ac:dyDescent="0.45">
      <c r="A73" s="268">
        <v>39</v>
      </c>
      <c r="B73" s="230">
        <f t="shared" si="3"/>
        <v>28</v>
      </c>
      <c r="C73" s="231" t="s">
        <v>395</v>
      </c>
      <c r="D73" s="231">
        <v>1</v>
      </c>
      <c r="E73" s="248" t="s">
        <v>347</v>
      </c>
      <c r="F73" s="246">
        <v>625</v>
      </c>
      <c r="G73" s="13">
        <f t="shared" si="4"/>
        <v>11</v>
      </c>
      <c r="H73" s="232">
        <f t="shared" si="5"/>
        <v>46173</v>
      </c>
      <c r="I73" s="77">
        <v>1451.66</v>
      </c>
      <c r="J73" s="233">
        <f>+IFERROR(IF(OR(D73=1,D73=2),INDEX($O$46:$O$51,MATCH(E73,$M$46:$M$51,0)),I73),I73)</f>
        <v>2200</v>
      </c>
      <c r="K73" s="233">
        <f t="shared" si="6"/>
        <v>26400</v>
      </c>
      <c r="L73" s="417"/>
      <c r="M73" s="78"/>
      <c r="N73" s="236"/>
      <c r="Q73" s="241"/>
      <c r="R73" s="12"/>
      <c r="U73" s="218"/>
      <c r="V73" s="238"/>
      <c r="W73" s="239"/>
    </row>
    <row r="74" spans="1:23" ht="13.9" x14ac:dyDescent="0.45">
      <c r="A74" s="268">
        <v>40</v>
      </c>
      <c r="B74" s="230">
        <f t="shared" si="3"/>
        <v>29</v>
      </c>
      <c r="C74" s="231" t="s">
        <v>395</v>
      </c>
      <c r="D74" s="231">
        <v>1</v>
      </c>
      <c r="E74" s="248" t="s">
        <v>347</v>
      </c>
      <c r="F74" s="246">
        <v>625</v>
      </c>
      <c r="G74" s="13">
        <f t="shared" si="4"/>
        <v>11</v>
      </c>
      <c r="H74" s="232">
        <f t="shared" si="5"/>
        <v>46173</v>
      </c>
      <c r="I74" s="77">
        <v>1548.75</v>
      </c>
      <c r="J74" s="233">
        <f>+IFERROR(IF(OR(D74=1,D74=2),INDEX($O$46:$O$51,MATCH(E74,$M$46:$M$51,0)),I74),I74)</f>
        <v>2200</v>
      </c>
      <c r="K74" s="233">
        <f t="shared" si="6"/>
        <v>26400</v>
      </c>
      <c r="L74" s="417"/>
      <c r="M74" s="78"/>
      <c r="N74" s="236"/>
      <c r="Q74" s="241"/>
      <c r="R74" s="12"/>
      <c r="U74" s="218"/>
      <c r="V74" s="238"/>
      <c r="W74" s="239"/>
    </row>
    <row r="75" spans="1:23" ht="13.9" x14ac:dyDescent="0.45">
      <c r="A75" s="268">
        <v>41</v>
      </c>
      <c r="B75" s="230">
        <f t="shared" si="3"/>
        <v>30</v>
      </c>
      <c r="C75" s="231" t="s">
        <v>395</v>
      </c>
      <c r="D75" s="231">
        <v>1</v>
      </c>
      <c r="E75" s="248" t="s">
        <v>347</v>
      </c>
      <c r="F75" s="246">
        <v>625</v>
      </c>
      <c r="G75" s="13">
        <f t="shared" si="4"/>
        <v>11</v>
      </c>
      <c r="H75" s="232">
        <f t="shared" si="5"/>
        <v>46173</v>
      </c>
      <c r="I75" s="77">
        <v>1443.75</v>
      </c>
      <c r="J75" s="233">
        <f>+IFERROR(IF(OR(D75=1,D75=2),INDEX($O$46:$O$51,MATCH(E75,$M$46:$M$51,0)),I75),I75)</f>
        <v>2200</v>
      </c>
      <c r="K75" s="233">
        <f t="shared" si="6"/>
        <v>26400</v>
      </c>
      <c r="L75" s="417"/>
      <c r="M75" s="78"/>
      <c r="N75" s="236"/>
      <c r="Q75" s="241"/>
      <c r="R75" s="12"/>
      <c r="U75" s="218"/>
      <c r="V75" s="238"/>
      <c r="W75" s="239"/>
    </row>
    <row r="76" spans="1:23" ht="13.9" x14ac:dyDescent="0.45">
      <c r="A76" s="268">
        <v>42</v>
      </c>
      <c r="B76" s="230">
        <f t="shared" si="3"/>
        <v>31</v>
      </c>
      <c r="C76" s="231" t="s">
        <v>395</v>
      </c>
      <c r="D76" s="231">
        <v>1</v>
      </c>
      <c r="E76" s="248" t="s">
        <v>347</v>
      </c>
      <c r="F76" s="246">
        <v>625</v>
      </c>
      <c r="G76" s="13">
        <f t="shared" si="4"/>
        <v>12</v>
      </c>
      <c r="H76" s="232">
        <f t="shared" si="5"/>
        <v>46203</v>
      </c>
      <c r="I76" s="77">
        <v>1391.25</v>
      </c>
      <c r="J76" s="233">
        <f>+IFERROR(IF(OR(D76=1,D76=2),INDEX($O$46:$O$51,MATCH(E76,$M$46:$M$51,0)),I76),I76)</f>
        <v>2200</v>
      </c>
      <c r="K76" s="233">
        <f t="shared" si="6"/>
        <v>26400</v>
      </c>
      <c r="L76" s="417"/>
      <c r="M76" s="78"/>
      <c r="N76" s="236"/>
      <c r="Q76" s="241"/>
      <c r="R76" s="12"/>
      <c r="U76" s="218"/>
      <c r="V76" s="238"/>
      <c r="W76" s="239"/>
    </row>
    <row r="77" spans="1:23" ht="13.9" x14ac:dyDescent="0.45">
      <c r="A77" s="268">
        <v>43</v>
      </c>
      <c r="B77" s="230">
        <f t="shared" si="3"/>
        <v>32</v>
      </c>
      <c r="C77" s="231" t="s">
        <v>395</v>
      </c>
      <c r="D77" s="231">
        <v>0</v>
      </c>
      <c r="E77" s="248" t="s">
        <v>347</v>
      </c>
      <c r="F77" s="246">
        <v>625</v>
      </c>
      <c r="G77" s="13">
        <f t="shared" si="4"/>
        <v>12</v>
      </c>
      <c r="H77" s="232">
        <f t="shared" si="5"/>
        <v>46203</v>
      </c>
      <c r="I77" s="77">
        <v>1219</v>
      </c>
      <c r="J77" s="233">
        <f>+IFERROR(IF(OR(D77=1,D77=2),INDEX($O$46:$O$51,MATCH(E77,$M$46:$M$51,0)),I77),I77)</f>
        <v>1219</v>
      </c>
      <c r="K77" s="233">
        <f t="shared" si="6"/>
        <v>14628</v>
      </c>
      <c r="L77" s="417"/>
      <c r="M77" s="78"/>
      <c r="N77" s="236"/>
      <c r="Q77" s="241"/>
      <c r="R77" s="12"/>
      <c r="U77" s="218"/>
      <c r="V77" s="238"/>
      <c r="W77" s="239"/>
    </row>
    <row r="78" spans="1:23" ht="13.9" x14ac:dyDescent="0.45">
      <c r="A78" s="268">
        <v>44</v>
      </c>
      <c r="B78" s="230">
        <f t="shared" si="3"/>
        <v>33</v>
      </c>
      <c r="C78" s="231" t="s">
        <v>395</v>
      </c>
      <c r="D78" s="231">
        <v>1</v>
      </c>
      <c r="E78" s="248" t="s">
        <v>347</v>
      </c>
      <c r="F78" s="246">
        <v>625</v>
      </c>
      <c r="G78" s="13">
        <f t="shared" si="4"/>
        <v>12</v>
      </c>
      <c r="H78" s="232">
        <f t="shared" si="5"/>
        <v>46203</v>
      </c>
      <c r="I78" s="77">
        <v>1600</v>
      </c>
      <c r="J78" s="233">
        <f>+IFERROR(IF(OR(D78=1,D78=2),INDEX($O$46:$O$51,MATCH(E78,$M$46:$M$51,0)),I78),I78)</f>
        <v>2200</v>
      </c>
      <c r="K78" s="233">
        <f t="shared" si="6"/>
        <v>26400</v>
      </c>
      <c r="L78" s="417"/>
      <c r="M78" s="78"/>
      <c r="N78" s="236"/>
      <c r="Q78" s="241"/>
      <c r="R78" s="12"/>
      <c r="U78" s="218"/>
      <c r="V78" s="238"/>
      <c r="W78" s="239"/>
    </row>
    <row r="79" spans="1:23" ht="13.9" x14ac:dyDescent="0.45">
      <c r="A79" s="268">
        <v>45</v>
      </c>
      <c r="B79" s="230">
        <f t="shared" si="3"/>
        <v>34</v>
      </c>
      <c r="C79" s="231" t="s">
        <v>395</v>
      </c>
      <c r="D79" s="231">
        <v>0</v>
      </c>
      <c r="E79" s="248" t="s">
        <v>347</v>
      </c>
      <c r="F79" s="246">
        <v>625</v>
      </c>
      <c r="G79" s="13">
        <f t="shared" si="4"/>
        <v>13</v>
      </c>
      <c r="H79" s="232">
        <f t="shared" si="5"/>
        <v>46234</v>
      </c>
      <c r="I79" s="77">
        <v>1344.1</v>
      </c>
      <c r="J79" s="233">
        <f>+IFERROR(IF(OR(D79=1,D79=2),INDEX($O$46:$O$51,MATCH(E79,$M$46:$M$51,0)),I79),I79)</f>
        <v>1344.1</v>
      </c>
      <c r="K79" s="233">
        <f t="shared" si="6"/>
        <v>16129.199999999999</v>
      </c>
      <c r="L79" s="417"/>
      <c r="M79" s="78"/>
      <c r="N79" s="236"/>
      <c r="Q79" s="241"/>
      <c r="R79" s="12"/>
      <c r="U79" s="218"/>
      <c r="V79" s="238"/>
      <c r="W79" s="239"/>
    </row>
    <row r="80" spans="1:23" ht="13.9" x14ac:dyDescent="0.45">
      <c r="A80" s="268">
        <v>46</v>
      </c>
      <c r="B80" s="230">
        <f t="shared" si="3"/>
        <v>35</v>
      </c>
      <c r="C80" s="231" t="s">
        <v>395</v>
      </c>
      <c r="D80" s="231">
        <v>1</v>
      </c>
      <c r="E80" s="248" t="s">
        <v>347</v>
      </c>
      <c r="F80" s="246">
        <v>625</v>
      </c>
      <c r="G80" s="13">
        <f t="shared" si="4"/>
        <v>13</v>
      </c>
      <c r="H80" s="232">
        <f t="shared" si="5"/>
        <v>46234</v>
      </c>
      <c r="I80" s="77">
        <v>1800</v>
      </c>
      <c r="J80" s="233">
        <f>+IFERROR(IF(OR(D80=1,D80=2),INDEX($O$46:$O$51,MATCH(E80,$M$46:$M$51,0)),I80),I80)</f>
        <v>2200</v>
      </c>
      <c r="K80" s="233">
        <f t="shared" si="6"/>
        <v>26400</v>
      </c>
      <c r="L80" s="417"/>
      <c r="M80" s="78"/>
      <c r="N80" s="236"/>
      <c r="Q80" s="241"/>
      <c r="R80" s="12"/>
      <c r="U80" s="218"/>
      <c r="V80" s="238"/>
      <c r="W80" s="239"/>
    </row>
    <row r="81" spans="1:23" ht="13.9" x14ac:dyDescent="0.45">
      <c r="A81" s="268">
        <v>47</v>
      </c>
      <c r="B81" s="230">
        <f t="shared" si="3"/>
        <v>36</v>
      </c>
      <c r="C81" s="231" t="s">
        <v>395</v>
      </c>
      <c r="D81" s="231">
        <v>1</v>
      </c>
      <c r="E81" s="248" t="s">
        <v>347</v>
      </c>
      <c r="F81" s="246">
        <v>625</v>
      </c>
      <c r="G81" s="13">
        <f t="shared" ref="G81:G112" si="7">+G78+1</f>
        <v>13</v>
      </c>
      <c r="H81" s="232">
        <f t="shared" si="5"/>
        <v>46234</v>
      </c>
      <c r="I81" s="77">
        <v>1417.5</v>
      </c>
      <c r="J81" s="233">
        <f>+IFERROR(IF(OR(D81=1,D81=2),INDEX($O$46:$O$51,MATCH(E81,$M$46:$M$51,0)),I81),I81)</f>
        <v>2200</v>
      </c>
      <c r="K81" s="233">
        <f t="shared" si="6"/>
        <v>26400</v>
      </c>
      <c r="L81" s="417"/>
      <c r="M81" s="78"/>
      <c r="N81" s="236"/>
      <c r="Q81" s="241"/>
      <c r="R81" s="12"/>
      <c r="U81" s="218"/>
      <c r="V81" s="238"/>
      <c r="W81" s="239"/>
    </row>
    <row r="82" spans="1:23" ht="13.9" x14ac:dyDescent="0.45">
      <c r="A82" s="268">
        <v>48</v>
      </c>
      <c r="B82" s="230">
        <f t="shared" si="3"/>
        <v>37</v>
      </c>
      <c r="C82" s="231" t="s">
        <v>395</v>
      </c>
      <c r="D82" s="231">
        <v>1</v>
      </c>
      <c r="E82" s="248" t="s">
        <v>347</v>
      </c>
      <c r="F82" s="246">
        <v>625</v>
      </c>
      <c r="G82" s="13">
        <f t="shared" si="7"/>
        <v>14</v>
      </c>
      <c r="H82" s="232">
        <f t="shared" si="5"/>
        <v>46265</v>
      </c>
      <c r="I82" s="77">
        <v>1601.25</v>
      </c>
      <c r="J82" s="233">
        <f>+IFERROR(IF(OR(D82=1,D82=2),INDEX($O$46:$O$51,MATCH(E82,$M$46:$M$51,0)),I82),I82)</f>
        <v>2200</v>
      </c>
      <c r="K82" s="233">
        <f t="shared" si="6"/>
        <v>26400</v>
      </c>
      <c r="L82" s="417"/>
      <c r="M82" s="78"/>
      <c r="N82" s="236"/>
      <c r="Q82" s="241"/>
      <c r="R82" s="12"/>
      <c r="U82" s="218"/>
      <c r="V82" s="238"/>
      <c r="W82" s="239"/>
    </row>
    <row r="83" spans="1:23" ht="13.9" x14ac:dyDescent="0.45">
      <c r="A83" s="268">
        <v>49</v>
      </c>
      <c r="B83" s="230">
        <f t="shared" si="3"/>
        <v>38</v>
      </c>
      <c r="C83" s="231" t="s">
        <v>395</v>
      </c>
      <c r="D83" s="231">
        <v>1</v>
      </c>
      <c r="E83" s="248" t="s">
        <v>347</v>
      </c>
      <c r="F83" s="246">
        <v>625</v>
      </c>
      <c r="G83" s="13">
        <f t="shared" si="7"/>
        <v>14</v>
      </c>
      <c r="H83" s="232">
        <f t="shared" si="5"/>
        <v>46265</v>
      </c>
      <c r="I83" s="77">
        <v>1700</v>
      </c>
      <c r="J83" s="233">
        <f>+IFERROR(IF(OR(D83=1,D83=2),INDEX($O$46:$O$51,MATCH(E83,$M$46:$M$51,0)),I83),I83)</f>
        <v>2200</v>
      </c>
      <c r="K83" s="233">
        <f t="shared" si="6"/>
        <v>26400</v>
      </c>
      <c r="L83" s="417"/>
      <c r="M83" s="78"/>
      <c r="N83" s="236"/>
      <c r="Q83" s="241"/>
      <c r="R83" s="12"/>
      <c r="U83" s="218"/>
      <c r="V83" s="238"/>
      <c r="W83" s="239"/>
    </row>
    <row r="84" spans="1:23" ht="13.9" x14ac:dyDescent="0.45">
      <c r="A84" s="268" t="s">
        <v>367</v>
      </c>
      <c r="B84" s="230">
        <f t="shared" si="3"/>
        <v>39</v>
      </c>
      <c r="C84" s="231" t="s">
        <v>395</v>
      </c>
      <c r="D84" s="231">
        <v>0</v>
      </c>
      <c r="E84" s="248" t="s">
        <v>348</v>
      </c>
      <c r="F84" s="246">
        <v>825</v>
      </c>
      <c r="G84" s="13">
        <f t="shared" si="7"/>
        <v>14</v>
      </c>
      <c r="H84" s="232">
        <f t="shared" si="5"/>
        <v>46265</v>
      </c>
      <c r="I84" s="77">
        <v>1391.25</v>
      </c>
      <c r="J84" s="233">
        <f>+IFERROR(IF(OR(D84=1,D84=2),INDEX($O$46:$O$51,MATCH(E84,$M$46:$M$51,0)),I84),I84)</f>
        <v>1391.25</v>
      </c>
      <c r="K84" s="233">
        <f t="shared" si="6"/>
        <v>16695</v>
      </c>
      <c r="L84" s="417"/>
      <c r="M84" s="78"/>
      <c r="N84" s="236"/>
      <c r="Q84" s="241"/>
      <c r="R84" s="12"/>
      <c r="U84" s="218"/>
      <c r="V84" s="238"/>
      <c r="W84" s="239"/>
    </row>
    <row r="85" spans="1:23" ht="13.9" x14ac:dyDescent="0.45">
      <c r="A85" s="268">
        <v>1</v>
      </c>
      <c r="B85" s="230">
        <f t="shared" si="3"/>
        <v>40</v>
      </c>
      <c r="C85" s="231" t="s">
        <v>395</v>
      </c>
      <c r="D85" s="231">
        <v>0</v>
      </c>
      <c r="E85" s="248" t="s">
        <v>348</v>
      </c>
      <c r="F85" s="246">
        <v>825</v>
      </c>
      <c r="G85" s="13">
        <f t="shared" si="7"/>
        <v>15</v>
      </c>
      <c r="H85" s="232">
        <f t="shared" si="5"/>
        <v>46295</v>
      </c>
      <c r="I85" s="77">
        <v>2500</v>
      </c>
      <c r="J85" s="233">
        <f>+IFERROR(IF(OR(D85=1,D85=2),INDEX($O$46:$O$51,MATCH(E85,$M$46:$M$51,0)),I85),I85)</f>
        <v>2500</v>
      </c>
      <c r="K85" s="233">
        <f t="shared" si="6"/>
        <v>30000</v>
      </c>
      <c r="L85" s="417"/>
      <c r="M85" s="78"/>
      <c r="N85" s="236"/>
      <c r="Q85" s="241"/>
      <c r="R85" s="12"/>
      <c r="U85" s="218"/>
      <c r="V85" s="238"/>
      <c r="W85" s="239"/>
    </row>
    <row r="86" spans="1:23" ht="13.9" x14ac:dyDescent="0.45">
      <c r="A86" s="268">
        <v>2</v>
      </c>
      <c r="B86" s="230">
        <f t="shared" si="3"/>
        <v>41</v>
      </c>
      <c r="C86" s="231" t="s">
        <v>395</v>
      </c>
      <c r="D86" s="231">
        <v>1</v>
      </c>
      <c r="E86" s="248" t="s">
        <v>348</v>
      </c>
      <c r="F86" s="246">
        <v>825</v>
      </c>
      <c r="G86" s="13">
        <f t="shared" si="7"/>
        <v>15</v>
      </c>
      <c r="H86" s="232">
        <f t="shared" ref="H86:H101" si="8">+EOMONTH($F$2,G86)</f>
        <v>46295</v>
      </c>
      <c r="I86" s="77">
        <v>2194.5</v>
      </c>
      <c r="J86" s="233">
        <f>+IFERROR(IF(OR(D86=1,D86=2),INDEX($O$46:$O$51,MATCH(E86,$M$46:$M$51,0)),I86),I86)</f>
        <v>2600</v>
      </c>
      <c r="K86" s="233">
        <f t="shared" ref="K86:K101" si="9">+J86*12</f>
        <v>31200</v>
      </c>
      <c r="L86" s="417"/>
      <c r="M86" s="78"/>
      <c r="N86" s="236"/>
      <c r="Q86" s="241"/>
      <c r="R86" s="12"/>
      <c r="U86" s="218"/>
      <c r="V86" s="238"/>
      <c r="W86" s="239"/>
    </row>
    <row r="87" spans="1:23" ht="13.9" x14ac:dyDescent="0.45">
      <c r="A87" s="268">
        <v>3</v>
      </c>
      <c r="B87" s="230">
        <f t="shared" si="3"/>
        <v>42</v>
      </c>
      <c r="C87" s="231" t="s">
        <v>395</v>
      </c>
      <c r="D87" s="231">
        <v>1</v>
      </c>
      <c r="E87" s="248" t="s">
        <v>347</v>
      </c>
      <c r="F87" s="246">
        <v>625</v>
      </c>
      <c r="G87" s="13">
        <f t="shared" si="7"/>
        <v>15</v>
      </c>
      <c r="H87" s="232">
        <f t="shared" si="8"/>
        <v>46295</v>
      </c>
      <c r="I87" s="77">
        <v>1724.25</v>
      </c>
      <c r="J87" s="233">
        <f>+IFERROR(IF(OR(D87=1,D87=2),INDEX($O$46:$O$51,MATCH(E87,$M$46:$M$51,0)),I87),I87)</f>
        <v>2200</v>
      </c>
      <c r="K87" s="233">
        <f t="shared" si="9"/>
        <v>26400</v>
      </c>
      <c r="L87" s="417"/>
      <c r="M87" s="78"/>
      <c r="N87" s="236"/>
      <c r="Q87" s="241"/>
      <c r="R87" s="12"/>
      <c r="U87" s="218"/>
      <c r="V87" s="238"/>
      <c r="W87" s="239"/>
    </row>
    <row r="88" spans="1:23" ht="13.9" x14ac:dyDescent="0.45">
      <c r="A88" s="268">
        <v>4</v>
      </c>
      <c r="B88" s="230">
        <f t="shared" si="3"/>
        <v>43</v>
      </c>
      <c r="C88" s="231" t="s">
        <v>395</v>
      </c>
      <c r="D88" s="231">
        <v>2</v>
      </c>
      <c r="E88" s="248" t="s">
        <v>347</v>
      </c>
      <c r="F88" s="246">
        <v>625</v>
      </c>
      <c r="G88" s="13">
        <f t="shared" si="7"/>
        <v>16</v>
      </c>
      <c r="H88" s="232">
        <f t="shared" si="8"/>
        <v>46326</v>
      </c>
      <c r="I88" s="77">
        <v>1755.6</v>
      </c>
      <c r="J88" s="233">
        <f>+IFERROR(IF(OR(D88=1,D88=2),INDEX($O$46:$O$51,MATCH(E88,$M$46:$M$51,0)),I88),I88)</f>
        <v>2200</v>
      </c>
      <c r="K88" s="233">
        <f t="shared" si="9"/>
        <v>26400</v>
      </c>
      <c r="L88" s="417"/>
      <c r="M88" s="78"/>
      <c r="N88" s="236"/>
      <c r="Q88" s="241"/>
      <c r="R88" s="12"/>
      <c r="U88" s="218"/>
      <c r="V88" s="238"/>
      <c r="W88" s="239"/>
    </row>
    <row r="89" spans="1:23" ht="13.9" x14ac:dyDescent="0.45">
      <c r="A89" s="268">
        <v>5</v>
      </c>
      <c r="B89" s="230">
        <f t="shared" si="3"/>
        <v>44</v>
      </c>
      <c r="C89" s="231" t="s">
        <v>395</v>
      </c>
      <c r="D89" s="231">
        <v>1</v>
      </c>
      <c r="E89" s="248" t="s">
        <v>347</v>
      </c>
      <c r="F89" s="246">
        <v>625</v>
      </c>
      <c r="G89" s="13">
        <f t="shared" si="7"/>
        <v>16</v>
      </c>
      <c r="H89" s="232">
        <f t="shared" si="8"/>
        <v>46326</v>
      </c>
      <c r="I89" s="77">
        <v>1417.5</v>
      </c>
      <c r="J89" s="233">
        <f>+IFERROR(IF(OR(D89=1,D89=2),INDEX($O$46:$O$51,MATCH(E89,$M$46:$M$51,0)),I89),I89)</f>
        <v>2200</v>
      </c>
      <c r="K89" s="233">
        <f t="shared" si="9"/>
        <v>26400</v>
      </c>
      <c r="L89" s="417"/>
      <c r="M89" s="78"/>
      <c r="N89" s="236"/>
      <c r="Q89" s="241"/>
      <c r="R89" s="12"/>
      <c r="U89" s="218"/>
      <c r="V89" s="238"/>
      <c r="W89" s="239"/>
    </row>
    <row r="90" spans="1:23" ht="13.9" x14ac:dyDescent="0.45">
      <c r="A90" s="268">
        <v>6</v>
      </c>
      <c r="B90" s="230">
        <f t="shared" si="3"/>
        <v>45</v>
      </c>
      <c r="C90" s="231" t="s">
        <v>395</v>
      </c>
      <c r="D90" s="231">
        <v>1</v>
      </c>
      <c r="E90" s="248" t="s">
        <v>347</v>
      </c>
      <c r="F90" s="246">
        <v>625</v>
      </c>
      <c r="G90" s="13">
        <f t="shared" si="7"/>
        <v>16</v>
      </c>
      <c r="H90" s="232">
        <f t="shared" si="8"/>
        <v>46326</v>
      </c>
      <c r="I90" s="77">
        <v>1601.25</v>
      </c>
      <c r="J90" s="233">
        <f>+IFERROR(IF(OR(D90=1,D90=2),INDEX($O$46:$O$51,MATCH(E90,$M$46:$M$51,0)),I90),I90)</f>
        <v>2200</v>
      </c>
      <c r="K90" s="233">
        <f t="shared" si="9"/>
        <v>26400</v>
      </c>
      <c r="L90" s="417"/>
      <c r="M90" s="78"/>
      <c r="N90" s="236"/>
      <c r="Q90" s="241"/>
      <c r="R90" s="12"/>
      <c r="U90" s="218"/>
      <c r="V90" s="238"/>
      <c r="W90" s="239"/>
    </row>
    <row r="91" spans="1:23" ht="13.9" x14ac:dyDescent="0.45">
      <c r="A91" s="268">
        <v>7</v>
      </c>
      <c r="B91" s="230">
        <f t="shared" si="3"/>
        <v>46</v>
      </c>
      <c r="C91" s="231" t="s">
        <v>395</v>
      </c>
      <c r="D91" s="231">
        <v>1</v>
      </c>
      <c r="E91" s="248" t="s">
        <v>347</v>
      </c>
      <c r="F91" s="246">
        <v>625</v>
      </c>
      <c r="G91" s="13">
        <f t="shared" si="7"/>
        <v>17</v>
      </c>
      <c r="H91" s="232">
        <f t="shared" si="8"/>
        <v>46356</v>
      </c>
      <c r="I91" s="77">
        <v>1732.5</v>
      </c>
      <c r="J91" s="233">
        <f>+IFERROR(IF(OR(D91=1,D91=2),INDEX($O$46:$O$51,MATCH(E91,$M$46:$M$51,0)),I91),I91)</f>
        <v>2200</v>
      </c>
      <c r="K91" s="233">
        <f t="shared" si="9"/>
        <v>26400</v>
      </c>
      <c r="L91" s="417"/>
      <c r="M91" s="78"/>
      <c r="N91" s="236"/>
      <c r="Q91" s="241"/>
      <c r="R91" s="12"/>
      <c r="U91" s="218"/>
      <c r="V91" s="238"/>
      <c r="W91" s="239"/>
    </row>
    <row r="92" spans="1:23" ht="13.9" x14ac:dyDescent="0.45">
      <c r="A92" s="268">
        <v>8</v>
      </c>
      <c r="B92" s="230">
        <f t="shared" si="3"/>
        <v>47</v>
      </c>
      <c r="C92" s="231" t="s">
        <v>395</v>
      </c>
      <c r="D92" s="231">
        <v>1</v>
      </c>
      <c r="E92" s="248" t="s">
        <v>347</v>
      </c>
      <c r="F92" s="246">
        <v>625</v>
      </c>
      <c r="G92" s="13">
        <f t="shared" si="7"/>
        <v>17</v>
      </c>
      <c r="H92" s="232">
        <f t="shared" si="8"/>
        <v>46356</v>
      </c>
      <c r="I92" s="77">
        <v>1443.75</v>
      </c>
      <c r="J92" s="233">
        <f>+IFERROR(IF(OR(D92=1,D92=2),INDEX($O$46:$O$51,MATCH(E92,$M$46:$M$51,0)),I92),I92)</f>
        <v>2200</v>
      </c>
      <c r="K92" s="233">
        <f t="shared" si="9"/>
        <v>26400</v>
      </c>
      <c r="L92" s="417"/>
      <c r="M92" s="78"/>
      <c r="N92" s="236"/>
      <c r="Q92" s="241"/>
      <c r="R92" s="12"/>
      <c r="U92" s="218"/>
      <c r="V92" s="238"/>
      <c r="W92" s="239"/>
    </row>
    <row r="93" spans="1:23" ht="13.9" x14ac:dyDescent="0.45">
      <c r="A93" s="268">
        <v>20</v>
      </c>
      <c r="B93" s="230">
        <f t="shared" si="3"/>
        <v>48</v>
      </c>
      <c r="C93" s="231" t="s">
        <v>395</v>
      </c>
      <c r="D93" s="231">
        <v>1</v>
      </c>
      <c r="E93" s="248" t="s">
        <v>347</v>
      </c>
      <c r="F93" s="246">
        <v>625</v>
      </c>
      <c r="G93" s="13">
        <f t="shared" si="7"/>
        <v>17</v>
      </c>
      <c r="H93" s="232">
        <f t="shared" si="8"/>
        <v>46356</v>
      </c>
      <c r="I93" s="77">
        <v>1417.5</v>
      </c>
      <c r="J93" s="233">
        <f>+IFERROR(IF(OR(D93=1,D93=2),INDEX($O$46:$O$51,MATCH(E93,$M$46:$M$51,0)),I93),I93)</f>
        <v>2200</v>
      </c>
      <c r="K93" s="233">
        <f t="shared" si="9"/>
        <v>26400</v>
      </c>
      <c r="L93" s="417"/>
      <c r="M93" s="78"/>
      <c r="N93" s="236"/>
      <c r="Q93" s="241"/>
      <c r="R93" s="12"/>
      <c r="U93" s="218"/>
      <c r="V93" s="238"/>
      <c r="W93" s="239"/>
    </row>
    <row r="94" spans="1:23" ht="13.9" x14ac:dyDescent="0.45">
      <c r="A94" s="268">
        <v>21</v>
      </c>
      <c r="B94" s="230">
        <f t="shared" si="3"/>
        <v>49</v>
      </c>
      <c r="C94" s="231" t="s">
        <v>395</v>
      </c>
      <c r="D94" s="231">
        <v>1</v>
      </c>
      <c r="E94" s="248" t="s">
        <v>347</v>
      </c>
      <c r="F94" s="246">
        <v>625</v>
      </c>
      <c r="G94" s="13">
        <f t="shared" si="7"/>
        <v>18</v>
      </c>
      <c r="H94" s="232">
        <f t="shared" si="8"/>
        <v>46387</v>
      </c>
      <c r="I94" s="77">
        <v>1700</v>
      </c>
      <c r="J94" s="233">
        <f>+IFERROR(IF(OR(D94=1,D94=2),INDEX($O$46:$O$51,MATCH(E94,$M$46:$M$51,0)),I94),I94)</f>
        <v>2200</v>
      </c>
      <c r="K94" s="233">
        <f t="shared" si="9"/>
        <v>26400</v>
      </c>
      <c r="L94" s="417"/>
      <c r="M94" s="78"/>
      <c r="N94" s="236"/>
      <c r="Q94" s="241"/>
      <c r="R94" s="12"/>
      <c r="U94" s="218"/>
      <c r="V94" s="238"/>
      <c r="W94" s="239"/>
    </row>
    <row r="95" spans="1:23" ht="13.9" x14ac:dyDescent="0.45">
      <c r="A95" s="268">
        <v>22</v>
      </c>
      <c r="B95" s="230">
        <f t="shared" si="3"/>
        <v>50</v>
      </c>
      <c r="C95" s="231" t="s">
        <v>395</v>
      </c>
      <c r="D95" s="231">
        <v>1</v>
      </c>
      <c r="E95" s="248" t="s">
        <v>347</v>
      </c>
      <c r="F95" s="246">
        <v>625</v>
      </c>
      <c r="G95" s="13">
        <f t="shared" si="7"/>
        <v>18</v>
      </c>
      <c r="H95" s="232">
        <f t="shared" si="8"/>
        <v>46387</v>
      </c>
      <c r="I95" s="77">
        <v>1819.13</v>
      </c>
      <c r="J95" s="233">
        <f>+IFERROR(IF(OR(D95=1,D95=2),INDEX($O$46:$O$51,MATCH(E95,$M$46:$M$51,0)),I95),I95)</f>
        <v>2200</v>
      </c>
      <c r="K95" s="233">
        <f t="shared" si="9"/>
        <v>26400</v>
      </c>
      <c r="L95" s="417"/>
      <c r="M95" s="78"/>
      <c r="N95" s="236"/>
      <c r="Q95" s="241"/>
      <c r="R95" s="12"/>
      <c r="U95" s="218"/>
      <c r="V95" s="238"/>
      <c r="W95" s="239"/>
    </row>
    <row r="96" spans="1:23" ht="13.9" x14ac:dyDescent="0.45">
      <c r="A96" s="268">
        <v>23</v>
      </c>
      <c r="B96" s="230">
        <f t="shared" si="3"/>
        <v>51</v>
      </c>
      <c r="C96" s="231" t="s">
        <v>395</v>
      </c>
      <c r="D96" s="231">
        <v>1</v>
      </c>
      <c r="E96" s="248" t="s">
        <v>347</v>
      </c>
      <c r="F96" s="246">
        <v>625</v>
      </c>
      <c r="G96" s="13">
        <f t="shared" si="7"/>
        <v>18</v>
      </c>
      <c r="H96" s="232">
        <f t="shared" si="8"/>
        <v>46387</v>
      </c>
      <c r="I96" s="77">
        <v>1481.9</v>
      </c>
      <c r="J96" s="233">
        <f>+IFERROR(IF(OR(D96=1,D96=2),INDEX($O$46:$O$51,MATCH(E96,$M$46:$M$51,0)),I96),I96)</f>
        <v>2200</v>
      </c>
      <c r="K96" s="233">
        <f t="shared" si="9"/>
        <v>26400</v>
      </c>
      <c r="L96" s="417"/>
      <c r="M96" s="78"/>
      <c r="N96" s="236"/>
      <c r="Q96" s="241"/>
      <c r="R96" s="12"/>
      <c r="U96" s="218"/>
      <c r="V96" s="238"/>
      <c r="W96" s="239"/>
    </row>
    <row r="97" spans="1:23" ht="13.9" x14ac:dyDescent="0.45">
      <c r="A97" s="268">
        <v>24</v>
      </c>
      <c r="B97" s="230">
        <f t="shared" si="3"/>
        <v>52</v>
      </c>
      <c r="C97" s="231" t="s">
        <v>395</v>
      </c>
      <c r="D97" s="231">
        <v>1</v>
      </c>
      <c r="E97" s="248" t="s">
        <v>347</v>
      </c>
      <c r="F97" s="246">
        <v>625</v>
      </c>
      <c r="G97" s="13">
        <f t="shared" si="7"/>
        <v>19</v>
      </c>
      <c r="H97" s="232">
        <f t="shared" si="8"/>
        <v>46418</v>
      </c>
      <c r="I97" s="77">
        <v>1680</v>
      </c>
      <c r="J97" s="233">
        <f>+IFERROR(IF(OR(D97=1,D97=2),INDEX($O$46:$O$51,MATCH(E97,$M$46:$M$51,0)),I97),I97)</f>
        <v>2200</v>
      </c>
      <c r="K97" s="233">
        <f t="shared" si="9"/>
        <v>26400</v>
      </c>
      <c r="L97" s="417"/>
      <c r="M97" s="78"/>
      <c r="N97" s="236"/>
      <c r="Q97" s="241"/>
      <c r="R97" s="12"/>
      <c r="U97" s="218"/>
      <c r="V97" s="238"/>
      <c r="W97" s="239"/>
    </row>
    <row r="98" spans="1:23" ht="13.9" x14ac:dyDescent="0.45">
      <c r="A98" s="268">
        <v>25</v>
      </c>
      <c r="B98" s="230">
        <f t="shared" si="3"/>
        <v>53</v>
      </c>
      <c r="C98" s="231" t="s">
        <v>395</v>
      </c>
      <c r="D98" s="231">
        <v>1</v>
      </c>
      <c r="E98" s="248" t="s">
        <v>347</v>
      </c>
      <c r="F98" s="246">
        <v>625</v>
      </c>
      <c r="G98" s="13">
        <f t="shared" si="7"/>
        <v>19</v>
      </c>
      <c r="H98" s="232">
        <f t="shared" si="8"/>
        <v>46418</v>
      </c>
      <c r="I98" s="77">
        <v>1439.57</v>
      </c>
      <c r="J98" s="233">
        <f>+IFERROR(IF(OR(D98=1,D98=2),INDEX($O$46:$O$51,MATCH(E98,$M$46:$M$51,0)),I98),I98)</f>
        <v>2200</v>
      </c>
      <c r="K98" s="233">
        <f t="shared" si="9"/>
        <v>26400</v>
      </c>
      <c r="L98" s="417"/>
      <c r="M98" s="78"/>
      <c r="N98" s="236"/>
      <c r="Q98" s="241"/>
      <c r="R98" s="12"/>
      <c r="U98" s="218"/>
      <c r="V98" s="238"/>
      <c r="W98" s="239"/>
    </row>
    <row r="99" spans="1:23" ht="13.9" x14ac:dyDescent="0.45">
      <c r="A99" s="268">
        <v>26</v>
      </c>
      <c r="B99" s="230">
        <f t="shared" si="3"/>
        <v>54</v>
      </c>
      <c r="C99" s="231" t="s">
        <v>395</v>
      </c>
      <c r="D99" s="231">
        <v>1</v>
      </c>
      <c r="E99" s="248" t="s">
        <v>347</v>
      </c>
      <c r="F99" s="246">
        <v>625</v>
      </c>
      <c r="G99" s="13">
        <f t="shared" si="7"/>
        <v>19</v>
      </c>
      <c r="H99" s="232">
        <f t="shared" si="8"/>
        <v>46418</v>
      </c>
      <c r="I99" s="77">
        <v>1417.5</v>
      </c>
      <c r="J99" s="233">
        <f>+IFERROR(IF(OR(D99=1,D99=2),INDEX($O$46:$O$51,MATCH(E99,$M$46:$M$51,0)),I99),I99)</f>
        <v>2200</v>
      </c>
      <c r="K99" s="233">
        <f t="shared" si="9"/>
        <v>26400</v>
      </c>
      <c r="L99" s="417"/>
      <c r="M99" s="78"/>
      <c r="N99" s="236"/>
      <c r="Q99" s="241"/>
      <c r="R99" s="12"/>
      <c r="U99" s="218"/>
      <c r="V99" s="238"/>
      <c r="W99" s="239"/>
    </row>
    <row r="100" spans="1:23" ht="13.9" x14ac:dyDescent="0.45">
      <c r="A100" s="268">
        <v>27</v>
      </c>
      <c r="B100" s="230">
        <f t="shared" si="3"/>
        <v>55</v>
      </c>
      <c r="C100" s="231" t="s">
        <v>395</v>
      </c>
      <c r="D100" s="231">
        <v>1</v>
      </c>
      <c r="E100" s="248" t="s">
        <v>347</v>
      </c>
      <c r="F100" s="246">
        <v>625</v>
      </c>
      <c r="G100" s="13">
        <f t="shared" si="7"/>
        <v>20</v>
      </c>
      <c r="H100" s="232">
        <f t="shared" si="8"/>
        <v>46446</v>
      </c>
      <c r="I100" s="77">
        <v>1416.58</v>
      </c>
      <c r="J100" s="233">
        <f>+IFERROR(IF(OR(D100=1,D100=2),INDEX($O$46:$O$51,MATCH(E100,$M$46:$M$51,0)),I100),I100)</f>
        <v>2200</v>
      </c>
      <c r="K100" s="233">
        <f t="shared" si="9"/>
        <v>26400</v>
      </c>
      <c r="L100" s="417"/>
      <c r="M100" s="78"/>
      <c r="N100" s="236"/>
      <c r="Q100" s="241"/>
      <c r="R100" s="12"/>
      <c r="U100" s="218"/>
      <c r="V100" s="238"/>
      <c r="W100" s="239"/>
    </row>
    <row r="101" spans="1:23" ht="13.9" x14ac:dyDescent="0.45">
      <c r="A101" s="268">
        <v>28</v>
      </c>
      <c r="B101" s="230">
        <f t="shared" si="3"/>
        <v>56</v>
      </c>
      <c r="C101" s="231" t="s">
        <v>395</v>
      </c>
      <c r="D101" s="231">
        <v>1</v>
      </c>
      <c r="E101" s="248" t="s">
        <v>347</v>
      </c>
      <c r="F101" s="246">
        <v>625</v>
      </c>
      <c r="G101" s="13">
        <f t="shared" si="7"/>
        <v>20</v>
      </c>
      <c r="H101" s="232">
        <f t="shared" si="8"/>
        <v>46446</v>
      </c>
      <c r="I101" s="77">
        <v>1457.71</v>
      </c>
      <c r="J101" s="233">
        <f>+IFERROR(IF(OR(D101=1,D101=2),INDEX($O$46:$O$51,MATCH(E101,$M$46:$M$51,0)),I101),I101)</f>
        <v>2200</v>
      </c>
      <c r="K101" s="233">
        <f t="shared" si="9"/>
        <v>26400</v>
      </c>
      <c r="L101" s="417"/>
      <c r="M101" s="78"/>
      <c r="N101" s="236"/>
      <c r="Q101" s="241"/>
      <c r="R101" s="12"/>
      <c r="U101" s="218"/>
      <c r="V101" s="238"/>
      <c r="W101" s="239"/>
    </row>
    <row r="102" spans="1:23" ht="13.9" x14ac:dyDescent="0.45">
      <c r="A102" s="268">
        <v>29</v>
      </c>
      <c r="B102" s="230">
        <f t="shared" si="3"/>
        <v>57</v>
      </c>
      <c r="C102" s="231" t="s">
        <v>395</v>
      </c>
      <c r="D102" s="231">
        <v>1</v>
      </c>
      <c r="E102" s="248" t="s">
        <v>347</v>
      </c>
      <c r="F102" s="246">
        <v>625</v>
      </c>
      <c r="G102" s="13">
        <f t="shared" si="7"/>
        <v>20</v>
      </c>
      <c r="H102" s="232">
        <f>+EOMONTH($F$2,G102)</f>
        <v>46446</v>
      </c>
      <c r="I102" s="77">
        <v>1627.5</v>
      </c>
      <c r="J102" s="233">
        <f>+IFERROR(IF(OR(D102=1,D102=2),INDEX($O$46:$O$51,MATCH(E102,$M$46:$M$51,0)),I102),I102)</f>
        <v>2200</v>
      </c>
      <c r="K102" s="233">
        <f>+J102*12</f>
        <v>26400</v>
      </c>
      <c r="L102" s="417"/>
      <c r="M102" s="78"/>
      <c r="N102" s="236"/>
      <c r="Q102" s="241"/>
      <c r="R102" s="12"/>
      <c r="U102" s="218"/>
      <c r="V102" s="238"/>
      <c r="W102" s="239"/>
    </row>
    <row r="103" spans="1:23" ht="13.9" x14ac:dyDescent="0.45">
      <c r="A103" s="268">
        <v>30</v>
      </c>
      <c r="B103" s="230">
        <f t="shared" si="3"/>
        <v>58</v>
      </c>
      <c r="C103" s="231" t="s">
        <v>395</v>
      </c>
      <c r="D103" s="231">
        <v>1</v>
      </c>
      <c r="E103" s="248" t="s">
        <v>347</v>
      </c>
      <c r="F103" s="246">
        <v>625</v>
      </c>
      <c r="G103" s="13">
        <f t="shared" si="7"/>
        <v>21</v>
      </c>
      <c r="H103" s="232">
        <f t="shared" ref="H103:H123" si="10">+EOMONTH($F$2,G103)</f>
        <v>46477</v>
      </c>
      <c r="I103" s="77">
        <v>1700</v>
      </c>
      <c r="J103" s="233">
        <f>+IFERROR(IF(OR(D103=1,D103=2),INDEX($O$46:$O$51,MATCH(E103,$M$46:$M$51,0)),I103),I103)</f>
        <v>2200</v>
      </c>
      <c r="K103" s="233">
        <f t="shared" ref="K103:K123" si="11">+J103*12</f>
        <v>26400</v>
      </c>
      <c r="L103" s="417"/>
      <c r="M103" s="78"/>
      <c r="N103" s="236"/>
      <c r="Q103" s="241"/>
      <c r="R103" s="12"/>
      <c r="U103" s="218"/>
      <c r="V103" s="238"/>
      <c r="W103" s="239"/>
    </row>
    <row r="104" spans="1:23" ht="13.9" x14ac:dyDescent="0.45">
      <c r="A104" s="268">
        <v>31</v>
      </c>
      <c r="B104" s="230">
        <f t="shared" si="3"/>
        <v>59</v>
      </c>
      <c r="C104" s="231" t="s">
        <v>395</v>
      </c>
      <c r="D104" s="231">
        <v>1</v>
      </c>
      <c r="E104" s="248" t="s">
        <v>347</v>
      </c>
      <c r="F104" s="246">
        <v>625</v>
      </c>
      <c r="G104" s="13">
        <f t="shared" si="7"/>
        <v>21</v>
      </c>
      <c r="H104" s="232">
        <f t="shared" si="10"/>
        <v>46477</v>
      </c>
      <c r="I104" s="77">
        <v>1522.5</v>
      </c>
      <c r="J104" s="233">
        <f>+IFERROR(IF(OR(D104=1,D104=2),INDEX($O$46:$O$51,MATCH(E104,$M$46:$M$51,0)),I104),I104)</f>
        <v>2200</v>
      </c>
      <c r="K104" s="233">
        <f t="shared" si="11"/>
        <v>26400</v>
      </c>
      <c r="L104" s="417"/>
      <c r="M104" s="78"/>
      <c r="N104" s="236"/>
      <c r="Q104" s="241"/>
      <c r="R104" s="12"/>
      <c r="U104" s="218"/>
      <c r="V104" s="238"/>
      <c r="W104" s="239"/>
    </row>
    <row r="105" spans="1:23" ht="13.9" x14ac:dyDescent="0.45">
      <c r="A105" s="268">
        <v>32</v>
      </c>
      <c r="B105" s="230">
        <f t="shared" si="3"/>
        <v>60</v>
      </c>
      <c r="C105" s="231" t="s">
        <v>395</v>
      </c>
      <c r="D105" s="231">
        <v>0</v>
      </c>
      <c r="E105" s="248" t="s">
        <v>347</v>
      </c>
      <c r="F105" s="246">
        <v>625</v>
      </c>
      <c r="G105" s="13">
        <f t="shared" si="7"/>
        <v>21</v>
      </c>
      <c r="H105" s="232">
        <f t="shared" si="10"/>
        <v>46477</v>
      </c>
      <c r="I105" s="77">
        <v>1451.66</v>
      </c>
      <c r="J105" s="233">
        <f>+IFERROR(IF(OR(D105=1,D105=2),INDEX($O$46:$O$51,MATCH(E105,$M$46:$M$51,0)),I105),I105)</f>
        <v>1451.66</v>
      </c>
      <c r="K105" s="233">
        <f t="shared" si="11"/>
        <v>17419.920000000002</v>
      </c>
      <c r="L105" s="417"/>
      <c r="M105" s="78"/>
      <c r="N105" s="236"/>
      <c r="Q105" s="241"/>
      <c r="R105" s="12"/>
      <c r="U105" s="218"/>
      <c r="V105" s="238"/>
      <c r="W105" s="239"/>
    </row>
    <row r="106" spans="1:23" ht="13.9" x14ac:dyDescent="0.45">
      <c r="A106" s="268">
        <v>33</v>
      </c>
      <c r="B106" s="230">
        <f t="shared" si="3"/>
        <v>61</v>
      </c>
      <c r="C106" s="231" t="s">
        <v>395</v>
      </c>
      <c r="D106" s="231">
        <v>0</v>
      </c>
      <c r="E106" s="248" t="s">
        <v>347</v>
      </c>
      <c r="F106" s="246">
        <v>625</v>
      </c>
      <c r="G106" s="13">
        <f t="shared" si="7"/>
        <v>22</v>
      </c>
      <c r="H106" s="232">
        <f t="shared" si="10"/>
        <v>46507</v>
      </c>
      <c r="I106" s="77">
        <v>1481.9</v>
      </c>
      <c r="J106" s="233">
        <f>+IFERROR(IF(OR(D106=1,D106=2),INDEX($O$46:$O$51,MATCH(E106,$M$46:$M$51,0)),I106),I106)</f>
        <v>1481.9</v>
      </c>
      <c r="K106" s="233">
        <f t="shared" si="11"/>
        <v>17782.800000000003</v>
      </c>
      <c r="L106" s="417"/>
      <c r="M106" s="78"/>
      <c r="N106" s="236"/>
      <c r="Q106" s="241"/>
      <c r="R106" s="12"/>
      <c r="U106" s="218"/>
      <c r="V106" s="238"/>
      <c r="W106" s="239"/>
    </row>
    <row r="107" spans="1:23" ht="13.9" x14ac:dyDescent="0.45">
      <c r="A107" s="268">
        <v>34</v>
      </c>
      <c r="B107" s="230">
        <f t="shared" si="3"/>
        <v>62</v>
      </c>
      <c r="C107" s="231" t="s">
        <v>395</v>
      </c>
      <c r="D107" s="231">
        <v>0</v>
      </c>
      <c r="E107" s="248" t="s">
        <v>347</v>
      </c>
      <c r="F107" s="246">
        <v>625</v>
      </c>
      <c r="G107" s="13">
        <f t="shared" si="7"/>
        <v>22</v>
      </c>
      <c r="H107" s="232">
        <f t="shared" si="10"/>
        <v>46507</v>
      </c>
      <c r="I107" s="77">
        <v>1700</v>
      </c>
      <c r="J107" s="233">
        <f>+IFERROR(IF(OR(D107=1,D107=2),INDEX($O$46:$O$51,MATCH(E107,$M$46:$M$51,0)),I107),I107)</f>
        <v>1700</v>
      </c>
      <c r="K107" s="233">
        <f t="shared" si="11"/>
        <v>20400</v>
      </c>
      <c r="L107" s="417"/>
      <c r="M107" s="78"/>
      <c r="N107" s="236"/>
      <c r="Q107" s="241"/>
      <c r="R107" s="12"/>
      <c r="U107" s="218"/>
      <c r="V107" s="238"/>
      <c r="W107" s="239"/>
    </row>
    <row r="108" spans="1:23" ht="13.9" x14ac:dyDescent="0.45">
      <c r="A108" s="268">
        <v>35</v>
      </c>
      <c r="B108" s="230">
        <f t="shared" si="3"/>
        <v>63</v>
      </c>
      <c r="C108" s="231" t="s">
        <v>395</v>
      </c>
      <c r="D108" s="231">
        <v>1</v>
      </c>
      <c r="E108" s="248" t="s">
        <v>347</v>
      </c>
      <c r="F108" s="246">
        <v>625</v>
      </c>
      <c r="G108" s="13">
        <f t="shared" si="7"/>
        <v>22</v>
      </c>
      <c r="H108" s="232">
        <f t="shared" si="10"/>
        <v>46507</v>
      </c>
      <c r="I108" s="77">
        <v>1482</v>
      </c>
      <c r="J108" s="233">
        <f>+IFERROR(IF(OR(D108=1,D108=2),INDEX($O$46:$O$51,MATCH(E108,$M$46:$M$51,0)),I108),I108)</f>
        <v>2200</v>
      </c>
      <c r="K108" s="233">
        <f t="shared" si="11"/>
        <v>26400</v>
      </c>
      <c r="L108" s="417"/>
      <c r="M108" s="78"/>
      <c r="N108" s="236"/>
      <c r="Q108" s="241"/>
      <c r="R108" s="12"/>
      <c r="U108" s="218"/>
      <c r="V108" s="238"/>
      <c r="W108" s="239"/>
    </row>
    <row r="109" spans="1:23" ht="13.9" x14ac:dyDescent="0.45">
      <c r="A109" s="268">
        <v>36</v>
      </c>
      <c r="B109" s="230">
        <f t="shared" si="3"/>
        <v>64</v>
      </c>
      <c r="C109" s="231" t="s">
        <v>395</v>
      </c>
      <c r="D109" s="231">
        <v>2</v>
      </c>
      <c r="E109" s="248" t="s">
        <v>347</v>
      </c>
      <c r="F109" s="246">
        <v>625</v>
      </c>
      <c r="G109" s="13">
        <f t="shared" si="7"/>
        <v>23</v>
      </c>
      <c r="H109" s="232">
        <f t="shared" si="10"/>
        <v>46538</v>
      </c>
      <c r="I109" s="77">
        <v>1785</v>
      </c>
      <c r="J109" s="233">
        <f>+IFERROR(IF(OR(D109=1,D109=2),INDEX($O$46:$O$51,MATCH(E109,$M$46:$M$51,0)),I109),I109)</f>
        <v>2200</v>
      </c>
      <c r="K109" s="233">
        <f t="shared" si="11"/>
        <v>26400</v>
      </c>
      <c r="L109" s="417"/>
      <c r="M109" s="78"/>
      <c r="N109" s="236"/>
      <c r="Q109" s="241"/>
      <c r="R109" s="12"/>
      <c r="U109" s="218"/>
      <c r="V109" s="238"/>
      <c r="W109" s="239"/>
    </row>
    <row r="110" spans="1:23" ht="13.9" x14ac:dyDescent="0.45">
      <c r="A110" s="268">
        <v>37</v>
      </c>
      <c r="B110" s="230">
        <f t="shared" si="3"/>
        <v>65</v>
      </c>
      <c r="C110" s="231" t="s">
        <v>395</v>
      </c>
      <c r="D110" s="231">
        <v>1</v>
      </c>
      <c r="E110" s="248" t="s">
        <v>347</v>
      </c>
      <c r="F110" s="246">
        <v>625</v>
      </c>
      <c r="G110" s="13">
        <f t="shared" si="7"/>
        <v>23</v>
      </c>
      <c r="H110" s="232">
        <f t="shared" si="10"/>
        <v>46538</v>
      </c>
      <c r="I110" s="77">
        <v>1522.5</v>
      </c>
      <c r="J110" s="233">
        <f>+IFERROR(IF(OR(D110=1,D110=2),INDEX($O$46:$O$51,MATCH(E110,$M$46:$M$51,0)),I110),I110)</f>
        <v>2200</v>
      </c>
      <c r="K110" s="233">
        <f t="shared" si="11"/>
        <v>26400</v>
      </c>
      <c r="L110" s="417"/>
      <c r="M110" s="78"/>
      <c r="N110" s="236"/>
      <c r="Q110" s="241"/>
      <c r="R110" s="12"/>
      <c r="U110" s="218"/>
      <c r="V110" s="238"/>
      <c r="W110" s="239"/>
    </row>
    <row r="111" spans="1:23" ht="13.9" x14ac:dyDescent="0.45">
      <c r="A111" s="268">
        <v>38</v>
      </c>
      <c r="B111" s="230">
        <f t="shared" si="3"/>
        <v>66</v>
      </c>
      <c r="C111" s="231" t="s">
        <v>395</v>
      </c>
      <c r="D111" s="231">
        <v>1</v>
      </c>
      <c r="E111" s="248" t="s">
        <v>347</v>
      </c>
      <c r="F111" s="246">
        <v>625</v>
      </c>
      <c r="G111" s="13">
        <f t="shared" si="7"/>
        <v>23</v>
      </c>
      <c r="H111" s="232">
        <f t="shared" si="10"/>
        <v>46538</v>
      </c>
      <c r="I111" s="77">
        <v>1575</v>
      </c>
      <c r="J111" s="233">
        <f>+IFERROR(IF(OR(D111=1,D111=2),INDEX($O$46:$O$51,MATCH(E111,$M$46:$M$51,0)),I111),I111)</f>
        <v>2200</v>
      </c>
      <c r="K111" s="233">
        <f t="shared" si="11"/>
        <v>26400</v>
      </c>
      <c r="L111" s="417"/>
      <c r="M111" s="78"/>
      <c r="N111" s="236"/>
      <c r="Q111" s="241"/>
      <c r="R111" s="12"/>
      <c r="U111" s="218"/>
      <c r="V111" s="238"/>
      <c r="W111" s="239"/>
    </row>
    <row r="112" spans="1:23" ht="13.9" x14ac:dyDescent="0.45">
      <c r="A112" s="268">
        <v>39</v>
      </c>
      <c r="B112" s="230">
        <f t="shared" ref="B112:B123" si="12">+B111+1</f>
        <v>67</v>
      </c>
      <c r="C112" s="231" t="s">
        <v>395</v>
      </c>
      <c r="D112" s="231">
        <v>1</v>
      </c>
      <c r="E112" s="248" t="s">
        <v>347</v>
      </c>
      <c r="F112" s="246">
        <v>625</v>
      </c>
      <c r="G112" s="13">
        <f t="shared" si="7"/>
        <v>24</v>
      </c>
      <c r="H112" s="232">
        <f t="shared" si="10"/>
        <v>46568</v>
      </c>
      <c r="I112" s="77">
        <v>1607.47</v>
      </c>
      <c r="J112" s="233">
        <f>+IFERROR(IF(OR(D112=1,D112=2),INDEX($O$46:$O$51,MATCH(E112,$M$46:$M$51,0)),I112),I112)</f>
        <v>2200</v>
      </c>
      <c r="K112" s="233">
        <f t="shared" si="11"/>
        <v>26400</v>
      </c>
      <c r="L112" s="417"/>
      <c r="M112" s="78"/>
      <c r="N112" s="236"/>
      <c r="Q112" s="241"/>
      <c r="R112" s="12"/>
      <c r="U112" s="218"/>
      <c r="V112" s="238"/>
      <c r="W112" s="239"/>
    </row>
    <row r="113" spans="1:23" ht="13.9" x14ac:dyDescent="0.45">
      <c r="A113" s="268">
        <v>40</v>
      </c>
      <c r="B113" s="230">
        <f t="shared" si="12"/>
        <v>68</v>
      </c>
      <c r="C113" s="231" t="s">
        <v>395</v>
      </c>
      <c r="D113" s="231">
        <v>1</v>
      </c>
      <c r="E113" s="248" t="s">
        <v>347</v>
      </c>
      <c r="F113" s="246">
        <v>625</v>
      </c>
      <c r="G113" s="13">
        <f t="shared" ref="G113:G123" si="13">+G110+1</f>
        <v>24</v>
      </c>
      <c r="H113" s="232">
        <f t="shared" si="10"/>
        <v>46568</v>
      </c>
      <c r="I113" s="77">
        <v>1470</v>
      </c>
      <c r="J113" s="233">
        <f>+IFERROR(IF(OR(D113=1,D113=2),INDEX($O$46:$O$51,MATCH(E113,$M$46:$M$51,0)),I113),I113)</f>
        <v>2200</v>
      </c>
      <c r="K113" s="233">
        <f t="shared" si="11"/>
        <v>26400</v>
      </c>
      <c r="L113" s="417"/>
      <c r="M113" s="78"/>
      <c r="N113" s="236"/>
      <c r="Q113" s="241"/>
      <c r="R113" s="12"/>
      <c r="U113" s="218"/>
      <c r="V113" s="238"/>
      <c r="W113" s="239"/>
    </row>
    <row r="114" spans="1:23" ht="13.9" x14ac:dyDescent="0.45">
      <c r="A114" s="268">
        <v>41</v>
      </c>
      <c r="B114" s="230">
        <f t="shared" si="12"/>
        <v>69</v>
      </c>
      <c r="C114" s="231" t="s">
        <v>395</v>
      </c>
      <c r="D114" s="231">
        <v>1</v>
      </c>
      <c r="E114" s="248" t="s">
        <v>347</v>
      </c>
      <c r="F114" s="246">
        <v>625</v>
      </c>
      <c r="G114" s="13">
        <f t="shared" si="13"/>
        <v>24</v>
      </c>
      <c r="H114" s="232">
        <f t="shared" si="10"/>
        <v>46568</v>
      </c>
      <c r="I114" s="77">
        <v>1600</v>
      </c>
      <c r="J114" s="233">
        <f>+IFERROR(IF(OR(D114=1,D114=2),INDEX($O$46:$O$51,MATCH(E114,$M$46:$M$51,0)),I114),I114)</f>
        <v>2200</v>
      </c>
      <c r="K114" s="233">
        <f t="shared" si="11"/>
        <v>26400</v>
      </c>
      <c r="L114" s="417"/>
      <c r="M114" s="78"/>
      <c r="N114" s="236"/>
      <c r="Q114" s="241"/>
      <c r="R114" s="12"/>
      <c r="U114" s="218"/>
      <c r="V114" s="238"/>
      <c r="W114" s="239"/>
    </row>
    <row r="115" spans="1:23" ht="13.9" x14ac:dyDescent="0.45">
      <c r="A115" s="268">
        <v>42</v>
      </c>
      <c r="B115" s="230">
        <f t="shared" si="12"/>
        <v>70</v>
      </c>
      <c r="C115" s="231" t="s">
        <v>395</v>
      </c>
      <c r="D115" s="231">
        <v>1</v>
      </c>
      <c r="E115" s="248" t="s">
        <v>347</v>
      </c>
      <c r="F115" s="246">
        <v>625</v>
      </c>
      <c r="G115" s="13">
        <f t="shared" si="13"/>
        <v>25</v>
      </c>
      <c r="H115" s="232">
        <f t="shared" si="10"/>
        <v>46599</v>
      </c>
      <c r="I115" s="77">
        <v>1391.25</v>
      </c>
      <c r="J115" s="233">
        <f>+IFERROR(IF(OR(D115=1,D115=2),INDEX($O$46:$O$51,MATCH(E115,$M$46:$M$51,0)),I115),I115)</f>
        <v>2200</v>
      </c>
      <c r="K115" s="233">
        <f t="shared" si="11"/>
        <v>26400</v>
      </c>
      <c r="L115" s="417"/>
      <c r="M115" s="78"/>
      <c r="N115" s="236"/>
      <c r="Q115" s="241"/>
      <c r="R115" s="12"/>
      <c r="U115" s="218"/>
      <c r="V115" s="238"/>
      <c r="W115" s="239"/>
    </row>
    <row r="116" spans="1:23" ht="13.9" x14ac:dyDescent="0.45">
      <c r="A116" s="268">
        <v>43</v>
      </c>
      <c r="B116" s="230">
        <f t="shared" si="12"/>
        <v>71</v>
      </c>
      <c r="C116" s="231" t="s">
        <v>395</v>
      </c>
      <c r="D116" s="231">
        <v>1</v>
      </c>
      <c r="E116" s="248" t="s">
        <v>347</v>
      </c>
      <c r="F116" s="246">
        <v>625</v>
      </c>
      <c r="G116" s="13">
        <f t="shared" si="13"/>
        <v>25</v>
      </c>
      <c r="H116" s="232">
        <f t="shared" si="10"/>
        <v>46599</v>
      </c>
      <c r="I116" s="77">
        <v>1640.39</v>
      </c>
      <c r="J116" s="233">
        <f>+IFERROR(IF(OR(D116=1,D116=2),INDEX($O$46:$O$51,MATCH(E116,$M$46:$M$51,0)),I116),I116)</f>
        <v>2200</v>
      </c>
      <c r="K116" s="233">
        <f t="shared" si="11"/>
        <v>26400</v>
      </c>
      <c r="L116" s="417"/>
      <c r="M116" s="78"/>
      <c r="N116" s="236"/>
      <c r="Q116" s="241"/>
      <c r="R116" s="12"/>
      <c r="U116" s="218"/>
      <c r="V116" s="238"/>
      <c r="W116" s="239"/>
    </row>
    <row r="117" spans="1:23" ht="13.9" x14ac:dyDescent="0.45">
      <c r="A117" s="268">
        <v>44</v>
      </c>
      <c r="B117" s="230">
        <f t="shared" si="12"/>
        <v>72</v>
      </c>
      <c r="C117" s="231" t="s">
        <v>395</v>
      </c>
      <c r="D117" s="231">
        <v>1</v>
      </c>
      <c r="E117" s="248" t="s">
        <v>347</v>
      </c>
      <c r="F117" s="246">
        <v>625</v>
      </c>
      <c r="G117" s="13">
        <f t="shared" si="13"/>
        <v>25</v>
      </c>
      <c r="H117" s="232">
        <f t="shared" si="10"/>
        <v>46599</v>
      </c>
      <c r="I117" s="77">
        <v>1700</v>
      </c>
      <c r="J117" s="233">
        <f>+IFERROR(IF(OR(D117=1,D117=2),INDEX($O$46:$O$51,MATCH(E117,$M$46:$M$51,0)),I117),I117)</f>
        <v>2200</v>
      </c>
      <c r="K117" s="233">
        <f t="shared" si="11"/>
        <v>26400</v>
      </c>
      <c r="L117" s="417"/>
      <c r="M117" s="78"/>
      <c r="N117" s="236"/>
      <c r="Q117" s="241"/>
      <c r="R117" s="12"/>
      <c r="U117" s="218"/>
      <c r="V117" s="238"/>
      <c r="W117" s="239"/>
    </row>
    <row r="118" spans="1:23" ht="13.9" x14ac:dyDescent="0.45">
      <c r="A118" s="268">
        <v>45</v>
      </c>
      <c r="B118" s="230">
        <f t="shared" si="12"/>
        <v>73</v>
      </c>
      <c r="C118" s="231" t="s">
        <v>395</v>
      </c>
      <c r="D118" s="231">
        <v>1</v>
      </c>
      <c r="E118" s="248" t="s">
        <v>347</v>
      </c>
      <c r="F118" s="246">
        <v>625</v>
      </c>
      <c r="G118" s="13">
        <f t="shared" si="13"/>
        <v>26</v>
      </c>
      <c r="H118" s="232">
        <f t="shared" si="10"/>
        <v>46630</v>
      </c>
      <c r="I118" s="77">
        <v>1672</v>
      </c>
      <c r="J118" s="233">
        <f>+IFERROR(IF(OR(D118=1,D118=2),INDEX($O$46:$O$51,MATCH(E118,$M$46:$M$51,0)),I118),I118)</f>
        <v>2200</v>
      </c>
      <c r="K118" s="233">
        <f t="shared" si="11"/>
        <v>26400</v>
      </c>
      <c r="L118" s="417"/>
      <c r="M118" s="78"/>
      <c r="N118" s="236"/>
      <c r="Q118" s="241"/>
      <c r="R118" s="12"/>
      <c r="U118" s="218"/>
      <c r="V118" s="238"/>
      <c r="W118" s="239"/>
    </row>
    <row r="119" spans="1:23" ht="13.9" x14ac:dyDescent="0.45">
      <c r="A119" s="268">
        <v>46</v>
      </c>
      <c r="B119" s="230">
        <f t="shared" si="12"/>
        <v>74</v>
      </c>
      <c r="C119" s="231" t="s">
        <v>395</v>
      </c>
      <c r="D119" s="231">
        <v>1</v>
      </c>
      <c r="E119" s="248" t="s">
        <v>347</v>
      </c>
      <c r="F119" s="246">
        <v>625</v>
      </c>
      <c r="G119" s="13">
        <f t="shared" si="13"/>
        <v>26</v>
      </c>
      <c r="H119" s="232">
        <f t="shared" si="10"/>
        <v>46630</v>
      </c>
      <c r="I119" s="77">
        <v>1481.9</v>
      </c>
      <c r="J119" s="233">
        <f>+IFERROR(IF(OR(D119=1,D119=2),INDEX($O$46:$O$51,MATCH(E119,$M$46:$M$51,0)),I119),I119)</f>
        <v>2200</v>
      </c>
      <c r="K119" s="233">
        <f t="shared" si="11"/>
        <v>26400</v>
      </c>
      <c r="L119" s="417"/>
      <c r="M119" s="78"/>
      <c r="N119" s="236"/>
      <c r="Q119" s="241"/>
      <c r="R119" s="12"/>
      <c r="U119" s="218"/>
      <c r="V119" s="238"/>
      <c r="W119" s="239"/>
    </row>
    <row r="120" spans="1:23" ht="13.9" x14ac:dyDescent="0.45">
      <c r="A120" s="268">
        <v>47</v>
      </c>
      <c r="B120" s="230">
        <f t="shared" si="12"/>
        <v>75</v>
      </c>
      <c r="C120" s="231" t="s">
        <v>395</v>
      </c>
      <c r="D120" s="231">
        <v>1</v>
      </c>
      <c r="E120" s="248" t="s">
        <v>347</v>
      </c>
      <c r="F120" s="246">
        <v>625</v>
      </c>
      <c r="G120" s="13">
        <f t="shared" si="13"/>
        <v>26</v>
      </c>
      <c r="H120" s="232">
        <f t="shared" si="10"/>
        <v>46630</v>
      </c>
      <c r="I120" s="77">
        <v>1459.5</v>
      </c>
      <c r="J120" s="233">
        <f>+IFERROR(IF(OR(D120=1,D120=2),INDEX($O$46:$O$51,MATCH(E120,$M$46:$M$51,0)),I120),I120)</f>
        <v>2200</v>
      </c>
      <c r="K120" s="233">
        <f t="shared" si="11"/>
        <v>26400</v>
      </c>
      <c r="L120" s="417"/>
      <c r="M120" s="78"/>
      <c r="N120" s="236"/>
      <c r="Q120" s="241"/>
      <c r="R120" s="12"/>
      <c r="U120" s="218"/>
      <c r="V120" s="238"/>
      <c r="W120" s="239"/>
    </row>
    <row r="121" spans="1:23" ht="13.9" x14ac:dyDescent="0.45">
      <c r="A121" s="268">
        <v>48</v>
      </c>
      <c r="B121" s="230">
        <f t="shared" si="12"/>
        <v>76</v>
      </c>
      <c r="C121" s="231" t="s">
        <v>395</v>
      </c>
      <c r="D121" s="231">
        <v>1</v>
      </c>
      <c r="E121" s="248" t="s">
        <v>347</v>
      </c>
      <c r="F121" s="246">
        <v>625</v>
      </c>
      <c r="G121" s="13">
        <f t="shared" si="13"/>
        <v>27</v>
      </c>
      <c r="H121" s="232">
        <f t="shared" si="10"/>
        <v>46660</v>
      </c>
      <c r="I121" s="77">
        <v>1700.74</v>
      </c>
      <c r="J121" s="233">
        <f>+IFERROR(IF(OR(D121=1,D121=2),INDEX($O$46:$O$51,MATCH(E121,$M$46:$M$51,0)),I121),I121)</f>
        <v>2200</v>
      </c>
      <c r="K121" s="233">
        <f t="shared" si="11"/>
        <v>26400</v>
      </c>
      <c r="L121" s="417"/>
      <c r="M121" s="78"/>
      <c r="N121" s="236"/>
      <c r="Q121" s="241"/>
      <c r="R121" s="12"/>
      <c r="U121" s="218"/>
      <c r="V121" s="238"/>
      <c r="W121" s="239"/>
    </row>
    <row r="122" spans="1:23" ht="13.9" x14ac:dyDescent="0.45">
      <c r="A122" s="268">
        <v>49</v>
      </c>
      <c r="B122" s="230">
        <f t="shared" si="12"/>
        <v>77</v>
      </c>
      <c r="C122" s="231" t="s">
        <v>395</v>
      </c>
      <c r="D122" s="231">
        <v>0</v>
      </c>
      <c r="E122" s="248" t="s">
        <v>347</v>
      </c>
      <c r="F122" s="246">
        <v>625</v>
      </c>
      <c r="G122" s="13">
        <f t="shared" si="13"/>
        <v>27</v>
      </c>
      <c r="H122" s="232">
        <f t="shared" si="10"/>
        <v>46660</v>
      </c>
      <c r="I122" s="77">
        <v>1300</v>
      </c>
      <c r="J122" s="233">
        <f>+IFERROR(IF(OR(D122=1,D122=2),INDEX($O$46:$O$51,MATCH(E122,$M$46:$M$51,0)),I122),I122)</f>
        <v>1300</v>
      </c>
      <c r="K122" s="233">
        <f t="shared" si="11"/>
        <v>15600</v>
      </c>
      <c r="L122" s="417"/>
      <c r="M122" s="78"/>
      <c r="N122" s="236"/>
      <c r="Q122" s="241"/>
      <c r="R122" s="12"/>
      <c r="U122" s="218"/>
      <c r="V122" s="238"/>
      <c r="W122" s="239"/>
    </row>
    <row r="123" spans="1:23" ht="13.9" x14ac:dyDescent="0.45">
      <c r="A123" s="268" t="s">
        <v>367</v>
      </c>
      <c r="B123" s="230">
        <f t="shared" si="12"/>
        <v>78</v>
      </c>
      <c r="C123" s="231" t="s">
        <v>395</v>
      </c>
      <c r="D123" s="231">
        <v>1</v>
      </c>
      <c r="E123" s="248" t="s">
        <v>348</v>
      </c>
      <c r="F123" s="246">
        <v>825</v>
      </c>
      <c r="G123" s="13">
        <f t="shared" si="13"/>
        <v>27</v>
      </c>
      <c r="H123" s="232">
        <f t="shared" si="10"/>
        <v>46660</v>
      </c>
      <c r="I123" s="77">
        <v>1975.05</v>
      </c>
      <c r="J123" s="233">
        <f>+IFERROR(IF(OR(D123=1,D123=2),INDEX($O$46:$O$51,MATCH(E123,$M$46:$M$51,0)),I123),I123)</f>
        <v>2600</v>
      </c>
      <c r="K123" s="233">
        <f t="shared" si="11"/>
        <v>31200</v>
      </c>
      <c r="L123" s="417"/>
      <c r="M123" s="78"/>
      <c r="N123" s="236"/>
      <c r="Q123" s="241"/>
      <c r="R123" s="12"/>
      <c r="U123" s="218"/>
      <c r="V123" s="238"/>
      <c r="W123" s="239"/>
    </row>
    <row r="124" spans="1:23" x14ac:dyDescent="0.45">
      <c r="A124" s="12"/>
      <c r="B124" s="28" t="s">
        <v>50</v>
      </c>
      <c r="C124" s="28"/>
      <c r="D124" s="28"/>
      <c r="E124" s="269">
        <f>COUNTA(B46:B123)</f>
        <v>78</v>
      </c>
      <c r="F124" s="50">
        <f>SUM(F46:F123)/E124</f>
        <v>640.38461538461536</v>
      </c>
      <c r="G124" s="50"/>
      <c r="H124" s="50"/>
      <c r="I124" s="51">
        <f>SUM(I46:I123)</f>
        <v>122516.64000000003</v>
      </c>
      <c r="J124" s="51">
        <f>SUM(J46:J123)</f>
        <v>165312.07</v>
      </c>
      <c r="K124" s="51">
        <f>SUM(K46:K123)</f>
        <v>1983744.8399999999</v>
      </c>
      <c r="L124" s="418"/>
      <c r="M124" s="413"/>
      <c r="Q124" s="12"/>
    </row>
    <row r="125" spans="1:23" x14ac:dyDescent="0.45">
      <c r="G125" s="233"/>
      <c r="H125" s="154"/>
      <c r="I125" s="396"/>
      <c r="J125" s="47"/>
    </row>
    <row r="126" spans="1:23" x14ac:dyDescent="0.45">
      <c r="B126" s="2" t="s">
        <v>67</v>
      </c>
      <c r="C126" s="2"/>
      <c r="D126" s="45" t="s">
        <v>239</v>
      </c>
      <c r="E126" s="45" t="s">
        <v>81</v>
      </c>
      <c r="F126" s="44" t="s">
        <v>82</v>
      </c>
      <c r="G126" s="75" t="s">
        <v>80</v>
      </c>
      <c r="H126" s="45" t="s">
        <v>46</v>
      </c>
      <c r="I126" s="45" t="s">
        <v>47</v>
      </c>
      <c r="J126" s="45" t="s">
        <v>48</v>
      </c>
    </row>
    <row r="127" spans="1:23" x14ac:dyDescent="0.45">
      <c r="B127" s="1" t="s">
        <v>276</v>
      </c>
      <c r="D127" s="13">
        <v>12</v>
      </c>
      <c r="E127" s="52">
        <v>0.95</v>
      </c>
      <c r="F127" s="48">
        <v>24</v>
      </c>
      <c r="G127" s="76">
        <f>ROUND(F127*E127,0)</f>
        <v>23</v>
      </c>
      <c r="H127" s="48">
        <v>75</v>
      </c>
      <c r="I127" s="53">
        <f>+H127*G127</f>
        <v>1725</v>
      </c>
      <c r="J127" s="53">
        <f>+I127*12</f>
        <v>20700</v>
      </c>
      <c r="K127" s="408"/>
    </row>
    <row r="128" spans="1:23" x14ac:dyDescent="0.45">
      <c r="B128" s="1" t="s">
        <v>255</v>
      </c>
      <c r="D128" s="13">
        <v>12</v>
      </c>
      <c r="E128" s="52">
        <v>0.95</v>
      </c>
      <c r="F128" s="48">
        <v>50</v>
      </c>
      <c r="G128" s="76">
        <f>ROUND(F128*E128,0)</f>
        <v>48</v>
      </c>
      <c r="H128" s="48">
        <v>40</v>
      </c>
      <c r="I128" s="53">
        <f>+H128*G128</f>
        <v>1920</v>
      </c>
      <c r="J128" s="53">
        <f>+I128*12</f>
        <v>23040</v>
      </c>
    </row>
    <row r="129" spans="2:12" x14ac:dyDescent="0.45">
      <c r="B129" s="1" t="s">
        <v>302</v>
      </c>
      <c r="D129" s="13">
        <v>1</v>
      </c>
      <c r="E129" s="52">
        <v>0.2</v>
      </c>
      <c r="F129" s="49">
        <f>+$E$124</f>
        <v>78</v>
      </c>
      <c r="G129" s="76">
        <f>ROUND(F129*E129,0)</f>
        <v>16</v>
      </c>
      <c r="H129" s="48">
        <v>11</v>
      </c>
      <c r="I129" s="53">
        <f>+H129*G129</f>
        <v>176</v>
      </c>
      <c r="J129" s="53">
        <f>+I129*12</f>
        <v>2112</v>
      </c>
      <c r="K129" s="408"/>
    </row>
    <row r="130" spans="2:12" x14ac:dyDescent="0.45">
      <c r="B130" s="1" t="s">
        <v>384</v>
      </c>
      <c r="D130" s="13">
        <v>1</v>
      </c>
      <c r="E130" s="52">
        <v>0.5</v>
      </c>
      <c r="F130" s="49">
        <f>+$E$124</f>
        <v>78</v>
      </c>
      <c r="G130" s="76">
        <f>ROUND(F130*E130,0)</f>
        <v>39</v>
      </c>
      <c r="H130" s="48">
        <v>100</v>
      </c>
      <c r="I130" s="53">
        <f>+H130*G130</f>
        <v>3900</v>
      </c>
      <c r="J130" s="53">
        <f>+I130*12</f>
        <v>46800</v>
      </c>
      <c r="K130" s="408"/>
    </row>
    <row r="131" spans="2:12" x14ac:dyDescent="0.45">
      <c r="B131" s="28" t="s">
        <v>49</v>
      </c>
      <c r="C131" s="28"/>
      <c r="D131" s="28"/>
      <c r="E131" s="28"/>
      <c r="F131" s="108"/>
      <c r="G131" s="28"/>
      <c r="H131" s="28"/>
      <c r="I131" s="109">
        <f>+SUM(I127:I130)</f>
        <v>7721</v>
      </c>
      <c r="J131" s="109">
        <f>+SUM(J127:J130)</f>
        <v>92652</v>
      </c>
    </row>
    <row r="133" spans="2:12" x14ac:dyDescent="0.45">
      <c r="B133" s="2" t="s">
        <v>85</v>
      </c>
      <c r="C133" s="2"/>
      <c r="D133" s="2"/>
      <c r="E133" s="2"/>
      <c r="F133" s="5"/>
      <c r="G133" s="2"/>
      <c r="H133" s="2"/>
      <c r="I133" s="45" t="str">
        <f>+I126</f>
        <v>Monthly</v>
      </c>
      <c r="J133" s="45" t="str">
        <f>+J126</f>
        <v>Annual</v>
      </c>
    </row>
    <row r="134" spans="2:12" x14ac:dyDescent="0.45">
      <c r="B134" s="133" t="s">
        <v>113</v>
      </c>
      <c r="C134" s="133"/>
      <c r="D134" s="133"/>
      <c r="E134" s="133"/>
      <c r="F134" s="135"/>
      <c r="G134" s="133"/>
      <c r="H134" s="133"/>
      <c r="I134" s="135">
        <f>+J134/12</f>
        <v>0</v>
      </c>
      <c r="J134" s="135">
        <f>+'Retail Assumptions'!J49</f>
        <v>0</v>
      </c>
    </row>
    <row r="136" spans="2:12" x14ac:dyDescent="0.45">
      <c r="B136" s="8" t="s">
        <v>398</v>
      </c>
    </row>
    <row r="137" spans="2:12" x14ac:dyDescent="0.45">
      <c r="B137" s="1" t="s">
        <v>395</v>
      </c>
      <c r="E137" s="14">
        <v>2.5000000000000001E-2</v>
      </c>
      <c r="G137" s="1" t="s">
        <v>64</v>
      </c>
      <c r="I137" s="14">
        <v>0.02</v>
      </c>
    </row>
    <row r="138" spans="2:12" x14ac:dyDescent="0.45">
      <c r="B138" s="1" t="s">
        <v>396</v>
      </c>
      <c r="E138" s="14">
        <v>0.01</v>
      </c>
      <c r="G138" s="1" t="s">
        <v>63</v>
      </c>
      <c r="I138" s="14">
        <v>0.02</v>
      </c>
    </row>
    <row r="139" spans="2:12" x14ac:dyDescent="0.45">
      <c r="B139" s="1" t="s">
        <v>397</v>
      </c>
      <c r="E139" s="14">
        <v>0.02</v>
      </c>
      <c r="I139" s="14"/>
    </row>
    <row r="141" spans="2:12" x14ac:dyDescent="0.45">
      <c r="B141" s="8" t="s">
        <v>44</v>
      </c>
      <c r="I141" s="8" t="s">
        <v>56</v>
      </c>
    </row>
    <row r="142" spans="2:12" x14ac:dyDescent="0.45">
      <c r="B142" s="1" t="s">
        <v>240</v>
      </c>
      <c r="G142" s="43">
        <v>2</v>
      </c>
      <c r="I142" s="1" t="s">
        <v>51</v>
      </c>
      <c r="K142" s="152">
        <v>0</v>
      </c>
      <c r="L142" s="152"/>
    </row>
    <row r="143" spans="2:12" x14ac:dyDescent="0.45">
      <c r="B143" s="1" t="s">
        <v>241</v>
      </c>
      <c r="G143" s="43">
        <v>2</v>
      </c>
      <c r="I143" s="1" t="s">
        <v>52</v>
      </c>
      <c r="K143" s="152">
        <v>1</v>
      </c>
      <c r="L143" s="152"/>
    </row>
    <row r="144" spans="2:12" x14ac:dyDescent="0.45">
      <c r="B144" s="1" t="s">
        <v>378</v>
      </c>
      <c r="G144" s="43">
        <f>SUM(G142:G143)</f>
        <v>4</v>
      </c>
      <c r="I144" s="1" t="s">
        <v>53</v>
      </c>
      <c r="K144" s="42">
        <f>12+K142</f>
        <v>12</v>
      </c>
      <c r="L144" s="435"/>
    </row>
    <row r="145" spans="2:21" x14ac:dyDescent="0.45">
      <c r="B145" s="1" t="s">
        <v>65</v>
      </c>
      <c r="G145" s="64">
        <f>+ROUND(E124/G144,0)</f>
        <v>20</v>
      </c>
      <c r="I145" s="1" t="s">
        <v>73</v>
      </c>
      <c r="K145" s="54">
        <v>0.2</v>
      </c>
      <c r="L145" s="69"/>
    </row>
    <row r="146" spans="2:21" x14ac:dyDescent="0.45">
      <c r="B146" s="1" t="s">
        <v>283</v>
      </c>
      <c r="G146" s="20">
        <f>_xlfn.MAXIFS(G46:G123,D46:D123,1)+G143+G142</f>
        <v>31</v>
      </c>
      <c r="I146" s="4" t="s">
        <v>72</v>
      </c>
      <c r="J146" s="3"/>
      <c r="K146" s="55">
        <f>+SUM(K142:K143)/K144*K145</f>
        <v>1.6666666666666666E-2</v>
      </c>
      <c r="L146" s="6"/>
    </row>
    <row r="147" spans="2:21" x14ac:dyDescent="0.45">
      <c r="B147" s="1" t="s">
        <v>54</v>
      </c>
      <c r="G147" s="162">
        <v>0.01</v>
      </c>
      <c r="L147" s="237"/>
    </row>
    <row r="148" spans="2:21" x14ac:dyDescent="0.45">
      <c r="B148" s="1" t="s">
        <v>55</v>
      </c>
      <c r="G148" s="162">
        <v>0.05</v>
      </c>
    </row>
    <row r="149" spans="2:21" x14ac:dyDescent="0.45">
      <c r="M149" s="423"/>
      <c r="N149" s="423"/>
      <c r="O149" s="423"/>
      <c r="P149" s="423"/>
      <c r="Q149" s="423"/>
      <c r="R149" s="423"/>
      <c r="S149" s="423"/>
      <c r="T149" s="423"/>
      <c r="U149" s="423"/>
    </row>
    <row r="150" spans="2:21" x14ac:dyDescent="0.45">
      <c r="B150" s="74" t="s">
        <v>74</v>
      </c>
      <c r="C150" s="2"/>
      <c r="D150" s="2"/>
      <c r="E150" s="2"/>
      <c r="F150" s="5"/>
      <c r="G150" s="45" t="s">
        <v>128</v>
      </c>
      <c r="H150" s="45" t="s">
        <v>127</v>
      </c>
      <c r="I150" s="45" t="s">
        <v>47</v>
      </c>
      <c r="J150" s="45" t="s">
        <v>48</v>
      </c>
      <c r="K150" s="405" t="s">
        <v>353</v>
      </c>
      <c r="M150" s="424"/>
      <c r="N150" s="424"/>
      <c r="O150" s="424"/>
      <c r="P150" s="424"/>
      <c r="Q150" s="424"/>
      <c r="R150" s="424"/>
      <c r="S150" s="424"/>
      <c r="T150" s="424"/>
      <c r="U150" s="423"/>
    </row>
    <row r="151" spans="2:21" x14ac:dyDescent="0.45">
      <c r="B151" s="1" t="s">
        <v>21</v>
      </c>
      <c r="G151" s="484">
        <v>3815.7179487179496</v>
      </c>
      <c r="H151" s="73">
        <f>+$E$124</f>
        <v>78</v>
      </c>
      <c r="I151" s="53">
        <f t="shared" ref="I151:I165" si="14">+J151/12</f>
        <v>24802.166666666672</v>
      </c>
      <c r="J151" s="53">
        <f>+G151*H151</f>
        <v>297626.00000000006</v>
      </c>
      <c r="K151" s="407">
        <v>280388</v>
      </c>
      <c r="L151" s="272"/>
      <c r="M151" s="425"/>
      <c r="N151" s="425"/>
      <c r="O151" s="426"/>
      <c r="P151" s="426"/>
      <c r="Q151" s="425"/>
      <c r="R151" s="425"/>
      <c r="S151" s="425"/>
      <c r="T151" s="425"/>
      <c r="U151" s="423"/>
    </row>
    <row r="152" spans="2:21" x14ac:dyDescent="0.45">
      <c r="B152" s="1" t="s">
        <v>75</v>
      </c>
      <c r="G152" s="484">
        <v>910</v>
      </c>
      <c r="H152" s="73">
        <f>+$E$124</f>
        <v>78</v>
      </c>
      <c r="I152" s="53">
        <f t="shared" si="14"/>
        <v>5915</v>
      </c>
      <c r="J152" s="53">
        <f>+H152*G152</f>
        <v>70980</v>
      </c>
      <c r="K152" s="407">
        <v>58500</v>
      </c>
      <c r="M152" s="69"/>
      <c r="N152" s="69"/>
      <c r="O152" s="69"/>
      <c r="P152" s="69"/>
      <c r="Q152" s="423"/>
      <c r="R152" s="423"/>
      <c r="S152" s="423"/>
      <c r="T152" s="423"/>
      <c r="U152" s="423"/>
    </row>
    <row r="153" spans="2:21" x14ac:dyDescent="0.45">
      <c r="B153" s="1" t="s">
        <v>236</v>
      </c>
      <c r="G153" s="484">
        <v>600.89743589743568</v>
      </c>
      <c r="H153" s="73">
        <f>+$E$124</f>
        <v>78</v>
      </c>
      <c r="I153" s="53">
        <f t="shared" si="14"/>
        <v>3905.8333333333321</v>
      </c>
      <c r="J153" s="53">
        <f>+H153*G153</f>
        <v>46869.999999999985</v>
      </c>
      <c r="K153" s="407">
        <v>46870</v>
      </c>
      <c r="L153" s="53"/>
      <c r="M153" s="423"/>
      <c r="N153" s="423"/>
      <c r="O153" s="423"/>
      <c r="P153" s="423"/>
      <c r="Q153" s="423"/>
      <c r="R153" s="423"/>
      <c r="S153" s="423"/>
      <c r="T153" s="423"/>
      <c r="U153" s="423"/>
    </row>
    <row r="154" spans="2:21" x14ac:dyDescent="0.45">
      <c r="B154" s="1" t="s">
        <v>79</v>
      </c>
      <c r="G154" s="484">
        <v>500</v>
      </c>
      <c r="H154" s="73">
        <f>+$E$124</f>
        <v>78</v>
      </c>
      <c r="I154" s="53">
        <f t="shared" si="14"/>
        <v>3250</v>
      </c>
      <c r="J154" s="53">
        <f>+H154*G154</f>
        <v>39000</v>
      </c>
      <c r="K154" s="407">
        <v>39000</v>
      </c>
      <c r="L154" s="24"/>
      <c r="M154" s="423"/>
      <c r="N154" s="423"/>
      <c r="O154" s="423"/>
      <c r="P154" s="423"/>
      <c r="Q154" s="423"/>
      <c r="R154" s="423"/>
      <c r="S154" s="423"/>
      <c r="T154" s="423"/>
      <c r="U154" s="423"/>
    </row>
    <row r="155" spans="2:21" x14ac:dyDescent="0.45">
      <c r="B155" s="1" t="s">
        <v>373</v>
      </c>
      <c r="G155" s="484">
        <v>25</v>
      </c>
      <c r="H155" s="73">
        <f>+$E$124</f>
        <v>78</v>
      </c>
      <c r="I155" s="53">
        <f t="shared" si="14"/>
        <v>162.5</v>
      </c>
      <c r="J155" s="53">
        <f>+H155*G155</f>
        <v>1950</v>
      </c>
      <c r="K155" s="407"/>
      <c r="L155" s="24"/>
      <c r="M155" s="423"/>
      <c r="N155" s="423"/>
      <c r="O155" s="423"/>
      <c r="P155" s="423"/>
      <c r="Q155" s="423"/>
      <c r="R155" s="423"/>
      <c r="S155" s="423"/>
      <c r="T155" s="423"/>
      <c r="U155" s="423"/>
    </row>
    <row r="156" spans="2:21" x14ac:dyDescent="0.45">
      <c r="B156" s="1" t="s">
        <v>387</v>
      </c>
      <c r="G156" s="485">
        <v>2400</v>
      </c>
      <c r="H156" s="72"/>
      <c r="I156" s="53">
        <f t="shared" si="14"/>
        <v>200</v>
      </c>
      <c r="J156" s="53">
        <f>+G156</f>
        <v>2400</v>
      </c>
      <c r="K156" s="407">
        <v>0</v>
      </c>
      <c r="M156" s="423"/>
      <c r="N156" s="423"/>
      <c r="O156" s="423"/>
      <c r="P156" s="423"/>
      <c r="Q156" s="423"/>
      <c r="R156" s="423"/>
      <c r="S156" s="423"/>
      <c r="T156" s="423"/>
      <c r="U156" s="423"/>
    </row>
    <row r="157" spans="2:21" x14ac:dyDescent="0.45">
      <c r="B157" s="1" t="s">
        <v>366</v>
      </c>
      <c r="G157" s="484">
        <v>150</v>
      </c>
      <c r="H157" s="73">
        <f>+$E$124</f>
        <v>78</v>
      </c>
      <c r="I157" s="53">
        <f t="shared" si="14"/>
        <v>975</v>
      </c>
      <c r="J157" s="53">
        <f>+H157*G157</f>
        <v>11700</v>
      </c>
      <c r="K157" s="407">
        <v>0</v>
      </c>
    </row>
    <row r="158" spans="2:21" x14ac:dyDescent="0.45">
      <c r="B158" s="1" t="s">
        <v>358</v>
      </c>
      <c r="G158" s="485">
        <v>2400</v>
      </c>
      <c r="H158" s="72"/>
      <c r="I158" s="53">
        <f t="shared" si="14"/>
        <v>200</v>
      </c>
      <c r="J158" s="53">
        <f>+G158</f>
        <v>2400</v>
      </c>
      <c r="K158" s="407">
        <v>0</v>
      </c>
    </row>
    <row r="159" spans="2:21" x14ac:dyDescent="0.45">
      <c r="B159" s="1" t="s">
        <v>229</v>
      </c>
      <c r="G159" s="484">
        <v>75</v>
      </c>
      <c r="H159" s="73">
        <f>+$E$124</f>
        <v>78</v>
      </c>
      <c r="I159" s="53">
        <f t="shared" si="14"/>
        <v>487.5</v>
      </c>
      <c r="J159" s="53">
        <f>+H159*G159</f>
        <v>5850</v>
      </c>
      <c r="K159" s="407">
        <v>0</v>
      </c>
    </row>
    <row r="160" spans="2:21" x14ac:dyDescent="0.45">
      <c r="B160" s="1" t="s">
        <v>370</v>
      </c>
      <c r="G160" s="484">
        <v>500</v>
      </c>
      <c r="H160" s="73">
        <f>+$E$124</f>
        <v>78</v>
      </c>
      <c r="I160" s="53">
        <f t="shared" si="14"/>
        <v>3250</v>
      </c>
      <c r="J160" s="53">
        <f>+H160*G160</f>
        <v>39000</v>
      </c>
      <c r="K160" s="407">
        <v>39000</v>
      </c>
    </row>
    <row r="161" spans="1:14" x14ac:dyDescent="0.45">
      <c r="B161" s="1" t="s">
        <v>296</v>
      </c>
      <c r="G161" s="484">
        <v>863.8974358974358</v>
      </c>
      <c r="H161" s="73">
        <f>+$E$124</f>
        <v>78</v>
      </c>
      <c r="I161" s="53">
        <f t="shared" si="14"/>
        <v>5615.3333333333321</v>
      </c>
      <c r="J161" s="53">
        <f>+H161*G161</f>
        <v>67383.999999999985</v>
      </c>
      <c r="K161" s="407">
        <v>67384</v>
      </c>
    </row>
    <row r="162" spans="1:14" x14ac:dyDescent="0.45">
      <c r="B162" s="1" t="s">
        <v>297</v>
      </c>
      <c r="G162" s="486">
        <v>0.67009900990099036</v>
      </c>
      <c r="H162" s="71">
        <f>$G$24-G25</f>
        <v>5050</v>
      </c>
      <c r="I162" s="53">
        <f t="shared" si="14"/>
        <v>282.00000000000011</v>
      </c>
      <c r="J162" s="53">
        <f>+H162*G162</f>
        <v>3384.0000000000014</v>
      </c>
      <c r="K162" s="407">
        <v>3384</v>
      </c>
    </row>
    <row r="163" spans="1:14" x14ac:dyDescent="0.45">
      <c r="B163" s="1" t="s">
        <v>282</v>
      </c>
      <c r="G163" s="485">
        <v>15000</v>
      </c>
      <c r="H163" s="72"/>
      <c r="I163" s="53">
        <f t="shared" si="14"/>
        <v>1250</v>
      </c>
      <c r="J163" s="53">
        <f>+G163</f>
        <v>15000</v>
      </c>
      <c r="K163" s="407">
        <v>5485</v>
      </c>
    </row>
    <row r="164" spans="1:14" x14ac:dyDescent="0.45">
      <c r="B164" s="1" t="s">
        <v>77</v>
      </c>
      <c r="G164" s="487">
        <v>0.03</v>
      </c>
      <c r="H164" s="70">
        <f>($K$124+$J$131+J134)*(1-G148-K146)</f>
        <v>1937970.3839999996</v>
      </c>
      <c r="I164" s="53">
        <f t="shared" si="14"/>
        <v>4844.9259599999987</v>
      </c>
      <c r="J164" s="53">
        <f>+H164*G164</f>
        <v>58139.111519999984</v>
      </c>
      <c r="K164" s="407">
        <v>42783</v>
      </c>
    </row>
    <row r="165" spans="1:14" x14ac:dyDescent="0.45">
      <c r="B165" s="1" t="s">
        <v>244</v>
      </c>
      <c r="G165" s="485">
        <v>3500</v>
      </c>
      <c r="H165" s="72"/>
      <c r="I165" s="53">
        <f t="shared" si="14"/>
        <v>291.66666666666669</v>
      </c>
      <c r="J165" s="53">
        <f>+G165</f>
        <v>3500</v>
      </c>
      <c r="K165" s="407">
        <v>0</v>
      </c>
    </row>
    <row r="166" spans="1:14" x14ac:dyDescent="0.45">
      <c r="A166" s="78"/>
      <c r="B166" s="28" t="s">
        <v>86</v>
      </c>
      <c r="C166" s="28"/>
      <c r="D166" s="28"/>
      <c r="E166" s="28"/>
      <c r="F166" s="108"/>
      <c r="G166" s="121"/>
      <c r="H166" s="108"/>
      <c r="I166" s="109">
        <f>SUM(I151:I165)</f>
        <v>55431.925959999993</v>
      </c>
      <c r="J166" s="109">
        <f>SUM(J151:J165)</f>
        <v>665183.11152000003</v>
      </c>
      <c r="K166" s="406">
        <f>SUM(K151:K165)</f>
        <v>582794</v>
      </c>
      <c r="L166" s="219"/>
    </row>
    <row r="167" spans="1:14" x14ac:dyDescent="0.45">
      <c r="G167" s="47"/>
      <c r="H167" s="6"/>
    </row>
    <row r="168" spans="1:14" ht="14.25" x14ac:dyDescent="0.45">
      <c r="B168" s="74" t="s">
        <v>87</v>
      </c>
      <c r="C168" s="2"/>
      <c r="D168" s="2"/>
      <c r="E168" s="2"/>
      <c r="F168" s="5"/>
      <c r="G168" s="45"/>
      <c r="H168" s="2"/>
      <c r="I168" s="45" t="s">
        <v>47</v>
      </c>
      <c r="J168" s="45" t="s">
        <v>48</v>
      </c>
      <c r="N168"/>
    </row>
    <row r="169" spans="1:14" ht="14.25" x14ac:dyDescent="0.45">
      <c r="B169" s="1" t="s">
        <v>78</v>
      </c>
      <c r="G169" s="270">
        <v>0.01</v>
      </c>
      <c r="H169" s="70">
        <f>+$K$124</f>
        <v>1983744.8399999999</v>
      </c>
      <c r="I169" s="53">
        <f>+J169/12</f>
        <v>1653.1206999999997</v>
      </c>
      <c r="J169" s="53">
        <f>+H169*G169</f>
        <v>19837.448399999997</v>
      </c>
      <c r="N169"/>
    </row>
    <row r="170" spans="1:14" ht="14.25" x14ac:dyDescent="0.45">
      <c r="B170" s="1" t="s">
        <v>135</v>
      </c>
      <c r="G170" s="53">
        <f>+'Retail Assumptions'!J57</f>
        <v>0</v>
      </c>
      <c r="I170" s="53">
        <f>+J170/12</f>
        <v>0</v>
      </c>
      <c r="J170" s="53">
        <f>+G170</f>
        <v>0</v>
      </c>
      <c r="N170"/>
    </row>
    <row r="171" spans="1:14" ht="14.25" x14ac:dyDescent="0.45">
      <c r="A171" s="78"/>
      <c r="B171" s="28" t="s">
        <v>88</v>
      </c>
      <c r="C171" s="28"/>
      <c r="D171" s="28"/>
      <c r="E171" s="28"/>
      <c r="F171" s="108"/>
      <c r="G171" s="28"/>
      <c r="H171" s="108"/>
      <c r="I171" s="109">
        <f>SUM(I169:I170)</f>
        <v>1653.1206999999997</v>
      </c>
      <c r="J171" s="109">
        <f>SUM(J169:J170)</f>
        <v>19837.448399999997</v>
      </c>
      <c r="N171"/>
    </row>
    <row r="172" spans="1:14" ht="14.25" x14ac:dyDescent="0.45">
      <c r="N172"/>
    </row>
    <row r="173" spans="1:14" ht="14.25" x14ac:dyDescent="0.45">
      <c r="B173" s="8" t="s">
        <v>155</v>
      </c>
      <c r="N173"/>
    </row>
    <row r="174" spans="1:14" ht="14.25" x14ac:dyDescent="0.45">
      <c r="B174" s="2" t="s">
        <v>156</v>
      </c>
      <c r="C174" s="2"/>
      <c r="D174" s="2"/>
      <c r="E174" s="5"/>
      <c r="G174" s="2" t="s">
        <v>85</v>
      </c>
      <c r="H174" s="2"/>
      <c r="I174" s="2"/>
      <c r="J174" s="5"/>
      <c r="N174"/>
    </row>
    <row r="175" spans="1:14" ht="14.25" x14ac:dyDescent="0.45">
      <c r="B175" s="1" t="str" cm="1">
        <f t="array" ref="B175">"Exit ("&amp;TEXT(INDEX(Model!$G$2:$EI$2,,Assumptions!E175+1),"MMMM D, YYYY")&amp;")"</f>
        <v>Exit (June 30, 2030)</v>
      </c>
      <c r="E175" s="27">
        <v>60</v>
      </c>
      <c r="G175" s="1" t="str">
        <f>+B175</f>
        <v>Exit (June 30, 2030)</v>
      </c>
      <c r="J175" s="56">
        <f>+E175</f>
        <v>60</v>
      </c>
      <c r="N175"/>
    </row>
    <row r="176" spans="1:14" ht="14.25" x14ac:dyDescent="0.45">
      <c r="B176" s="1" t="str">
        <f>"NTM NOI in Month "&amp;E175</f>
        <v>NTM NOI in Month 60</v>
      </c>
      <c r="E176" s="6" cm="1">
        <f t="array" ref="E176">+INDEX('NOI Walk'!$E$52:$EF$52,,MATCH(Assumptions!E175,'NOI Walk'!$E$15:$EF$15,0))</f>
        <v>1628485.258543537</v>
      </c>
      <c r="G176" s="1" t="str">
        <f>"NTM NOI in Month "&amp;J175</f>
        <v>NTM NOI in Month 60</v>
      </c>
      <c r="J176" s="6" cm="1">
        <f t="array" ref="J176">+INDEX('NOI Walk'!$E$59:$EF$59,,MATCH(Assumptions!J175,'NOI Walk'!$E$15:$EF$15,0))</f>
        <v>0</v>
      </c>
      <c r="N176"/>
    </row>
    <row r="177" spans="2:14" ht="14.25" x14ac:dyDescent="0.45">
      <c r="B177" s="1" t="s">
        <v>158</v>
      </c>
      <c r="E177" s="57">
        <v>0.06</v>
      </c>
      <c r="G177" s="1" t="s">
        <v>158</v>
      </c>
      <c r="J177" s="57">
        <v>0.08</v>
      </c>
      <c r="N177"/>
    </row>
    <row r="178" spans="2:14" ht="14.25" x14ac:dyDescent="0.45">
      <c r="B178" s="1" t="s">
        <v>157</v>
      </c>
      <c r="E178" s="6">
        <f>+E176/E177</f>
        <v>27141420.975725617</v>
      </c>
      <c r="G178" s="1" t="s">
        <v>157</v>
      </c>
      <c r="J178" s="6">
        <f>+J176/J177</f>
        <v>0</v>
      </c>
      <c r="N178"/>
    </row>
    <row r="179" spans="2:14" ht="14.25" x14ac:dyDescent="0.45">
      <c r="B179" s="1" t="s">
        <v>10</v>
      </c>
      <c r="E179" s="57">
        <v>0.03</v>
      </c>
      <c r="G179" s="1" t="s">
        <v>10</v>
      </c>
      <c r="J179" s="57">
        <v>0.04</v>
      </c>
      <c r="N179"/>
    </row>
    <row r="180" spans="2:14" ht="14.25" x14ac:dyDescent="0.45">
      <c r="B180" s="1" t="s">
        <v>10</v>
      </c>
      <c r="E180" s="6">
        <f>-E179*E178</f>
        <v>-814242.6292717685</v>
      </c>
      <c r="G180" s="1" t="s">
        <v>10</v>
      </c>
      <c r="J180" s="6">
        <f>-J179*J178</f>
        <v>0</v>
      </c>
      <c r="N180"/>
    </row>
    <row r="181" spans="2:14" ht="14.25" x14ac:dyDescent="0.45">
      <c r="B181" s="4" t="s">
        <v>159</v>
      </c>
      <c r="C181" s="4"/>
      <c r="D181" s="4"/>
      <c r="E181" s="7">
        <f>+E180+E178</f>
        <v>26327178.346453849</v>
      </c>
      <c r="G181" s="4" t="s">
        <v>159</v>
      </c>
      <c r="H181" s="4"/>
      <c r="I181" s="4"/>
      <c r="J181" s="7">
        <f>+J180+J178</f>
        <v>0</v>
      </c>
      <c r="N181"/>
    </row>
    <row r="182" spans="2:14" s="78" customFormat="1" ht="14.25" x14ac:dyDescent="0.45">
      <c r="B182" s="78" t="s">
        <v>161</v>
      </c>
      <c r="E182" s="155">
        <f>+E178/E124</f>
        <v>347966.93558622588</v>
      </c>
      <c r="F182" s="155"/>
      <c r="G182" s="78" t="s">
        <v>162</v>
      </c>
      <c r="J182" s="155">
        <f>IFERROR(J181/'Retail Assumptions'!F19,0)</f>
        <v>0</v>
      </c>
      <c r="N182"/>
    </row>
    <row r="183" spans="2:14" ht="14.25" x14ac:dyDescent="0.45">
      <c r="D183" s="154"/>
      <c r="E183" s="259"/>
      <c r="N183"/>
    </row>
    <row r="184" spans="2:14" ht="14.25" x14ac:dyDescent="0.45">
      <c r="B184" s="139" t="s">
        <v>164</v>
      </c>
      <c r="C184" s="4"/>
      <c r="D184" s="4"/>
      <c r="E184" s="224">
        <f>+Model!G68</f>
        <v>0.30392408967018125</v>
      </c>
      <c r="N184"/>
    </row>
    <row r="185" spans="2:14" ht="14.25" x14ac:dyDescent="0.45">
      <c r="B185" s="225" t="s">
        <v>165</v>
      </c>
      <c r="C185" s="74"/>
      <c r="D185" s="74"/>
      <c r="E185" s="226">
        <f>+Model!G69</f>
        <v>2.6459410060804438</v>
      </c>
      <c r="N185"/>
    </row>
    <row r="186" spans="2:14" ht="14.25" x14ac:dyDescent="0.45">
      <c r="N186"/>
    </row>
    <row r="187" spans="2:14" ht="14.25" x14ac:dyDescent="0.45">
      <c r="N187"/>
    </row>
    <row r="188" spans="2:14" ht="14.25" x14ac:dyDescent="0.45">
      <c r="N188"/>
    </row>
    <row r="189" spans="2:14" ht="14.25" x14ac:dyDescent="0.45">
      <c r="B189" s="282"/>
      <c r="C189" s="282"/>
      <c r="D189" s="282"/>
      <c r="E189" s="283" t="s">
        <v>312</v>
      </c>
      <c r="F189" s="283"/>
      <c r="G189" s="283"/>
      <c r="H189" s="283"/>
      <c r="I189" s="283"/>
      <c r="N189"/>
    </row>
    <row r="190" spans="2:14" ht="14.25" x14ac:dyDescent="0.45">
      <c r="B190" s="282"/>
      <c r="C190" s="282"/>
      <c r="D190" s="284">
        <f>+E184</f>
        <v>0.30392408967018125</v>
      </c>
      <c r="E190" s="285">
        <v>14900000</v>
      </c>
      <c r="F190" s="285">
        <f t="shared" ref="F190:I190" si="15">ROUND(E190*0.99,-4)</f>
        <v>14750000</v>
      </c>
      <c r="G190" s="285">
        <f t="shared" si="15"/>
        <v>14600000</v>
      </c>
      <c r="H190" s="285">
        <f t="shared" si="15"/>
        <v>14450000</v>
      </c>
      <c r="I190" s="285">
        <f t="shared" si="15"/>
        <v>14310000</v>
      </c>
      <c r="J190" s="6"/>
      <c r="K190" s="6"/>
      <c r="L190" s="6"/>
      <c r="N190"/>
    </row>
    <row r="191" spans="2:14" ht="15" customHeight="1" x14ac:dyDescent="0.45">
      <c r="B191" s="282"/>
      <c r="C191" s="421" t="s">
        <v>280</v>
      </c>
      <c r="D191" s="286">
        <f>+D192-0.25%</f>
        <v>5.4999999999999993E-2</v>
      </c>
      <c r="E191" s="287">
        <f t="dataTable" ref="E191:I195" dt2D="1" dtr="1" r1="G22" r2="E177" ca="1"/>
        <v>0.34413291811943059</v>
      </c>
      <c r="F191" s="287">
        <v>0.35383314490318307</v>
      </c>
      <c r="G191" s="287">
        <v>0.36388247609138491</v>
      </c>
      <c r="H191" s="287">
        <v>0.37430351376533499</v>
      </c>
      <c r="I191" s="287">
        <v>0.38426495194435117</v>
      </c>
      <c r="N191"/>
    </row>
    <row r="192" spans="2:14" ht="14.25" x14ac:dyDescent="0.45">
      <c r="B192" s="282"/>
      <c r="C192" s="421"/>
      <c r="D192" s="286">
        <f>+D193-0.25%</f>
        <v>5.7499999999999996E-2</v>
      </c>
      <c r="E192" s="287">
        <v>0.32735323309898379</v>
      </c>
      <c r="F192" s="287">
        <v>0.33705359101295473</v>
      </c>
      <c r="G192" s="287">
        <v>0.3471041262149811</v>
      </c>
      <c r="H192" s="287">
        <v>0.35752755999565144</v>
      </c>
      <c r="I192" s="287">
        <v>0.36749687790870655</v>
      </c>
      <c r="N192"/>
    </row>
    <row r="193" spans="2:14" ht="14.25" x14ac:dyDescent="0.45">
      <c r="B193" s="282"/>
      <c r="C193" s="421"/>
      <c r="D193" s="286">
        <v>0.06</v>
      </c>
      <c r="E193" s="287">
        <v>0.31101316809654256</v>
      </c>
      <c r="F193" s="287">
        <v>0.32071897387504589</v>
      </c>
      <c r="G193" s="287">
        <v>0.33077617287635808</v>
      </c>
      <c r="H193" s="287">
        <v>0.34120760560035701</v>
      </c>
      <c r="I193" s="287">
        <v>0.3511900842189789</v>
      </c>
      <c r="N193"/>
    </row>
    <row r="194" spans="2:14" ht="14.25" x14ac:dyDescent="0.45">
      <c r="B194" s="282"/>
      <c r="C194" s="421"/>
      <c r="D194" s="286">
        <f>+D193+0.25%</f>
        <v>6.25E-2</v>
      </c>
      <c r="E194" s="287">
        <v>0.29504689574241649</v>
      </c>
      <c r="F194" s="287">
        <v>0.30476358532905579</v>
      </c>
      <c r="G194" s="287">
        <v>0.3148330509662628</v>
      </c>
      <c r="H194" s="287">
        <v>0.32527824044227605</v>
      </c>
      <c r="I194" s="287">
        <v>0.33527927994728091</v>
      </c>
      <c r="N194"/>
    </row>
    <row r="195" spans="2:14" ht="14.25" x14ac:dyDescent="0.45">
      <c r="B195" s="282"/>
      <c r="C195" s="421"/>
      <c r="D195" s="286">
        <f>+D194+0.25%</f>
        <v>6.5000000000000002E-2</v>
      </c>
      <c r="E195" s="287">
        <v>0.2793937623500824</v>
      </c>
      <c r="F195" s="287">
        <v>0.28912699818611143</v>
      </c>
      <c r="G195" s="287">
        <v>0.29921454787254342</v>
      </c>
      <c r="H195" s="287">
        <v>0.30967946648597722</v>
      </c>
      <c r="I195" s="287">
        <v>0.31970471739769002</v>
      </c>
      <c r="N195"/>
    </row>
    <row r="196" spans="2:14" ht="14.25" x14ac:dyDescent="0.45">
      <c r="B196" s="282"/>
      <c r="C196" s="282"/>
      <c r="D196" s="288"/>
      <c r="E196" s="282"/>
      <c r="F196" s="289"/>
      <c r="G196" s="282"/>
      <c r="H196" s="282"/>
      <c r="I196" s="282"/>
      <c r="N196"/>
    </row>
    <row r="199" spans="2:14" x14ac:dyDescent="0.45">
      <c r="C199" s="282"/>
      <c r="D199" s="282"/>
      <c r="E199" s="283" t="s">
        <v>312</v>
      </c>
      <c r="F199" s="283"/>
      <c r="G199" s="283"/>
      <c r="H199" s="283"/>
      <c r="I199" s="283"/>
    </row>
    <row r="200" spans="2:14" x14ac:dyDescent="0.45">
      <c r="C200" s="282"/>
      <c r="D200" s="284">
        <f>+E185</f>
        <v>2.6459410060804438</v>
      </c>
      <c r="E200" s="285">
        <v>14900000</v>
      </c>
      <c r="F200" s="285">
        <f t="shared" ref="F200:I200" si="16">ROUND(E200*0.99,-4)</f>
        <v>14750000</v>
      </c>
      <c r="G200" s="285">
        <f t="shared" si="16"/>
        <v>14600000</v>
      </c>
      <c r="H200" s="285">
        <f t="shared" si="16"/>
        <v>14450000</v>
      </c>
      <c r="I200" s="285">
        <f t="shared" si="16"/>
        <v>14310000</v>
      </c>
    </row>
    <row r="201" spans="2:14" x14ac:dyDescent="0.45">
      <c r="C201" s="421" t="s">
        <v>280</v>
      </c>
      <c r="D201" s="286">
        <f>+D202-0.25%</f>
        <v>5.4999999999999993E-2</v>
      </c>
      <c r="E201" s="397">
        <f t="dataTable" ref="E201:I205" dt2D="1" dtr="1" r1="G22" r2="E177" ca="1"/>
        <v>3.045556851928692</v>
      </c>
      <c r="F201" s="397">
        <v>3.1234623298774711</v>
      </c>
      <c r="G201" s="397">
        <v>3.2057077044739071</v>
      </c>
      <c r="H201" s="397">
        <v>3.2923272217390549</v>
      </c>
      <c r="I201" s="397">
        <v>3.3774109152854654</v>
      </c>
    </row>
    <row r="202" spans="2:14" x14ac:dyDescent="0.45">
      <c r="C202" s="421"/>
      <c r="D202" s="286">
        <f>+D203-0.25%</f>
        <v>5.7499999999999996E-2</v>
      </c>
      <c r="E202" s="397">
        <v>2.8569293077632825</v>
      </c>
      <c r="F202" s="397">
        <v>2.9301097254610124</v>
      </c>
      <c r="G202" s="397">
        <v>3.0073872350992437</v>
      </c>
      <c r="H202" s="397">
        <v>3.0887768738023889</v>
      </c>
      <c r="I202" s="397">
        <v>3.1687242052571793</v>
      </c>
    </row>
    <row r="203" spans="2:14" x14ac:dyDescent="0.45">
      <c r="C203" s="421"/>
      <c r="D203" s="286">
        <v>0.06</v>
      </c>
      <c r="E203" s="397">
        <v>2.6840207256116559</v>
      </c>
      <c r="F203" s="397">
        <v>2.752869838079258</v>
      </c>
      <c r="G203" s="397">
        <v>2.8255934715058011</v>
      </c>
      <c r="H203" s="397">
        <v>2.9021890548604441</v>
      </c>
      <c r="I203" s="397">
        <v>2.9774280543979161</v>
      </c>
    </row>
    <row r="204" spans="2:14" x14ac:dyDescent="0.45">
      <c r="C204" s="421"/>
      <c r="D204" s="286">
        <f>+D203+0.25%</f>
        <v>6.25E-2</v>
      </c>
      <c r="E204" s="397">
        <v>2.52494483003216</v>
      </c>
      <c r="F204" s="397">
        <v>2.5898091416880438</v>
      </c>
      <c r="G204" s="397">
        <v>2.6583432089998342</v>
      </c>
      <c r="H204" s="397">
        <v>2.7305282614338551</v>
      </c>
      <c r="I204" s="397">
        <v>2.8014355956073942</v>
      </c>
    </row>
    <row r="205" spans="2:14" x14ac:dyDescent="0.45">
      <c r="C205" s="421"/>
      <c r="D205" s="286">
        <f>+D204+0.25%</f>
        <v>6.5000000000000002E-2</v>
      </c>
      <c r="E205" s="397">
        <v>2.3781055418049335</v>
      </c>
      <c r="F205" s="397">
        <v>2.4392915757884621</v>
      </c>
      <c r="G205" s="397">
        <v>2.5039583513020194</v>
      </c>
      <c r="H205" s="397">
        <v>2.5720721444246966</v>
      </c>
      <c r="I205" s="397">
        <v>2.6389810182622977</v>
      </c>
    </row>
    <row r="206" spans="2:14" x14ac:dyDescent="0.45">
      <c r="C206" s="282"/>
      <c r="D206" s="288"/>
      <c r="E206" s="282"/>
      <c r="F206" s="289"/>
      <c r="G206" s="282"/>
      <c r="H206" s="282"/>
      <c r="I206" s="282"/>
    </row>
  </sheetData>
  <mergeCells count="2">
    <mergeCell ref="C191:C195"/>
    <mergeCell ref="C201:C205"/>
  </mergeCells>
  <phoneticPr fontId="25" type="noConversion"/>
  <dataValidations disablePrompts="1" count="1">
    <dataValidation type="list" allowBlank="1" showInputMessage="1" showErrorMessage="1" sqref="G34" xr:uid="{CC61CE04-D384-40BA-88E7-D005750D6858}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47AD-E6DA-43D8-B618-A66889144515}">
  <sheetPr>
    <tabColor theme="4"/>
  </sheetPr>
  <dimension ref="A1:EW89"/>
  <sheetViews>
    <sheetView showGridLines="0" workbookViewId="0">
      <selection activeCell="J4" sqref="J4"/>
    </sheetView>
  </sheetViews>
  <sheetFormatPr defaultRowHeight="12.75" x14ac:dyDescent="0.45"/>
  <cols>
    <col min="1" max="1" width="3.59765625" style="1" customWidth="1"/>
    <col min="2" max="2" width="9.1328125" style="1" bestFit="1" customWidth="1"/>
    <col min="3" max="3" width="11.33203125" style="1" bestFit="1" customWidth="1"/>
    <col min="4" max="6" width="9.1328125" style="1" bestFit="1" customWidth="1"/>
    <col min="7" max="7" width="10" style="1" bestFit="1" customWidth="1"/>
    <col min="8" max="8" width="9.1328125" style="1" bestFit="1" customWidth="1"/>
    <col min="9" max="9" width="3.59765625" style="1" customWidth="1"/>
    <col min="10" max="108" width="9.1328125" style="1" bestFit="1" customWidth="1"/>
    <col min="109" max="141" width="9.9296875" style="1" bestFit="1" customWidth="1"/>
    <col min="142" max="16384" width="9.06640625" style="1"/>
  </cols>
  <sheetData>
    <row r="1" spans="2:153" x14ac:dyDescent="0.45">
      <c r="H1" s="457"/>
      <c r="I1" s="457"/>
      <c r="J1" s="457"/>
      <c r="K1" s="19"/>
    </row>
    <row r="2" spans="2:153" x14ac:dyDescent="0.45">
      <c r="B2" s="2" t="s">
        <v>394</v>
      </c>
      <c r="C2" s="2"/>
      <c r="D2" s="45" t="s">
        <v>405</v>
      </c>
      <c r="J2" s="1" t="s">
        <v>414</v>
      </c>
    </row>
    <row r="3" spans="2:153" x14ac:dyDescent="0.45">
      <c r="B3" s="1" t="str">
        <f>+Assumptions!B137</f>
        <v>Fair Market</v>
      </c>
      <c r="D3" s="40">
        <f>+Assumptions!E137</f>
        <v>2.5000000000000001E-2</v>
      </c>
      <c r="F3" s="472" t="str">
        <f>Assumptions!B146</f>
        <v>Re-Stabilization Occurs</v>
      </c>
      <c r="G3" s="3"/>
      <c r="H3" s="387">
        <f>Assumptions!G146</f>
        <v>31</v>
      </c>
      <c r="J3" s="473">
        <v>1</v>
      </c>
      <c r="K3" s="473">
        <f>+J3*(1+$D3)^(1/12)</f>
        <v>1.0020598362698427</v>
      </c>
      <c r="L3" s="473">
        <f>+K3*(1+$D3)^(1/12)</f>
        <v>1.004123915465144</v>
      </c>
      <c r="M3" s="473">
        <f>+L3*(1+$D3)^(1/12)</f>
        <v>1.0061922463256356</v>
      </c>
      <c r="N3" s="473">
        <f>+M3*(1+$D3)^(1/12)</f>
        <v>1.0082648376090517</v>
      </c>
      <c r="O3" s="473">
        <f>+N3*(1+$D3)^(1/12)</f>
        <v>1.0103416980911659</v>
      </c>
      <c r="P3" s="473">
        <f>+O3*(1+$D3)^(1/12)</f>
        <v>1.0124228365658285</v>
      </c>
      <c r="Q3" s="473">
        <f>+P3*(1+$D3)^(1/12)</f>
        <v>1.0145082618450039</v>
      </c>
      <c r="R3" s="473">
        <f>+Q3*(1+$D3)^(1/12)</f>
        <v>1.0165979827588074</v>
      </c>
      <c r="S3" s="473">
        <f>+R3*(1+$D3)^(1/12)</f>
        <v>1.0186920081555431</v>
      </c>
      <c r="T3" s="473">
        <f>+S3*(1+$D3)^(1/12)</f>
        <v>1.0207903469017408</v>
      </c>
      <c r="U3" s="473">
        <f>+T3*(1+$D3)^(1/12)</f>
        <v>1.0228930078821943</v>
      </c>
      <c r="V3" s="473">
        <f>+U3*(1+$D3)^(1/12)</f>
        <v>1.0249999999999986</v>
      </c>
      <c r="W3" s="473">
        <f>+V3*(1+$D3)^(1/12)</f>
        <v>1.0271113321765875</v>
      </c>
      <c r="X3" s="473">
        <f>+W3*(1+$D3)^(1/12)</f>
        <v>1.0292270133517714</v>
      </c>
      <c r="Y3" s="473">
        <f>+X3*(1+$D3)^(1/12)</f>
        <v>1.0313470524837753</v>
      </c>
      <c r="Z3" s="473">
        <f>+Y3*(1+$D3)^(1/12)</f>
        <v>1.0334714585492768</v>
      </c>
      <c r="AA3" s="473">
        <f>+Z3*(1+$D3)^(1/12)</f>
        <v>1.0356002405434439</v>
      </c>
      <c r="AB3" s="473">
        <f>+AA3*(1+$D3)^(1/12)</f>
        <v>1.0377334074799731</v>
      </c>
      <c r="AC3" s="473">
        <f>+AB3*(1+$D3)^(1/12)</f>
        <v>1.0398709683911278</v>
      </c>
      <c r="AD3" s="473">
        <f>+AC3*(1+$D3)^(1/12)</f>
        <v>1.0420129323277763</v>
      </c>
      <c r="AE3" s="473">
        <f>+AD3*(1+$D3)^(1/12)</f>
        <v>1.0441593083594303</v>
      </c>
      <c r="AF3" s="473">
        <f>+AE3*(1+$D3)^(1/12)</f>
        <v>1.0463101055742829</v>
      </c>
      <c r="AG3" s="473">
        <f>+AF3*(1+$D3)^(1/12)</f>
        <v>1.0484653330792479</v>
      </c>
      <c r="AH3" s="473">
        <f>+AG3*(1+$D3)^(1/12)</f>
        <v>1.0506249999999973</v>
      </c>
      <c r="AI3" s="473">
        <f>+AH3*(1+$D3)^(1/12)</f>
        <v>1.0527891154810007</v>
      </c>
      <c r="AJ3" s="473">
        <f>+AI3*(1+$D3)^(1/12)</f>
        <v>1.0549576886855641</v>
      </c>
      <c r="AK3" s="473">
        <f>+AJ3*(1+$D3)^(1/12)</f>
        <v>1.057130728795868</v>
      </c>
      <c r="AL3" s="473">
        <f>+AK3*(1+$D3)^(1/12)</f>
        <v>1.0593082450130069</v>
      </c>
      <c r="AM3" s="473">
        <f>+AL3*(1+$D3)^(1/12)</f>
        <v>1.0614902465570282</v>
      </c>
      <c r="AN3" s="473">
        <f>+AM3*(1+$D3)^(1/12)</f>
        <v>1.0636767426669707</v>
      </c>
      <c r="AO3" s="473">
        <f>+AN3*(1+$D3)^(1/12)</f>
        <v>1.0658677426009042</v>
      </c>
      <c r="AP3" s="473">
        <f>+AO3*(1+$D3)^(1/12)</f>
        <v>1.068063255635969</v>
      </c>
      <c r="AQ3" s="473">
        <f>+AP3*(1+$D3)^(1/12)</f>
        <v>1.0702632910684142</v>
      </c>
      <c r="AR3" s="473">
        <f>+AQ3*(1+$D3)^(1/12)</f>
        <v>1.0724678582136382</v>
      </c>
      <c r="AS3" s="473">
        <f>+AR3*(1+$D3)^(1/12)</f>
        <v>1.0746769664062272</v>
      </c>
      <c r="AT3" s="473">
        <f>+AS3*(1+$D3)^(1/12)</f>
        <v>1.0768906249999954</v>
      </c>
      <c r="AU3" s="473">
        <f>+AT3*(1+$D3)^(1/12)</f>
        <v>1.079108843368024</v>
      </c>
      <c r="AV3" s="473">
        <f>+AU3*(1+$D3)^(1/12)</f>
        <v>1.0813316309027015</v>
      </c>
      <c r="AW3" s="473">
        <f>+AV3*(1+$D3)^(1/12)</f>
        <v>1.0835589970157631</v>
      </c>
      <c r="AX3" s="473">
        <f>+AW3*(1+$D3)^(1/12)</f>
        <v>1.0857909511383306</v>
      </c>
      <c r="AY3" s="473">
        <f>+AX3*(1+$D3)^(1/12)</f>
        <v>1.0880275027209523</v>
      </c>
      <c r="AZ3" s="473">
        <f>+AY3*(1+$D3)^(1/12)</f>
        <v>1.0902686612336434</v>
      </c>
      <c r="BA3" s="473">
        <f>+AZ3*(1+$D3)^(1/12)</f>
        <v>1.0925144361659254</v>
      </c>
      <c r="BB3" s="473">
        <f>+BA3*(1+$D3)^(1/12)</f>
        <v>1.0947648370268668</v>
      </c>
      <c r="BC3" s="473">
        <f>+BB3*(1+$D3)^(1/12)</f>
        <v>1.0970198733451233</v>
      </c>
      <c r="BD3" s="473">
        <f>+BC3*(1+$D3)^(1/12)</f>
        <v>1.099279554668978</v>
      </c>
      <c r="BE3" s="473">
        <f>+BD3*(1+$D3)^(1/12)</f>
        <v>1.1015438905663817</v>
      </c>
      <c r="BF3" s="473">
        <f>+BE3*(1+$D3)^(1/12)</f>
        <v>1.103812890624994</v>
      </c>
      <c r="BG3" s="473">
        <f>+BF3*(1+$D3)^(1/12)</f>
        <v>1.1060865644522233</v>
      </c>
      <c r="BH3" s="473">
        <f>+BG3*(1+$D3)^(1/12)</f>
        <v>1.1083649216752678</v>
      </c>
      <c r="BI3" s="473">
        <f>+BH3*(1+$D3)^(1/12)</f>
        <v>1.1106479719411559</v>
      </c>
      <c r="BJ3" s="473">
        <f>+BI3*(1+$D3)^(1/12)</f>
        <v>1.1129357249167877</v>
      </c>
      <c r="BK3" s="473">
        <f>+BJ3*(1+$D3)^(1/12)</f>
        <v>1.1152281902889751</v>
      </c>
      <c r="BL3" s="473">
        <f>+BK3*(1+$D3)^(1/12)</f>
        <v>1.1175253777644834</v>
      </c>
      <c r="BM3" s="473">
        <f>+BL3*(1+$D3)^(1/12)</f>
        <v>1.1198272970700724</v>
      </c>
      <c r="BN3" s="473">
        <f>+BM3*(1+$D3)^(1/12)</f>
        <v>1.1221339579525373</v>
      </c>
      <c r="BO3" s="473">
        <f>+BN3*(1+$D3)^(1/12)</f>
        <v>1.1244453701787502</v>
      </c>
      <c r="BP3" s="473">
        <f>+BO3*(1+$D3)^(1/12)</f>
        <v>1.1267615435357012</v>
      </c>
      <c r="BQ3" s="473">
        <f>+BP3*(1+$D3)^(1/12)</f>
        <v>1.1290824878305401</v>
      </c>
      <c r="BR3" s="473">
        <f>+BQ3*(1+$D3)^(1/12)</f>
        <v>1.1314082128906178</v>
      </c>
      <c r="BS3" s="473">
        <f>+BR3*(1+$D3)^(1/12)</f>
        <v>1.1337387285635279</v>
      </c>
      <c r="BT3" s="473">
        <f>+BS3*(1+$D3)^(1/12)</f>
        <v>1.1360740447171485</v>
      </c>
      <c r="BU3" s="473">
        <f>+BT3*(1+$D3)^(1/12)</f>
        <v>1.1384141712396838</v>
      </c>
      <c r="BV3" s="473">
        <f>+BU3*(1+$D3)^(1/12)</f>
        <v>1.1407591180397063</v>
      </c>
      <c r="BW3" s="473">
        <f>+BV3*(1+$D3)^(1/12)</f>
        <v>1.1431088950461983</v>
      </c>
      <c r="BX3" s="473">
        <f>+BW3*(1+$D3)^(1/12)</f>
        <v>1.1454635122085943</v>
      </c>
      <c r="BY3" s="473">
        <f>+BX3*(1+$D3)^(1/12)</f>
        <v>1.1478229794968231</v>
      </c>
      <c r="BZ3" s="473">
        <f>+BY3*(1+$D3)^(1/12)</f>
        <v>1.1501873069013495</v>
      </c>
      <c r="CA3" s="473">
        <f>+BZ3*(1+$D3)^(1/12)</f>
        <v>1.1525565044332176</v>
      </c>
      <c r="CB3" s="473">
        <f>+CA3*(1+$D3)^(1/12)</f>
        <v>1.1549305821240923</v>
      </c>
      <c r="CC3" s="473">
        <f>+CB3*(1+$D3)^(1/12)</f>
        <v>1.157309550026302</v>
      </c>
      <c r="CD3" s="473">
        <f>+CC3*(1+$D3)^(1/12)</f>
        <v>1.1596934182128815</v>
      </c>
      <c r="CE3" s="473">
        <f>+CD3*(1+$D3)^(1/12)</f>
        <v>1.1620821967776143</v>
      </c>
      <c r="CF3" s="473">
        <f>+CE3*(1+$D3)^(1/12)</f>
        <v>1.1644758958350754</v>
      </c>
      <c r="CG3" s="473">
        <f>+CF3*(1+$D3)^(1/12)</f>
        <v>1.1668745255206741</v>
      </c>
      <c r="CH3" s="473">
        <f>+CG3*(1+$D3)^(1/12)</f>
        <v>1.169278095990697</v>
      </c>
      <c r="CI3" s="473">
        <f>+CH3*(1+$D3)^(1/12)</f>
        <v>1.1716866174223513</v>
      </c>
      <c r="CJ3" s="473">
        <f>+CI3*(1+$D3)^(1/12)</f>
        <v>1.1741001000138072</v>
      </c>
      <c r="CK3" s="473">
        <f>+CJ3*(1+$D3)^(1/12)</f>
        <v>1.1765185539842415</v>
      </c>
      <c r="CL3" s="473">
        <f>+CK3*(1+$D3)^(1/12)</f>
        <v>1.1789419895738813</v>
      </c>
      <c r="CM3" s="473">
        <f>+CL3*(1+$D3)^(1/12)</f>
        <v>1.1813704170440462</v>
      </c>
      <c r="CN3" s="473">
        <f>+CM3*(1+$D3)^(1/12)</f>
        <v>1.1838038466771927</v>
      </c>
      <c r="CO3" s="473">
        <f>+CN3*(1+$D3)^(1/12)</f>
        <v>1.1862422887769577</v>
      </c>
      <c r="CP3" s="473">
        <f>+CO3*(1+$D3)^(1/12)</f>
        <v>1.1886857536682018</v>
      </c>
      <c r="CQ3" s="473">
        <f>+CP3*(1+$D3)^(1/12)</f>
        <v>1.1911342516970529</v>
      </c>
      <c r="CR3" s="473">
        <f>+CQ3*(1+$D3)^(1/12)</f>
        <v>1.1935877932309504</v>
      </c>
      <c r="CS3" s="473">
        <f>+CR3*(1+$D3)^(1/12)</f>
        <v>1.1960463886586892</v>
      </c>
      <c r="CT3" s="473">
        <f>+CS3*(1+$D3)^(1/12)</f>
        <v>1.1985100483904627</v>
      </c>
      <c r="CU3" s="473">
        <f>+CT3*(1+$D3)^(1/12)</f>
        <v>1.2009787828579084</v>
      </c>
      <c r="CV3" s="473">
        <f>+CU3*(1+$D3)^(1/12)</f>
        <v>1.2034526025141508</v>
      </c>
      <c r="CW3" s="473">
        <f>+CV3*(1+$D3)^(1/12)</f>
        <v>1.2059315178338461</v>
      </c>
      <c r="CX3" s="473">
        <f>+CW3*(1+$D3)^(1/12)</f>
        <v>1.2084155393132268</v>
      </c>
      <c r="CY3" s="473">
        <f>+CX3*(1+$D3)^(1/12)</f>
        <v>1.2109046774701457</v>
      </c>
      <c r="CZ3" s="473">
        <f>+CY3*(1+$D3)^(1/12)</f>
        <v>1.213398942844121</v>
      </c>
      <c r="DA3" s="473">
        <f>+CZ3*(1+$D3)^(1/12)</f>
        <v>1.2158983459963801</v>
      </c>
      <c r="DB3" s="473">
        <f>+DA3*(1+$D3)^(1/12)</f>
        <v>1.2184028975099053</v>
      </c>
      <c r="DC3" s="473">
        <f>+DB3*(1+$D3)^(1/12)</f>
        <v>1.2209126079894776</v>
      </c>
      <c r="DD3" s="473">
        <f>+DC3*(1+$D3)^(1/12)</f>
        <v>1.2234274880617226</v>
      </c>
      <c r="DE3" s="473">
        <f>+DD3*(1+$D3)^(1/12)</f>
        <v>1.2259475483751547</v>
      </c>
      <c r="DF3" s="473">
        <f>+DE3*(1+$D3)^(1/12)</f>
        <v>1.2284727996002227</v>
      </c>
      <c r="DG3" s="473">
        <f>+DF3*(1+$D3)^(1/12)</f>
        <v>1.2310032524293546</v>
      </c>
      <c r="DH3" s="473">
        <f>+DG3*(1+$D3)^(1/12)</f>
        <v>1.2335389175770031</v>
      </c>
      <c r="DI3" s="473">
        <f>+DH3*(1+$D3)^(1/12)</f>
        <v>1.2360798057796907</v>
      </c>
      <c r="DJ3" s="473">
        <f>+DI3*(1+$D3)^(1/12)</f>
        <v>1.2386259277960558</v>
      </c>
      <c r="DK3" s="473">
        <f>+DJ3*(1+$D3)^(1/12)</f>
        <v>1.2411772944068977</v>
      </c>
      <c r="DL3" s="473">
        <f>+DK3*(1+$D3)^(1/12)</f>
        <v>1.2437339164152224</v>
      </c>
      <c r="DM3" s="473">
        <f>+DL3*(1+$D3)^(1/12)</f>
        <v>1.246295804646288</v>
      </c>
      <c r="DN3" s="473">
        <f>+DM3*(1+$D3)^(1/12)</f>
        <v>1.2488629699476512</v>
      </c>
      <c r="DO3" s="473">
        <f>+DN3*(1+$D3)^(1/12)</f>
        <v>1.2514354231892129</v>
      </c>
      <c r="DP3" s="473">
        <f>+DO3*(1+$D3)^(1/12)</f>
        <v>1.2540131752632639</v>
      </c>
      <c r="DQ3" s="473">
        <f>+DP3*(1+$D3)^(1/12)</f>
        <v>1.2565962370845318</v>
      </c>
      <c r="DR3" s="473">
        <f>+DQ3*(1+$D3)^(1/12)</f>
        <v>1.2591846195902265</v>
      </c>
      <c r="DS3" s="473">
        <f>+DR3*(1+$D3)^(1/12)</f>
        <v>1.2617783337400865</v>
      </c>
      <c r="DT3" s="473">
        <f>+DS3*(1+$D3)^(1/12)</f>
        <v>1.2643773905164262</v>
      </c>
      <c r="DU3" s="473">
        <f>+DT3*(1+$D3)^(1/12)</f>
        <v>1.2669818009241811</v>
      </c>
      <c r="DV3" s="473">
        <f>+DU3*(1+$D3)^(1/12)</f>
        <v>1.2695915759909555</v>
      </c>
      <c r="DW3" s="473">
        <f>+DV3*(1+$D3)^(1/12)</f>
        <v>1.2722067267670685</v>
      </c>
      <c r="DX3" s="473">
        <f>+DW3*(1+$D3)^(1/12)</f>
        <v>1.2748272643256011</v>
      </c>
      <c r="DY3" s="473">
        <f>+DX3*(1+$D3)^(1/12)</f>
        <v>1.2774531997624434</v>
      </c>
      <c r="DZ3" s="473">
        <f>+DY3*(1+$D3)^(1/12)</f>
        <v>1.2800845441963409</v>
      </c>
      <c r="EA3" s="473">
        <f>+DZ3*(1+$D3)^(1/12)</f>
        <v>1.2827213087689415</v>
      </c>
      <c r="EB3" s="473">
        <f>+EA3*(1+$D3)^(1/12)</f>
        <v>1.2853635046448439</v>
      </c>
      <c r="EC3" s="473">
        <f>+EB3*(1+$D3)^(1/12)</f>
        <v>1.2880111430116437</v>
      </c>
      <c r="ED3" s="473">
        <f>+EC3*(1+$D3)^(1/12)</f>
        <v>1.2906642350799806</v>
      </c>
      <c r="EE3" s="473">
        <f>+ED3*(1+$D3)^(1/12)</f>
        <v>1.2933227920835872</v>
      </c>
      <c r="EF3" s="473">
        <f>+EE3*(1+$D3)^(1/12)</f>
        <v>1.2959868252793354</v>
      </c>
      <c r="EG3" s="473">
        <f>+EF3*(1+$D3)^(1/12)</f>
        <v>1.2986563459472842</v>
      </c>
      <c r="EH3" s="473">
        <f>+EG3*(1+$D3)^(1/12)</f>
        <v>1.3013313653907279</v>
      </c>
      <c r="EI3" s="473">
        <f>+EH3*(1+$D3)^(1/12)</f>
        <v>1.3040118949362438</v>
      </c>
      <c r="EJ3" s="473">
        <f>+EI3*(1+$D3)^(1/12)</f>
        <v>1.3066979459337398</v>
      </c>
      <c r="EK3" s="473">
        <f>+EJ3*(1+$D3)^(1/12)</f>
        <v>1.309389529756503</v>
      </c>
    </row>
    <row r="4" spans="2:153" x14ac:dyDescent="0.45">
      <c r="B4" s="1" t="str">
        <f>+Assumptions!B138</f>
        <v>Rent Control</v>
      </c>
      <c r="D4" s="40">
        <f>+Assumptions!E138</f>
        <v>0.01</v>
      </c>
      <c r="F4" s="2" t="str">
        <f>Assumptions!B148</f>
        <v>Vacancy</v>
      </c>
      <c r="G4" s="2"/>
      <c r="H4" s="471">
        <f>Assumptions!G148</f>
        <v>0.05</v>
      </c>
      <c r="J4" s="453">
        <v>1</v>
      </c>
      <c r="K4" s="453">
        <f>+J4*(1+$D4)^(1/12)</f>
        <v>1.0008295381143462</v>
      </c>
      <c r="L4" s="453">
        <f>+K4*(1+$D4)^(1/12)</f>
        <v>1.0016597643621754</v>
      </c>
      <c r="M4" s="453">
        <f>+L4*(1+$D4)^(1/12)</f>
        <v>1.0024906793143209</v>
      </c>
      <c r="N4" s="453">
        <f>+M4*(1+$D4)^(1/12)</f>
        <v>1.003322283542089</v>
      </c>
      <c r="O4" s="453">
        <f>+N4*(1+$D4)^(1/12)</f>
        <v>1.00415457761726</v>
      </c>
      <c r="P4" s="453">
        <f>+O4*(1+$D4)^(1/12)</f>
        <v>1.0049875621120887</v>
      </c>
      <c r="Q4" s="453">
        <f>+P4*(1+$D4)^(1/12)</f>
        <v>1.0058212375993045</v>
      </c>
      <c r="R4" s="453">
        <f>+Q4*(1+$D4)^(1/12)</f>
        <v>1.006655604652112</v>
      </c>
      <c r="S4" s="453">
        <f>+R4*(1+$D4)^(1/12)</f>
        <v>1.0074906638441912</v>
      </c>
      <c r="T4" s="453">
        <f>+S4*(1+$D4)^(1/12)</f>
        <v>1.0083264157496978</v>
      </c>
      <c r="U4" s="453">
        <f>+T4*(1+$D4)^(1/12)</f>
        <v>1.0091628609432644</v>
      </c>
      <c r="V4" s="453">
        <f>+U4*(1+$D4)^(1/12)</f>
        <v>1.0099999999999993</v>
      </c>
      <c r="W4" s="453">
        <f>+V4*(1+$D4)^(1/12)</f>
        <v>1.0108378334954891</v>
      </c>
      <c r="X4" s="453">
        <f>+W4*(1+$D4)^(1/12)</f>
        <v>1.0116763620057967</v>
      </c>
      <c r="Y4" s="453">
        <f>+X4*(1+$D4)^(1/12)</f>
        <v>1.0125155861074635</v>
      </c>
      <c r="Z4" s="453">
        <f>+Y4*(1+$D4)^(1/12)</f>
        <v>1.0133555063775093</v>
      </c>
      <c r="AA4" s="453">
        <f>+Z4*(1+$D4)^(1/12)</f>
        <v>1.014196123393432</v>
      </c>
      <c r="AB4" s="453">
        <f>+AA4*(1+$D4)^(1/12)</f>
        <v>1.015037437733209</v>
      </c>
      <c r="AC4" s="453">
        <f>+AB4*(1+$D4)^(1/12)</f>
        <v>1.015879449975297</v>
      </c>
      <c r="AD4" s="453">
        <f>+AC4*(1+$D4)^(1/12)</f>
        <v>1.0167221606986325</v>
      </c>
      <c r="AE4" s="453">
        <f>+AD4*(1+$D4)^(1/12)</f>
        <v>1.0175655704826325</v>
      </c>
      <c r="AF4" s="453">
        <f>+AE4*(1+$D4)^(1/12)</f>
        <v>1.0184096799071942</v>
      </c>
      <c r="AG4" s="453">
        <f>+AF4*(1+$D4)^(1/12)</f>
        <v>1.0192544895526963</v>
      </c>
      <c r="AH4" s="453">
        <f>+AG4*(1+$D4)^(1/12)</f>
        <v>1.0200999999999987</v>
      </c>
      <c r="AI4" s="453">
        <f>+AH4*(1+$D4)^(1/12)</f>
        <v>1.0209462118304431</v>
      </c>
      <c r="AJ4" s="453">
        <f>+AI4*(1+$D4)^(1/12)</f>
        <v>1.0217931256258537</v>
      </c>
      <c r="AK4" s="453">
        <f>+AJ4*(1+$D4)^(1/12)</f>
        <v>1.0226407419685373</v>
      </c>
      <c r="AL4" s="453">
        <f>+AK4*(1+$D4)^(1/12)</f>
        <v>1.0234890614412835</v>
      </c>
      <c r="AM4" s="453">
        <f>+AL4*(1+$D4)^(1/12)</f>
        <v>1.0243380846273653</v>
      </c>
      <c r="AN4" s="453">
        <f>+AM4*(1+$D4)^(1/12)</f>
        <v>1.02518781211054</v>
      </c>
      <c r="AO4" s="453">
        <f>+AN4*(1+$D4)^(1/12)</f>
        <v>1.0260382444750489</v>
      </c>
      <c r="AP4" s="453">
        <f>+AO4*(1+$D4)^(1/12)</f>
        <v>1.0268893823056178</v>
      </c>
      <c r="AQ4" s="453">
        <f>+AP4*(1+$D4)^(1/12)</f>
        <v>1.0277412261874577</v>
      </c>
      <c r="AR4" s="453">
        <f>+AQ4*(1+$D4)^(1/12)</f>
        <v>1.028593776706265</v>
      </c>
      <c r="AS4" s="453">
        <f>+AR4*(1+$D4)^(1/12)</f>
        <v>1.0294470344482221</v>
      </c>
      <c r="AT4" s="453">
        <f>+AS4*(1+$D4)^(1/12)</f>
        <v>1.0303009999999975</v>
      </c>
      <c r="AU4" s="453">
        <f>+AT4*(1+$D4)^(1/12)</f>
        <v>1.0311556739487464</v>
      </c>
      <c r="AV4" s="453">
        <f>+AU4*(1+$D4)^(1/12)</f>
        <v>1.0320110568821113</v>
      </c>
      <c r="AW4" s="453">
        <f>+AV4*(1+$D4)^(1/12)</f>
        <v>1.0328671493882216</v>
      </c>
      <c r="AX4" s="453">
        <f>+AW4*(1+$D4)^(1/12)</f>
        <v>1.0337239520556951</v>
      </c>
      <c r="AY4" s="453">
        <f>+AX4*(1+$D4)^(1/12)</f>
        <v>1.0345814654736378</v>
      </c>
      <c r="AZ4" s="453">
        <f>+AY4*(1+$D4)^(1/12)</f>
        <v>1.0354396902316443</v>
      </c>
      <c r="BA4" s="453">
        <f>+AZ4*(1+$D4)^(1/12)</f>
        <v>1.0362986269197982</v>
      </c>
      <c r="BB4" s="453">
        <f>+BA4*(1+$D4)^(1/12)</f>
        <v>1.0371582761286728</v>
      </c>
      <c r="BC4" s="453">
        <f>+BB4*(1+$D4)^(1/12)</f>
        <v>1.0380186384493311</v>
      </c>
      <c r="BD4" s="453">
        <f>+BC4*(1+$D4)^(1/12)</f>
        <v>1.0388797144733264</v>
      </c>
      <c r="BE4" s="453">
        <f>+BD4*(1+$D4)^(1/12)</f>
        <v>1.039741504792703</v>
      </c>
      <c r="BF4" s="453">
        <f>+BE4*(1+$D4)^(1/12)</f>
        <v>1.0406040099999962</v>
      </c>
      <c r="BG4" s="453">
        <f>+BF4*(1+$D4)^(1/12)</f>
        <v>1.0414672306882327</v>
      </c>
      <c r="BH4" s="453">
        <f>+BG4*(1+$D4)^(1/12)</f>
        <v>1.042331167450931</v>
      </c>
      <c r="BI4" s="453">
        <f>+BH4*(1+$D4)^(1/12)</f>
        <v>1.0431958208821024</v>
      </c>
      <c r="BJ4" s="453">
        <f>+BI4*(1+$D4)^(1/12)</f>
        <v>1.0440611915762508</v>
      </c>
      <c r="BK4" s="453">
        <f>+BJ4*(1+$D4)^(1/12)</f>
        <v>1.0449272801283729</v>
      </c>
      <c r="BL4" s="453">
        <f>+BK4*(1+$D4)^(1/12)</f>
        <v>1.0457940871339595</v>
      </c>
      <c r="BM4" s="453">
        <f>+BL4*(1+$D4)^(1/12)</f>
        <v>1.046661613188995</v>
      </c>
      <c r="BN4" s="453">
        <f>+BM4*(1+$D4)^(1/12)</f>
        <v>1.0475298588899582</v>
      </c>
      <c r="BO4" s="453">
        <f>+BN4*(1+$D4)^(1/12)</f>
        <v>1.0483988248338232</v>
      </c>
      <c r="BP4" s="453">
        <f>+BO4*(1+$D4)^(1/12)</f>
        <v>1.0492685116180587</v>
      </c>
      <c r="BQ4" s="453">
        <f>+BP4*(1+$D4)^(1/12)</f>
        <v>1.050138919840629</v>
      </c>
      <c r="BR4" s="453">
        <f>+BQ4*(1+$D4)^(1/12)</f>
        <v>1.051010050099995</v>
      </c>
      <c r="BS4" s="453">
        <f>+BR4*(1+$D4)^(1/12)</f>
        <v>1.0518819029951139</v>
      </c>
      <c r="BT4" s="453">
        <f>+BS4*(1+$D4)^(1/12)</f>
        <v>1.0527544791254393</v>
      </c>
      <c r="BU4" s="453">
        <f>+BT4*(1+$D4)^(1/12)</f>
        <v>1.0536277790909225</v>
      </c>
      <c r="BV4" s="453">
        <f>+BU4*(1+$D4)^(1/12)</f>
        <v>1.0545018034920124</v>
      </c>
      <c r="BW4" s="453">
        <f>+BV4*(1+$D4)^(1/12)</f>
        <v>1.0553765529296557</v>
      </c>
      <c r="BX4" s="453">
        <f>+BW4*(1+$D4)^(1/12)</f>
        <v>1.056252028005298</v>
      </c>
      <c r="BY4" s="453">
        <f>+BX4*(1+$D4)^(1/12)</f>
        <v>1.0571282293208839</v>
      </c>
      <c r="BZ4" s="453">
        <f>+BY4*(1+$D4)^(1/12)</f>
        <v>1.0580051574788569</v>
      </c>
      <c r="CA4" s="453">
        <f>+BZ4*(1+$D4)^(1/12)</f>
        <v>1.0588828130821604</v>
      </c>
      <c r="CB4" s="453">
        <f>+CA4*(1+$D4)^(1/12)</f>
        <v>1.0597611967342382</v>
      </c>
      <c r="CC4" s="453">
        <f>+CB4*(1+$D4)^(1/12)</f>
        <v>1.0606403090390344</v>
      </c>
      <c r="CD4" s="453">
        <f>+CC4*(1+$D4)^(1/12)</f>
        <v>1.0615201506009941</v>
      </c>
      <c r="CE4" s="453">
        <f>+CD4*(1+$D4)^(1/12)</f>
        <v>1.0624007220250642</v>
      </c>
      <c r="CF4" s="453">
        <f>+CE4*(1+$D4)^(1/12)</f>
        <v>1.0632820239166929</v>
      </c>
      <c r="CG4" s="453">
        <f>+CF4*(1+$D4)^(1/12)</f>
        <v>1.0641640568818309</v>
      </c>
      <c r="CH4" s="453">
        <f>+CG4*(1+$D4)^(1/12)</f>
        <v>1.0650468215269315</v>
      </c>
      <c r="CI4" s="453">
        <f>+CH4*(1+$D4)^(1/12)</f>
        <v>1.0659303184589513</v>
      </c>
      <c r="CJ4" s="453">
        <f>+CI4*(1+$D4)^(1/12)</f>
        <v>1.0668145482853502</v>
      </c>
      <c r="CK4" s="453">
        <f>+CJ4*(1+$D4)^(1/12)</f>
        <v>1.0676995116140919</v>
      </c>
      <c r="CL4" s="453">
        <f>+CK4*(1+$D4)^(1/12)</f>
        <v>1.0685852090536445</v>
      </c>
      <c r="CM4" s="453">
        <f>+CL4*(1+$D4)^(1/12)</f>
        <v>1.069471641212981</v>
      </c>
      <c r="CN4" s="453">
        <f>+CM4*(1+$D4)^(1/12)</f>
        <v>1.0703588087015794</v>
      </c>
      <c r="CO4" s="453">
        <f>+CN4*(1+$D4)^(1/12)</f>
        <v>1.0712467121294236</v>
      </c>
      <c r="CP4" s="453">
        <f>+CO4*(1+$D4)^(1/12)</f>
        <v>1.0721353521070029</v>
      </c>
      <c r="CQ4" s="453">
        <f>+CP4*(1+$D4)^(1/12)</f>
        <v>1.0730247292453137</v>
      </c>
      <c r="CR4" s="453">
        <f>+CQ4*(1+$D4)^(1/12)</f>
        <v>1.0739148441558586</v>
      </c>
      <c r="CS4" s="453">
        <f>+CR4*(1+$D4)^(1/12)</f>
        <v>1.0748056974506479</v>
      </c>
      <c r="CT4" s="453">
        <f>+CS4*(1+$D4)^(1/12)</f>
        <v>1.0756972897421997</v>
      </c>
      <c r="CU4" s="453">
        <f>+CT4*(1+$D4)^(1/12)</f>
        <v>1.0765896216435398</v>
      </c>
      <c r="CV4" s="453">
        <f>+CU4*(1+$D4)^(1/12)</f>
        <v>1.0774826937682025</v>
      </c>
      <c r="CW4" s="453">
        <f>+CV4*(1+$D4)^(1/12)</f>
        <v>1.0783765067302316</v>
      </c>
      <c r="CX4" s="453">
        <f>+CW4*(1+$D4)^(1/12)</f>
        <v>1.0792710611441798</v>
      </c>
      <c r="CY4" s="453">
        <f>+CX4*(1+$D4)^(1/12)</f>
        <v>1.0801663576251097</v>
      </c>
      <c r="CZ4" s="453">
        <f>+CY4*(1+$D4)^(1/12)</f>
        <v>1.0810623967885942</v>
      </c>
      <c r="DA4" s="453">
        <f>+CZ4*(1+$D4)^(1/12)</f>
        <v>1.0819591792507168</v>
      </c>
      <c r="DB4" s="453">
        <f>+DA4*(1+$D4)^(1/12)</f>
        <v>1.082856705628072</v>
      </c>
      <c r="DC4" s="453">
        <f>+DB4*(1+$D4)^(1/12)</f>
        <v>1.0837549765377659</v>
      </c>
      <c r="DD4" s="453">
        <f>+DC4*(1+$D4)^(1/12)</f>
        <v>1.0846539925974163</v>
      </c>
      <c r="DE4" s="453">
        <f>+DD4*(1+$D4)^(1/12)</f>
        <v>1.0855537544251537</v>
      </c>
      <c r="DF4" s="453">
        <f>+DE4*(1+$D4)^(1/12)</f>
        <v>1.086454262639621</v>
      </c>
      <c r="DG4" s="453">
        <f>+DF4*(1+$D4)^(1/12)</f>
        <v>1.0873555178599743</v>
      </c>
      <c r="DH4" s="453">
        <f>+DG4*(1+$D4)^(1/12)</f>
        <v>1.0882575207058838</v>
      </c>
      <c r="DI4" s="453">
        <f>+DH4*(1+$D4)^(1/12)</f>
        <v>1.0891602717975331</v>
      </c>
      <c r="DJ4" s="453">
        <f>+DI4*(1+$D4)^(1/12)</f>
        <v>1.0900637717556207</v>
      </c>
      <c r="DK4" s="453">
        <f>+DJ4*(1+$D4)^(1/12)</f>
        <v>1.0909680212013599</v>
      </c>
      <c r="DL4" s="453">
        <f>+DK4*(1+$D4)^(1/12)</f>
        <v>1.0918730207564793</v>
      </c>
      <c r="DM4" s="453">
        <f>+DL4*(1+$D4)^(1/12)</f>
        <v>1.0927787710432231</v>
      </c>
      <c r="DN4" s="453">
        <f>+DM4*(1+$D4)^(1/12)</f>
        <v>1.0936852726843518</v>
      </c>
      <c r="DO4" s="453">
        <f>+DN4*(1+$D4)^(1/12)</f>
        <v>1.0945925263031426</v>
      </c>
      <c r="DP4" s="453">
        <f>+DO4*(1+$D4)^(1/12)</f>
        <v>1.0955005325233895</v>
      </c>
      <c r="DQ4" s="453">
        <f>+DP4*(1+$D4)^(1/12)</f>
        <v>1.0964092919694042</v>
      </c>
      <c r="DR4" s="453">
        <f>+DQ4*(1+$D4)^(1/12)</f>
        <v>1.0973188052660161</v>
      </c>
      <c r="DS4" s="453">
        <f>+DR4*(1+$D4)^(1/12)</f>
        <v>1.0982290730385731</v>
      </c>
      <c r="DT4" s="453">
        <f>+DS4*(1+$D4)^(1/12)</f>
        <v>1.0991400959129416</v>
      </c>
      <c r="DU4" s="453">
        <f>+DT4*(1+$D4)^(1/12)</f>
        <v>1.1000518745155075</v>
      </c>
      <c r="DV4" s="453">
        <f>+DU4*(1+$D4)^(1/12)</f>
        <v>1.1009644094731761</v>
      </c>
      <c r="DW4" s="453">
        <f>+DV4*(1+$D4)^(1/12)</f>
        <v>1.1018777014133727</v>
      </c>
      <c r="DX4" s="453">
        <f>+DW4*(1+$D4)^(1/12)</f>
        <v>1.1027917509640432</v>
      </c>
      <c r="DY4" s="453">
        <f>+DX4*(1+$D4)^(1/12)</f>
        <v>1.1037065587536545</v>
      </c>
      <c r="DZ4" s="453">
        <f>+DY4*(1+$D4)^(1/12)</f>
        <v>1.1046221254111945</v>
      </c>
      <c r="EA4" s="453">
        <f>+DZ4*(1+$D4)^(1/12)</f>
        <v>1.1055384515661733</v>
      </c>
      <c r="EB4" s="453">
        <f>+EA4*(1+$D4)^(1/12)</f>
        <v>1.1064555378486227</v>
      </c>
      <c r="EC4" s="453">
        <f>+EB4*(1+$D4)^(1/12)</f>
        <v>1.1073733848890974</v>
      </c>
      <c r="ED4" s="453">
        <f>+EC4*(1+$D4)^(1/12)</f>
        <v>1.1082919933186755</v>
      </c>
      <c r="EE4" s="453">
        <f>+ED4*(1+$D4)^(1/12)</f>
        <v>1.109211363768958</v>
      </c>
      <c r="EF4" s="453">
        <f>+EE4*(1+$D4)^(1/12)</f>
        <v>1.1101314968720704</v>
      </c>
      <c r="EG4" s="453">
        <f>+EF4*(1+$D4)^(1/12)</f>
        <v>1.111052393260662</v>
      </c>
      <c r="EH4" s="453">
        <f>+EG4*(1+$D4)^(1/12)</f>
        <v>1.1119740535679072</v>
      </c>
      <c r="EI4" s="453">
        <f>+EH4*(1+$D4)^(1/12)</f>
        <v>1.1128964784275057</v>
      </c>
      <c r="EJ4" s="453">
        <f>+EI4*(1+$D4)^(1/12)</f>
        <v>1.113819668473683</v>
      </c>
      <c r="EK4" s="453">
        <f>+EJ4*(1+$D4)^(1/12)</f>
        <v>1.1147436243411903</v>
      </c>
    </row>
    <row r="5" spans="2:153" x14ac:dyDescent="0.45">
      <c r="B5" s="2" t="str">
        <f>+Assumptions!B139</f>
        <v>Rent Stabilized</v>
      </c>
      <c r="C5" s="2"/>
      <c r="D5" s="454">
        <f>+Assumptions!E139</f>
        <v>0.02</v>
      </c>
      <c r="F5" s="47"/>
      <c r="J5" s="453">
        <v>1</v>
      </c>
      <c r="K5" s="453">
        <f>+J5*(1+$D5)^(1/12)</f>
        <v>1.0016515813019202</v>
      </c>
      <c r="L5" s="453">
        <f>+K5*(1+$D5)^(1/12)</f>
        <v>1.0033058903246372</v>
      </c>
      <c r="M5" s="453">
        <f>+L5*(1+$D5)^(1/12)</f>
        <v>1.0049629315732038</v>
      </c>
      <c r="N5" s="453">
        <f>+M5*(1+$D5)^(1/12)</f>
        <v>1.006622709560113</v>
      </c>
      <c r="O5" s="453">
        <f>+N5*(1+$D5)^(1/12)</f>
        <v>1.0082852288053108</v>
      </c>
      <c r="P5" s="453">
        <f>+O5*(1+$D5)^(1/12)</f>
        <v>1.0099504938362081</v>
      </c>
      <c r="Q5" s="453">
        <f>+P5*(1+$D5)^(1/12)</f>
        <v>1.011618509187693</v>
      </c>
      <c r="R5" s="453">
        <f>+Q5*(1+$D5)^(1/12)</f>
        <v>1.0132892794021437</v>
      </c>
      <c r="S5" s="453">
        <f>+R5*(1+$D5)^(1/12)</f>
        <v>1.0149628090294405</v>
      </c>
      <c r="T5" s="453">
        <f>+S5*(1+$D5)^(1/12)</f>
        <v>1.0166391026269779</v>
      </c>
      <c r="U5" s="453">
        <f>+T5*(1+$D5)^(1/12)</f>
        <v>1.0183181647596775</v>
      </c>
      <c r="V5" s="453">
        <f>+U5*(1+$D5)^(1/12)</f>
        <v>1.0200000000000002</v>
      </c>
      <c r="W5" s="453">
        <f>+V5*(1+$D5)^(1/12)</f>
        <v>1.0216846129279589</v>
      </c>
      <c r="X5" s="453">
        <f>+W5*(1+$D5)^(1/12)</f>
        <v>1.0233720081311304</v>
      </c>
      <c r="Y5" s="453">
        <f>+X5*(1+$D5)^(1/12)</f>
        <v>1.0250621902046684</v>
      </c>
      <c r="Z5" s="453">
        <f>+Y5*(1+$D5)^(1/12)</f>
        <v>1.0267551637513157</v>
      </c>
      <c r="AA5" s="453">
        <f>+Z5*(1+$D5)^(1/12)</f>
        <v>1.0284509333814174</v>
      </c>
      <c r="AB5" s="453">
        <f>+AA5*(1+$D5)^(1/12)</f>
        <v>1.0301495037129325</v>
      </c>
      <c r="AC5" s="453">
        <f>+AB5*(1+$D5)^(1/12)</f>
        <v>1.0318508793714471</v>
      </c>
      <c r="AD5" s="453">
        <f>+AC5*(1+$D5)^(1/12)</f>
        <v>1.033555064990187</v>
      </c>
      <c r="AE5" s="453">
        <f>+AD5*(1+$D5)^(1/12)</f>
        <v>1.0352620652100297</v>
      </c>
      <c r="AF5" s="453">
        <f>+AE5*(1+$D5)^(1/12)</f>
        <v>1.036971884679518</v>
      </c>
      <c r="AG5" s="453">
        <f>+AF5*(1+$D5)^(1/12)</f>
        <v>1.0386845280548715</v>
      </c>
      <c r="AH5" s="453">
        <f>+AG5*(1+$D5)^(1/12)</f>
        <v>1.0404000000000009</v>
      </c>
      <c r="AI5" s="453">
        <f>+AH5*(1+$D5)^(1/12)</f>
        <v>1.0421183051865186</v>
      </c>
      <c r="AJ5" s="453">
        <f>+AI5*(1+$D5)^(1/12)</f>
        <v>1.0438394482937534</v>
      </c>
      <c r="AK5" s="453">
        <f>+AJ5*(1+$D5)^(1/12)</f>
        <v>1.0455634340087621</v>
      </c>
      <c r="AL5" s="453">
        <f>+AK5*(1+$D5)^(1/12)</f>
        <v>1.0472902670263424</v>
      </c>
      <c r="AM5" s="453">
        <f>+AL5*(1+$D5)^(1/12)</f>
        <v>1.0490199520490462</v>
      </c>
      <c r="AN5" s="453">
        <f>+AM5*(1+$D5)^(1/12)</f>
        <v>1.0507524937871917</v>
      </c>
      <c r="AO5" s="453">
        <f>+AN5*(1+$D5)^(1/12)</f>
        <v>1.0524878969588767</v>
      </c>
      <c r="AP5" s="453">
        <f>+AO5*(1+$D5)^(1/12)</f>
        <v>1.0542261662899912</v>
      </c>
      <c r="AQ5" s="453">
        <f>+AP5*(1+$D5)^(1/12)</f>
        <v>1.0559673065142308</v>
      </c>
      <c r="AR5" s="453">
        <f>+AQ5*(1+$D5)^(1/12)</f>
        <v>1.0577113223731087</v>
      </c>
      <c r="AS5" s="453">
        <f>+AR5*(1+$D5)^(1/12)</f>
        <v>1.0594582186159696</v>
      </c>
      <c r="AT5" s="453">
        <f>+AS5*(1+$D5)^(1/12)</f>
        <v>1.0612080000000015</v>
      </c>
      <c r="AU5" s="453">
        <f>+AT5*(1+$D5)^(1/12)</f>
        <v>1.0629606712902497</v>
      </c>
      <c r="AV5" s="453">
        <f>+AU5*(1+$D5)^(1/12)</f>
        <v>1.0647162372596293</v>
      </c>
      <c r="AW5" s="453">
        <f>+AV5*(1+$D5)^(1/12)</f>
        <v>1.0664747026889381</v>
      </c>
      <c r="AX5" s="453">
        <f>+AW5*(1+$D5)^(1/12)</f>
        <v>1.06823607236687</v>
      </c>
      <c r="AY5" s="453">
        <f>+AX5*(1+$D5)^(1/12)</f>
        <v>1.0700003510900278</v>
      </c>
      <c r="AZ5" s="453">
        <f>+AY5*(1+$D5)^(1/12)</f>
        <v>1.0717675436629361</v>
      </c>
      <c r="BA5" s="453">
        <f>+AZ5*(1+$D5)^(1/12)</f>
        <v>1.0735376548980549</v>
      </c>
      <c r="BB5" s="453">
        <f>+BA5*(1+$D5)^(1/12)</f>
        <v>1.0753106896157918</v>
      </c>
      <c r="BC5" s="453">
        <f>+BB5*(1+$D5)^(1/12)</f>
        <v>1.0770866526445162</v>
      </c>
      <c r="BD5" s="453">
        <f>+BC5*(1+$D5)^(1/12)</f>
        <v>1.0788655488205716</v>
      </c>
      <c r="BE5" s="453">
        <f>+BD5*(1+$D5)^(1/12)</f>
        <v>1.0806473829882897</v>
      </c>
      <c r="BF5" s="453">
        <f>+BE5*(1+$D5)^(1/12)</f>
        <v>1.0824321600000022</v>
      </c>
      <c r="BG5" s="453">
        <f>+BF5*(1+$D5)^(1/12)</f>
        <v>1.0842198847160553</v>
      </c>
      <c r="BH5" s="453">
        <f>+BG5*(1+$D5)^(1/12)</f>
        <v>1.0860105620048224</v>
      </c>
      <c r="BI5" s="453">
        <f>+BH5*(1+$D5)^(1/12)</f>
        <v>1.0878041967427174</v>
      </c>
      <c r="BJ5" s="453">
        <f>+BI5*(1+$D5)^(1/12)</f>
        <v>1.089600793814208</v>
      </c>
      <c r="BK5" s="453">
        <f>+BJ5*(1+$D5)^(1/12)</f>
        <v>1.091400358111829</v>
      </c>
      <c r="BL5" s="453">
        <f>+BK5*(1+$D5)^(1/12)</f>
        <v>1.0932028945361956</v>
      </c>
      <c r="BM5" s="453">
        <f>+BL5*(1+$D5)^(1/12)</f>
        <v>1.0950084079960165</v>
      </c>
      <c r="BN5" s="453">
        <f>+BM5*(1+$D5)^(1/12)</f>
        <v>1.0968169034081081</v>
      </c>
      <c r="BO5" s="453">
        <f>+BN5*(1+$D5)^(1/12)</f>
        <v>1.0986283856974071</v>
      </c>
      <c r="BP5" s="453">
        <f>+BO5*(1+$D5)^(1/12)</f>
        <v>1.1004428597969838</v>
      </c>
      <c r="BQ5" s="453">
        <f>+BP5*(1+$D5)^(1/12)</f>
        <v>1.1022603306480561</v>
      </c>
      <c r="BR5" s="453">
        <f>+BQ5*(1+$D5)^(1/12)</f>
        <v>1.1040808032000029</v>
      </c>
      <c r="BS5" s="453">
        <f>+BR5*(1+$D5)^(1/12)</f>
        <v>1.1059042824103771</v>
      </c>
      <c r="BT5" s="453">
        <f>+BS5*(1+$D5)^(1/12)</f>
        <v>1.1077307732449195</v>
      </c>
      <c r="BU5" s="453">
        <f>+BT5*(1+$D5)^(1/12)</f>
        <v>1.1095602806775724</v>
      </c>
      <c r="BV5" s="453">
        <f>+BU5*(1+$D5)^(1/12)</f>
        <v>1.1113928096904928</v>
      </c>
      <c r="BW5" s="453">
        <f>+BV5*(1+$D5)^(1/12)</f>
        <v>1.1132283652740662</v>
      </c>
      <c r="BX5" s="453">
        <f>+BW5*(1+$D5)^(1/12)</f>
        <v>1.1150669524269201</v>
      </c>
      <c r="BY5" s="453">
        <f>+BX5*(1+$D5)^(1/12)</f>
        <v>1.1169085761559376</v>
      </c>
      <c r="BZ5" s="453">
        <f>+BY5*(1+$D5)^(1/12)</f>
        <v>1.1187532414762711</v>
      </c>
      <c r="CA5" s="453">
        <f>+BZ5*(1+$D5)^(1/12)</f>
        <v>1.1206009534113559</v>
      </c>
      <c r="CB5" s="453">
        <f>+CA5*(1+$D5)^(1/12)</f>
        <v>1.122451716992924</v>
      </c>
      <c r="CC5" s="453">
        <f>+CB5*(1+$D5)^(1/12)</f>
        <v>1.1243055372610178</v>
      </c>
      <c r="CD5" s="453">
        <f>+CC5*(1+$D5)^(1/12)</f>
        <v>1.1261624192640034</v>
      </c>
      <c r="CE5" s="453">
        <f>+CD5*(1+$D5)^(1/12)</f>
        <v>1.128022368058585</v>
      </c>
      <c r="CF5" s="453">
        <f>+CE5*(1+$D5)^(1/12)</f>
        <v>1.1298853887098184</v>
      </c>
      <c r="CG5" s="453">
        <f>+CF5*(1+$D5)^(1/12)</f>
        <v>1.1317514862911244</v>
      </c>
      <c r="CH5" s="453">
        <f>+CG5*(1+$D5)^(1/12)</f>
        <v>1.1336206658843033</v>
      </c>
      <c r="CI5" s="453">
        <f>+CH5*(1+$D5)^(1/12)</f>
        <v>1.1354929325795482</v>
      </c>
      <c r="CJ5" s="453">
        <f>+CI5*(1+$D5)^(1/12)</f>
        <v>1.137368291475459</v>
      </c>
      <c r="CK5" s="453">
        <f>+CJ5*(1+$D5)^(1/12)</f>
        <v>1.1392467476790569</v>
      </c>
      <c r="CL5" s="453">
        <f>+CK5*(1+$D5)^(1/12)</f>
        <v>1.1411283063057971</v>
      </c>
      <c r="CM5" s="453">
        <f>+CL5*(1+$D5)^(1/12)</f>
        <v>1.1430129724795837</v>
      </c>
      <c r="CN5" s="453">
        <f>+CM5*(1+$D5)^(1/12)</f>
        <v>1.1449007513327831</v>
      </c>
      <c r="CO5" s="453">
        <f>+CN5*(1+$D5)^(1/12)</f>
        <v>1.1467916480062388</v>
      </c>
      <c r="CP5" s="453">
        <f>+CO5*(1+$D5)^(1/12)</f>
        <v>1.1486856676492843</v>
      </c>
      <c r="CQ5" s="453">
        <f>+CP5*(1+$D5)^(1/12)</f>
        <v>1.1505828154197575</v>
      </c>
      <c r="CR5" s="453">
        <f>+CQ5*(1+$D5)^(1/12)</f>
        <v>1.1524830964840156</v>
      </c>
      <c r="CS5" s="453">
        <f>+CR5*(1+$D5)^(1/12)</f>
        <v>1.1543865160169478</v>
      </c>
      <c r="CT5" s="453">
        <f>+CS5*(1+$D5)^(1/12)</f>
        <v>1.1562930792019901</v>
      </c>
      <c r="CU5" s="453">
        <f>+CT5*(1+$D5)^(1/12)</f>
        <v>1.1582027912311399</v>
      </c>
      <c r="CV5" s="453">
        <f>+CU5*(1+$D5)^(1/12)</f>
        <v>1.1601156573049691</v>
      </c>
      <c r="CW5" s="453">
        <f>+CV5*(1+$D5)^(1/12)</f>
        <v>1.1620316826326389</v>
      </c>
      <c r="CX5" s="453">
        <f>+CW5*(1+$D5)^(1/12)</f>
        <v>1.1639508724319139</v>
      </c>
      <c r="CY5" s="453">
        <f>+CX5*(1+$D5)^(1/12)</f>
        <v>1.1658732319291762</v>
      </c>
      <c r="CZ5" s="453">
        <f>+CY5*(1+$D5)^(1/12)</f>
        <v>1.1677987663594398</v>
      </c>
      <c r="DA5" s="453">
        <f>+CZ5*(1+$D5)^(1/12)</f>
        <v>1.1697274809663645</v>
      </c>
      <c r="DB5" s="453">
        <f>+DA5*(1+$D5)^(1/12)</f>
        <v>1.1716593810022708</v>
      </c>
      <c r="DC5" s="453">
        <f>+DB5*(1+$D5)^(1/12)</f>
        <v>1.1735944717281537</v>
      </c>
      <c r="DD5" s="453">
        <f>+DC5*(1+$D5)^(1/12)</f>
        <v>1.1755327584136968</v>
      </c>
      <c r="DE5" s="453">
        <f>+DD5*(1+$D5)^(1/12)</f>
        <v>1.1774742463372876</v>
      </c>
      <c r="DF5" s="453">
        <f>+DE5*(1+$D5)^(1/12)</f>
        <v>1.1794189407860309</v>
      </c>
      <c r="DG5" s="453">
        <f>+DF5*(1+$D5)^(1/12)</f>
        <v>1.1813668470557637</v>
      </c>
      <c r="DH5" s="453">
        <f>+DG5*(1+$D5)^(1/12)</f>
        <v>1.1833179704510695</v>
      </c>
      <c r="DI5" s="453">
        <f>+DH5*(1+$D5)^(1/12)</f>
        <v>1.1852723162852927</v>
      </c>
      <c r="DJ5" s="453">
        <f>+DI5*(1+$D5)^(1/12)</f>
        <v>1.1872298898805531</v>
      </c>
      <c r="DK5" s="453">
        <f>+DJ5*(1+$D5)^(1/12)</f>
        <v>1.1891906965677606</v>
      </c>
      <c r="DL5" s="453">
        <f>+DK5*(1+$D5)^(1/12)</f>
        <v>1.1911547416866293</v>
      </c>
      <c r="DM5" s="453">
        <f>+DL5*(1+$D5)^(1/12)</f>
        <v>1.1931220305856924</v>
      </c>
      <c r="DN5" s="453">
        <f>+DM5*(1+$D5)^(1/12)</f>
        <v>1.1950925686223168</v>
      </c>
      <c r="DO5" s="453">
        <f>+DN5*(1+$D5)^(1/12)</f>
        <v>1.1970663611627173</v>
      </c>
      <c r="DP5" s="453">
        <f>+DO5*(1+$D5)^(1/12)</f>
        <v>1.1990434135819712</v>
      </c>
      <c r="DQ5" s="453">
        <f>+DP5*(1+$D5)^(1/12)</f>
        <v>1.2010237312640337</v>
      </c>
      <c r="DR5" s="453">
        <f>+DQ5*(1+$D5)^(1/12)</f>
        <v>1.2030073196017519</v>
      </c>
      <c r="DS5" s="453">
        <f>+DR5*(1+$D5)^(1/12)</f>
        <v>1.2049941839968794</v>
      </c>
      <c r="DT5" s="453">
        <f>+DS5*(1+$D5)^(1/12)</f>
        <v>1.2069843298600913</v>
      </c>
      <c r="DU5" s="453">
        <f>+DT5*(1+$D5)^(1/12)</f>
        <v>1.208977762610999</v>
      </c>
      <c r="DV5" s="453">
        <f>+DU5*(1+$D5)^(1/12)</f>
        <v>1.2109744876781647</v>
      </c>
      <c r="DW5" s="453">
        <f>+DV5*(1+$D5)^(1/12)</f>
        <v>1.2129745104991163</v>
      </c>
      <c r="DX5" s="453">
        <f>+DW5*(1+$D5)^(1/12)</f>
        <v>1.2149778365203625</v>
      </c>
      <c r="DY5" s="453">
        <f>+DX5*(1+$D5)^(1/12)</f>
        <v>1.2169844711974069</v>
      </c>
      <c r="DZ5" s="453">
        <f>+DY5*(1+$D5)^(1/12)</f>
        <v>1.2189944199947638</v>
      </c>
      <c r="EA5" s="453">
        <f>+DZ5*(1+$D5)^(1/12)</f>
        <v>1.2210076883859722</v>
      </c>
      <c r="EB5" s="453">
        <f>+EA5*(1+$D5)^(1/12)</f>
        <v>1.2230242818536112</v>
      </c>
      <c r="EC5" s="453">
        <f>+EB5*(1+$D5)^(1/12)</f>
        <v>1.225044205889315</v>
      </c>
      <c r="ED5" s="453">
        <f>+EC5*(1+$D5)^(1/12)</f>
        <v>1.2270674659937875</v>
      </c>
      <c r="EE5" s="453">
        <f>+ED5*(1+$D5)^(1/12)</f>
        <v>1.2290940676768174</v>
      </c>
      <c r="EF5" s="453">
        <f>+EE5*(1+$D5)^(1/12)</f>
        <v>1.2311240164572934</v>
      </c>
      <c r="EG5" s="453">
        <f>+EF5*(1+$D5)^(1/12)</f>
        <v>1.2331573178632191</v>
      </c>
      <c r="EH5" s="453">
        <f>+EG5*(1+$D5)^(1/12)</f>
        <v>1.2351939774317282</v>
      </c>
      <c r="EI5" s="453">
        <f>+EH5*(1+$D5)^(1/12)</f>
        <v>1.2372340007090989</v>
      </c>
      <c r="EJ5" s="453">
        <f>+EI5*(1+$D5)^(1/12)</f>
        <v>1.2392773932507701</v>
      </c>
      <c r="EK5" s="453">
        <f>+EJ5*(1+$D5)^(1/12)</f>
        <v>1.2413241606213556</v>
      </c>
    </row>
    <row r="6" spans="2:153" x14ac:dyDescent="0.45">
      <c r="C6" s="423"/>
      <c r="D6" s="423"/>
      <c r="E6" s="455"/>
      <c r="F6" s="47"/>
    </row>
    <row r="7" spans="2:153" x14ac:dyDescent="0.45">
      <c r="J7" s="16" cm="1">
        <f t="array" ref="J7">+INDEX(Model!$G$2:$EI$2,,MATCH(J8,Model!$G$4:$EI$4,0))</f>
        <v>45869</v>
      </c>
      <c r="K7" s="16">
        <f>EOMONTH(J7,1)</f>
        <v>45900</v>
      </c>
      <c r="L7" s="16">
        <f t="shared" ref="L7:BW7" si="0">EOMONTH(K7,1)</f>
        <v>45930</v>
      </c>
      <c r="M7" s="16">
        <f t="shared" si="0"/>
        <v>45961</v>
      </c>
      <c r="N7" s="16">
        <f t="shared" si="0"/>
        <v>45991</v>
      </c>
      <c r="O7" s="16">
        <f t="shared" si="0"/>
        <v>46022</v>
      </c>
      <c r="P7" s="16">
        <f t="shared" si="0"/>
        <v>46053</v>
      </c>
      <c r="Q7" s="16">
        <f t="shared" si="0"/>
        <v>46081</v>
      </c>
      <c r="R7" s="16">
        <f t="shared" si="0"/>
        <v>46112</v>
      </c>
      <c r="S7" s="16">
        <f t="shared" si="0"/>
        <v>46142</v>
      </c>
      <c r="T7" s="16">
        <f t="shared" si="0"/>
        <v>46173</v>
      </c>
      <c r="U7" s="16">
        <f t="shared" si="0"/>
        <v>46203</v>
      </c>
      <c r="V7" s="16">
        <f t="shared" si="0"/>
        <v>46234</v>
      </c>
      <c r="W7" s="16">
        <f t="shared" si="0"/>
        <v>46265</v>
      </c>
      <c r="X7" s="16">
        <f t="shared" si="0"/>
        <v>46295</v>
      </c>
      <c r="Y7" s="16">
        <f t="shared" si="0"/>
        <v>46326</v>
      </c>
      <c r="Z7" s="16">
        <f t="shared" si="0"/>
        <v>46356</v>
      </c>
      <c r="AA7" s="16">
        <f t="shared" si="0"/>
        <v>46387</v>
      </c>
      <c r="AB7" s="16">
        <f t="shared" si="0"/>
        <v>46418</v>
      </c>
      <c r="AC7" s="16">
        <f t="shared" si="0"/>
        <v>46446</v>
      </c>
      <c r="AD7" s="16">
        <f t="shared" si="0"/>
        <v>46477</v>
      </c>
      <c r="AE7" s="16">
        <f t="shared" si="0"/>
        <v>46507</v>
      </c>
      <c r="AF7" s="16">
        <f t="shared" si="0"/>
        <v>46538</v>
      </c>
      <c r="AG7" s="16">
        <f t="shared" si="0"/>
        <v>46568</v>
      </c>
      <c r="AH7" s="16">
        <f t="shared" si="0"/>
        <v>46599</v>
      </c>
      <c r="AI7" s="16">
        <f t="shared" si="0"/>
        <v>46630</v>
      </c>
      <c r="AJ7" s="16">
        <f t="shared" si="0"/>
        <v>46660</v>
      </c>
      <c r="AK7" s="16">
        <f t="shared" si="0"/>
        <v>46691</v>
      </c>
      <c r="AL7" s="16">
        <f t="shared" si="0"/>
        <v>46721</v>
      </c>
      <c r="AM7" s="16">
        <f t="shared" si="0"/>
        <v>46752</v>
      </c>
      <c r="AN7" s="16">
        <f t="shared" si="0"/>
        <v>46783</v>
      </c>
      <c r="AO7" s="16">
        <f t="shared" si="0"/>
        <v>46812</v>
      </c>
      <c r="AP7" s="16">
        <f t="shared" si="0"/>
        <v>46843</v>
      </c>
      <c r="AQ7" s="16">
        <f t="shared" si="0"/>
        <v>46873</v>
      </c>
      <c r="AR7" s="16">
        <f t="shared" si="0"/>
        <v>46904</v>
      </c>
      <c r="AS7" s="16">
        <f t="shared" si="0"/>
        <v>46934</v>
      </c>
      <c r="AT7" s="16">
        <f t="shared" si="0"/>
        <v>46965</v>
      </c>
      <c r="AU7" s="16">
        <f t="shared" si="0"/>
        <v>46996</v>
      </c>
      <c r="AV7" s="16">
        <f t="shared" si="0"/>
        <v>47026</v>
      </c>
      <c r="AW7" s="16">
        <f t="shared" si="0"/>
        <v>47057</v>
      </c>
      <c r="AX7" s="16">
        <f t="shared" si="0"/>
        <v>47087</v>
      </c>
      <c r="AY7" s="16">
        <f t="shared" si="0"/>
        <v>47118</v>
      </c>
      <c r="AZ7" s="16">
        <f t="shared" si="0"/>
        <v>47149</v>
      </c>
      <c r="BA7" s="16">
        <f t="shared" si="0"/>
        <v>47177</v>
      </c>
      <c r="BB7" s="16">
        <f t="shared" si="0"/>
        <v>47208</v>
      </c>
      <c r="BC7" s="16">
        <f t="shared" si="0"/>
        <v>47238</v>
      </c>
      <c r="BD7" s="16">
        <f t="shared" si="0"/>
        <v>47269</v>
      </c>
      <c r="BE7" s="16">
        <f t="shared" si="0"/>
        <v>47299</v>
      </c>
      <c r="BF7" s="16">
        <f t="shared" si="0"/>
        <v>47330</v>
      </c>
      <c r="BG7" s="16">
        <f t="shared" si="0"/>
        <v>47361</v>
      </c>
      <c r="BH7" s="16">
        <f t="shared" si="0"/>
        <v>47391</v>
      </c>
      <c r="BI7" s="16">
        <f t="shared" si="0"/>
        <v>47422</v>
      </c>
      <c r="BJ7" s="16">
        <f t="shared" si="0"/>
        <v>47452</v>
      </c>
      <c r="BK7" s="16">
        <f t="shared" si="0"/>
        <v>47483</v>
      </c>
      <c r="BL7" s="16">
        <f t="shared" si="0"/>
        <v>47514</v>
      </c>
      <c r="BM7" s="16">
        <f t="shared" si="0"/>
        <v>47542</v>
      </c>
      <c r="BN7" s="16">
        <f t="shared" si="0"/>
        <v>47573</v>
      </c>
      <c r="BO7" s="16">
        <f t="shared" si="0"/>
        <v>47603</v>
      </c>
      <c r="BP7" s="16">
        <f t="shared" si="0"/>
        <v>47634</v>
      </c>
      <c r="BQ7" s="16">
        <f t="shared" si="0"/>
        <v>47664</v>
      </c>
      <c r="BR7" s="16">
        <f t="shared" si="0"/>
        <v>47695</v>
      </c>
      <c r="BS7" s="16">
        <f t="shared" si="0"/>
        <v>47726</v>
      </c>
      <c r="BT7" s="16">
        <f t="shared" si="0"/>
        <v>47756</v>
      </c>
      <c r="BU7" s="16">
        <f t="shared" si="0"/>
        <v>47787</v>
      </c>
      <c r="BV7" s="16">
        <f t="shared" si="0"/>
        <v>47817</v>
      </c>
      <c r="BW7" s="16">
        <f t="shared" si="0"/>
        <v>47848</v>
      </c>
      <c r="BX7" s="16">
        <f t="shared" ref="BX7:EI7" si="1">EOMONTH(BW7,1)</f>
        <v>47879</v>
      </c>
      <c r="BY7" s="16">
        <f t="shared" si="1"/>
        <v>47907</v>
      </c>
      <c r="BZ7" s="16">
        <f t="shared" si="1"/>
        <v>47938</v>
      </c>
      <c r="CA7" s="16">
        <f t="shared" si="1"/>
        <v>47968</v>
      </c>
      <c r="CB7" s="16">
        <f t="shared" si="1"/>
        <v>47999</v>
      </c>
      <c r="CC7" s="16">
        <f t="shared" si="1"/>
        <v>48029</v>
      </c>
      <c r="CD7" s="16">
        <f t="shared" si="1"/>
        <v>48060</v>
      </c>
      <c r="CE7" s="16">
        <f t="shared" si="1"/>
        <v>48091</v>
      </c>
      <c r="CF7" s="16">
        <f t="shared" si="1"/>
        <v>48121</v>
      </c>
      <c r="CG7" s="16">
        <f t="shared" si="1"/>
        <v>48152</v>
      </c>
      <c r="CH7" s="16">
        <f t="shared" si="1"/>
        <v>48182</v>
      </c>
      <c r="CI7" s="16">
        <f t="shared" si="1"/>
        <v>48213</v>
      </c>
      <c r="CJ7" s="16">
        <f t="shared" si="1"/>
        <v>48244</v>
      </c>
      <c r="CK7" s="16">
        <f t="shared" si="1"/>
        <v>48273</v>
      </c>
      <c r="CL7" s="16">
        <f t="shared" si="1"/>
        <v>48304</v>
      </c>
      <c r="CM7" s="16">
        <f t="shared" si="1"/>
        <v>48334</v>
      </c>
      <c r="CN7" s="16">
        <f t="shared" si="1"/>
        <v>48365</v>
      </c>
      <c r="CO7" s="16">
        <f t="shared" si="1"/>
        <v>48395</v>
      </c>
      <c r="CP7" s="16">
        <f t="shared" si="1"/>
        <v>48426</v>
      </c>
      <c r="CQ7" s="16">
        <f t="shared" si="1"/>
        <v>48457</v>
      </c>
      <c r="CR7" s="16">
        <f t="shared" si="1"/>
        <v>48487</v>
      </c>
      <c r="CS7" s="16">
        <f t="shared" si="1"/>
        <v>48518</v>
      </c>
      <c r="CT7" s="16">
        <f t="shared" si="1"/>
        <v>48548</v>
      </c>
      <c r="CU7" s="16">
        <f t="shared" si="1"/>
        <v>48579</v>
      </c>
      <c r="CV7" s="16">
        <f t="shared" si="1"/>
        <v>48610</v>
      </c>
      <c r="CW7" s="16">
        <f t="shared" si="1"/>
        <v>48638</v>
      </c>
      <c r="CX7" s="16">
        <f t="shared" si="1"/>
        <v>48669</v>
      </c>
      <c r="CY7" s="16">
        <f t="shared" si="1"/>
        <v>48699</v>
      </c>
      <c r="CZ7" s="16">
        <f t="shared" si="1"/>
        <v>48730</v>
      </c>
      <c r="DA7" s="16">
        <f t="shared" si="1"/>
        <v>48760</v>
      </c>
      <c r="DB7" s="16">
        <f t="shared" si="1"/>
        <v>48791</v>
      </c>
      <c r="DC7" s="16">
        <f t="shared" si="1"/>
        <v>48822</v>
      </c>
      <c r="DD7" s="16">
        <f t="shared" si="1"/>
        <v>48852</v>
      </c>
      <c r="DE7" s="16">
        <f t="shared" si="1"/>
        <v>48883</v>
      </c>
      <c r="DF7" s="16">
        <f t="shared" si="1"/>
        <v>48913</v>
      </c>
      <c r="DG7" s="16">
        <f t="shared" si="1"/>
        <v>48944</v>
      </c>
      <c r="DH7" s="16">
        <f t="shared" si="1"/>
        <v>48975</v>
      </c>
      <c r="DI7" s="16">
        <f t="shared" si="1"/>
        <v>49003</v>
      </c>
      <c r="DJ7" s="16">
        <f t="shared" si="1"/>
        <v>49034</v>
      </c>
      <c r="DK7" s="16">
        <f t="shared" si="1"/>
        <v>49064</v>
      </c>
      <c r="DL7" s="16">
        <f t="shared" si="1"/>
        <v>49095</v>
      </c>
      <c r="DM7" s="16">
        <f t="shared" si="1"/>
        <v>49125</v>
      </c>
      <c r="DN7" s="16">
        <f t="shared" si="1"/>
        <v>49156</v>
      </c>
      <c r="DO7" s="16">
        <f t="shared" si="1"/>
        <v>49187</v>
      </c>
      <c r="DP7" s="16">
        <f t="shared" si="1"/>
        <v>49217</v>
      </c>
      <c r="DQ7" s="16">
        <f t="shared" si="1"/>
        <v>49248</v>
      </c>
      <c r="DR7" s="16">
        <f t="shared" si="1"/>
        <v>49278</v>
      </c>
      <c r="DS7" s="16">
        <f t="shared" si="1"/>
        <v>49309</v>
      </c>
      <c r="DT7" s="16">
        <f t="shared" si="1"/>
        <v>49340</v>
      </c>
      <c r="DU7" s="16">
        <f t="shared" si="1"/>
        <v>49368</v>
      </c>
      <c r="DV7" s="16">
        <f t="shared" si="1"/>
        <v>49399</v>
      </c>
      <c r="DW7" s="16">
        <f t="shared" si="1"/>
        <v>49429</v>
      </c>
      <c r="DX7" s="16">
        <f t="shared" si="1"/>
        <v>49460</v>
      </c>
      <c r="DY7" s="16">
        <f t="shared" si="1"/>
        <v>49490</v>
      </c>
      <c r="DZ7" s="16">
        <f t="shared" si="1"/>
        <v>49521</v>
      </c>
      <c r="EA7" s="16">
        <f t="shared" si="1"/>
        <v>49552</v>
      </c>
      <c r="EB7" s="16">
        <f t="shared" si="1"/>
        <v>49582</v>
      </c>
      <c r="EC7" s="16">
        <f t="shared" si="1"/>
        <v>49613</v>
      </c>
      <c r="ED7" s="16">
        <f t="shared" si="1"/>
        <v>49643</v>
      </c>
      <c r="EE7" s="16">
        <f t="shared" si="1"/>
        <v>49674</v>
      </c>
      <c r="EF7" s="16">
        <f t="shared" si="1"/>
        <v>49705</v>
      </c>
      <c r="EG7" s="16">
        <f t="shared" si="1"/>
        <v>49734</v>
      </c>
      <c r="EH7" s="16">
        <f t="shared" si="1"/>
        <v>49765</v>
      </c>
      <c r="EI7" s="16">
        <f t="shared" si="1"/>
        <v>49795</v>
      </c>
      <c r="EJ7" s="16">
        <f t="shared" ref="EJ7:EK7" si="2">EOMONTH(EI7,1)</f>
        <v>49826</v>
      </c>
      <c r="EK7" s="16">
        <f t="shared" si="2"/>
        <v>49856</v>
      </c>
    </row>
    <row r="8" spans="2:153" ht="25.5" x14ac:dyDescent="0.45">
      <c r="B8" s="2" t="str">
        <f>Assumptions!B45</f>
        <v>Units</v>
      </c>
      <c r="C8" s="2" t="str">
        <f>Assumptions!C45</f>
        <v>Rent Type</v>
      </c>
      <c r="D8" s="436" t="str">
        <f>Assumptions!D45</f>
        <v>Vacate=1
Step-up=2</v>
      </c>
      <c r="E8" s="437" t="str">
        <f>Assumptions!G45</f>
        <v>Vacated</v>
      </c>
      <c r="F8" s="437" t="s">
        <v>389</v>
      </c>
      <c r="G8" s="438" t="str">
        <f>Assumptions!I45</f>
        <v>Current Rent</v>
      </c>
      <c r="H8" s="46" t="str">
        <f>Assumptions!J45</f>
        <v>Pro Forma Rent</v>
      </c>
      <c r="J8" s="18">
        <f>+'NOI Walk'!E15</f>
        <v>1</v>
      </c>
      <c r="K8" s="18">
        <f>+'NOI Walk'!F15</f>
        <v>2</v>
      </c>
      <c r="L8" s="18">
        <f>+'NOI Walk'!G15</f>
        <v>3</v>
      </c>
      <c r="M8" s="18">
        <f>+'NOI Walk'!H15</f>
        <v>4</v>
      </c>
      <c r="N8" s="18">
        <f>+'NOI Walk'!I15</f>
        <v>5</v>
      </c>
      <c r="O8" s="18">
        <f>+'NOI Walk'!J15</f>
        <v>6</v>
      </c>
      <c r="P8" s="18">
        <f>+'NOI Walk'!K15</f>
        <v>7</v>
      </c>
      <c r="Q8" s="18">
        <f>+'NOI Walk'!L15</f>
        <v>8</v>
      </c>
      <c r="R8" s="18">
        <f>+'NOI Walk'!M15</f>
        <v>9</v>
      </c>
      <c r="S8" s="18">
        <f>+'NOI Walk'!N15</f>
        <v>10</v>
      </c>
      <c r="T8" s="18">
        <f>+'NOI Walk'!O15</f>
        <v>11</v>
      </c>
      <c r="U8" s="18">
        <f>+'NOI Walk'!P15</f>
        <v>12</v>
      </c>
      <c r="V8" s="18">
        <f>+'NOI Walk'!Q15</f>
        <v>13</v>
      </c>
      <c r="W8" s="18">
        <f>+'NOI Walk'!R15</f>
        <v>14</v>
      </c>
      <c r="X8" s="18">
        <f>+'NOI Walk'!S15</f>
        <v>15</v>
      </c>
      <c r="Y8" s="18">
        <f>+'NOI Walk'!T15</f>
        <v>16</v>
      </c>
      <c r="Z8" s="18">
        <f>+'NOI Walk'!U15</f>
        <v>17</v>
      </c>
      <c r="AA8" s="18">
        <f>+'NOI Walk'!V15</f>
        <v>18</v>
      </c>
      <c r="AB8" s="18">
        <f>+'NOI Walk'!W15</f>
        <v>19</v>
      </c>
      <c r="AC8" s="18">
        <f>+'NOI Walk'!X15</f>
        <v>20</v>
      </c>
      <c r="AD8" s="18">
        <f>+'NOI Walk'!Y15</f>
        <v>21</v>
      </c>
      <c r="AE8" s="18">
        <f>+'NOI Walk'!Z15</f>
        <v>22</v>
      </c>
      <c r="AF8" s="18">
        <f>+'NOI Walk'!AA15</f>
        <v>23</v>
      </c>
      <c r="AG8" s="18">
        <f>+'NOI Walk'!AB15</f>
        <v>24</v>
      </c>
      <c r="AH8" s="18">
        <f>+'NOI Walk'!AC15</f>
        <v>25</v>
      </c>
      <c r="AI8" s="18">
        <f>+'NOI Walk'!AD15</f>
        <v>26</v>
      </c>
      <c r="AJ8" s="18">
        <f>+'NOI Walk'!AE15</f>
        <v>27</v>
      </c>
      <c r="AK8" s="18">
        <f>+'NOI Walk'!AF15</f>
        <v>28</v>
      </c>
      <c r="AL8" s="18">
        <f>+'NOI Walk'!AG15</f>
        <v>29</v>
      </c>
      <c r="AM8" s="18">
        <f>+'NOI Walk'!AH15</f>
        <v>30</v>
      </c>
      <c r="AN8" s="18">
        <f>+'NOI Walk'!AI15</f>
        <v>31</v>
      </c>
      <c r="AO8" s="18">
        <f>+'NOI Walk'!AJ15</f>
        <v>32</v>
      </c>
      <c r="AP8" s="18">
        <f>+'NOI Walk'!AK15</f>
        <v>33</v>
      </c>
      <c r="AQ8" s="18">
        <f>+'NOI Walk'!AL15</f>
        <v>34</v>
      </c>
      <c r="AR8" s="18">
        <f>+'NOI Walk'!AM15</f>
        <v>35</v>
      </c>
      <c r="AS8" s="18">
        <f>+'NOI Walk'!AN15</f>
        <v>36</v>
      </c>
      <c r="AT8" s="18">
        <f>+'NOI Walk'!AO15</f>
        <v>37</v>
      </c>
      <c r="AU8" s="18">
        <f>+'NOI Walk'!AP15</f>
        <v>38</v>
      </c>
      <c r="AV8" s="18">
        <f>+'NOI Walk'!AQ15</f>
        <v>39</v>
      </c>
      <c r="AW8" s="18">
        <f>+'NOI Walk'!AR15</f>
        <v>40</v>
      </c>
      <c r="AX8" s="18">
        <f>+'NOI Walk'!AS15</f>
        <v>41</v>
      </c>
      <c r="AY8" s="18">
        <f>+'NOI Walk'!AT15</f>
        <v>42</v>
      </c>
      <c r="AZ8" s="18">
        <f>+'NOI Walk'!AU15</f>
        <v>43</v>
      </c>
      <c r="BA8" s="18">
        <f>+'NOI Walk'!AV15</f>
        <v>44</v>
      </c>
      <c r="BB8" s="18">
        <f>+'NOI Walk'!AW15</f>
        <v>45</v>
      </c>
      <c r="BC8" s="18">
        <f>+'NOI Walk'!AX15</f>
        <v>46</v>
      </c>
      <c r="BD8" s="18">
        <f>+'NOI Walk'!AY15</f>
        <v>47</v>
      </c>
      <c r="BE8" s="18">
        <f>+'NOI Walk'!AZ15</f>
        <v>48</v>
      </c>
      <c r="BF8" s="18">
        <f>+'NOI Walk'!BA15</f>
        <v>49</v>
      </c>
      <c r="BG8" s="18">
        <f>+'NOI Walk'!BB15</f>
        <v>50</v>
      </c>
      <c r="BH8" s="18">
        <f>+'NOI Walk'!BC15</f>
        <v>51</v>
      </c>
      <c r="BI8" s="18">
        <f>+'NOI Walk'!BD15</f>
        <v>52</v>
      </c>
      <c r="BJ8" s="18">
        <f>+'NOI Walk'!BE15</f>
        <v>53</v>
      </c>
      <c r="BK8" s="18">
        <f>+'NOI Walk'!BF15</f>
        <v>54</v>
      </c>
      <c r="BL8" s="18">
        <f>+'NOI Walk'!BG15</f>
        <v>55</v>
      </c>
      <c r="BM8" s="18">
        <f>+'NOI Walk'!BH15</f>
        <v>56</v>
      </c>
      <c r="BN8" s="18">
        <f>+'NOI Walk'!BI15</f>
        <v>57</v>
      </c>
      <c r="BO8" s="18">
        <f>+'NOI Walk'!BJ15</f>
        <v>58</v>
      </c>
      <c r="BP8" s="18">
        <f>+'NOI Walk'!BK15</f>
        <v>59</v>
      </c>
      <c r="BQ8" s="18">
        <f>+'NOI Walk'!BL15</f>
        <v>60</v>
      </c>
      <c r="BR8" s="18">
        <f>+'NOI Walk'!BM15</f>
        <v>61</v>
      </c>
      <c r="BS8" s="18">
        <f>+'NOI Walk'!BN15</f>
        <v>62</v>
      </c>
      <c r="BT8" s="18">
        <f>+'NOI Walk'!BO15</f>
        <v>63</v>
      </c>
      <c r="BU8" s="18">
        <f>+'NOI Walk'!BP15</f>
        <v>64</v>
      </c>
      <c r="BV8" s="18">
        <f>+'NOI Walk'!BQ15</f>
        <v>65</v>
      </c>
      <c r="BW8" s="18">
        <f>+'NOI Walk'!BR15</f>
        <v>66</v>
      </c>
      <c r="BX8" s="18">
        <f>+'NOI Walk'!BS15</f>
        <v>67</v>
      </c>
      <c r="BY8" s="18">
        <f>+'NOI Walk'!BT15</f>
        <v>68</v>
      </c>
      <c r="BZ8" s="18">
        <f>+'NOI Walk'!BU15</f>
        <v>69</v>
      </c>
      <c r="CA8" s="18">
        <f>+'NOI Walk'!BV15</f>
        <v>70</v>
      </c>
      <c r="CB8" s="18">
        <f>+'NOI Walk'!BW15</f>
        <v>71</v>
      </c>
      <c r="CC8" s="18">
        <f>+'NOI Walk'!BX15</f>
        <v>72</v>
      </c>
      <c r="CD8" s="18">
        <f>+'NOI Walk'!BY15</f>
        <v>73</v>
      </c>
      <c r="CE8" s="18">
        <f>+'NOI Walk'!BZ15</f>
        <v>74</v>
      </c>
      <c r="CF8" s="18">
        <f>+'NOI Walk'!CA15</f>
        <v>75</v>
      </c>
      <c r="CG8" s="18">
        <f>+'NOI Walk'!CB15</f>
        <v>76</v>
      </c>
      <c r="CH8" s="18">
        <f>+'NOI Walk'!CC15</f>
        <v>77</v>
      </c>
      <c r="CI8" s="18">
        <f>+'NOI Walk'!CD15</f>
        <v>78</v>
      </c>
      <c r="CJ8" s="18">
        <f>+'NOI Walk'!CE15</f>
        <v>79</v>
      </c>
      <c r="CK8" s="18">
        <f>+'NOI Walk'!CF15</f>
        <v>80</v>
      </c>
      <c r="CL8" s="18">
        <f>+'NOI Walk'!CG15</f>
        <v>81</v>
      </c>
      <c r="CM8" s="18">
        <f>+'NOI Walk'!CH15</f>
        <v>82</v>
      </c>
      <c r="CN8" s="18">
        <f>+'NOI Walk'!CI15</f>
        <v>83</v>
      </c>
      <c r="CO8" s="18">
        <f>+'NOI Walk'!CJ15</f>
        <v>84</v>
      </c>
      <c r="CP8" s="18">
        <f>+'NOI Walk'!CK15</f>
        <v>85</v>
      </c>
      <c r="CQ8" s="18">
        <f>+'NOI Walk'!CL15</f>
        <v>86</v>
      </c>
      <c r="CR8" s="18">
        <f>+'NOI Walk'!CM15</f>
        <v>87</v>
      </c>
      <c r="CS8" s="18">
        <f>+'NOI Walk'!CN15</f>
        <v>88</v>
      </c>
      <c r="CT8" s="18">
        <f>+'NOI Walk'!CO15</f>
        <v>89</v>
      </c>
      <c r="CU8" s="18">
        <f>+'NOI Walk'!CP15</f>
        <v>90</v>
      </c>
      <c r="CV8" s="18">
        <f>+'NOI Walk'!CQ15</f>
        <v>91</v>
      </c>
      <c r="CW8" s="18">
        <f>+'NOI Walk'!CR15</f>
        <v>92</v>
      </c>
      <c r="CX8" s="18">
        <f>+'NOI Walk'!CS15</f>
        <v>93</v>
      </c>
      <c r="CY8" s="18">
        <f>+'NOI Walk'!CT15</f>
        <v>94</v>
      </c>
      <c r="CZ8" s="18">
        <f>+'NOI Walk'!CU15</f>
        <v>95</v>
      </c>
      <c r="DA8" s="18">
        <f>+'NOI Walk'!CV15</f>
        <v>96</v>
      </c>
      <c r="DB8" s="18">
        <f>+'NOI Walk'!CW15</f>
        <v>97</v>
      </c>
      <c r="DC8" s="18">
        <f>+'NOI Walk'!CX15</f>
        <v>98</v>
      </c>
      <c r="DD8" s="18">
        <f>+'NOI Walk'!CY15</f>
        <v>99</v>
      </c>
      <c r="DE8" s="18">
        <f>+'NOI Walk'!CZ15</f>
        <v>100</v>
      </c>
      <c r="DF8" s="18">
        <f>+'NOI Walk'!DA15</f>
        <v>101</v>
      </c>
      <c r="DG8" s="18">
        <f>+'NOI Walk'!DB15</f>
        <v>102</v>
      </c>
      <c r="DH8" s="18">
        <f>+'NOI Walk'!DC15</f>
        <v>103</v>
      </c>
      <c r="DI8" s="18">
        <f>+'NOI Walk'!DD15</f>
        <v>104</v>
      </c>
      <c r="DJ8" s="18">
        <f>+'NOI Walk'!DE15</f>
        <v>105</v>
      </c>
      <c r="DK8" s="18">
        <f>+'NOI Walk'!DF15</f>
        <v>106</v>
      </c>
      <c r="DL8" s="18">
        <f>+'NOI Walk'!DG15</f>
        <v>107</v>
      </c>
      <c r="DM8" s="18">
        <f>+'NOI Walk'!DH15</f>
        <v>108</v>
      </c>
      <c r="DN8" s="18">
        <f>+'NOI Walk'!DI15</f>
        <v>109</v>
      </c>
      <c r="DO8" s="18">
        <f>+'NOI Walk'!DJ15</f>
        <v>110</v>
      </c>
      <c r="DP8" s="18">
        <f>+'NOI Walk'!DK15</f>
        <v>111</v>
      </c>
      <c r="DQ8" s="18">
        <f>+'NOI Walk'!DL15</f>
        <v>112</v>
      </c>
      <c r="DR8" s="18">
        <f>+'NOI Walk'!DM15</f>
        <v>113</v>
      </c>
      <c r="DS8" s="18">
        <f>+'NOI Walk'!DN15</f>
        <v>114</v>
      </c>
      <c r="DT8" s="18">
        <f>+'NOI Walk'!DO15</f>
        <v>115</v>
      </c>
      <c r="DU8" s="18">
        <f>+'NOI Walk'!DP15</f>
        <v>116</v>
      </c>
      <c r="DV8" s="18">
        <f>+'NOI Walk'!DQ15</f>
        <v>117</v>
      </c>
      <c r="DW8" s="18">
        <f>+'NOI Walk'!DR15</f>
        <v>118</v>
      </c>
      <c r="DX8" s="18">
        <f>+'NOI Walk'!DS15</f>
        <v>119</v>
      </c>
      <c r="DY8" s="18">
        <f>+'NOI Walk'!DT15</f>
        <v>120</v>
      </c>
      <c r="DZ8" s="18">
        <f>+'NOI Walk'!DU15</f>
        <v>121</v>
      </c>
      <c r="EA8" s="18">
        <f>+'NOI Walk'!DV15</f>
        <v>122</v>
      </c>
      <c r="EB8" s="18">
        <f>+'NOI Walk'!DW15</f>
        <v>123</v>
      </c>
      <c r="EC8" s="18">
        <f>+'NOI Walk'!DX15</f>
        <v>124</v>
      </c>
      <c r="ED8" s="18">
        <f>+'NOI Walk'!DY15</f>
        <v>125</v>
      </c>
      <c r="EE8" s="18">
        <f>+'NOI Walk'!DZ15</f>
        <v>126</v>
      </c>
      <c r="EF8" s="18">
        <f>+'NOI Walk'!EA15</f>
        <v>127</v>
      </c>
      <c r="EG8" s="18">
        <f>+'NOI Walk'!EB15</f>
        <v>128</v>
      </c>
      <c r="EH8" s="18">
        <f>+'NOI Walk'!EC15</f>
        <v>129</v>
      </c>
      <c r="EI8" s="18">
        <f>+'NOI Walk'!ED15</f>
        <v>130</v>
      </c>
      <c r="EJ8" s="18">
        <f>+'NOI Walk'!EE15</f>
        <v>131</v>
      </c>
      <c r="EK8" s="18">
        <f>+'NOI Walk'!EF15</f>
        <v>132</v>
      </c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</row>
    <row r="9" spans="2:153" x14ac:dyDescent="0.45">
      <c r="B9" s="230">
        <f>Assumptions!B46</f>
        <v>1</v>
      </c>
      <c r="C9" s="230" t="str">
        <f>Assumptions!C46</f>
        <v>Fair Market</v>
      </c>
      <c r="D9" s="439">
        <f>Assumptions!D46</f>
        <v>1</v>
      </c>
      <c r="E9" s="22">
        <f>Assumptions!G46</f>
        <v>2</v>
      </c>
      <c r="F9" s="22">
        <f>IF(D9=1,E9+SUM(Assumptions!$G$142:$G$143),'Rent Roll Model'!E9)</f>
        <v>6</v>
      </c>
      <c r="G9" s="233">
        <f>Assumptions!I46</f>
        <v>1522.5</v>
      </c>
      <c r="H9" s="233">
        <f>Assumptions!J46</f>
        <v>2600</v>
      </c>
      <c r="J9" s="233">
        <f t="shared" ref="J9:S18" si="3">IFERROR(IF($D9=0,$G9,IF(J$8&lt;$E9,$G9,IF(J$8&gt;=$F9,$H9,0)))*INDEX(J$3:J$5,MATCH($C9,$B$3:$B$5,0)),0)</f>
        <v>1522.5</v>
      </c>
      <c r="K9" s="233">
        <f t="shared" si="3"/>
        <v>0</v>
      </c>
      <c r="L9" s="233">
        <f t="shared" si="3"/>
        <v>0</v>
      </c>
      <c r="M9" s="233">
        <f t="shared" si="3"/>
        <v>0</v>
      </c>
      <c r="N9" s="233">
        <f t="shared" si="3"/>
        <v>0</v>
      </c>
      <c r="O9" s="233">
        <f t="shared" si="3"/>
        <v>2626.8884150370313</v>
      </c>
      <c r="P9" s="233">
        <f t="shared" si="3"/>
        <v>2632.2993750711544</v>
      </c>
      <c r="Q9" s="233">
        <f t="shared" si="3"/>
        <v>2637.7214807970099</v>
      </c>
      <c r="R9" s="233">
        <f t="shared" si="3"/>
        <v>2643.1547551728991</v>
      </c>
      <c r="S9" s="233">
        <f t="shared" si="3"/>
        <v>2648.5992212044121</v>
      </c>
      <c r="T9" s="233">
        <f t="shared" ref="T9:AC18" si="4">IFERROR(IF($D9=0,$G9,IF(T$8&lt;$E9,$G9,IF(T$8&gt;=$F9,$H9,0)))*INDEX(T$3:T$5,MATCH($C9,$B$3:$B$5,0)),0)</f>
        <v>2654.0549019445261</v>
      </c>
      <c r="U9" s="233">
        <f t="shared" si="4"/>
        <v>2659.521820493705</v>
      </c>
      <c r="V9" s="233">
        <f t="shared" si="4"/>
        <v>2664.9999999999964</v>
      </c>
      <c r="W9" s="233">
        <f t="shared" si="4"/>
        <v>2670.4894636591275</v>
      </c>
      <c r="X9" s="233">
        <f t="shared" si="4"/>
        <v>2675.9902347146053</v>
      </c>
      <c r="Y9" s="233">
        <f t="shared" si="4"/>
        <v>2681.502336457816</v>
      </c>
      <c r="Z9" s="233">
        <f t="shared" si="4"/>
        <v>2687.0257922281198</v>
      </c>
      <c r="AA9" s="233">
        <f t="shared" si="4"/>
        <v>2692.5606254129543</v>
      </c>
      <c r="AB9" s="233">
        <f t="shared" si="4"/>
        <v>2698.1068594479302</v>
      </c>
      <c r="AC9" s="233">
        <f t="shared" si="4"/>
        <v>2703.6645178169324</v>
      </c>
      <c r="AD9" s="233">
        <f t="shared" ref="AD9:AM18" si="5">IFERROR(IF($D9=0,$G9,IF(AD$8&lt;$E9,$G9,IF(AD$8&gt;=$F9,$H9,0)))*INDEX(AD$3:AD$5,MATCH($C9,$B$3:$B$5,0)),0)</f>
        <v>2709.2336240522181</v>
      </c>
      <c r="AE9" s="233">
        <f t="shared" si="5"/>
        <v>2714.8142017345185</v>
      </c>
      <c r="AF9" s="233">
        <f t="shared" si="5"/>
        <v>2720.4062744931357</v>
      </c>
      <c r="AG9" s="233">
        <f t="shared" si="5"/>
        <v>2726.0098660060448</v>
      </c>
      <c r="AH9" s="233">
        <f t="shared" si="5"/>
        <v>2731.6249999999927</v>
      </c>
      <c r="AI9" s="233">
        <f t="shared" si="5"/>
        <v>2737.251700250602</v>
      </c>
      <c r="AJ9" s="233">
        <f t="shared" si="5"/>
        <v>2742.8899905824665</v>
      </c>
      <c r="AK9" s="233">
        <f t="shared" si="5"/>
        <v>2748.5398948692568</v>
      </c>
      <c r="AL9" s="233">
        <f t="shared" si="5"/>
        <v>2754.2014370338179</v>
      </c>
      <c r="AM9" s="233">
        <f t="shared" si="5"/>
        <v>2759.8746410482731</v>
      </c>
      <c r="AN9" s="233">
        <f t="shared" ref="AN9:AW18" si="6">IFERROR(IF($D9=0,$G9,IF(AN$8&lt;$E9,$G9,IF(AN$8&gt;=$F9,$H9,0)))*INDEX(AN$3:AN$5,MATCH($C9,$B$3:$B$5,0)),0)</f>
        <v>2765.5595309341238</v>
      </c>
      <c r="AO9" s="233">
        <f t="shared" si="6"/>
        <v>2771.2561307623509</v>
      </c>
      <c r="AP9" s="233">
        <f t="shared" si="6"/>
        <v>2776.9644646535194</v>
      </c>
      <c r="AQ9" s="233">
        <f t="shared" si="6"/>
        <v>2782.6845567778769</v>
      </c>
      <c r="AR9" s="233">
        <f t="shared" si="6"/>
        <v>2788.4164313554593</v>
      </c>
      <c r="AS9" s="233">
        <f t="shared" si="6"/>
        <v>2794.1601126561909</v>
      </c>
      <c r="AT9" s="233">
        <f t="shared" si="6"/>
        <v>2799.9156249999883</v>
      </c>
      <c r="AU9" s="233">
        <f t="shared" si="6"/>
        <v>2805.6829927568624</v>
      </c>
      <c r="AV9" s="233">
        <f t="shared" si="6"/>
        <v>2811.4622403470239</v>
      </c>
      <c r="AW9" s="233">
        <f t="shared" si="6"/>
        <v>2817.2533922409839</v>
      </c>
      <c r="AX9" s="233">
        <f t="shared" ref="AX9:BG18" si="7">IFERROR(IF($D9=0,$G9,IF(AX$8&lt;$E9,$G9,IF(AX$8&gt;=$F9,$H9,0)))*INDEX(AX$3:AX$5,MATCH($C9,$B$3:$B$5,0)),0)</f>
        <v>2823.0564729596595</v>
      </c>
      <c r="AY9" s="233">
        <f t="shared" si="7"/>
        <v>2828.8715070744761</v>
      </c>
      <c r="AZ9" s="233">
        <f t="shared" si="7"/>
        <v>2834.6985192074731</v>
      </c>
      <c r="BA9" s="233">
        <f t="shared" si="7"/>
        <v>2840.5375340314058</v>
      </c>
      <c r="BB9" s="233">
        <f t="shared" si="7"/>
        <v>2846.3885762698537</v>
      </c>
      <c r="BC9" s="233">
        <f t="shared" si="7"/>
        <v>2852.2516706973206</v>
      </c>
      <c r="BD9" s="233">
        <f t="shared" si="7"/>
        <v>2858.1268421393429</v>
      </c>
      <c r="BE9" s="233">
        <f t="shared" si="7"/>
        <v>2864.0141154725925</v>
      </c>
      <c r="BF9" s="233">
        <f t="shared" si="7"/>
        <v>2869.9135156249845</v>
      </c>
      <c r="BG9" s="233">
        <f t="shared" si="7"/>
        <v>2875.8250675757804</v>
      </c>
      <c r="BH9" s="233">
        <f t="shared" ref="BH9:BQ18" si="8">IFERROR(IF($D9=0,$G9,IF(BH$8&lt;$E9,$G9,IF(BH$8&gt;=$F9,$H9,0)))*INDEX(BH$3:BH$5,MATCH($C9,$B$3:$B$5,0)),0)</f>
        <v>2881.7487963556964</v>
      </c>
      <c r="BI9" s="233">
        <f t="shared" si="8"/>
        <v>2887.6847270470053</v>
      </c>
      <c r="BJ9" s="233">
        <f t="shared" si="8"/>
        <v>2893.632884783648</v>
      </c>
      <c r="BK9" s="233">
        <f t="shared" si="8"/>
        <v>2899.5932947513352</v>
      </c>
      <c r="BL9" s="233">
        <f t="shared" si="8"/>
        <v>2905.5659821876566</v>
      </c>
      <c r="BM9" s="233">
        <f t="shared" si="8"/>
        <v>2911.5509723821883</v>
      </c>
      <c r="BN9" s="233">
        <f t="shared" si="8"/>
        <v>2917.5482906765969</v>
      </c>
      <c r="BO9" s="233">
        <f t="shared" si="8"/>
        <v>2923.5579624647507</v>
      </c>
      <c r="BP9" s="233">
        <f t="shared" si="8"/>
        <v>2929.5800131928231</v>
      </c>
      <c r="BQ9" s="233">
        <f t="shared" si="8"/>
        <v>2935.6144683594043</v>
      </c>
      <c r="BR9" s="233">
        <f t="shared" ref="BR9:CA18" si="9">IFERROR(IF($D9=0,$G9,IF(BR$8&lt;$E9,$G9,IF(BR$8&gt;=$F9,$H9,0)))*INDEX(BR$3:BR$5,MATCH($C9,$B$3:$B$5,0)),0)</f>
        <v>2941.6613535156062</v>
      </c>
      <c r="BS9" s="233">
        <f t="shared" si="9"/>
        <v>2947.7206942651724</v>
      </c>
      <c r="BT9" s="233">
        <f t="shared" si="9"/>
        <v>2953.7925162645861</v>
      </c>
      <c r="BU9" s="233">
        <f t="shared" si="9"/>
        <v>2959.876845223178</v>
      </c>
      <c r="BV9" s="233">
        <f t="shared" si="9"/>
        <v>2965.9737069032362</v>
      </c>
      <c r="BW9" s="233">
        <f t="shared" si="9"/>
        <v>2972.0831271201155</v>
      </c>
      <c r="BX9" s="233">
        <f t="shared" si="9"/>
        <v>2978.2051317423452</v>
      </c>
      <c r="BY9" s="233">
        <f t="shared" si="9"/>
        <v>2984.3397466917399</v>
      </c>
      <c r="BZ9" s="233">
        <f t="shared" si="9"/>
        <v>2990.4869979435089</v>
      </c>
      <c r="CA9" s="233">
        <f t="shared" si="9"/>
        <v>2996.6469115263658</v>
      </c>
      <c r="CB9" s="233">
        <f t="shared" ref="CB9:CK18" si="10">IFERROR(IF($D9=0,$G9,IF(CB$8&lt;$E9,$G9,IF(CB$8&gt;=$F9,$H9,0)))*INDEX(CB$3:CB$5,MATCH($C9,$B$3:$B$5,0)),0)</f>
        <v>3002.8195135226401</v>
      </c>
      <c r="CC9" s="233">
        <f t="shared" si="10"/>
        <v>3009.0048300683852</v>
      </c>
      <c r="CD9" s="233">
        <f t="shared" si="10"/>
        <v>3015.2028873534919</v>
      </c>
      <c r="CE9" s="233">
        <f t="shared" si="10"/>
        <v>3021.4137116217971</v>
      </c>
      <c r="CF9" s="233">
        <f t="shared" si="10"/>
        <v>3027.6373291711961</v>
      </c>
      <c r="CG9" s="233">
        <f t="shared" si="10"/>
        <v>3033.8737663537527</v>
      </c>
      <c r="CH9" s="233">
        <f t="shared" si="10"/>
        <v>3040.1230495758123</v>
      </c>
      <c r="CI9" s="233">
        <f t="shared" si="10"/>
        <v>3046.3852052981133</v>
      </c>
      <c r="CJ9" s="233">
        <f t="shared" si="10"/>
        <v>3052.6602600358988</v>
      </c>
      <c r="CK9" s="233">
        <f t="shared" si="10"/>
        <v>3058.9482403590282</v>
      </c>
      <c r="CL9" s="233">
        <f t="shared" ref="CL9:CU18" si="11">IFERROR(IF($D9=0,$G9,IF(CL$8&lt;$E9,$G9,IF(CL$8&gt;=$F9,$H9,0)))*INDEX(CL$3:CL$5,MATCH($C9,$B$3:$B$5,0)),0)</f>
        <v>3065.2491728920913</v>
      </c>
      <c r="CM9" s="233">
        <f t="shared" si="11"/>
        <v>3071.56308431452</v>
      </c>
      <c r="CN9" s="233">
        <f t="shared" si="11"/>
        <v>3077.8900013607013</v>
      </c>
      <c r="CO9" s="233">
        <f t="shared" si="11"/>
        <v>3084.2299508200899</v>
      </c>
      <c r="CP9" s="233">
        <f t="shared" si="11"/>
        <v>3090.5829595373248</v>
      </c>
      <c r="CQ9" s="233">
        <f t="shared" si="11"/>
        <v>3096.9490544123373</v>
      </c>
      <c r="CR9" s="233">
        <f t="shared" si="11"/>
        <v>3103.328262400471</v>
      </c>
      <c r="CS9" s="233">
        <f t="shared" si="11"/>
        <v>3109.720610512592</v>
      </c>
      <c r="CT9" s="233">
        <f t="shared" si="11"/>
        <v>3116.1261258152031</v>
      </c>
      <c r="CU9" s="233">
        <f t="shared" si="11"/>
        <v>3122.5448354305618</v>
      </c>
      <c r="CV9" s="233">
        <f t="shared" ref="CV9:DE18" si="12">IFERROR(IF($D9=0,$G9,IF(CV$8&lt;$E9,$G9,IF(CV$8&gt;=$F9,$H9,0)))*INDEX(CV$3:CV$5,MATCH($C9,$B$3:$B$5,0)),0)</f>
        <v>3128.9767665367922</v>
      </c>
      <c r="CW9" s="233">
        <f t="shared" si="12"/>
        <v>3135.4219463679997</v>
      </c>
      <c r="CX9" s="233">
        <f t="shared" si="12"/>
        <v>3141.8804022143895</v>
      </c>
      <c r="CY9" s="233">
        <f t="shared" si="12"/>
        <v>3148.3521614223791</v>
      </c>
      <c r="CZ9" s="233">
        <f t="shared" si="12"/>
        <v>3154.8372513947147</v>
      </c>
      <c r="DA9" s="233">
        <f t="shared" si="12"/>
        <v>3161.3356995905883</v>
      </c>
      <c r="DB9" s="233">
        <f t="shared" si="12"/>
        <v>3167.8475335257535</v>
      </c>
      <c r="DC9" s="233">
        <f t="shared" si="12"/>
        <v>3174.3727807726418</v>
      </c>
      <c r="DD9" s="233">
        <f t="shared" si="12"/>
        <v>3180.9114689604789</v>
      </c>
      <c r="DE9" s="233">
        <f t="shared" si="12"/>
        <v>3187.4636257754023</v>
      </c>
      <c r="DF9" s="233">
        <f t="shared" ref="DF9:DO18" si="13">IFERROR(IF($D9=0,$G9,IF(DF$8&lt;$E9,$G9,IF(DF$8&gt;=$F9,$H9,0)))*INDEX(DF$3:DF$5,MATCH($C9,$B$3:$B$5,0)),0)</f>
        <v>3194.0292789605792</v>
      </c>
      <c r="DG9" s="233">
        <f t="shared" si="13"/>
        <v>3200.6084563163217</v>
      </c>
      <c r="DH9" s="233">
        <f t="shared" si="13"/>
        <v>3207.201185700208</v>
      </c>
      <c r="DI9" s="233">
        <f t="shared" si="13"/>
        <v>3213.8074950271957</v>
      </c>
      <c r="DJ9" s="233">
        <f t="shared" si="13"/>
        <v>3220.4274122697452</v>
      </c>
      <c r="DK9" s="233">
        <f t="shared" si="13"/>
        <v>3227.0609654579339</v>
      </c>
      <c r="DL9" s="233">
        <f t="shared" si="13"/>
        <v>3233.7081826795779</v>
      </c>
      <c r="DM9" s="233">
        <f t="shared" si="13"/>
        <v>3240.3690920803488</v>
      </c>
      <c r="DN9" s="233">
        <f t="shared" si="13"/>
        <v>3247.0437218638931</v>
      </c>
      <c r="DO9" s="233">
        <f t="shared" si="13"/>
        <v>3253.7321002919534</v>
      </c>
      <c r="DP9" s="233">
        <f t="shared" ref="DP9:DY18" si="14">IFERROR(IF($D9=0,$G9,IF(DP$8&lt;$E9,$G9,IF(DP$8&gt;=$F9,$H9,0)))*INDEX(DP$3:DP$5,MATCH($C9,$B$3:$B$5,0)),0)</f>
        <v>3260.4342556844863</v>
      </c>
      <c r="DQ9" s="233">
        <f t="shared" si="14"/>
        <v>3267.1502164197827</v>
      </c>
      <c r="DR9" s="233">
        <f t="shared" si="14"/>
        <v>3273.8800109345889</v>
      </c>
      <c r="DS9" s="233">
        <f t="shared" si="14"/>
        <v>3280.623667724225</v>
      </c>
      <c r="DT9" s="233">
        <f t="shared" si="14"/>
        <v>3287.3812153427079</v>
      </c>
      <c r="DU9" s="233">
        <f t="shared" si="14"/>
        <v>3294.1526824028711</v>
      </c>
      <c r="DV9" s="233">
        <f t="shared" si="14"/>
        <v>3300.9380975764843</v>
      </c>
      <c r="DW9" s="233">
        <f t="shared" si="14"/>
        <v>3307.7374895943781</v>
      </c>
      <c r="DX9" s="233">
        <f t="shared" si="14"/>
        <v>3314.550887246563</v>
      </c>
      <c r="DY9" s="233">
        <f t="shared" si="14"/>
        <v>3321.3783193823529</v>
      </c>
      <c r="DZ9" s="233">
        <f t="shared" ref="DZ9:EK18" si="15">IFERROR(IF($D9=0,$G9,IF(DZ$8&lt;$E9,$G9,IF(DZ$8&gt;=$F9,$H9,0)))*INDEX(DZ$3:DZ$5,MATCH($C9,$B$3:$B$5,0)),0)</f>
        <v>3328.2198149104861</v>
      </c>
      <c r="EA9" s="233">
        <f t="shared" si="15"/>
        <v>3335.075402799248</v>
      </c>
      <c r="EB9" s="233">
        <f t="shared" si="15"/>
        <v>3341.9451120765943</v>
      </c>
      <c r="EC9" s="233">
        <f t="shared" si="15"/>
        <v>3348.8289718302735</v>
      </c>
      <c r="ED9" s="233">
        <f t="shared" si="15"/>
        <v>3355.7270112079495</v>
      </c>
      <c r="EE9" s="233">
        <f t="shared" si="15"/>
        <v>3362.6392594173267</v>
      </c>
      <c r="EF9" s="233">
        <f t="shared" si="15"/>
        <v>3369.5657457262719</v>
      </c>
      <c r="EG9" s="233">
        <f t="shared" si="15"/>
        <v>3376.5064994629388</v>
      </c>
      <c r="EH9" s="233">
        <f t="shared" si="15"/>
        <v>3383.4615500158925</v>
      </c>
      <c r="EI9" s="233">
        <f t="shared" si="15"/>
        <v>3390.430926834234</v>
      </c>
      <c r="EJ9" s="233">
        <f t="shared" si="15"/>
        <v>3397.4146594277236</v>
      </c>
      <c r="EK9" s="233">
        <f t="shared" si="15"/>
        <v>3404.4127773669079</v>
      </c>
    </row>
    <row r="10" spans="2:153" x14ac:dyDescent="0.45">
      <c r="B10" s="230">
        <f>Assumptions!B47</f>
        <v>2</v>
      </c>
      <c r="C10" s="230" t="str">
        <f>Assumptions!C47</f>
        <v>Rent Control</v>
      </c>
      <c r="D10" s="439">
        <f>Assumptions!D47</f>
        <v>1</v>
      </c>
      <c r="E10" s="22">
        <f>Assumptions!G47</f>
        <v>2</v>
      </c>
      <c r="F10" s="22">
        <f>IF(D10=1,E10+SUM(Assumptions!$G$142:$G$143),'Rent Roll Model'!E10)</f>
        <v>6</v>
      </c>
      <c r="G10" s="233">
        <f>Assumptions!I47</f>
        <v>1764</v>
      </c>
      <c r="H10" s="233">
        <f>Assumptions!J47</f>
        <v>2600</v>
      </c>
      <c r="J10" s="233">
        <f t="shared" si="3"/>
        <v>1764</v>
      </c>
      <c r="K10" s="233">
        <f t="shared" si="3"/>
        <v>0</v>
      </c>
      <c r="L10" s="233">
        <f t="shared" si="3"/>
        <v>0</v>
      </c>
      <c r="M10" s="233">
        <f t="shared" si="3"/>
        <v>0</v>
      </c>
      <c r="N10" s="233">
        <f t="shared" si="3"/>
        <v>0</v>
      </c>
      <c r="O10" s="233">
        <f t="shared" si="3"/>
        <v>2610.8019018048763</v>
      </c>
      <c r="P10" s="233">
        <f t="shared" si="3"/>
        <v>2612.9676614914306</v>
      </c>
      <c r="Q10" s="233">
        <f t="shared" si="3"/>
        <v>2615.1352177581916</v>
      </c>
      <c r="R10" s="233">
        <f t="shared" si="3"/>
        <v>2617.304572095491</v>
      </c>
      <c r="S10" s="233">
        <f t="shared" si="3"/>
        <v>2619.4757259948969</v>
      </c>
      <c r="T10" s="233">
        <f t="shared" si="4"/>
        <v>2621.6486809492144</v>
      </c>
      <c r="U10" s="233">
        <f t="shared" si="4"/>
        <v>2623.8234384524872</v>
      </c>
      <c r="V10" s="233">
        <f t="shared" si="4"/>
        <v>2625.9999999999982</v>
      </c>
      <c r="W10" s="233">
        <f t="shared" si="4"/>
        <v>2628.1783670882714</v>
      </c>
      <c r="X10" s="233">
        <f t="shared" si="4"/>
        <v>2630.3585412150715</v>
      </c>
      <c r="Y10" s="233">
        <f t="shared" si="4"/>
        <v>2632.5405238794051</v>
      </c>
      <c r="Z10" s="233">
        <f t="shared" si="4"/>
        <v>2634.7243165815239</v>
      </c>
      <c r="AA10" s="233">
        <f t="shared" si="4"/>
        <v>2636.9099208229231</v>
      </c>
      <c r="AB10" s="233">
        <f t="shared" si="4"/>
        <v>2639.0973381063432</v>
      </c>
      <c r="AC10" s="233">
        <f t="shared" si="4"/>
        <v>2641.2865699357721</v>
      </c>
      <c r="AD10" s="233">
        <f t="shared" si="5"/>
        <v>2643.4776178164448</v>
      </c>
      <c r="AE10" s="233">
        <f t="shared" si="5"/>
        <v>2645.6704832548444</v>
      </c>
      <c r="AF10" s="233">
        <f t="shared" si="5"/>
        <v>2647.865167758705</v>
      </c>
      <c r="AG10" s="233">
        <f t="shared" si="5"/>
        <v>2650.0616728370101</v>
      </c>
      <c r="AH10" s="233">
        <f t="shared" si="5"/>
        <v>2652.2599999999966</v>
      </c>
      <c r="AI10" s="233">
        <f t="shared" si="5"/>
        <v>2654.4601507591519</v>
      </c>
      <c r="AJ10" s="233">
        <f t="shared" si="5"/>
        <v>2656.6621266272195</v>
      </c>
      <c r="AK10" s="233">
        <f t="shared" si="5"/>
        <v>2658.8659291181971</v>
      </c>
      <c r="AL10" s="233">
        <f t="shared" si="5"/>
        <v>2661.0715597473372</v>
      </c>
      <c r="AM10" s="233">
        <f t="shared" si="5"/>
        <v>2663.2790200311497</v>
      </c>
      <c r="AN10" s="233">
        <f t="shared" si="6"/>
        <v>2665.4883114874042</v>
      </c>
      <c r="AO10" s="233">
        <f t="shared" si="6"/>
        <v>2667.699435635127</v>
      </c>
      <c r="AP10" s="233">
        <f t="shared" si="6"/>
        <v>2669.9123939946062</v>
      </c>
      <c r="AQ10" s="233">
        <f t="shared" si="6"/>
        <v>2672.1271880873901</v>
      </c>
      <c r="AR10" s="233">
        <f t="shared" si="6"/>
        <v>2674.3438194362889</v>
      </c>
      <c r="AS10" s="233">
        <f t="shared" si="6"/>
        <v>2676.5622895653773</v>
      </c>
      <c r="AT10" s="233">
        <f t="shared" si="6"/>
        <v>2678.7825999999936</v>
      </c>
      <c r="AU10" s="233">
        <f t="shared" si="6"/>
        <v>2681.0047522667405</v>
      </c>
      <c r="AV10" s="233">
        <f t="shared" si="6"/>
        <v>2683.2287478934891</v>
      </c>
      <c r="AW10" s="233">
        <f t="shared" si="6"/>
        <v>2685.4545884093759</v>
      </c>
      <c r="AX10" s="233">
        <f t="shared" si="7"/>
        <v>2687.6822753448073</v>
      </c>
      <c r="AY10" s="233">
        <f t="shared" si="7"/>
        <v>2689.9118102314583</v>
      </c>
      <c r="AZ10" s="233">
        <f t="shared" si="7"/>
        <v>2692.1431946022753</v>
      </c>
      <c r="BA10" s="233">
        <f t="shared" si="7"/>
        <v>2694.3764299914756</v>
      </c>
      <c r="BB10" s="233">
        <f t="shared" si="7"/>
        <v>2696.6115179345493</v>
      </c>
      <c r="BC10" s="233">
        <f t="shared" si="7"/>
        <v>2698.8484599682606</v>
      </c>
      <c r="BD10" s="233">
        <f t="shared" si="7"/>
        <v>2701.0872576306488</v>
      </c>
      <c r="BE10" s="233">
        <f t="shared" si="7"/>
        <v>2703.3279124610276</v>
      </c>
      <c r="BF10" s="233">
        <f t="shared" si="7"/>
        <v>2705.5704259999902</v>
      </c>
      <c r="BG10" s="233">
        <f t="shared" si="7"/>
        <v>2707.8147997894048</v>
      </c>
      <c r="BH10" s="233">
        <f t="shared" si="8"/>
        <v>2710.0610353724205</v>
      </c>
      <c r="BI10" s="233">
        <f t="shared" si="8"/>
        <v>2712.3091342934663</v>
      </c>
      <c r="BJ10" s="233">
        <f t="shared" si="8"/>
        <v>2714.559098098252</v>
      </c>
      <c r="BK10" s="233">
        <f t="shared" si="8"/>
        <v>2716.8109283337694</v>
      </c>
      <c r="BL10" s="233">
        <f t="shared" si="8"/>
        <v>2719.0646265482947</v>
      </c>
      <c r="BM10" s="233">
        <f t="shared" si="8"/>
        <v>2721.320194291387</v>
      </c>
      <c r="BN10" s="233">
        <f t="shared" si="8"/>
        <v>2723.5776331138914</v>
      </c>
      <c r="BO10" s="233">
        <f t="shared" si="8"/>
        <v>2725.8369445679405</v>
      </c>
      <c r="BP10" s="233">
        <f t="shared" si="8"/>
        <v>2728.0981302069526</v>
      </c>
      <c r="BQ10" s="233">
        <f t="shared" si="8"/>
        <v>2730.3611915856354</v>
      </c>
      <c r="BR10" s="233">
        <f t="shared" si="9"/>
        <v>2732.6261302599869</v>
      </c>
      <c r="BS10" s="233">
        <f t="shared" si="9"/>
        <v>2734.8929477872962</v>
      </c>
      <c r="BT10" s="233">
        <f t="shared" si="9"/>
        <v>2737.1616457261421</v>
      </c>
      <c r="BU10" s="233">
        <f t="shared" si="9"/>
        <v>2739.4322256363985</v>
      </c>
      <c r="BV10" s="233">
        <f t="shared" si="9"/>
        <v>2741.7046890792321</v>
      </c>
      <c r="BW10" s="233">
        <f t="shared" si="9"/>
        <v>2743.979037617105</v>
      </c>
      <c r="BX10" s="233">
        <f t="shared" si="9"/>
        <v>2746.2552728137748</v>
      </c>
      <c r="BY10" s="233">
        <f t="shared" si="9"/>
        <v>2748.5333962342984</v>
      </c>
      <c r="BZ10" s="233">
        <f t="shared" si="9"/>
        <v>2750.8134094450279</v>
      </c>
      <c r="CA10" s="233">
        <f t="shared" si="9"/>
        <v>2753.0953140136171</v>
      </c>
      <c r="CB10" s="233">
        <f t="shared" si="10"/>
        <v>2755.3791115090194</v>
      </c>
      <c r="CC10" s="233">
        <f t="shared" si="10"/>
        <v>2757.6648035014896</v>
      </c>
      <c r="CD10" s="233">
        <f t="shared" si="10"/>
        <v>2759.9523915625846</v>
      </c>
      <c r="CE10" s="233">
        <f t="shared" si="10"/>
        <v>2762.2418772651667</v>
      </c>
      <c r="CF10" s="233">
        <f t="shared" si="10"/>
        <v>2764.5332621834013</v>
      </c>
      <c r="CG10" s="233">
        <f t="shared" si="10"/>
        <v>2766.8265478927606</v>
      </c>
      <c r="CH10" s="233">
        <f t="shared" si="10"/>
        <v>2769.1217359700222</v>
      </c>
      <c r="CI10" s="233">
        <f t="shared" si="10"/>
        <v>2771.4188279932732</v>
      </c>
      <c r="CJ10" s="233">
        <f t="shared" si="10"/>
        <v>2773.7178255419103</v>
      </c>
      <c r="CK10" s="233">
        <f t="shared" si="10"/>
        <v>2776.0187301966389</v>
      </c>
      <c r="CL10" s="233">
        <f t="shared" si="11"/>
        <v>2778.3215435394759</v>
      </c>
      <c r="CM10" s="233">
        <f t="shared" si="11"/>
        <v>2780.6262671537506</v>
      </c>
      <c r="CN10" s="233">
        <f t="shared" si="11"/>
        <v>2782.9329026241066</v>
      </c>
      <c r="CO10" s="233">
        <f t="shared" si="11"/>
        <v>2785.2414515365012</v>
      </c>
      <c r="CP10" s="233">
        <f t="shared" si="11"/>
        <v>2787.5519154782078</v>
      </c>
      <c r="CQ10" s="233">
        <f t="shared" si="11"/>
        <v>2789.8642960378156</v>
      </c>
      <c r="CR10" s="233">
        <f t="shared" si="11"/>
        <v>2792.1785948052325</v>
      </c>
      <c r="CS10" s="233">
        <f t="shared" si="11"/>
        <v>2794.4948133716844</v>
      </c>
      <c r="CT10" s="233">
        <f t="shared" si="11"/>
        <v>2796.8129533297192</v>
      </c>
      <c r="CU10" s="233">
        <f t="shared" si="11"/>
        <v>2799.1330162732033</v>
      </c>
      <c r="CV10" s="233">
        <f t="shared" si="12"/>
        <v>2801.4550037973263</v>
      </c>
      <c r="CW10" s="233">
        <f t="shared" si="12"/>
        <v>2803.7789174986019</v>
      </c>
      <c r="CX10" s="233">
        <f t="shared" si="12"/>
        <v>2806.1047589748673</v>
      </c>
      <c r="CY10" s="233">
        <f t="shared" si="12"/>
        <v>2808.4325298252852</v>
      </c>
      <c r="CZ10" s="233">
        <f t="shared" si="12"/>
        <v>2810.7622316503448</v>
      </c>
      <c r="DA10" s="233">
        <f t="shared" si="12"/>
        <v>2813.0938660518636</v>
      </c>
      <c r="DB10" s="233">
        <f t="shared" si="12"/>
        <v>2815.4274346329871</v>
      </c>
      <c r="DC10" s="233">
        <f t="shared" si="12"/>
        <v>2817.7629389981912</v>
      </c>
      <c r="DD10" s="233">
        <f t="shared" si="12"/>
        <v>2820.1003807532825</v>
      </c>
      <c r="DE10" s="233">
        <f t="shared" si="12"/>
        <v>2822.4397615053995</v>
      </c>
      <c r="DF10" s="233">
        <f t="shared" si="13"/>
        <v>2824.7810828630145</v>
      </c>
      <c r="DG10" s="233">
        <f t="shared" si="13"/>
        <v>2827.1243464359331</v>
      </c>
      <c r="DH10" s="233">
        <f t="shared" si="13"/>
        <v>2829.469553835298</v>
      </c>
      <c r="DI10" s="233">
        <f t="shared" si="13"/>
        <v>2831.8167066735859</v>
      </c>
      <c r="DJ10" s="233">
        <f t="shared" si="13"/>
        <v>2834.1658065646138</v>
      </c>
      <c r="DK10" s="233">
        <f t="shared" si="13"/>
        <v>2836.5168551235361</v>
      </c>
      <c r="DL10" s="233">
        <f t="shared" si="13"/>
        <v>2838.8698539668462</v>
      </c>
      <c r="DM10" s="233">
        <f t="shared" si="13"/>
        <v>2841.2248047123799</v>
      </c>
      <c r="DN10" s="233">
        <f t="shared" si="13"/>
        <v>2843.5817089793145</v>
      </c>
      <c r="DO10" s="233">
        <f t="shared" si="13"/>
        <v>2845.940568388171</v>
      </c>
      <c r="DP10" s="233">
        <f t="shared" si="14"/>
        <v>2848.3013845608129</v>
      </c>
      <c r="DQ10" s="233">
        <f t="shared" si="14"/>
        <v>2850.6641591204507</v>
      </c>
      <c r="DR10" s="233">
        <f t="shared" si="14"/>
        <v>2853.0288936916418</v>
      </c>
      <c r="DS10" s="233">
        <f t="shared" si="14"/>
        <v>2855.3955899002899</v>
      </c>
      <c r="DT10" s="233">
        <f t="shared" si="14"/>
        <v>2857.764249373648</v>
      </c>
      <c r="DU10" s="233">
        <f t="shared" si="14"/>
        <v>2860.1348737403196</v>
      </c>
      <c r="DV10" s="233">
        <f t="shared" si="14"/>
        <v>2862.5074646302578</v>
      </c>
      <c r="DW10" s="233">
        <f t="shared" si="14"/>
        <v>2864.8820236747692</v>
      </c>
      <c r="DX10" s="233">
        <f t="shared" si="14"/>
        <v>2867.2585525065124</v>
      </c>
      <c r="DY10" s="233">
        <f t="shared" si="14"/>
        <v>2869.6370527595018</v>
      </c>
      <c r="DZ10" s="233">
        <f t="shared" si="15"/>
        <v>2872.0175260691058</v>
      </c>
      <c r="EA10" s="233">
        <f t="shared" si="15"/>
        <v>2874.3999740720506</v>
      </c>
      <c r="EB10" s="233">
        <f t="shared" si="15"/>
        <v>2876.7843984064189</v>
      </c>
      <c r="EC10" s="233">
        <f t="shared" si="15"/>
        <v>2879.1708007116531</v>
      </c>
      <c r="ED10" s="233">
        <f t="shared" si="15"/>
        <v>2881.5591826285563</v>
      </c>
      <c r="EE10" s="233">
        <f t="shared" si="15"/>
        <v>2883.9495457992907</v>
      </c>
      <c r="EF10" s="233">
        <f t="shared" si="15"/>
        <v>2886.3418918673829</v>
      </c>
      <c r="EG10" s="233">
        <f t="shared" si="15"/>
        <v>2888.7362224777212</v>
      </c>
      <c r="EH10" s="233">
        <f t="shared" si="15"/>
        <v>2891.1325392765589</v>
      </c>
      <c r="EI10" s="233">
        <f t="shared" si="15"/>
        <v>2893.5308439115147</v>
      </c>
      <c r="EJ10" s="233">
        <f t="shared" si="15"/>
        <v>2895.9311380315758</v>
      </c>
      <c r="EK10" s="233">
        <f t="shared" si="15"/>
        <v>2898.3334232870948</v>
      </c>
    </row>
    <row r="11" spans="2:153" x14ac:dyDescent="0.45">
      <c r="B11" s="230">
        <f>Assumptions!B48</f>
        <v>3</v>
      </c>
      <c r="C11" s="230" t="str">
        <f>Assumptions!C48</f>
        <v>Rent Stabilized</v>
      </c>
      <c r="D11" s="439">
        <f>Assumptions!D48</f>
        <v>1</v>
      </c>
      <c r="E11" s="22">
        <f>Assumptions!G48</f>
        <v>2</v>
      </c>
      <c r="F11" s="22">
        <f>IF(D11=1,E11+SUM(Assumptions!$G$142:$G$143),'Rent Roll Model'!E11)</f>
        <v>6</v>
      </c>
      <c r="G11" s="233">
        <f>Assumptions!I48</f>
        <v>1457.71</v>
      </c>
      <c r="H11" s="233">
        <f>Assumptions!J48</f>
        <v>2200</v>
      </c>
      <c r="J11" s="233">
        <f t="shared" si="3"/>
        <v>1457.71</v>
      </c>
      <c r="K11" s="233">
        <f t="shared" si="3"/>
        <v>0</v>
      </c>
      <c r="L11" s="233">
        <f t="shared" si="3"/>
        <v>0</v>
      </c>
      <c r="M11" s="233">
        <f t="shared" si="3"/>
        <v>0</v>
      </c>
      <c r="N11" s="233">
        <f t="shared" si="3"/>
        <v>0</v>
      </c>
      <c r="O11" s="233">
        <f t="shared" si="3"/>
        <v>2218.2275033716837</v>
      </c>
      <c r="P11" s="233">
        <f t="shared" si="3"/>
        <v>2221.8910864396576</v>
      </c>
      <c r="Q11" s="233">
        <f t="shared" si="3"/>
        <v>2225.5607202129245</v>
      </c>
      <c r="R11" s="233">
        <f t="shared" si="3"/>
        <v>2229.2364146847162</v>
      </c>
      <c r="S11" s="233">
        <f t="shared" si="3"/>
        <v>2232.9181798647692</v>
      </c>
      <c r="T11" s="233">
        <f t="shared" si="4"/>
        <v>2236.6060257793515</v>
      </c>
      <c r="U11" s="233">
        <f t="shared" si="4"/>
        <v>2240.2999624712907</v>
      </c>
      <c r="V11" s="233">
        <f t="shared" si="4"/>
        <v>2244.0000000000005</v>
      </c>
      <c r="W11" s="233">
        <f t="shared" si="4"/>
        <v>2247.7061484415094</v>
      </c>
      <c r="X11" s="233">
        <f t="shared" si="4"/>
        <v>2251.4184178884871</v>
      </c>
      <c r="Y11" s="233">
        <f t="shared" si="4"/>
        <v>2255.1368184502703</v>
      </c>
      <c r="Z11" s="233">
        <f t="shared" si="4"/>
        <v>2258.8613602528944</v>
      </c>
      <c r="AA11" s="233">
        <f t="shared" si="4"/>
        <v>2262.592053439118</v>
      </c>
      <c r="AB11" s="233">
        <f t="shared" si="4"/>
        <v>2266.3289081684516</v>
      </c>
      <c r="AC11" s="233">
        <f t="shared" si="4"/>
        <v>2270.0719346171836</v>
      </c>
      <c r="AD11" s="233">
        <f t="shared" si="5"/>
        <v>2273.8211429784114</v>
      </c>
      <c r="AE11" s="233">
        <f t="shared" si="5"/>
        <v>2277.5765434620653</v>
      </c>
      <c r="AF11" s="233">
        <f t="shared" si="5"/>
        <v>2281.3381462949396</v>
      </c>
      <c r="AG11" s="233">
        <f t="shared" si="5"/>
        <v>2285.1059617207175</v>
      </c>
      <c r="AH11" s="233">
        <f t="shared" si="5"/>
        <v>2288.8800000000019</v>
      </c>
      <c r="AI11" s="233">
        <f t="shared" si="5"/>
        <v>2292.660271410341</v>
      </c>
      <c r="AJ11" s="233">
        <f t="shared" si="5"/>
        <v>2296.4467862462575</v>
      </c>
      <c r="AK11" s="233">
        <f t="shared" si="5"/>
        <v>2300.2395548192767</v>
      </c>
      <c r="AL11" s="233">
        <f t="shared" si="5"/>
        <v>2304.0385874579533</v>
      </c>
      <c r="AM11" s="233">
        <f t="shared" si="5"/>
        <v>2307.8438945079015</v>
      </c>
      <c r="AN11" s="233">
        <f t="shared" si="6"/>
        <v>2311.655486331822</v>
      </c>
      <c r="AO11" s="233">
        <f t="shared" si="6"/>
        <v>2315.4733733095286</v>
      </c>
      <c r="AP11" s="233">
        <f t="shared" si="6"/>
        <v>2319.2975658379805</v>
      </c>
      <c r="AQ11" s="233">
        <f t="shared" si="6"/>
        <v>2323.1280743313077</v>
      </c>
      <c r="AR11" s="233">
        <f t="shared" si="6"/>
        <v>2326.9649092208392</v>
      </c>
      <c r="AS11" s="233">
        <f t="shared" si="6"/>
        <v>2330.8080809551329</v>
      </c>
      <c r="AT11" s="233">
        <f t="shared" si="6"/>
        <v>2334.6576000000032</v>
      </c>
      <c r="AU11" s="233">
        <f t="shared" si="6"/>
        <v>2338.5134768385492</v>
      </c>
      <c r="AV11" s="233">
        <f t="shared" si="6"/>
        <v>2342.3757219711842</v>
      </c>
      <c r="AW11" s="233">
        <f t="shared" si="6"/>
        <v>2346.2443459156639</v>
      </c>
      <c r="AX11" s="233">
        <f t="shared" si="7"/>
        <v>2350.119359207114</v>
      </c>
      <c r="AY11" s="233">
        <f t="shared" si="7"/>
        <v>2354.0007723980611</v>
      </c>
      <c r="AZ11" s="233">
        <f t="shared" si="7"/>
        <v>2357.8885960584594</v>
      </c>
      <c r="BA11" s="233">
        <f t="shared" si="7"/>
        <v>2361.7828407757206</v>
      </c>
      <c r="BB11" s="233">
        <f t="shared" si="7"/>
        <v>2365.6835171547418</v>
      </c>
      <c r="BC11" s="233">
        <f t="shared" si="7"/>
        <v>2369.5906358179354</v>
      </c>
      <c r="BD11" s="233">
        <f t="shared" si="7"/>
        <v>2373.5042074052576</v>
      </c>
      <c r="BE11" s="233">
        <f t="shared" si="7"/>
        <v>2377.4242425742373</v>
      </c>
      <c r="BF11" s="233">
        <f t="shared" si="7"/>
        <v>2381.3507520000048</v>
      </c>
      <c r="BG11" s="233">
        <f t="shared" si="7"/>
        <v>2385.2837463753217</v>
      </c>
      <c r="BH11" s="233">
        <f t="shared" si="8"/>
        <v>2389.2232364106094</v>
      </c>
      <c r="BI11" s="233">
        <f t="shared" si="8"/>
        <v>2393.1692328339782</v>
      </c>
      <c r="BJ11" s="233">
        <f t="shared" si="8"/>
        <v>2397.1217463912576</v>
      </c>
      <c r="BK11" s="233">
        <f t="shared" si="8"/>
        <v>2401.0807878460237</v>
      </c>
      <c r="BL11" s="233">
        <f t="shared" si="8"/>
        <v>2405.0463679796303</v>
      </c>
      <c r="BM11" s="233">
        <f t="shared" si="8"/>
        <v>2409.0184975912362</v>
      </c>
      <c r="BN11" s="233">
        <f t="shared" si="8"/>
        <v>2412.9971874978378</v>
      </c>
      <c r="BO11" s="233">
        <f t="shared" si="8"/>
        <v>2416.9824485342956</v>
      </c>
      <c r="BP11" s="233">
        <f t="shared" si="8"/>
        <v>2420.9742915533643</v>
      </c>
      <c r="BQ11" s="233">
        <f t="shared" si="8"/>
        <v>2424.9727274257234</v>
      </c>
      <c r="BR11" s="233">
        <f t="shared" si="9"/>
        <v>2428.9777670400063</v>
      </c>
      <c r="BS11" s="233">
        <f t="shared" si="9"/>
        <v>2432.9894213028297</v>
      </c>
      <c r="BT11" s="233">
        <f t="shared" si="9"/>
        <v>2437.007701138823</v>
      </c>
      <c r="BU11" s="233">
        <f t="shared" si="9"/>
        <v>2441.032617490659</v>
      </c>
      <c r="BV11" s="233">
        <f t="shared" si="9"/>
        <v>2445.0641813190841</v>
      </c>
      <c r="BW11" s="233">
        <f t="shared" si="9"/>
        <v>2449.1024036029457</v>
      </c>
      <c r="BX11" s="233">
        <f t="shared" si="9"/>
        <v>2453.1472953392245</v>
      </c>
      <c r="BY11" s="233">
        <f t="shared" si="9"/>
        <v>2457.198867543063</v>
      </c>
      <c r="BZ11" s="233">
        <f t="shared" si="9"/>
        <v>2461.2571312477962</v>
      </c>
      <c r="CA11" s="233">
        <f t="shared" si="9"/>
        <v>2465.322097504983</v>
      </c>
      <c r="CB11" s="233">
        <f t="shared" si="10"/>
        <v>2469.3937773844327</v>
      </c>
      <c r="CC11" s="233">
        <f t="shared" si="10"/>
        <v>2473.472181974239</v>
      </c>
      <c r="CD11" s="233">
        <f t="shared" si="10"/>
        <v>2477.5573223808074</v>
      </c>
      <c r="CE11" s="233">
        <f t="shared" si="10"/>
        <v>2481.6492097288869</v>
      </c>
      <c r="CF11" s="233">
        <f t="shared" si="10"/>
        <v>2485.7478551616005</v>
      </c>
      <c r="CG11" s="233">
        <f t="shared" si="10"/>
        <v>2489.8532698404738</v>
      </c>
      <c r="CH11" s="233">
        <f t="shared" si="10"/>
        <v>2493.9654649454674</v>
      </c>
      <c r="CI11" s="233">
        <f t="shared" si="10"/>
        <v>2498.0844516750062</v>
      </c>
      <c r="CJ11" s="233">
        <f t="shared" si="10"/>
        <v>2502.2102412460099</v>
      </c>
      <c r="CK11" s="233">
        <f t="shared" si="10"/>
        <v>2506.3428448939253</v>
      </c>
      <c r="CL11" s="233">
        <f t="shared" si="11"/>
        <v>2510.4822738727535</v>
      </c>
      <c r="CM11" s="233">
        <f t="shared" si="11"/>
        <v>2514.6285394550841</v>
      </c>
      <c r="CN11" s="233">
        <f t="shared" si="11"/>
        <v>2518.7816529321231</v>
      </c>
      <c r="CO11" s="233">
        <f t="shared" si="11"/>
        <v>2522.9416256137251</v>
      </c>
      <c r="CP11" s="233">
        <f t="shared" si="11"/>
        <v>2527.1084688284254</v>
      </c>
      <c r="CQ11" s="233">
        <f t="shared" si="11"/>
        <v>2531.2821939234664</v>
      </c>
      <c r="CR11" s="233">
        <f t="shared" si="11"/>
        <v>2535.4628122648342</v>
      </c>
      <c r="CS11" s="233">
        <f t="shared" si="11"/>
        <v>2539.6503352372852</v>
      </c>
      <c r="CT11" s="233">
        <f t="shared" si="11"/>
        <v>2543.8447742443782</v>
      </c>
      <c r="CU11" s="233">
        <f t="shared" si="11"/>
        <v>2548.0461407085077</v>
      </c>
      <c r="CV11" s="233">
        <f t="shared" si="12"/>
        <v>2552.2544460709319</v>
      </c>
      <c r="CW11" s="233">
        <f t="shared" si="12"/>
        <v>2556.4697017918056</v>
      </c>
      <c r="CX11" s="233">
        <f t="shared" si="12"/>
        <v>2560.6919193502104</v>
      </c>
      <c r="CY11" s="233">
        <f t="shared" si="12"/>
        <v>2564.9211102441877</v>
      </c>
      <c r="CZ11" s="233">
        <f t="shared" si="12"/>
        <v>2569.1572859907674</v>
      </c>
      <c r="DA11" s="233">
        <f t="shared" si="12"/>
        <v>2573.4004581260019</v>
      </c>
      <c r="DB11" s="233">
        <f t="shared" si="12"/>
        <v>2577.6506382049961</v>
      </c>
      <c r="DC11" s="233">
        <f t="shared" si="12"/>
        <v>2581.9078378019381</v>
      </c>
      <c r="DD11" s="233">
        <f t="shared" si="12"/>
        <v>2586.1720685101327</v>
      </c>
      <c r="DE11" s="233">
        <f t="shared" si="12"/>
        <v>2590.4433419420325</v>
      </c>
      <c r="DF11" s="233">
        <f t="shared" si="13"/>
        <v>2594.7216697292679</v>
      </c>
      <c r="DG11" s="233">
        <f t="shared" si="13"/>
        <v>2599.0070635226803</v>
      </c>
      <c r="DH11" s="233">
        <f t="shared" si="13"/>
        <v>2603.2995349923526</v>
      </c>
      <c r="DI11" s="233">
        <f t="shared" si="13"/>
        <v>2607.5990958276439</v>
      </c>
      <c r="DJ11" s="233">
        <f t="shared" si="13"/>
        <v>2611.9057577372168</v>
      </c>
      <c r="DK11" s="233">
        <f t="shared" si="13"/>
        <v>2616.2195324490731</v>
      </c>
      <c r="DL11" s="233">
        <f t="shared" si="13"/>
        <v>2620.5404317105845</v>
      </c>
      <c r="DM11" s="233">
        <f t="shared" si="13"/>
        <v>2624.8684672885233</v>
      </c>
      <c r="DN11" s="233">
        <f t="shared" si="13"/>
        <v>2629.203650969097</v>
      </c>
      <c r="DO11" s="233">
        <f t="shared" si="13"/>
        <v>2633.5459945579778</v>
      </c>
      <c r="DP11" s="233">
        <f t="shared" si="14"/>
        <v>2637.8955098803367</v>
      </c>
      <c r="DQ11" s="233">
        <f t="shared" si="14"/>
        <v>2642.2522087808743</v>
      </c>
      <c r="DR11" s="233">
        <f t="shared" si="14"/>
        <v>2646.6161031238544</v>
      </c>
      <c r="DS11" s="233">
        <f t="shared" si="14"/>
        <v>2650.9872047931349</v>
      </c>
      <c r="DT11" s="233">
        <f t="shared" si="14"/>
        <v>2655.3655256922007</v>
      </c>
      <c r="DU11" s="233">
        <f t="shared" si="14"/>
        <v>2659.7510777441976</v>
      </c>
      <c r="DV11" s="233">
        <f t="shared" si="14"/>
        <v>2664.1438728919625</v>
      </c>
      <c r="DW11" s="233">
        <f t="shared" si="14"/>
        <v>2668.543923098056</v>
      </c>
      <c r="DX11" s="233">
        <f t="shared" si="14"/>
        <v>2672.9512403447975</v>
      </c>
      <c r="DY11" s="233">
        <f t="shared" si="14"/>
        <v>2677.3658366342952</v>
      </c>
      <c r="DZ11" s="233">
        <f t="shared" si="15"/>
        <v>2681.7877239884801</v>
      </c>
      <c r="EA11" s="233">
        <f t="shared" si="15"/>
        <v>2686.2169144491386</v>
      </c>
      <c r="EB11" s="233">
        <f t="shared" si="15"/>
        <v>2690.6534200779447</v>
      </c>
      <c r="EC11" s="233">
        <f t="shared" si="15"/>
        <v>2695.0972529564929</v>
      </c>
      <c r="ED11" s="233">
        <f t="shared" si="15"/>
        <v>2699.5484251863322</v>
      </c>
      <c r="EE11" s="233">
        <f t="shared" si="15"/>
        <v>2704.0069488889981</v>
      </c>
      <c r="EF11" s="233">
        <f t="shared" si="15"/>
        <v>2708.4728362060455</v>
      </c>
      <c r="EG11" s="233">
        <f t="shared" si="15"/>
        <v>2712.9460992990821</v>
      </c>
      <c r="EH11" s="233">
        <f t="shared" si="15"/>
        <v>2717.4267503498022</v>
      </c>
      <c r="EI11" s="233">
        <f t="shared" si="15"/>
        <v>2721.9148015600176</v>
      </c>
      <c r="EJ11" s="233">
        <f t="shared" si="15"/>
        <v>2726.4102651516941</v>
      </c>
      <c r="EK11" s="233">
        <f t="shared" si="15"/>
        <v>2730.9131533669824</v>
      </c>
    </row>
    <row r="12" spans="2:153" x14ac:dyDescent="0.45">
      <c r="B12" s="230">
        <f>Assumptions!B49</f>
        <v>4</v>
      </c>
      <c r="C12" s="230" t="str">
        <f>Assumptions!C49</f>
        <v>Fair Market</v>
      </c>
      <c r="D12" s="439">
        <f>Assumptions!D49</f>
        <v>0</v>
      </c>
      <c r="E12" s="22">
        <f>Assumptions!G49</f>
        <v>3</v>
      </c>
      <c r="F12" s="22">
        <f>IF(D12=1,E12+SUM(Assumptions!$G$142:$G$143),'Rent Roll Model'!E12)</f>
        <v>3</v>
      </c>
      <c r="G12" s="233">
        <f>Assumptions!I49</f>
        <v>1680</v>
      </c>
      <c r="H12" s="233">
        <f>Assumptions!J49</f>
        <v>1680</v>
      </c>
      <c r="J12" s="233">
        <f t="shared" si="3"/>
        <v>1680</v>
      </c>
      <c r="K12" s="233">
        <f t="shared" si="3"/>
        <v>1683.4605249333358</v>
      </c>
      <c r="L12" s="233">
        <f t="shared" si="3"/>
        <v>1686.9281779814419</v>
      </c>
      <c r="M12" s="233">
        <f t="shared" si="3"/>
        <v>1690.4029738270679</v>
      </c>
      <c r="N12" s="233">
        <f t="shared" si="3"/>
        <v>1693.8849271832069</v>
      </c>
      <c r="O12" s="233">
        <f t="shared" si="3"/>
        <v>1697.3740527931589</v>
      </c>
      <c r="P12" s="233">
        <f t="shared" si="3"/>
        <v>1700.8703654305918</v>
      </c>
      <c r="Q12" s="233">
        <f t="shared" si="3"/>
        <v>1704.3738798996064</v>
      </c>
      <c r="R12" s="233">
        <f t="shared" si="3"/>
        <v>1707.8846110347965</v>
      </c>
      <c r="S12" s="233">
        <f t="shared" si="3"/>
        <v>1711.4025737013123</v>
      </c>
      <c r="T12" s="233">
        <f t="shared" si="4"/>
        <v>1714.9277827949245</v>
      </c>
      <c r="U12" s="233">
        <f t="shared" si="4"/>
        <v>1718.4602532420863</v>
      </c>
      <c r="V12" s="233">
        <f t="shared" si="4"/>
        <v>1721.9999999999977</v>
      </c>
      <c r="W12" s="233">
        <f t="shared" si="4"/>
        <v>1725.5470380566669</v>
      </c>
      <c r="X12" s="233">
        <f t="shared" si="4"/>
        <v>1729.1013824309759</v>
      </c>
      <c r="Y12" s="233">
        <f t="shared" si="4"/>
        <v>1732.6630481727425</v>
      </c>
      <c r="Z12" s="233">
        <f t="shared" si="4"/>
        <v>1736.232050362785</v>
      </c>
      <c r="AA12" s="233">
        <f t="shared" si="4"/>
        <v>1739.8084041129857</v>
      </c>
      <c r="AB12" s="233">
        <f t="shared" si="4"/>
        <v>1743.3921245663548</v>
      </c>
      <c r="AC12" s="233">
        <f t="shared" si="4"/>
        <v>1746.9832268970947</v>
      </c>
      <c r="AD12" s="233">
        <f t="shared" si="5"/>
        <v>1750.5817263106642</v>
      </c>
      <c r="AE12" s="233">
        <f t="shared" si="5"/>
        <v>1754.1876380438428</v>
      </c>
      <c r="AF12" s="233">
        <f t="shared" si="5"/>
        <v>1757.8009773647952</v>
      </c>
      <c r="AG12" s="233">
        <f t="shared" si="5"/>
        <v>1761.4217595731366</v>
      </c>
      <c r="AH12" s="233">
        <f t="shared" si="5"/>
        <v>1765.0499999999954</v>
      </c>
      <c r="AI12" s="233">
        <f t="shared" si="5"/>
        <v>1768.6857140080813</v>
      </c>
      <c r="AJ12" s="233">
        <f t="shared" si="5"/>
        <v>1772.3289169917475</v>
      </c>
      <c r="AK12" s="233">
        <f t="shared" si="5"/>
        <v>1775.9796243770581</v>
      </c>
      <c r="AL12" s="233">
        <f t="shared" si="5"/>
        <v>1779.6378516218515</v>
      </c>
      <c r="AM12" s="233">
        <f t="shared" si="5"/>
        <v>1783.3036142158073</v>
      </c>
      <c r="AN12" s="233">
        <f t="shared" si="6"/>
        <v>1786.9769276805107</v>
      </c>
      <c r="AO12" s="233">
        <f t="shared" si="6"/>
        <v>1790.657807569519</v>
      </c>
      <c r="AP12" s="233">
        <f t="shared" si="6"/>
        <v>1794.3462694684281</v>
      </c>
      <c r="AQ12" s="233">
        <f t="shared" si="6"/>
        <v>1798.0423289949358</v>
      </c>
      <c r="AR12" s="233">
        <f t="shared" si="6"/>
        <v>1801.7460017989122</v>
      </c>
      <c r="AS12" s="233">
        <f t="shared" si="6"/>
        <v>1805.4573035624617</v>
      </c>
      <c r="AT12" s="233">
        <f t="shared" si="6"/>
        <v>1809.1762499999923</v>
      </c>
      <c r="AU12" s="233">
        <f t="shared" si="6"/>
        <v>1812.9028568582803</v>
      </c>
      <c r="AV12" s="233">
        <f t="shared" si="6"/>
        <v>1816.6371399165384</v>
      </c>
      <c r="AW12" s="233">
        <f t="shared" si="6"/>
        <v>1820.3791149864819</v>
      </c>
      <c r="AX12" s="233">
        <f t="shared" si="7"/>
        <v>1824.1287979123954</v>
      </c>
      <c r="AY12" s="233">
        <f t="shared" si="7"/>
        <v>1827.8862045711999</v>
      </c>
      <c r="AZ12" s="233">
        <f t="shared" si="7"/>
        <v>1831.6513508725209</v>
      </c>
      <c r="BA12" s="233">
        <f t="shared" si="7"/>
        <v>1835.4242527587546</v>
      </c>
      <c r="BB12" s="233">
        <f t="shared" si="7"/>
        <v>1839.2049262051362</v>
      </c>
      <c r="BC12" s="233">
        <f t="shared" si="7"/>
        <v>1842.9933872198071</v>
      </c>
      <c r="BD12" s="233">
        <f t="shared" si="7"/>
        <v>1846.7896518438829</v>
      </c>
      <c r="BE12" s="233">
        <f t="shared" si="7"/>
        <v>1850.5937361515212</v>
      </c>
      <c r="BF12" s="233">
        <f t="shared" si="7"/>
        <v>1854.40565624999</v>
      </c>
      <c r="BG12" s="233">
        <f t="shared" si="7"/>
        <v>1858.2254282797351</v>
      </c>
      <c r="BH12" s="233">
        <f t="shared" si="8"/>
        <v>1862.0530684144499</v>
      </c>
      <c r="BI12" s="233">
        <f t="shared" si="8"/>
        <v>1865.8885928611419</v>
      </c>
      <c r="BJ12" s="233">
        <f t="shared" si="8"/>
        <v>1869.7320178602033</v>
      </c>
      <c r="BK12" s="233">
        <f t="shared" si="8"/>
        <v>1873.5833596854782</v>
      </c>
      <c r="BL12" s="233">
        <f t="shared" si="8"/>
        <v>1877.442634644332</v>
      </c>
      <c r="BM12" s="233">
        <f t="shared" si="8"/>
        <v>1881.3098590777217</v>
      </c>
      <c r="BN12" s="233">
        <f t="shared" si="8"/>
        <v>1885.1850493602628</v>
      </c>
      <c r="BO12" s="233">
        <f t="shared" si="8"/>
        <v>1889.0682219003004</v>
      </c>
      <c r="BP12" s="233">
        <f t="shared" si="8"/>
        <v>1892.9593931399781</v>
      </c>
      <c r="BQ12" s="233">
        <f t="shared" si="8"/>
        <v>1896.8585795553074</v>
      </c>
      <c r="BR12" s="233">
        <f t="shared" si="9"/>
        <v>1900.765797656238</v>
      </c>
      <c r="BS12" s="233">
        <f t="shared" si="9"/>
        <v>1904.6810639867267</v>
      </c>
      <c r="BT12" s="233">
        <f t="shared" si="9"/>
        <v>1908.6043951248093</v>
      </c>
      <c r="BU12" s="233">
        <f t="shared" si="9"/>
        <v>1912.5358076826687</v>
      </c>
      <c r="BV12" s="233">
        <f t="shared" si="9"/>
        <v>1916.4753183067066</v>
      </c>
      <c r="BW12" s="233">
        <f t="shared" si="9"/>
        <v>1920.4229436776131</v>
      </c>
      <c r="BX12" s="233">
        <f t="shared" si="9"/>
        <v>1924.3787005104384</v>
      </c>
      <c r="BY12" s="233">
        <f t="shared" si="9"/>
        <v>1928.3426055546629</v>
      </c>
      <c r="BZ12" s="233">
        <f t="shared" si="9"/>
        <v>1932.3146755942671</v>
      </c>
      <c r="CA12" s="233">
        <f t="shared" si="9"/>
        <v>1936.2949274478055</v>
      </c>
      <c r="CB12" s="233">
        <f t="shared" si="10"/>
        <v>1940.283377968475</v>
      </c>
      <c r="CC12" s="233">
        <f t="shared" si="10"/>
        <v>1944.2800440441874</v>
      </c>
      <c r="CD12" s="233">
        <f t="shared" si="10"/>
        <v>1948.284942597641</v>
      </c>
      <c r="CE12" s="233">
        <f t="shared" si="10"/>
        <v>1952.2980905863919</v>
      </c>
      <c r="CF12" s="233">
        <f t="shared" si="10"/>
        <v>1956.3195050029267</v>
      </c>
      <c r="CG12" s="233">
        <f t="shared" si="10"/>
        <v>1960.3492028747323</v>
      </c>
      <c r="CH12" s="233">
        <f t="shared" si="10"/>
        <v>1964.387201264371</v>
      </c>
      <c r="CI12" s="233">
        <f t="shared" si="10"/>
        <v>1968.4335172695501</v>
      </c>
      <c r="CJ12" s="233">
        <f t="shared" si="10"/>
        <v>1972.4881680231961</v>
      </c>
      <c r="CK12" s="233">
        <f t="shared" si="10"/>
        <v>1976.5511706935258</v>
      </c>
      <c r="CL12" s="233">
        <f t="shared" si="11"/>
        <v>1980.6225424841207</v>
      </c>
      <c r="CM12" s="233">
        <f t="shared" si="11"/>
        <v>1984.7023006339975</v>
      </c>
      <c r="CN12" s="233">
        <f t="shared" si="11"/>
        <v>1988.7904624176838</v>
      </c>
      <c r="CO12" s="233">
        <f t="shared" si="11"/>
        <v>1992.887045145289</v>
      </c>
      <c r="CP12" s="233">
        <f t="shared" si="11"/>
        <v>1996.992066162579</v>
      </c>
      <c r="CQ12" s="233">
        <f t="shared" si="11"/>
        <v>2001.1055428510488</v>
      </c>
      <c r="CR12" s="233">
        <f t="shared" si="11"/>
        <v>2005.2274926279968</v>
      </c>
      <c r="CS12" s="233">
        <f t="shared" si="11"/>
        <v>2009.3579329465979</v>
      </c>
      <c r="CT12" s="233">
        <f t="shared" si="11"/>
        <v>2013.4968812959773</v>
      </c>
      <c r="CU12" s="233">
        <f t="shared" si="11"/>
        <v>2017.6443552012861</v>
      </c>
      <c r="CV12" s="233">
        <f t="shared" si="12"/>
        <v>2021.8003722237734</v>
      </c>
      <c r="CW12" s="233">
        <f t="shared" si="12"/>
        <v>2025.9649499608615</v>
      </c>
      <c r="CX12" s="233">
        <f t="shared" si="12"/>
        <v>2030.1381060462209</v>
      </c>
      <c r="CY12" s="233">
        <f t="shared" si="12"/>
        <v>2034.3198581498448</v>
      </c>
      <c r="CZ12" s="233">
        <f t="shared" si="12"/>
        <v>2038.5102239781233</v>
      </c>
      <c r="DA12" s="233">
        <f t="shared" si="12"/>
        <v>2042.7092212739187</v>
      </c>
      <c r="DB12" s="233">
        <f t="shared" si="12"/>
        <v>2046.9168678166409</v>
      </c>
      <c r="DC12" s="233">
        <f t="shared" si="12"/>
        <v>2051.1331814223227</v>
      </c>
      <c r="DD12" s="233">
        <f t="shared" si="12"/>
        <v>2055.3581799436938</v>
      </c>
      <c r="DE12" s="233">
        <f t="shared" si="12"/>
        <v>2059.5918812702598</v>
      </c>
      <c r="DF12" s="233">
        <f t="shared" si="13"/>
        <v>2063.8343033283741</v>
      </c>
      <c r="DG12" s="233">
        <f t="shared" si="13"/>
        <v>2068.0854640813159</v>
      </c>
      <c r="DH12" s="233">
        <f t="shared" si="13"/>
        <v>2072.3453815293651</v>
      </c>
      <c r="DI12" s="233">
        <f t="shared" si="13"/>
        <v>2076.6140737098804</v>
      </c>
      <c r="DJ12" s="233">
        <f t="shared" si="13"/>
        <v>2080.891558697374</v>
      </c>
      <c r="DK12" s="233">
        <f t="shared" si="13"/>
        <v>2085.177854603588</v>
      </c>
      <c r="DL12" s="233">
        <f t="shared" si="13"/>
        <v>2089.4729795775734</v>
      </c>
      <c r="DM12" s="233">
        <f t="shared" si="13"/>
        <v>2093.7769518057639</v>
      </c>
      <c r="DN12" s="233">
        <f t="shared" si="13"/>
        <v>2098.0897895120543</v>
      </c>
      <c r="DO12" s="233">
        <f t="shared" si="13"/>
        <v>2102.4115109578775</v>
      </c>
      <c r="DP12" s="233">
        <f t="shared" si="14"/>
        <v>2106.7421344422833</v>
      </c>
      <c r="DQ12" s="233">
        <f t="shared" si="14"/>
        <v>2111.0816783020136</v>
      </c>
      <c r="DR12" s="233">
        <f t="shared" si="14"/>
        <v>2115.4301609115805</v>
      </c>
      <c r="DS12" s="233">
        <f t="shared" si="14"/>
        <v>2119.7876006833453</v>
      </c>
      <c r="DT12" s="233">
        <f t="shared" si="14"/>
        <v>2124.1540160675959</v>
      </c>
      <c r="DU12" s="233">
        <f t="shared" si="14"/>
        <v>2128.5294255526242</v>
      </c>
      <c r="DV12" s="233">
        <f t="shared" si="14"/>
        <v>2132.9138476648054</v>
      </c>
      <c r="DW12" s="233">
        <f t="shared" si="14"/>
        <v>2137.307300968675</v>
      </c>
      <c r="DX12" s="233">
        <f t="shared" si="14"/>
        <v>2141.7098040670098</v>
      </c>
      <c r="DY12" s="233">
        <f t="shared" si="14"/>
        <v>2146.1213756009051</v>
      </c>
      <c r="DZ12" s="233">
        <f t="shared" si="15"/>
        <v>2150.5420342498528</v>
      </c>
      <c r="EA12" s="233">
        <f t="shared" si="15"/>
        <v>2154.9717987318218</v>
      </c>
      <c r="EB12" s="233">
        <f t="shared" si="15"/>
        <v>2159.4106878033376</v>
      </c>
      <c r="EC12" s="233">
        <f t="shared" si="15"/>
        <v>2163.8587202595613</v>
      </c>
      <c r="ED12" s="233">
        <f t="shared" si="15"/>
        <v>2168.3159149343674</v>
      </c>
      <c r="EE12" s="233">
        <f t="shared" si="15"/>
        <v>2172.7822907004265</v>
      </c>
      <c r="EF12" s="233">
        <f t="shared" si="15"/>
        <v>2177.2578664692833</v>
      </c>
      <c r="EG12" s="233">
        <f t="shared" si="15"/>
        <v>2181.7426611914375</v>
      </c>
      <c r="EH12" s="233">
        <f t="shared" si="15"/>
        <v>2186.2366938564228</v>
      </c>
      <c r="EI12" s="233">
        <f t="shared" si="15"/>
        <v>2190.7399834928897</v>
      </c>
      <c r="EJ12" s="233">
        <f t="shared" si="15"/>
        <v>2195.2525491686829</v>
      </c>
      <c r="EK12" s="233">
        <f t="shared" si="15"/>
        <v>2199.7744099909251</v>
      </c>
    </row>
    <row r="13" spans="2:153" x14ac:dyDescent="0.45">
      <c r="B13" s="230">
        <f>Assumptions!B50</f>
        <v>5</v>
      </c>
      <c r="C13" s="230" t="str">
        <f>Assumptions!C50</f>
        <v>Fair Market</v>
      </c>
      <c r="D13" s="439">
        <f>Assumptions!D50</f>
        <v>0</v>
      </c>
      <c r="E13" s="22">
        <f>Assumptions!G50</f>
        <v>3</v>
      </c>
      <c r="F13" s="22">
        <f>IF(D13=1,E13+SUM(Assumptions!$G$142:$G$143),'Rent Roll Model'!E13)</f>
        <v>3</v>
      </c>
      <c r="G13" s="233">
        <f>Assumptions!I50</f>
        <v>1451.66</v>
      </c>
      <c r="H13" s="233">
        <f>Assumptions!J50</f>
        <v>1451.66</v>
      </c>
      <c r="J13" s="233">
        <f t="shared" si="3"/>
        <v>1451.66</v>
      </c>
      <c r="K13" s="233">
        <f t="shared" si="3"/>
        <v>1454.65018191948</v>
      </c>
      <c r="L13" s="233">
        <f t="shared" si="3"/>
        <v>1457.6465231241311</v>
      </c>
      <c r="M13" s="233">
        <f t="shared" si="3"/>
        <v>1460.6490363010723</v>
      </c>
      <c r="N13" s="233">
        <f t="shared" si="3"/>
        <v>1463.6577341635561</v>
      </c>
      <c r="O13" s="233">
        <f t="shared" si="3"/>
        <v>1466.672629451022</v>
      </c>
      <c r="P13" s="233">
        <f t="shared" si="3"/>
        <v>1469.6937349291507</v>
      </c>
      <c r="Q13" s="233">
        <f t="shared" si="3"/>
        <v>1472.7210633899183</v>
      </c>
      <c r="R13" s="233">
        <f t="shared" si="3"/>
        <v>1475.7546276516505</v>
      </c>
      <c r="S13" s="233">
        <f t="shared" si="3"/>
        <v>1478.7944405590756</v>
      </c>
      <c r="T13" s="233">
        <f t="shared" si="4"/>
        <v>1481.8405149833811</v>
      </c>
      <c r="U13" s="233">
        <f t="shared" si="4"/>
        <v>1484.8928638222662</v>
      </c>
      <c r="V13" s="233">
        <f t="shared" si="4"/>
        <v>1487.9514999999981</v>
      </c>
      <c r="W13" s="233">
        <f t="shared" si="4"/>
        <v>1491.0164364674649</v>
      </c>
      <c r="X13" s="233">
        <f t="shared" si="4"/>
        <v>1494.0876862022326</v>
      </c>
      <c r="Y13" s="233">
        <f t="shared" si="4"/>
        <v>1497.1652622085974</v>
      </c>
      <c r="Z13" s="233">
        <f t="shared" si="4"/>
        <v>1500.2491775176431</v>
      </c>
      <c r="AA13" s="233">
        <f t="shared" si="4"/>
        <v>1503.339445187296</v>
      </c>
      <c r="AB13" s="233">
        <f t="shared" si="4"/>
        <v>1506.4360783023778</v>
      </c>
      <c r="AC13" s="233">
        <f t="shared" si="4"/>
        <v>1509.5390899746646</v>
      </c>
      <c r="AD13" s="233">
        <f t="shared" si="5"/>
        <v>1512.6484933429397</v>
      </c>
      <c r="AE13" s="233">
        <f t="shared" si="5"/>
        <v>1515.7643015730507</v>
      </c>
      <c r="AF13" s="233">
        <f t="shared" si="5"/>
        <v>1518.8865278579638</v>
      </c>
      <c r="AG13" s="233">
        <f t="shared" si="5"/>
        <v>1522.0151854178212</v>
      </c>
      <c r="AH13" s="233">
        <f t="shared" si="5"/>
        <v>1525.150287499996</v>
      </c>
      <c r="AI13" s="233">
        <f t="shared" si="5"/>
        <v>1528.2918473791497</v>
      </c>
      <c r="AJ13" s="233">
        <f t="shared" si="5"/>
        <v>1531.439878357286</v>
      </c>
      <c r="AK13" s="233">
        <f t="shared" si="5"/>
        <v>1534.5943937638099</v>
      </c>
      <c r="AL13" s="233">
        <f t="shared" si="5"/>
        <v>1537.7554069555817</v>
      </c>
      <c r="AM13" s="233">
        <f t="shared" si="5"/>
        <v>1540.9229313169756</v>
      </c>
      <c r="AN13" s="233">
        <f t="shared" si="6"/>
        <v>1544.0969802599348</v>
      </c>
      <c r="AO13" s="233">
        <f t="shared" si="6"/>
        <v>1547.2775672240286</v>
      </c>
      <c r="AP13" s="233">
        <f t="shared" si="6"/>
        <v>1550.4647056765109</v>
      </c>
      <c r="AQ13" s="233">
        <f t="shared" si="6"/>
        <v>1553.6584091123743</v>
      </c>
      <c r="AR13" s="233">
        <f t="shared" si="6"/>
        <v>1556.8586910544102</v>
      </c>
      <c r="AS13" s="233">
        <f t="shared" si="6"/>
        <v>1560.065565053264</v>
      </c>
      <c r="AT13" s="233">
        <f t="shared" si="6"/>
        <v>1563.2790446874935</v>
      </c>
      <c r="AU13" s="233">
        <f t="shared" si="6"/>
        <v>1566.4991435636259</v>
      </c>
      <c r="AV13" s="233">
        <f t="shared" si="6"/>
        <v>1569.7258753162157</v>
      </c>
      <c r="AW13" s="233">
        <f t="shared" si="6"/>
        <v>1572.9592536079026</v>
      </c>
      <c r="AX13" s="233">
        <f t="shared" si="7"/>
        <v>1576.1992921294691</v>
      </c>
      <c r="AY13" s="233">
        <f t="shared" si="7"/>
        <v>1579.4460045998976</v>
      </c>
      <c r="AZ13" s="233">
        <f t="shared" si="7"/>
        <v>1582.6994047664309</v>
      </c>
      <c r="BA13" s="233">
        <f t="shared" si="7"/>
        <v>1585.9595064046273</v>
      </c>
      <c r="BB13" s="233">
        <f t="shared" si="7"/>
        <v>1589.2263233184215</v>
      </c>
      <c r="BC13" s="233">
        <f t="shared" si="7"/>
        <v>1592.4998693401817</v>
      </c>
      <c r="BD13" s="233">
        <f t="shared" si="7"/>
        <v>1595.7801583307687</v>
      </c>
      <c r="BE13" s="233">
        <f t="shared" si="7"/>
        <v>1599.0672041795938</v>
      </c>
      <c r="BF13" s="233">
        <f t="shared" si="7"/>
        <v>1602.3610208046789</v>
      </c>
      <c r="BG13" s="233">
        <f t="shared" si="7"/>
        <v>1605.6616221527145</v>
      </c>
      <c r="BH13" s="233">
        <f t="shared" si="8"/>
        <v>1608.9690221991193</v>
      </c>
      <c r="BI13" s="233">
        <f t="shared" si="8"/>
        <v>1612.2832349480984</v>
      </c>
      <c r="BJ13" s="233">
        <f t="shared" si="8"/>
        <v>1615.6042744327042</v>
      </c>
      <c r="BK13" s="233">
        <f t="shared" si="8"/>
        <v>1618.9321547148938</v>
      </c>
      <c r="BL13" s="233">
        <f t="shared" si="8"/>
        <v>1622.26688988559</v>
      </c>
      <c r="BM13" s="233">
        <f t="shared" si="8"/>
        <v>1625.6084940647415</v>
      </c>
      <c r="BN13" s="233">
        <f t="shared" si="8"/>
        <v>1628.9569814013805</v>
      </c>
      <c r="BO13" s="233">
        <f t="shared" si="8"/>
        <v>1632.3123660736846</v>
      </c>
      <c r="BP13" s="233">
        <f t="shared" si="8"/>
        <v>1635.6746622890362</v>
      </c>
      <c r="BQ13" s="233">
        <f t="shared" si="8"/>
        <v>1639.043884284082</v>
      </c>
      <c r="BR13" s="233">
        <f t="shared" si="9"/>
        <v>1642.4200463247944</v>
      </c>
      <c r="BS13" s="233">
        <f t="shared" si="9"/>
        <v>1645.8031627065309</v>
      </c>
      <c r="BT13" s="233">
        <f t="shared" si="9"/>
        <v>1649.1932477540959</v>
      </c>
      <c r="BU13" s="233">
        <f t="shared" si="9"/>
        <v>1652.5903158217995</v>
      </c>
      <c r="BV13" s="233">
        <f t="shared" si="9"/>
        <v>1655.9943812935201</v>
      </c>
      <c r="BW13" s="233">
        <f t="shared" si="9"/>
        <v>1659.4054585827644</v>
      </c>
      <c r="BX13" s="233">
        <f t="shared" si="9"/>
        <v>1662.8235621327281</v>
      </c>
      <c r="BY13" s="233">
        <f t="shared" si="9"/>
        <v>1666.2487064163583</v>
      </c>
      <c r="BZ13" s="233">
        <f t="shared" si="9"/>
        <v>1669.6809059364132</v>
      </c>
      <c r="CA13" s="233">
        <f t="shared" si="9"/>
        <v>1673.1201752255247</v>
      </c>
      <c r="CB13" s="233">
        <f t="shared" si="10"/>
        <v>1676.5665288462599</v>
      </c>
      <c r="CC13" s="233">
        <f t="shared" si="10"/>
        <v>1680.0199813911815</v>
      </c>
      <c r="CD13" s="233">
        <f t="shared" si="10"/>
        <v>1683.4805474829118</v>
      </c>
      <c r="CE13" s="233">
        <f t="shared" si="10"/>
        <v>1686.9482417741917</v>
      </c>
      <c r="CF13" s="233">
        <f t="shared" si="10"/>
        <v>1690.4230789479457</v>
      </c>
      <c r="CG13" s="233">
        <f t="shared" si="10"/>
        <v>1693.9050737173418</v>
      </c>
      <c r="CH13" s="233">
        <f t="shared" si="10"/>
        <v>1697.3942408258554</v>
      </c>
      <c r="CI13" s="233">
        <f t="shared" si="10"/>
        <v>1700.8905950473304</v>
      </c>
      <c r="CJ13" s="233">
        <f t="shared" si="10"/>
        <v>1704.3941511860435</v>
      </c>
      <c r="CK13" s="233">
        <f t="shared" si="10"/>
        <v>1707.9049240767642</v>
      </c>
      <c r="CL13" s="233">
        <f t="shared" si="11"/>
        <v>1711.4229285848205</v>
      </c>
      <c r="CM13" s="233">
        <f t="shared" si="11"/>
        <v>1714.9481796061602</v>
      </c>
      <c r="CN13" s="233">
        <f t="shared" si="11"/>
        <v>1718.4806920674137</v>
      </c>
      <c r="CO13" s="233">
        <f t="shared" si="11"/>
        <v>1722.0204809259585</v>
      </c>
      <c r="CP13" s="233">
        <f t="shared" si="11"/>
        <v>1725.5675611699819</v>
      </c>
      <c r="CQ13" s="233">
        <f t="shared" si="11"/>
        <v>1729.121947818544</v>
      </c>
      <c r="CR13" s="233">
        <f t="shared" si="11"/>
        <v>1732.6836559216415</v>
      </c>
      <c r="CS13" s="233">
        <f t="shared" si="11"/>
        <v>1736.2527005602728</v>
      </c>
      <c r="CT13" s="233">
        <f t="shared" si="11"/>
        <v>1739.8290968464992</v>
      </c>
      <c r="CU13" s="233">
        <f t="shared" si="11"/>
        <v>1743.4128599235114</v>
      </c>
      <c r="CV13" s="233">
        <f t="shared" si="12"/>
        <v>1747.0040049656923</v>
      </c>
      <c r="CW13" s="233">
        <f t="shared" si="12"/>
        <v>1750.6025471786811</v>
      </c>
      <c r="CX13" s="233">
        <f t="shared" si="12"/>
        <v>1754.2085017994389</v>
      </c>
      <c r="CY13" s="233">
        <f t="shared" si="12"/>
        <v>1757.8218840963118</v>
      </c>
      <c r="CZ13" s="233">
        <f t="shared" si="12"/>
        <v>1761.4427093690967</v>
      </c>
      <c r="DA13" s="233">
        <f t="shared" si="12"/>
        <v>1765.0709929491052</v>
      </c>
      <c r="DB13" s="233">
        <f t="shared" si="12"/>
        <v>1768.7067501992292</v>
      </c>
      <c r="DC13" s="233">
        <f t="shared" si="12"/>
        <v>1772.3499965140052</v>
      </c>
      <c r="DD13" s="233">
        <f t="shared" si="12"/>
        <v>1776.0007473196804</v>
      </c>
      <c r="DE13" s="233">
        <f t="shared" si="12"/>
        <v>1779.6590180742771</v>
      </c>
      <c r="DF13" s="233">
        <f t="shared" si="13"/>
        <v>1783.3248242676593</v>
      </c>
      <c r="DG13" s="233">
        <f t="shared" si="13"/>
        <v>1786.9981814215971</v>
      </c>
      <c r="DH13" s="233">
        <f t="shared" si="13"/>
        <v>1790.6791050898323</v>
      </c>
      <c r="DI13" s="233">
        <f t="shared" si="13"/>
        <v>1794.3676108581458</v>
      </c>
      <c r="DJ13" s="233">
        <f t="shared" si="13"/>
        <v>1798.0637143444226</v>
      </c>
      <c r="DK13" s="233">
        <f t="shared" si="13"/>
        <v>1801.7674311987173</v>
      </c>
      <c r="DL13" s="233">
        <f t="shared" si="13"/>
        <v>1805.4787771033218</v>
      </c>
      <c r="DM13" s="233">
        <f t="shared" si="13"/>
        <v>1809.1977677728305</v>
      </c>
      <c r="DN13" s="233">
        <f t="shared" si="13"/>
        <v>1812.9244189542076</v>
      </c>
      <c r="DO13" s="233">
        <f t="shared" si="13"/>
        <v>1816.6587464268528</v>
      </c>
      <c r="DP13" s="233">
        <f t="shared" si="14"/>
        <v>1820.4007660026698</v>
      </c>
      <c r="DQ13" s="233">
        <f t="shared" si="14"/>
        <v>1824.1504935261316</v>
      </c>
      <c r="DR13" s="233">
        <f t="shared" si="14"/>
        <v>1827.9079448743485</v>
      </c>
      <c r="DS13" s="233">
        <f t="shared" si="14"/>
        <v>1831.673135957134</v>
      </c>
      <c r="DT13" s="233">
        <f t="shared" si="14"/>
        <v>1835.4460827170753</v>
      </c>
      <c r="DU13" s="233">
        <f t="shared" si="14"/>
        <v>1839.2268011295969</v>
      </c>
      <c r="DV13" s="233">
        <f t="shared" si="14"/>
        <v>1843.0153072030305</v>
      </c>
      <c r="DW13" s="233">
        <f t="shared" si="14"/>
        <v>1846.8116169786827</v>
      </c>
      <c r="DX13" s="233">
        <f t="shared" si="14"/>
        <v>1850.6157465309022</v>
      </c>
      <c r="DY13" s="233">
        <f t="shared" si="14"/>
        <v>1854.4277119671488</v>
      </c>
      <c r="DZ13" s="233">
        <f t="shared" si="15"/>
        <v>1858.2475294280603</v>
      </c>
      <c r="EA13" s="233">
        <f t="shared" si="15"/>
        <v>1862.0752150875217</v>
      </c>
      <c r="EB13" s="233">
        <f t="shared" si="15"/>
        <v>1865.9107851527342</v>
      </c>
      <c r="EC13" s="233">
        <f t="shared" si="15"/>
        <v>1869.7542558642826</v>
      </c>
      <c r="ED13" s="233">
        <f t="shared" si="15"/>
        <v>1873.6056434962047</v>
      </c>
      <c r="EE13" s="233">
        <f t="shared" si="15"/>
        <v>1877.4649643560604</v>
      </c>
      <c r="EF13" s="233">
        <f t="shared" si="15"/>
        <v>1881.3322347850001</v>
      </c>
      <c r="EG13" s="233">
        <f t="shared" si="15"/>
        <v>1885.2074711578346</v>
      </c>
      <c r="EH13" s="233">
        <f t="shared" si="15"/>
        <v>1889.0906898831042</v>
      </c>
      <c r="EI13" s="233">
        <f t="shared" si="15"/>
        <v>1892.9819074031477</v>
      </c>
      <c r="EJ13" s="233">
        <f t="shared" si="15"/>
        <v>1896.8811401941728</v>
      </c>
      <c r="EK13" s="233">
        <f t="shared" si="15"/>
        <v>1900.7884047663254</v>
      </c>
    </row>
    <row r="14" spans="2:153" x14ac:dyDescent="0.45">
      <c r="B14" s="230">
        <f>Assumptions!B51</f>
        <v>6</v>
      </c>
      <c r="C14" s="230" t="str">
        <f>Assumptions!C51</f>
        <v>Fair Market</v>
      </c>
      <c r="D14" s="439">
        <f>Assumptions!D51</f>
        <v>0</v>
      </c>
      <c r="E14" s="22">
        <f>Assumptions!G51</f>
        <v>3</v>
      </c>
      <c r="F14" s="22">
        <f>IF(D14=1,E14+SUM(Assumptions!$G$142:$G$143),'Rent Roll Model'!E14)</f>
        <v>3</v>
      </c>
      <c r="G14" s="233">
        <f>Assumptions!I51</f>
        <v>1627.5</v>
      </c>
      <c r="H14" s="233">
        <f>Assumptions!J51</f>
        <v>1627.5</v>
      </c>
      <c r="J14" s="233">
        <f t="shared" si="3"/>
        <v>1627.5</v>
      </c>
      <c r="K14" s="233">
        <f t="shared" si="3"/>
        <v>1630.8523835291692</v>
      </c>
      <c r="L14" s="233">
        <f t="shared" si="3"/>
        <v>1634.2116724195218</v>
      </c>
      <c r="M14" s="233">
        <f t="shared" si="3"/>
        <v>1637.5778808949719</v>
      </c>
      <c r="N14" s="233">
        <f t="shared" si="3"/>
        <v>1640.9510232087316</v>
      </c>
      <c r="O14" s="233">
        <f t="shared" si="3"/>
        <v>1644.3311136433724</v>
      </c>
      <c r="P14" s="233">
        <f t="shared" si="3"/>
        <v>1647.718166510886</v>
      </c>
      <c r="Q14" s="233">
        <f t="shared" si="3"/>
        <v>1651.1121961527438</v>
      </c>
      <c r="R14" s="233">
        <f t="shared" si="3"/>
        <v>1654.513216939959</v>
      </c>
      <c r="S14" s="233">
        <f t="shared" si="3"/>
        <v>1657.9212432731463</v>
      </c>
      <c r="T14" s="233">
        <f t="shared" si="4"/>
        <v>1661.336289582583</v>
      </c>
      <c r="U14" s="233">
        <f t="shared" si="4"/>
        <v>1664.7583703282712</v>
      </c>
      <c r="V14" s="233">
        <f t="shared" si="4"/>
        <v>1668.1874999999977</v>
      </c>
      <c r="W14" s="233">
        <f t="shared" si="4"/>
        <v>1671.623693117396</v>
      </c>
      <c r="X14" s="233">
        <f t="shared" si="4"/>
        <v>1675.0669642300079</v>
      </c>
      <c r="Y14" s="233">
        <f t="shared" si="4"/>
        <v>1678.5173279173443</v>
      </c>
      <c r="Z14" s="233">
        <f t="shared" si="4"/>
        <v>1681.974798788948</v>
      </c>
      <c r="AA14" s="233">
        <f t="shared" si="4"/>
        <v>1685.439391484455</v>
      </c>
      <c r="AB14" s="233">
        <f t="shared" si="4"/>
        <v>1688.9111206736563</v>
      </c>
      <c r="AC14" s="233">
        <f t="shared" si="4"/>
        <v>1692.3900010565605</v>
      </c>
      <c r="AD14" s="233">
        <f t="shared" si="5"/>
        <v>1695.8760473634559</v>
      </c>
      <c r="AE14" s="233">
        <f t="shared" si="5"/>
        <v>1699.3692743549727</v>
      </c>
      <c r="AF14" s="233">
        <f t="shared" si="5"/>
        <v>1702.8696968221454</v>
      </c>
      <c r="AG14" s="233">
        <f t="shared" si="5"/>
        <v>1706.377329586476</v>
      </c>
      <c r="AH14" s="233">
        <f t="shared" si="5"/>
        <v>1709.8921874999955</v>
      </c>
      <c r="AI14" s="233">
        <f t="shared" si="5"/>
        <v>1713.4142854453287</v>
      </c>
      <c r="AJ14" s="233">
        <f t="shared" si="5"/>
        <v>1716.9436383357554</v>
      </c>
      <c r="AK14" s="233">
        <f t="shared" si="5"/>
        <v>1720.4802611152752</v>
      </c>
      <c r="AL14" s="233">
        <f t="shared" si="5"/>
        <v>1724.0241687586688</v>
      </c>
      <c r="AM14" s="233">
        <f t="shared" si="5"/>
        <v>1727.5753762715633</v>
      </c>
      <c r="AN14" s="233">
        <f t="shared" si="6"/>
        <v>1731.1338986904948</v>
      </c>
      <c r="AO14" s="233">
        <f t="shared" si="6"/>
        <v>1734.6997510829717</v>
      </c>
      <c r="AP14" s="233">
        <f t="shared" si="6"/>
        <v>1738.2729485475397</v>
      </c>
      <c r="AQ14" s="233">
        <f t="shared" si="6"/>
        <v>1741.8535062138442</v>
      </c>
      <c r="AR14" s="233">
        <f t="shared" si="6"/>
        <v>1745.4414392426961</v>
      </c>
      <c r="AS14" s="233">
        <f t="shared" si="6"/>
        <v>1749.0367628261349</v>
      </c>
      <c r="AT14" s="233">
        <f t="shared" si="6"/>
        <v>1752.6394921874926</v>
      </c>
      <c r="AU14" s="233">
        <f t="shared" si="6"/>
        <v>1756.2496425814591</v>
      </c>
      <c r="AV14" s="233">
        <f t="shared" si="6"/>
        <v>1759.8672292941467</v>
      </c>
      <c r="AW14" s="233">
        <f t="shared" si="6"/>
        <v>1763.4922676431545</v>
      </c>
      <c r="AX14" s="233">
        <f t="shared" si="7"/>
        <v>1767.124772977633</v>
      </c>
      <c r="AY14" s="233">
        <f t="shared" si="7"/>
        <v>1770.7647606783498</v>
      </c>
      <c r="AZ14" s="233">
        <f t="shared" si="7"/>
        <v>1774.4122461577547</v>
      </c>
      <c r="BA14" s="233">
        <f t="shared" si="7"/>
        <v>1778.0672448600435</v>
      </c>
      <c r="BB14" s="233">
        <f t="shared" si="7"/>
        <v>1781.7297722612257</v>
      </c>
      <c r="BC14" s="233">
        <f t="shared" si="7"/>
        <v>1785.3998438691881</v>
      </c>
      <c r="BD14" s="233">
        <f t="shared" si="7"/>
        <v>1789.0774752237617</v>
      </c>
      <c r="BE14" s="233">
        <f t="shared" si="7"/>
        <v>1792.7626818967863</v>
      </c>
      <c r="BF14" s="233">
        <f t="shared" si="7"/>
        <v>1796.4554794921778</v>
      </c>
      <c r="BG14" s="233">
        <f t="shared" si="7"/>
        <v>1800.1558836459935</v>
      </c>
      <c r="BH14" s="233">
        <f t="shared" si="8"/>
        <v>1803.8639100264984</v>
      </c>
      <c r="BI14" s="233">
        <f t="shared" si="8"/>
        <v>1807.5795743342312</v>
      </c>
      <c r="BJ14" s="233">
        <f t="shared" si="8"/>
        <v>1811.302892302072</v>
      </c>
      <c r="BK14" s="233">
        <f t="shared" si="8"/>
        <v>1815.033879695307</v>
      </c>
      <c r="BL14" s="233">
        <f t="shared" si="8"/>
        <v>1818.7725523116967</v>
      </c>
      <c r="BM14" s="233">
        <f t="shared" si="8"/>
        <v>1822.5189259815429</v>
      </c>
      <c r="BN14" s="233">
        <f t="shared" si="8"/>
        <v>1826.2730165677544</v>
      </c>
      <c r="BO14" s="233">
        <f t="shared" si="8"/>
        <v>1830.034839965916</v>
      </c>
      <c r="BP14" s="233">
        <f t="shared" si="8"/>
        <v>1833.8044121043538</v>
      </c>
      <c r="BQ14" s="233">
        <f t="shared" si="8"/>
        <v>1837.581748944204</v>
      </c>
      <c r="BR14" s="233">
        <f t="shared" si="9"/>
        <v>1841.3668664794804</v>
      </c>
      <c r="BS14" s="233">
        <f t="shared" si="9"/>
        <v>1845.1597807371415</v>
      </c>
      <c r="BT14" s="233">
        <f t="shared" si="9"/>
        <v>1848.9605077771591</v>
      </c>
      <c r="BU14" s="233">
        <f t="shared" si="9"/>
        <v>1852.7690636925854</v>
      </c>
      <c r="BV14" s="233">
        <f t="shared" si="9"/>
        <v>1856.585464609622</v>
      </c>
      <c r="BW14" s="233">
        <f t="shared" si="9"/>
        <v>1860.4097266876877</v>
      </c>
      <c r="BX14" s="233">
        <f t="shared" si="9"/>
        <v>1864.2418661194872</v>
      </c>
      <c r="BY14" s="233">
        <f t="shared" si="9"/>
        <v>1868.0818991310796</v>
      </c>
      <c r="BZ14" s="233">
        <f t="shared" si="9"/>
        <v>1871.9298419819463</v>
      </c>
      <c r="CA14" s="233">
        <f t="shared" si="9"/>
        <v>1875.7857109650615</v>
      </c>
      <c r="CB14" s="233">
        <f t="shared" si="10"/>
        <v>1879.6495224069602</v>
      </c>
      <c r="CC14" s="233">
        <f t="shared" si="10"/>
        <v>1883.5212926678064</v>
      </c>
      <c r="CD14" s="233">
        <f t="shared" si="10"/>
        <v>1887.4010381414646</v>
      </c>
      <c r="CE14" s="233">
        <f t="shared" si="10"/>
        <v>1891.2887752555673</v>
      </c>
      <c r="CF14" s="233">
        <f t="shared" si="10"/>
        <v>1895.1845204715851</v>
      </c>
      <c r="CG14" s="233">
        <f t="shared" si="10"/>
        <v>1899.0882902848971</v>
      </c>
      <c r="CH14" s="233">
        <f t="shared" si="10"/>
        <v>1903.0001012248592</v>
      </c>
      <c r="CI14" s="233">
        <f t="shared" si="10"/>
        <v>1906.9199698548766</v>
      </c>
      <c r="CJ14" s="233">
        <f t="shared" si="10"/>
        <v>1910.8479127724711</v>
      </c>
      <c r="CK14" s="233">
        <f t="shared" si="10"/>
        <v>1914.7839466093531</v>
      </c>
      <c r="CL14" s="233">
        <f t="shared" si="11"/>
        <v>1918.7280880314918</v>
      </c>
      <c r="CM14" s="233">
        <f t="shared" si="11"/>
        <v>1922.6803537391852</v>
      </c>
      <c r="CN14" s="233">
        <f t="shared" si="11"/>
        <v>1926.6407604671313</v>
      </c>
      <c r="CO14" s="233">
        <f t="shared" si="11"/>
        <v>1930.6093249844987</v>
      </c>
      <c r="CP14" s="233">
        <f t="shared" si="11"/>
        <v>1934.5860640949984</v>
      </c>
      <c r="CQ14" s="233">
        <f t="shared" si="11"/>
        <v>1938.5709946369536</v>
      </c>
      <c r="CR14" s="233">
        <f t="shared" si="11"/>
        <v>1942.5641334833717</v>
      </c>
      <c r="CS14" s="233">
        <f t="shared" si="11"/>
        <v>1946.5654975420166</v>
      </c>
      <c r="CT14" s="233">
        <f t="shared" si="11"/>
        <v>1950.575103755478</v>
      </c>
      <c r="CU14" s="233">
        <f t="shared" si="11"/>
        <v>1954.5929691012459</v>
      </c>
      <c r="CV14" s="233">
        <f t="shared" si="12"/>
        <v>1958.6191105917803</v>
      </c>
      <c r="CW14" s="233">
        <f t="shared" si="12"/>
        <v>1962.6535452745845</v>
      </c>
      <c r="CX14" s="233">
        <f t="shared" si="12"/>
        <v>1966.6962902322766</v>
      </c>
      <c r="CY14" s="233">
        <f t="shared" si="12"/>
        <v>1970.7473625826622</v>
      </c>
      <c r="CZ14" s="233">
        <f t="shared" si="12"/>
        <v>1974.8067794788069</v>
      </c>
      <c r="DA14" s="233">
        <f t="shared" si="12"/>
        <v>1978.8745581091086</v>
      </c>
      <c r="DB14" s="233">
        <f t="shared" si="12"/>
        <v>1982.9507156973709</v>
      </c>
      <c r="DC14" s="233">
        <f t="shared" si="12"/>
        <v>1987.0352695028748</v>
      </c>
      <c r="DD14" s="233">
        <f t="shared" si="12"/>
        <v>1991.1282368204536</v>
      </c>
      <c r="DE14" s="233">
        <f t="shared" si="12"/>
        <v>1995.2296349805642</v>
      </c>
      <c r="DF14" s="233">
        <f t="shared" si="13"/>
        <v>1999.3394813493624</v>
      </c>
      <c r="DG14" s="233">
        <f t="shared" si="13"/>
        <v>2003.4577933287746</v>
      </c>
      <c r="DH14" s="233">
        <f t="shared" si="13"/>
        <v>2007.5845883565726</v>
      </c>
      <c r="DI14" s="233">
        <f t="shared" si="13"/>
        <v>2011.7198839064465</v>
      </c>
      <c r="DJ14" s="233">
        <f t="shared" si="13"/>
        <v>2015.8636974880808</v>
      </c>
      <c r="DK14" s="233">
        <f t="shared" si="13"/>
        <v>2020.0160466472259</v>
      </c>
      <c r="DL14" s="233">
        <f t="shared" si="13"/>
        <v>2024.1769489657743</v>
      </c>
      <c r="DM14" s="233">
        <f t="shared" si="13"/>
        <v>2028.3464220618337</v>
      </c>
      <c r="DN14" s="233">
        <f t="shared" si="13"/>
        <v>2032.5244835898025</v>
      </c>
      <c r="DO14" s="233">
        <f t="shared" si="13"/>
        <v>2036.711151240444</v>
      </c>
      <c r="DP14" s="233">
        <f t="shared" si="14"/>
        <v>2040.9064427409621</v>
      </c>
      <c r="DQ14" s="233">
        <f t="shared" si="14"/>
        <v>2045.1103758550755</v>
      </c>
      <c r="DR14" s="233">
        <f t="shared" si="14"/>
        <v>2049.3229683830937</v>
      </c>
      <c r="DS14" s="233">
        <f t="shared" si="14"/>
        <v>2053.544238161991</v>
      </c>
      <c r="DT14" s="233">
        <f t="shared" si="14"/>
        <v>2057.7742030654836</v>
      </c>
      <c r="DU14" s="233">
        <f t="shared" si="14"/>
        <v>2062.0128810041047</v>
      </c>
      <c r="DV14" s="233">
        <f t="shared" si="14"/>
        <v>2066.2602899252802</v>
      </c>
      <c r="DW14" s="233">
        <f t="shared" si="14"/>
        <v>2070.5164478134038</v>
      </c>
      <c r="DX14" s="233">
        <f t="shared" si="14"/>
        <v>2074.7813726899158</v>
      </c>
      <c r="DY14" s="233">
        <f t="shared" si="14"/>
        <v>2079.0550826133767</v>
      </c>
      <c r="DZ14" s="233">
        <f t="shared" si="15"/>
        <v>2083.3375956795448</v>
      </c>
      <c r="EA14" s="233">
        <f t="shared" si="15"/>
        <v>2087.6289300214521</v>
      </c>
      <c r="EB14" s="233">
        <f t="shared" si="15"/>
        <v>2091.9291038094834</v>
      </c>
      <c r="EC14" s="233">
        <f t="shared" si="15"/>
        <v>2096.2381352514499</v>
      </c>
      <c r="ED14" s="233">
        <f t="shared" si="15"/>
        <v>2100.5560425926683</v>
      </c>
      <c r="EE14" s="233">
        <f t="shared" si="15"/>
        <v>2104.8828441160381</v>
      </c>
      <c r="EF14" s="233">
        <f t="shared" si="15"/>
        <v>2109.2185581421186</v>
      </c>
      <c r="EG14" s="233">
        <f t="shared" si="15"/>
        <v>2113.5632030292049</v>
      </c>
      <c r="EH14" s="233">
        <f t="shared" si="15"/>
        <v>2117.9167971734096</v>
      </c>
      <c r="EI14" s="233">
        <f t="shared" si="15"/>
        <v>2122.2793590087367</v>
      </c>
      <c r="EJ14" s="233">
        <f t="shared" si="15"/>
        <v>2126.6509070071615</v>
      </c>
      <c r="EK14" s="233">
        <f t="shared" si="15"/>
        <v>2131.0314596787089</v>
      </c>
    </row>
    <row r="15" spans="2:153" x14ac:dyDescent="0.45">
      <c r="B15" s="230">
        <f>Assumptions!B52</f>
        <v>7</v>
      </c>
      <c r="C15" s="230" t="str">
        <f>Assumptions!C52</f>
        <v>Fair Market</v>
      </c>
      <c r="D15" s="439">
        <f>Assumptions!D52</f>
        <v>2</v>
      </c>
      <c r="E15" s="22">
        <f>Assumptions!G52</f>
        <v>4</v>
      </c>
      <c r="F15" s="22">
        <f>IF(D15=1,E15+SUM(Assumptions!$G$142:$G$143),'Rent Roll Model'!E15)</f>
        <v>4</v>
      </c>
      <c r="G15" s="233">
        <f>Assumptions!I52</f>
        <v>1881</v>
      </c>
      <c r="H15" s="233">
        <f>Assumptions!J52</f>
        <v>2200</v>
      </c>
      <c r="J15" s="233">
        <f t="shared" si="3"/>
        <v>1881</v>
      </c>
      <c r="K15" s="233">
        <f t="shared" si="3"/>
        <v>1884.8745520235741</v>
      </c>
      <c r="L15" s="233">
        <f t="shared" si="3"/>
        <v>1888.7570849899359</v>
      </c>
      <c r="M15" s="233">
        <f t="shared" si="3"/>
        <v>2213.6229419163983</v>
      </c>
      <c r="N15" s="233">
        <f t="shared" si="3"/>
        <v>2218.1826427399137</v>
      </c>
      <c r="O15" s="233">
        <f t="shared" si="3"/>
        <v>2222.7517358005648</v>
      </c>
      <c r="P15" s="233">
        <f t="shared" si="3"/>
        <v>2227.3302404448227</v>
      </c>
      <c r="Q15" s="233">
        <f t="shared" si="3"/>
        <v>2231.9181760590086</v>
      </c>
      <c r="R15" s="233">
        <f t="shared" si="3"/>
        <v>2236.5155620693763</v>
      </c>
      <c r="S15" s="233">
        <f t="shared" si="3"/>
        <v>2241.1224179421947</v>
      </c>
      <c r="T15" s="233">
        <f t="shared" si="4"/>
        <v>2245.7387631838296</v>
      </c>
      <c r="U15" s="233">
        <f t="shared" si="4"/>
        <v>2250.3646173408274</v>
      </c>
      <c r="V15" s="233">
        <f t="shared" si="4"/>
        <v>2254.9999999999968</v>
      </c>
      <c r="W15" s="233">
        <f t="shared" si="4"/>
        <v>2259.6449307884923</v>
      </c>
      <c r="X15" s="233">
        <f t="shared" si="4"/>
        <v>2264.2994293738971</v>
      </c>
      <c r="Y15" s="233">
        <f t="shared" si="4"/>
        <v>2268.9635154643056</v>
      </c>
      <c r="Z15" s="233">
        <f t="shared" si="4"/>
        <v>2273.637208808409</v>
      </c>
      <c r="AA15" s="233">
        <f t="shared" si="4"/>
        <v>2278.3205291955765</v>
      </c>
      <c r="AB15" s="233">
        <f t="shared" si="4"/>
        <v>2283.0134964559406</v>
      </c>
      <c r="AC15" s="233">
        <f t="shared" si="4"/>
        <v>2287.7161304604811</v>
      </c>
      <c r="AD15" s="233">
        <f t="shared" si="5"/>
        <v>2292.4284511211076</v>
      </c>
      <c r="AE15" s="233">
        <f t="shared" si="5"/>
        <v>2297.1504783907467</v>
      </c>
      <c r="AF15" s="233">
        <f t="shared" si="5"/>
        <v>2301.8822322634223</v>
      </c>
      <c r="AG15" s="233">
        <f t="shared" si="5"/>
        <v>2306.6237327743456</v>
      </c>
      <c r="AH15" s="233">
        <f t="shared" si="5"/>
        <v>2311.3749999999941</v>
      </c>
      <c r="AI15" s="233">
        <f t="shared" si="5"/>
        <v>2316.1360540582018</v>
      </c>
      <c r="AJ15" s="233">
        <f t="shared" si="5"/>
        <v>2320.9069151082408</v>
      </c>
      <c r="AK15" s="233">
        <f t="shared" si="5"/>
        <v>2325.6876033509097</v>
      </c>
      <c r="AL15" s="233">
        <f t="shared" si="5"/>
        <v>2330.4781390286153</v>
      </c>
      <c r="AM15" s="233">
        <f t="shared" si="5"/>
        <v>2335.2785424254621</v>
      </c>
      <c r="AN15" s="233">
        <f t="shared" si="6"/>
        <v>2340.0888338673353</v>
      </c>
      <c r="AO15" s="233">
        <f t="shared" si="6"/>
        <v>2344.9090337219891</v>
      </c>
      <c r="AP15" s="233">
        <f t="shared" si="6"/>
        <v>2349.7391623991321</v>
      </c>
      <c r="AQ15" s="233">
        <f t="shared" si="6"/>
        <v>2354.5792403505111</v>
      </c>
      <c r="AR15" s="233">
        <f t="shared" si="6"/>
        <v>2359.4292880700041</v>
      </c>
      <c r="AS15" s="233">
        <f t="shared" si="6"/>
        <v>2364.2893260936999</v>
      </c>
      <c r="AT15" s="233">
        <f t="shared" si="6"/>
        <v>2369.1593749999902</v>
      </c>
      <c r="AU15" s="233">
        <f t="shared" si="6"/>
        <v>2374.0394554096529</v>
      </c>
      <c r="AV15" s="233">
        <f t="shared" si="6"/>
        <v>2378.9295879859433</v>
      </c>
      <c r="AW15" s="233">
        <f t="shared" si="6"/>
        <v>2383.8297934346788</v>
      </c>
      <c r="AX15" s="233">
        <f t="shared" si="7"/>
        <v>2388.7400925043271</v>
      </c>
      <c r="AY15" s="233">
        <f t="shared" si="7"/>
        <v>2393.6605059860949</v>
      </c>
      <c r="AZ15" s="233">
        <f t="shared" si="7"/>
        <v>2398.5910547140156</v>
      </c>
      <c r="BA15" s="233">
        <f t="shared" si="7"/>
        <v>2403.5317595650358</v>
      </c>
      <c r="BB15" s="233">
        <f t="shared" si="7"/>
        <v>2408.4826414591071</v>
      </c>
      <c r="BC15" s="233">
        <f t="shared" si="7"/>
        <v>2413.4437213592714</v>
      </c>
      <c r="BD15" s="233">
        <f t="shared" si="7"/>
        <v>2418.4150202717515</v>
      </c>
      <c r="BE15" s="233">
        <f t="shared" si="7"/>
        <v>2423.3965592460399</v>
      </c>
      <c r="BF15" s="233">
        <f t="shared" si="7"/>
        <v>2428.388359374987</v>
      </c>
      <c r="BG15" s="233">
        <f t="shared" si="7"/>
        <v>2433.3904417948911</v>
      </c>
      <c r="BH15" s="233">
        <f t="shared" si="8"/>
        <v>2438.4028276855893</v>
      </c>
      <c r="BI15" s="233">
        <f t="shared" si="8"/>
        <v>2443.4255382705433</v>
      </c>
      <c r="BJ15" s="233">
        <f t="shared" si="8"/>
        <v>2448.4585948169329</v>
      </c>
      <c r="BK15" s="233">
        <f t="shared" si="8"/>
        <v>2453.5020186357451</v>
      </c>
      <c r="BL15" s="233">
        <f t="shared" si="8"/>
        <v>2458.5558310818633</v>
      </c>
      <c r="BM15" s="233">
        <f t="shared" si="8"/>
        <v>2463.6200535541593</v>
      </c>
      <c r="BN15" s="233">
        <f t="shared" si="8"/>
        <v>2468.694707495582</v>
      </c>
      <c r="BO15" s="233">
        <f t="shared" si="8"/>
        <v>2473.7798143932505</v>
      </c>
      <c r="BP15" s="233">
        <f t="shared" si="8"/>
        <v>2478.8753957785425</v>
      </c>
      <c r="BQ15" s="233">
        <f t="shared" si="8"/>
        <v>2483.9814732271884</v>
      </c>
      <c r="BR15" s="233">
        <f t="shared" si="9"/>
        <v>2489.0980683593589</v>
      </c>
      <c r="BS15" s="233">
        <f t="shared" si="9"/>
        <v>2494.2252028397611</v>
      </c>
      <c r="BT15" s="233">
        <f t="shared" si="9"/>
        <v>2499.3628983777267</v>
      </c>
      <c r="BU15" s="233">
        <f t="shared" si="9"/>
        <v>2504.5111767273042</v>
      </c>
      <c r="BV15" s="233">
        <f t="shared" si="9"/>
        <v>2509.6700596873538</v>
      </c>
      <c r="BW15" s="233">
        <f t="shared" si="9"/>
        <v>2514.8395691016362</v>
      </c>
      <c r="BX15" s="233">
        <f t="shared" si="9"/>
        <v>2520.0197268589077</v>
      </c>
      <c r="BY15" s="233">
        <f t="shared" si="9"/>
        <v>2525.2105548930108</v>
      </c>
      <c r="BZ15" s="233">
        <f t="shared" si="9"/>
        <v>2530.4120751829691</v>
      </c>
      <c r="CA15" s="233">
        <f t="shared" si="9"/>
        <v>2535.6243097530787</v>
      </c>
      <c r="CB15" s="233">
        <f t="shared" si="10"/>
        <v>2540.8472806730028</v>
      </c>
      <c r="CC15" s="233">
        <f t="shared" si="10"/>
        <v>2546.0810100578642</v>
      </c>
      <c r="CD15" s="233">
        <f t="shared" si="10"/>
        <v>2551.3255200683393</v>
      </c>
      <c r="CE15" s="233">
        <f t="shared" si="10"/>
        <v>2556.5808329107513</v>
      </c>
      <c r="CF15" s="233">
        <f t="shared" si="10"/>
        <v>2561.8469708371658</v>
      </c>
      <c r="CG15" s="233">
        <f t="shared" si="10"/>
        <v>2567.1239561454831</v>
      </c>
      <c r="CH15" s="233">
        <f t="shared" si="10"/>
        <v>2572.4118111795333</v>
      </c>
      <c r="CI15" s="233">
        <f t="shared" si="10"/>
        <v>2577.7105583291727</v>
      </c>
      <c r="CJ15" s="233">
        <f t="shared" si="10"/>
        <v>2583.0202200303756</v>
      </c>
      <c r="CK15" s="233">
        <f t="shared" si="10"/>
        <v>2588.3408187653313</v>
      </c>
      <c r="CL15" s="233">
        <f t="shared" si="11"/>
        <v>2593.672377062539</v>
      </c>
      <c r="CM15" s="233">
        <f t="shared" si="11"/>
        <v>2599.0149174969015</v>
      </c>
      <c r="CN15" s="233">
        <f t="shared" si="11"/>
        <v>2604.3684626898239</v>
      </c>
      <c r="CO15" s="233">
        <f t="shared" si="11"/>
        <v>2609.7330353093071</v>
      </c>
      <c r="CP15" s="233">
        <f t="shared" si="11"/>
        <v>2615.1086580700439</v>
      </c>
      <c r="CQ15" s="233">
        <f t="shared" si="11"/>
        <v>2620.4953537335164</v>
      </c>
      <c r="CR15" s="233">
        <f t="shared" si="11"/>
        <v>2625.8931451080912</v>
      </c>
      <c r="CS15" s="233">
        <f t="shared" si="11"/>
        <v>2631.302055049116</v>
      </c>
      <c r="CT15" s="233">
        <f t="shared" si="11"/>
        <v>2636.7221064590181</v>
      </c>
      <c r="CU15" s="233">
        <f t="shared" si="11"/>
        <v>2642.1533222873986</v>
      </c>
      <c r="CV15" s="233">
        <f t="shared" si="12"/>
        <v>2647.5957255311318</v>
      </c>
      <c r="CW15" s="233">
        <f t="shared" si="12"/>
        <v>2653.0493392344615</v>
      </c>
      <c r="CX15" s="233">
        <f t="shared" si="12"/>
        <v>2658.5141864890988</v>
      </c>
      <c r="CY15" s="233">
        <f t="shared" si="12"/>
        <v>2663.9902904343207</v>
      </c>
      <c r="CZ15" s="233">
        <f t="shared" si="12"/>
        <v>2669.4776742570662</v>
      </c>
      <c r="DA15" s="233">
        <f t="shared" si="12"/>
        <v>2674.9763611920362</v>
      </c>
      <c r="DB15" s="233">
        <f t="shared" si="12"/>
        <v>2680.4863745217917</v>
      </c>
      <c r="DC15" s="233">
        <f t="shared" si="12"/>
        <v>2686.007737576851</v>
      </c>
      <c r="DD15" s="233">
        <f t="shared" si="12"/>
        <v>2691.5404737357899</v>
      </c>
      <c r="DE15" s="233">
        <f t="shared" si="12"/>
        <v>2697.0846064253406</v>
      </c>
      <c r="DF15" s="233">
        <f t="shared" si="13"/>
        <v>2702.6401591204899</v>
      </c>
      <c r="DG15" s="233">
        <f t="shared" si="13"/>
        <v>2708.2071553445803</v>
      </c>
      <c r="DH15" s="233">
        <f t="shared" si="13"/>
        <v>2713.7856186694066</v>
      </c>
      <c r="DI15" s="233">
        <f t="shared" si="13"/>
        <v>2719.3755727153193</v>
      </c>
      <c r="DJ15" s="233">
        <f t="shared" si="13"/>
        <v>2724.9770411513227</v>
      </c>
      <c r="DK15" s="233">
        <f t="shared" si="13"/>
        <v>2730.5900476951751</v>
      </c>
      <c r="DL15" s="233">
        <f t="shared" si="13"/>
        <v>2736.2146161134892</v>
      </c>
      <c r="DM15" s="233">
        <f t="shared" si="13"/>
        <v>2741.8507702218335</v>
      </c>
      <c r="DN15" s="233">
        <f t="shared" si="13"/>
        <v>2747.4985338848328</v>
      </c>
      <c r="DO15" s="233">
        <f t="shared" si="13"/>
        <v>2753.1579310162683</v>
      </c>
      <c r="DP15" s="233">
        <f t="shared" si="14"/>
        <v>2758.8289855791809</v>
      </c>
      <c r="DQ15" s="233">
        <f t="shared" si="14"/>
        <v>2764.51172158597</v>
      </c>
      <c r="DR15" s="233">
        <f t="shared" si="14"/>
        <v>2770.2061630984986</v>
      </c>
      <c r="DS15" s="233">
        <f t="shared" si="14"/>
        <v>2775.9123342281905</v>
      </c>
      <c r="DT15" s="233">
        <f t="shared" si="14"/>
        <v>2781.6302591361377</v>
      </c>
      <c r="DU15" s="233">
        <f t="shared" si="14"/>
        <v>2787.3599620331984</v>
      </c>
      <c r="DV15" s="233">
        <f t="shared" si="14"/>
        <v>2793.1014671801022</v>
      </c>
      <c r="DW15" s="233">
        <f t="shared" si="14"/>
        <v>2798.8547988875507</v>
      </c>
      <c r="DX15" s="233">
        <f t="shared" si="14"/>
        <v>2804.6199815163222</v>
      </c>
      <c r="DY15" s="233">
        <f t="shared" si="14"/>
        <v>2810.3970394773755</v>
      </c>
      <c r="DZ15" s="233">
        <f t="shared" si="15"/>
        <v>2816.1859972319498</v>
      </c>
      <c r="EA15" s="233">
        <f t="shared" si="15"/>
        <v>2821.9868792916714</v>
      </c>
      <c r="EB15" s="233">
        <f t="shared" si="15"/>
        <v>2827.7997102186569</v>
      </c>
      <c r="EC15" s="233">
        <f t="shared" si="15"/>
        <v>2833.624514625616</v>
      </c>
      <c r="ED15" s="233">
        <f t="shared" si="15"/>
        <v>2839.4613171759574</v>
      </c>
      <c r="EE15" s="233">
        <f t="shared" si="15"/>
        <v>2845.3101425838918</v>
      </c>
      <c r="EF15" s="233">
        <f t="shared" si="15"/>
        <v>2851.1710156145377</v>
      </c>
      <c r="EG15" s="233">
        <f t="shared" si="15"/>
        <v>2857.0439610840253</v>
      </c>
      <c r="EH15" s="233">
        <f t="shared" si="15"/>
        <v>2862.9290038596014</v>
      </c>
      <c r="EI15" s="233">
        <f t="shared" si="15"/>
        <v>2868.8261688597363</v>
      </c>
      <c r="EJ15" s="233">
        <f t="shared" si="15"/>
        <v>2874.7354810542274</v>
      </c>
      <c r="EK15" s="233">
        <f t="shared" si="15"/>
        <v>2880.6569654643067</v>
      </c>
    </row>
    <row r="16" spans="2:153" x14ac:dyDescent="0.45">
      <c r="B16" s="230">
        <f>Assumptions!B53</f>
        <v>8</v>
      </c>
      <c r="C16" s="230" t="str">
        <f>Assumptions!C53</f>
        <v>Fair Market</v>
      </c>
      <c r="D16" s="439">
        <f>Assumptions!D53</f>
        <v>1</v>
      </c>
      <c r="E16" s="22">
        <f>Assumptions!G53</f>
        <v>4</v>
      </c>
      <c r="F16" s="22">
        <f>IF(D16=1,E16+SUM(Assumptions!$G$142:$G$143),'Rent Roll Model'!E16)</f>
        <v>8</v>
      </c>
      <c r="G16" s="233">
        <f>Assumptions!I53</f>
        <v>1417.5</v>
      </c>
      <c r="H16" s="233">
        <f>Assumptions!J53</f>
        <v>2200</v>
      </c>
      <c r="J16" s="233">
        <f t="shared" si="3"/>
        <v>1417.5</v>
      </c>
      <c r="K16" s="233">
        <f t="shared" si="3"/>
        <v>1420.4198179125021</v>
      </c>
      <c r="L16" s="233">
        <f t="shared" si="3"/>
        <v>1423.3456501718417</v>
      </c>
      <c r="M16" s="233">
        <f t="shared" si="3"/>
        <v>0</v>
      </c>
      <c r="N16" s="233">
        <f t="shared" si="3"/>
        <v>0</v>
      </c>
      <c r="O16" s="233">
        <f t="shared" si="3"/>
        <v>0</v>
      </c>
      <c r="P16" s="233">
        <f t="shared" si="3"/>
        <v>0</v>
      </c>
      <c r="Q16" s="233">
        <f t="shared" si="3"/>
        <v>2231.9181760590086</v>
      </c>
      <c r="R16" s="233">
        <f t="shared" si="3"/>
        <v>2236.5155620693763</v>
      </c>
      <c r="S16" s="233">
        <f t="shared" si="3"/>
        <v>2241.1224179421947</v>
      </c>
      <c r="T16" s="233">
        <f t="shared" si="4"/>
        <v>2245.7387631838296</v>
      </c>
      <c r="U16" s="233">
        <f t="shared" si="4"/>
        <v>2250.3646173408274</v>
      </c>
      <c r="V16" s="233">
        <f t="shared" si="4"/>
        <v>2254.9999999999968</v>
      </c>
      <c r="W16" s="233">
        <f t="shared" si="4"/>
        <v>2259.6449307884923</v>
      </c>
      <c r="X16" s="233">
        <f t="shared" si="4"/>
        <v>2264.2994293738971</v>
      </c>
      <c r="Y16" s="233">
        <f t="shared" si="4"/>
        <v>2268.9635154643056</v>
      </c>
      <c r="Z16" s="233">
        <f t="shared" si="4"/>
        <v>2273.637208808409</v>
      </c>
      <c r="AA16" s="233">
        <f t="shared" si="4"/>
        <v>2278.3205291955765</v>
      </c>
      <c r="AB16" s="233">
        <f t="shared" si="4"/>
        <v>2283.0134964559406</v>
      </c>
      <c r="AC16" s="233">
        <f t="shared" si="4"/>
        <v>2287.7161304604811</v>
      </c>
      <c r="AD16" s="233">
        <f t="shared" si="5"/>
        <v>2292.4284511211076</v>
      </c>
      <c r="AE16" s="233">
        <f t="shared" si="5"/>
        <v>2297.1504783907467</v>
      </c>
      <c r="AF16" s="233">
        <f t="shared" si="5"/>
        <v>2301.8822322634223</v>
      </c>
      <c r="AG16" s="233">
        <f t="shared" si="5"/>
        <v>2306.6237327743456</v>
      </c>
      <c r="AH16" s="233">
        <f t="shared" si="5"/>
        <v>2311.3749999999941</v>
      </c>
      <c r="AI16" s="233">
        <f t="shared" si="5"/>
        <v>2316.1360540582018</v>
      </c>
      <c r="AJ16" s="233">
        <f t="shared" si="5"/>
        <v>2320.9069151082408</v>
      </c>
      <c r="AK16" s="233">
        <f t="shared" si="5"/>
        <v>2325.6876033509097</v>
      </c>
      <c r="AL16" s="233">
        <f t="shared" si="5"/>
        <v>2330.4781390286153</v>
      </c>
      <c r="AM16" s="233">
        <f t="shared" si="5"/>
        <v>2335.2785424254621</v>
      </c>
      <c r="AN16" s="233">
        <f t="shared" si="6"/>
        <v>2340.0888338673353</v>
      </c>
      <c r="AO16" s="233">
        <f t="shared" si="6"/>
        <v>2344.9090337219891</v>
      </c>
      <c r="AP16" s="233">
        <f t="shared" si="6"/>
        <v>2349.7391623991321</v>
      </c>
      <c r="AQ16" s="233">
        <f t="shared" si="6"/>
        <v>2354.5792403505111</v>
      </c>
      <c r="AR16" s="233">
        <f t="shared" si="6"/>
        <v>2359.4292880700041</v>
      </c>
      <c r="AS16" s="233">
        <f t="shared" si="6"/>
        <v>2364.2893260936999</v>
      </c>
      <c r="AT16" s="233">
        <f t="shared" si="6"/>
        <v>2369.1593749999902</v>
      </c>
      <c r="AU16" s="233">
        <f t="shared" si="6"/>
        <v>2374.0394554096529</v>
      </c>
      <c r="AV16" s="233">
        <f t="shared" si="6"/>
        <v>2378.9295879859433</v>
      </c>
      <c r="AW16" s="233">
        <f t="shared" si="6"/>
        <v>2383.8297934346788</v>
      </c>
      <c r="AX16" s="233">
        <f t="shared" si="7"/>
        <v>2388.7400925043271</v>
      </c>
      <c r="AY16" s="233">
        <f t="shared" si="7"/>
        <v>2393.6605059860949</v>
      </c>
      <c r="AZ16" s="233">
        <f t="shared" si="7"/>
        <v>2398.5910547140156</v>
      </c>
      <c r="BA16" s="233">
        <f t="shared" si="7"/>
        <v>2403.5317595650358</v>
      </c>
      <c r="BB16" s="233">
        <f t="shared" si="7"/>
        <v>2408.4826414591071</v>
      </c>
      <c r="BC16" s="233">
        <f t="shared" si="7"/>
        <v>2413.4437213592714</v>
      </c>
      <c r="BD16" s="233">
        <f t="shared" si="7"/>
        <v>2418.4150202717515</v>
      </c>
      <c r="BE16" s="233">
        <f t="shared" si="7"/>
        <v>2423.3965592460399</v>
      </c>
      <c r="BF16" s="233">
        <f t="shared" si="7"/>
        <v>2428.388359374987</v>
      </c>
      <c r="BG16" s="233">
        <f t="shared" si="7"/>
        <v>2433.3904417948911</v>
      </c>
      <c r="BH16" s="233">
        <f t="shared" si="8"/>
        <v>2438.4028276855893</v>
      </c>
      <c r="BI16" s="233">
        <f t="shared" si="8"/>
        <v>2443.4255382705433</v>
      </c>
      <c r="BJ16" s="233">
        <f t="shared" si="8"/>
        <v>2448.4585948169329</v>
      </c>
      <c r="BK16" s="233">
        <f t="shared" si="8"/>
        <v>2453.5020186357451</v>
      </c>
      <c r="BL16" s="233">
        <f t="shared" si="8"/>
        <v>2458.5558310818633</v>
      </c>
      <c r="BM16" s="233">
        <f t="shared" si="8"/>
        <v>2463.6200535541593</v>
      </c>
      <c r="BN16" s="233">
        <f t="shared" si="8"/>
        <v>2468.694707495582</v>
      </c>
      <c r="BO16" s="233">
        <f t="shared" si="8"/>
        <v>2473.7798143932505</v>
      </c>
      <c r="BP16" s="233">
        <f t="shared" si="8"/>
        <v>2478.8753957785425</v>
      </c>
      <c r="BQ16" s="233">
        <f t="shared" si="8"/>
        <v>2483.9814732271884</v>
      </c>
      <c r="BR16" s="233">
        <f t="shared" si="9"/>
        <v>2489.0980683593589</v>
      </c>
      <c r="BS16" s="233">
        <f t="shared" si="9"/>
        <v>2494.2252028397611</v>
      </c>
      <c r="BT16" s="233">
        <f t="shared" si="9"/>
        <v>2499.3628983777267</v>
      </c>
      <c r="BU16" s="233">
        <f t="shared" si="9"/>
        <v>2504.5111767273042</v>
      </c>
      <c r="BV16" s="233">
        <f t="shared" si="9"/>
        <v>2509.6700596873538</v>
      </c>
      <c r="BW16" s="233">
        <f t="shared" si="9"/>
        <v>2514.8395691016362</v>
      </c>
      <c r="BX16" s="233">
        <f t="shared" si="9"/>
        <v>2520.0197268589077</v>
      </c>
      <c r="BY16" s="233">
        <f t="shared" si="9"/>
        <v>2525.2105548930108</v>
      </c>
      <c r="BZ16" s="233">
        <f t="shared" si="9"/>
        <v>2530.4120751829691</v>
      </c>
      <c r="CA16" s="233">
        <f t="shared" si="9"/>
        <v>2535.6243097530787</v>
      </c>
      <c r="CB16" s="233">
        <f t="shared" si="10"/>
        <v>2540.8472806730028</v>
      </c>
      <c r="CC16" s="233">
        <f t="shared" si="10"/>
        <v>2546.0810100578642</v>
      </c>
      <c r="CD16" s="233">
        <f t="shared" si="10"/>
        <v>2551.3255200683393</v>
      </c>
      <c r="CE16" s="233">
        <f t="shared" si="10"/>
        <v>2556.5808329107513</v>
      </c>
      <c r="CF16" s="233">
        <f t="shared" si="10"/>
        <v>2561.8469708371658</v>
      </c>
      <c r="CG16" s="233">
        <f t="shared" si="10"/>
        <v>2567.1239561454831</v>
      </c>
      <c r="CH16" s="233">
        <f t="shared" si="10"/>
        <v>2572.4118111795333</v>
      </c>
      <c r="CI16" s="233">
        <f t="shared" si="10"/>
        <v>2577.7105583291727</v>
      </c>
      <c r="CJ16" s="233">
        <f t="shared" si="10"/>
        <v>2583.0202200303756</v>
      </c>
      <c r="CK16" s="233">
        <f t="shared" si="10"/>
        <v>2588.3408187653313</v>
      </c>
      <c r="CL16" s="233">
        <f t="shared" si="11"/>
        <v>2593.672377062539</v>
      </c>
      <c r="CM16" s="233">
        <f t="shared" si="11"/>
        <v>2599.0149174969015</v>
      </c>
      <c r="CN16" s="233">
        <f t="shared" si="11"/>
        <v>2604.3684626898239</v>
      </c>
      <c r="CO16" s="233">
        <f t="shared" si="11"/>
        <v>2609.7330353093071</v>
      </c>
      <c r="CP16" s="233">
        <f t="shared" si="11"/>
        <v>2615.1086580700439</v>
      </c>
      <c r="CQ16" s="233">
        <f t="shared" si="11"/>
        <v>2620.4953537335164</v>
      </c>
      <c r="CR16" s="233">
        <f t="shared" si="11"/>
        <v>2625.8931451080912</v>
      </c>
      <c r="CS16" s="233">
        <f t="shared" si="11"/>
        <v>2631.302055049116</v>
      </c>
      <c r="CT16" s="233">
        <f t="shared" si="11"/>
        <v>2636.7221064590181</v>
      </c>
      <c r="CU16" s="233">
        <f t="shared" si="11"/>
        <v>2642.1533222873986</v>
      </c>
      <c r="CV16" s="233">
        <f t="shared" si="12"/>
        <v>2647.5957255311318</v>
      </c>
      <c r="CW16" s="233">
        <f t="shared" si="12"/>
        <v>2653.0493392344615</v>
      </c>
      <c r="CX16" s="233">
        <f t="shared" si="12"/>
        <v>2658.5141864890988</v>
      </c>
      <c r="CY16" s="233">
        <f t="shared" si="12"/>
        <v>2663.9902904343207</v>
      </c>
      <c r="CZ16" s="233">
        <f t="shared" si="12"/>
        <v>2669.4776742570662</v>
      </c>
      <c r="DA16" s="233">
        <f t="shared" si="12"/>
        <v>2674.9763611920362</v>
      </c>
      <c r="DB16" s="233">
        <f t="shared" si="12"/>
        <v>2680.4863745217917</v>
      </c>
      <c r="DC16" s="233">
        <f t="shared" si="12"/>
        <v>2686.007737576851</v>
      </c>
      <c r="DD16" s="233">
        <f t="shared" si="12"/>
        <v>2691.5404737357899</v>
      </c>
      <c r="DE16" s="233">
        <f t="shared" si="12"/>
        <v>2697.0846064253406</v>
      </c>
      <c r="DF16" s="233">
        <f t="shared" si="13"/>
        <v>2702.6401591204899</v>
      </c>
      <c r="DG16" s="233">
        <f t="shared" si="13"/>
        <v>2708.2071553445803</v>
      </c>
      <c r="DH16" s="233">
        <f t="shared" si="13"/>
        <v>2713.7856186694066</v>
      </c>
      <c r="DI16" s="233">
        <f t="shared" si="13"/>
        <v>2719.3755727153193</v>
      </c>
      <c r="DJ16" s="233">
        <f t="shared" si="13"/>
        <v>2724.9770411513227</v>
      </c>
      <c r="DK16" s="233">
        <f t="shared" si="13"/>
        <v>2730.5900476951751</v>
      </c>
      <c r="DL16" s="233">
        <f t="shared" si="13"/>
        <v>2736.2146161134892</v>
      </c>
      <c r="DM16" s="233">
        <f t="shared" si="13"/>
        <v>2741.8507702218335</v>
      </c>
      <c r="DN16" s="233">
        <f t="shared" si="13"/>
        <v>2747.4985338848328</v>
      </c>
      <c r="DO16" s="233">
        <f t="shared" si="13"/>
        <v>2753.1579310162683</v>
      </c>
      <c r="DP16" s="233">
        <f t="shared" si="14"/>
        <v>2758.8289855791809</v>
      </c>
      <c r="DQ16" s="233">
        <f t="shared" si="14"/>
        <v>2764.51172158597</v>
      </c>
      <c r="DR16" s="233">
        <f t="shared" si="14"/>
        <v>2770.2061630984986</v>
      </c>
      <c r="DS16" s="233">
        <f t="shared" si="14"/>
        <v>2775.9123342281905</v>
      </c>
      <c r="DT16" s="233">
        <f t="shared" si="14"/>
        <v>2781.6302591361377</v>
      </c>
      <c r="DU16" s="233">
        <f t="shared" si="14"/>
        <v>2787.3599620331984</v>
      </c>
      <c r="DV16" s="233">
        <f t="shared" si="14"/>
        <v>2793.1014671801022</v>
      </c>
      <c r="DW16" s="233">
        <f t="shared" si="14"/>
        <v>2798.8547988875507</v>
      </c>
      <c r="DX16" s="233">
        <f t="shared" si="14"/>
        <v>2804.6199815163222</v>
      </c>
      <c r="DY16" s="233">
        <f t="shared" si="14"/>
        <v>2810.3970394773755</v>
      </c>
      <c r="DZ16" s="233">
        <f t="shared" si="15"/>
        <v>2816.1859972319498</v>
      </c>
      <c r="EA16" s="233">
        <f t="shared" si="15"/>
        <v>2821.9868792916714</v>
      </c>
      <c r="EB16" s="233">
        <f t="shared" si="15"/>
        <v>2827.7997102186569</v>
      </c>
      <c r="EC16" s="233">
        <f t="shared" si="15"/>
        <v>2833.624514625616</v>
      </c>
      <c r="ED16" s="233">
        <f t="shared" si="15"/>
        <v>2839.4613171759574</v>
      </c>
      <c r="EE16" s="233">
        <f t="shared" si="15"/>
        <v>2845.3101425838918</v>
      </c>
      <c r="EF16" s="233">
        <f t="shared" si="15"/>
        <v>2851.1710156145377</v>
      </c>
      <c r="EG16" s="233">
        <f t="shared" si="15"/>
        <v>2857.0439610840253</v>
      </c>
      <c r="EH16" s="233">
        <f t="shared" si="15"/>
        <v>2862.9290038596014</v>
      </c>
      <c r="EI16" s="233">
        <f t="shared" si="15"/>
        <v>2868.8261688597363</v>
      </c>
      <c r="EJ16" s="233">
        <f t="shared" si="15"/>
        <v>2874.7354810542274</v>
      </c>
      <c r="EK16" s="233">
        <f t="shared" si="15"/>
        <v>2880.6569654643067</v>
      </c>
    </row>
    <row r="17" spans="2:141" x14ac:dyDescent="0.45">
      <c r="B17" s="230">
        <f>Assumptions!B54</f>
        <v>9</v>
      </c>
      <c r="C17" s="230" t="str">
        <f>Assumptions!C54</f>
        <v>Fair Market</v>
      </c>
      <c r="D17" s="439">
        <f>Assumptions!D54</f>
        <v>1</v>
      </c>
      <c r="E17" s="22">
        <f>Assumptions!G54</f>
        <v>4</v>
      </c>
      <c r="F17" s="22">
        <f>IF(D17=1,E17+SUM(Assumptions!$G$142:$G$143),'Rent Roll Model'!E17)</f>
        <v>8</v>
      </c>
      <c r="G17" s="233">
        <f>Assumptions!I54</f>
        <v>1650</v>
      </c>
      <c r="H17" s="233">
        <f>Assumptions!J54</f>
        <v>2200</v>
      </c>
      <c r="J17" s="233">
        <f t="shared" si="3"/>
        <v>1650</v>
      </c>
      <c r="K17" s="233">
        <f t="shared" si="3"/>
        <v>1653.3987298452405</v>
      </c>
      <c r="L17" s="233">
        <f t="shared" si="3"/>
        <v>1656.8044605174875</v>
      </c>
      <c r="M17" s="233">
        <f t="shared" si="3"/>
        <v>0</v>
      </c>
      <c r="N17" s="233">
        <f t="shared" si="3"/>
        <v>0</v>
      </c>
      <c r="O17" s="233">
        <f t="shared" si="3"/>
        <v>0</v>
      </c>
      <c r="P17" s="233">
        <f t="shared" si="3"/>
        <v>0</v>
      </c>
      <c r="Q17" s="233">
        <f t="shared" si="3"/>
        <v>2231.9181760590086</v>
      </c>
      <c r="R17" s="233">
        <f t="shared" si="3"/>
        <v>2236.5155620693763</v>
      </c>
      <c r="S17" s="233">
        <f t="shared" si="3"/>
        <v>2241.1224179421947</v>
      </c>
      <c r="T17" s="233">
        <f t="shared" si="4"/>
        <v>2245.7387631838296</v>
      </c>
      <c r="U17" s="233">
        <f t="shared" si="4"/>
        <v>2250.3646173408274</v>
      </c>
      <c r="V17" s="233">
        <f t="shared" si="4"/>
        <v>2254.9999999999968</v>
      </c>
      <c r="W17" s="233">
        <f t="shared" si="4"/>
        <v>2259.6449307884923</v>
      </c>
      <c r="X17" s="233">
        <f t="shared" si="4"/>
        <v>2264.2994293738971</v>
      </c>
      <c r="Y17" s="233">
        <f t="shared" si="4"/>
        <v>2268.9635154643056</v>
      </c>
      <c r="Z17" s="233">
        <f t="shared" si="4"/>
        <v>2273.637208808409</v>
      </c>
      <c r="AA17" s="233">
        <f t="shared" si="4"/>
        <v>2278.3205291955765</v>
      </c>
      <c r="AB17" s="233">
        <f t="shared" si="4"/>
        <v>2283.0134964559406</v>
      </c>
      <c r="AC17" s="233">
        <f t="shared" si="4"/>
        <v>2287.7161304604811</v>
      </c>
      <c r="AD17" s="233">
        <f t="shared" si="5"/>
        <v>2292.4284511211076</v>
      </c>
      <c r="AE17" s="233">
        <f t="shared" si="5"/>
        <v>2297.1504783907467</v>
      </c>
      <c r="AF17" s="233">
        <f t="shared" si="5"/>
        <v>2301.8822322634223</v>
      </c>
      <c r="AG17" s="233">
        <f t="shared" si="5"/>
        <v>2306.6237327743456</v>
      </c>
      <c r="AH17" s="233">
        <f t="shared" si="5"/>
        <v>2311.3749999999941</v>
      </c>
      <c r="AI17" s="233">
        <f t="shared" si="5"/>
        <v>2316.1360540582018</v>
      </c>
      <c r="AJ17" s="233">
        <f t="shared" si="5"/>
        <v>2320.9069151082408</v>
      </c>
      <c r="AK17" s="233">
        <f t="shared" si="5"/>
        <v>2325.6876033509097</v>
      </c>
      <c r="AL17" s="233">
        <f t="shared" si="5"/>
        <v>2330.4781390286153</v>
      </c>
      <c r="AM17" s="233">
        <f t="shared" si="5"/>
        <v>2335.2785424254621</v>
      </c>
      <c r="AN17" s="233">
        <f t="shared" si="6"/>
        <v>2340.0888338673353</v>
      </c>
      <c r="AO17" s="233">
        <f t="shared" si="6"/>
        <v>2344.9090337219891</v>
      </c>
      <c r="AP17" s="233">
        <f t="shared" si="6"/>
        <v>2349.7391623991321</v>
      </c>
      <c r="AQ17" s="233">
        <f t="shared" si="6"/>
        <v>2354.5792403505111</v>
      </c>
      <c r="AR17" s="233">
        <f t="shared" si="6"/>
        <v>2359.4292880700041</v>
      </c>
      <c r="AS17" s="233">
        <f t="shared" si="6"/>
        <v>2364.2893260936999</v>
      </c>
      <c r="AT17" s="233">
        <f t="shared" si="6"/>
        <v>2369.1593749999902</v>
      </c>
      <c r="AU17" s="233">
        <f t="shared" si="6"/>
        <v>2374.0394554096529</v>
      </c>
      <c r="AV17" s="233">
        <f t="shared" si="6"/>
        <v>2378.9295879859433</v>
      </c>
      <c r="AW17" s="233">
        <f t="shared" si="6"/>
        <v>2383.8297934346788</v>
      </c>
      <c r="AX17" s="233">
        <f t="shared" si="7"/>
        <v>2388.7400925043271</v>
      </c>
      <c r="AY17" s="233">
        <f t="shared" si="7"/>
        <v>2393.6605059860949</v>
      </c>
      <c r="AZ17" s="233">
        <f t="shared" si="7"/>
        <v>2398.5910547140156</v>
      </c>
      <c r="BA17" s="233">
        <f t="shared" si="7"/>
        <v>2403.5317595650358</v>
      </c>
      <c r="BB17" s="233">
        <f t="shared" si="7"/>
        <v>2408.4826414591071</v>
      </c>
      <c r="BC17" s="233">
        <f t="shared" si="7"/>
        <v>2413.4437213592714</v>
      </c>
      <c r="BD17" s="233">
        <f t="shared" si="7"/>
        <v>2418.4150202717515</v>
      </c>
      <c r="BE17" s="233">
        <f t="shared" si="7"/>
        <v>2423.3965592460399</v>
      </c>
      <c r="BF17" s="233">
        <f t="shared" si="7"/>
        <v>2428.388359374987</v>
      </c>
      <c r="BG17" s="233">
        <f t="shared" si="7"/>
        <v>2433.3904417948911</v>
      </c>
      <c r="BH17" s="233">
        <f t="shared" si="8"/>
        <v>2438.4028276855893</v>
      </c>
      <c r="BI17" s="233">
        <f t="shared" si="8"/>
        <v>2443.4255382705433</v>
      </c>
      <c r="BJ17" s="233">
        <f t="shared" si="8"/>
        <v>2448.4585948169329</v>
      </c>
      <c r="BK17" s="233">
        <f t="shared" si="8"/>
        <v>2453.5020186357451</v>
      </c>
      <c r="BL17" s="233">
        <f t="shared" si="8"/>
        <v>2458.5558310818633</v>
      </c>
      <c r="BM17" s="233">
        <f t="shared" si="8"/>
        <v>2463.6200535541593</v>
      </c>
      <c r="BN17" s="233">
        <f t="shared" si="8"/>
        <v>2468.694707495582</v>
      </c>
      <c r="BO17" s="233">
        <f t="shared" si="8"/>
        <v>2473.7798143932505</v>
      </c>
      <c r="BP17" s="233">
        <f t="shared" si="8"/>
        <v>2478.8753957785425</v>
      </c>
      <c r="BQ17" s="233">
        <f t="shared" si="8"/>
        <v>2483.9814732271884</v>
      </c>
      <c r="BR17" s="233">
        <f t="shared" si="9"/>
        <v>2489.0980683593589</v>
      </c>
      <c r="BS17" s="233">
        <f t="shared" si="9"/>
        <v>2494.2252028397611</v>
      </c>
      <c r="BT17" s="233">
        <f t="shared" si="9"/>
        <v>2499.3628983777267</v>
      </c>
      <c r="BU17" s="233">
        <f t="shared" si="9"/>
        <v>2504.5111767273042</v>
      </c>
      <c r="BV17" s="233">
        <f t="shared" si="9"/>
        <v>2509.6700596873538</v>
      </c>
      <c r="BW17" s="233">
        <f t="shared" si="9"/>
        <v>2514.8395691016362</v>
      </c>
      <c r="BX17" s="233">
        <f t="shared" si="9"/>
        <v>2520.0197268589077</v>
      </c>
      <c r="BY17" s="233">
        <f t="shared" si="9"/>
        <v>2525.2105548930108</v>
      </c>
      <c r="BZ17" s="233">
        <f t="shared" si="9"/>
        <v>2530.4120751829691</v>
      </c>
      <c r="CA17" s="233">
        <f t="shared" si="9"/>
        <v>2535.6243097530787</v>
      </c>
      <c r="CB17" s="233">
        <f t="shared" si="10"/>
        <v>2540.8472806730028</v>
      </c>
      <c r="CC17" s="233">
        <f t="shared" si="10"/>
        <v>2546.0810100578642</v>
      </c>
      <c r="CD17" s="233">
        <f t="shared" si="10"/>
        <v>2551.3255200683393</v>
      </c>
      <c r="CE17" s="233">
        <f t="shared" si="10"/>
        <v>2556.5808329107513</v>
      </c>
      <c r="CF17" s="233">
        <f t="shared" si="10"/>
        <v>2561.8469708371658</v>
      </c>
      <c r="CG17" s="233">
        <f t="shared" si="10"/>
        <v>2567.1239561454831</v>
      </c>
      <c r="CH17" s="233">
        <f t="shared" si="10"/>
        <v>2572.4118111795333</v>
      </c>
      <c r="CI17" s="233">
        <f t="shared" si="10"/>
        <v>2577.7105583291727</v>
      </c>
      <c r="CJ17" s="233">
        <f t="shared" si="10"/>
        <v>2583.0202200303756</v>
      </c>
      <c r="CK17" s="233">
        <f t="shared" si="10"/>
        <v>2588.3408187653313</v>
      </c>
      <c r="CL17" s="233">
        <f t="shared" si="11"/>
        <v>2593.672377062539</v>
      </c>
      <c r="CM17" s="233">
        <f t="shared" si="11"/>
        <v>2599.0149174969015</v>
      </c>
      <c r="CN17" s="233">
        <f t="shared" si="11"/>
        <v>2604.3684626898239</v>
      </c>
      <c r="CO17" s="233">
        <f t="shared" si="11"/>
        <v>2609.7330353093071</v>
      </c>
      <c r="CP17" s="233">
        <f t="shared" si="11"/>
        <v>2615.1086580700439</v>
      </c>
      <c r="CQ17" s="233">
        <f t="shared" si="11"/>
        <v>2620.4953537335164</v>
      </c>
      <c r="CR17" s="233">
        <f t="shared" si="11"/>
        <v>2625.8931451080912</v>
      </c>
      <c r="CS17" s="233">
        <f t="shared" si="11"/>
        <v>2631.302055049116</v>
      </c>
      <c r="CT17" s="233">
        <f t="shared" si="11"/>
        <v>2636.7221064590181</v>
      </c>
      <c r="CU17" s="233">
        <f t="shared" si="11"/>
        <v>2642.1533222873986</v>
      </c>
      <c r="CV17" s="233">
        <f t="shared" si="12"/>
        <v>2647.5957255311318</v>
      </c>
      <c r="CW17" s="233">
        <f t="shared" si="12"/>
        <v>2653.0493392344615</v>
      </c>
      <c r="CX17" s="233">
        <f t="shared" si="12"/>
        <v>2658.5141864890988</v>
      </c>
      <c r="CY17" s="233">
        <f t="shared" si="12"/>
        <v>2663.9902904343207</v>
      </c>
      <c r="CZ17" s="233">
        <f t="shared" si="12"/>
        <v>2669.4776742570662</v>
      </c>
      <c r="DA17" s="233">
        <f t="shared" si="12"/>
        <v>2674.9763611920362</v>
      </c>
      <c r="DB17" s="233">
        <f t="shared" si="12"/>
        <v>2680.4863745217917</v>
      </c>
      <c r="DC17" s="233">
        <f t="shared" si="12"/>
        <v>2686.007737576851</v>
      </c>
      <c r="DD17" s="233">
        <f t="shared" si="12"/>
        <v>2691.5404737357899</v>
      </c>
      <c r="DE17" s="233">
        <f t="shared" si="12"/>
        <v>2697.0846064253406</v>
      </c>
      <c r="DF17" s="233">
        <f t="shared" si="13"/>
        <v>2702.6401591204899</v>
      </c>
      <c r="DG17" s="233">
        <f t="shared" si="13"/>
        <v>2708.2071553445803</v>
      </c>
      <c r="DH17" s="233">
        <f t="shared" si="13"/>
        <v>2713.7856186694066</v>
      </c>
      <c r="DI17" s="233">
        <f t="shared" si="13"/>
        <v>2719.3755727153193</v>
      </c>
      <c r="DJ17" s="233">
        <f t="shared" si="13"/>
        <v>2724.9770411513227</v>
      </c>
      <c r="DK17" s="233">
        <f t="shared" si="13"/>
        <v>2730.5900476951751</v>
      </c>
      <c r="DL17" s="233">
        <f t="shared" si="13"/>
        <v>2736.2146161134892</v>
      </c>
      <c r="DM17" s="233">
        <f t="shared" si="13"/>
        <v>2741.8507702218335</v>
      </c>
      <c r="DN17" s="233">
        <f t="shared" si="13"/>
        <v>2747.4985338848328</v>
      </c>
      <c r="DO17" s="233">
        <f t="shared" si="13"/>
        <v>2753.1579310162683</v>
      </c>
      <c r="DP17" s="233">
        <f t="shared" si="14"/>
        <v>2758.8289855791809</v>
      </c>
      <c r="DQ17" s="233">
        <f t="shared" si="14"/>
        <v>2764.51172158597</v>
      </c>
      <c r="DR17" s="233">
        <f t="shared" si="14"/>
        <v>2770.2061630984986</v>
      </c>
      <c r="DS17" s="233">
        <f t="shared" si="14"/>
        <v>2775.9123342281905</v>
      </c>
      <c r="DT17" s="233">
        <f t="shared" si="14"/>
        <v>2781.6302591361377</v>
      </c>
      <c r="DU17" s="233">
        <f t="shared" si="14"/>
        <v>2787.3599620331984</v>
      </c>
      <c r="DV17" s="233">
        <f t="shared" si="14"/>
        <v>2793.1014671801022</v>
      </c>
      <c r="DW17" s="233">
        <f t="shared" si="14"/>
        <v>2798.8547988875507</v>
      </c>
      <c r="DX17" s="233">
        <f t="shared" si="14"/>
        <v>2804.6199815163222</v>
      </c>
      <c r="DY17" s="233">
        <f t="shared" si="14"/>
        <v>2810.3970394773755</v>
      </c>
      <c r="DZ17" s="233">
        <f t="shared" si="15"/>
        <v>2816.1859972319498</v>
      </c>
      <c r="EA17" s="233">
        <f t="shared" si="15"/>
        <v>2821.9868792916714</v>
      </c>
      <c r="EB17" s="233">
        <f t="shared" si="15"/>
        <v>2827.7997102186569</v>
      </c>
      <c r="EC17" s="233">
        <f t="shared" si="15"/>
        <v>2833.624514625616</v>
      </c>
      <c r="ED17" s="233">
        <f t="shared" si="15"/>
        <v>2839.4613171759574</v>
      </c>
      <c r="EE17" s="233">
        <f t="shared" si="15"/>
        <v>2845.3101425838918</v>
      </c>
      <c r="EF17" s="233">
        <f t="shared" si="15"/>
        <v>2851.1710156145377</v>
      </c>
      <c r="EG17" s="233">
        <f t="shared" si="15"/>
        <v>2857.0439610840253</v>
      </c>
      <c r="EH17" s="233">
        <f t="shared" si="15"/>
        <v>2862.9290038596014</v>
      </c>
      <c r="EI17" s="233">
        <f t="shared" si="15"/>
        <v>2868.8261688597363</v>
      </c>
      <c r="EJ17" s="233">
        <f t="shared" si="15"/>
        <v>2874.7354810542274</v>
      </c>
      <c r="EK17" s="233">
        <f t="shared" si="15"/>
        <v>2880.6569654643067</v>
      </c>
    </row>
    <row r="18" spans="2:141" x14ac:dyDescent="0.45">
      <c r="B18" s="230">
        <f>Assumptions!B55</f>
        <v>10</v>
      </c>
      <c r="C18" s="230" t="str">
        <f>Assumptions!C55</f>
        <v>Fair Market</v>
      </c>
      <c r="D18" s="439">
        <f>Assumptions!D55</f>
        <v>1</v>
      </c>
      <c r="E18" s="22">
        <f>Assumptions!G55</f>
        <v>5</v>
      </c>
      <c r="F18" s="22">
        <f>IF(D18=1,E18+SUM(Assumptions!$G$142:$G$143),'Rent Roll Model'!E18)</f>
        <v>9</v>
      </c>
      <c r="G18" s="233">
        <f>Assumptions!I55</f>
        <v>1391.18</v>
      </c>
      <c r="H18" s="233">
        <f>Assumptions!J55</f>
        <v>2200</v>
      </c>
      <c r="J18" s="233">
        <f t="shared" si="3"/>
        <v>1391.18</v>
      </c>
      <c r="K18" s="233">
        <f t="shared" si="3"/>
        <v>1394.04560302188</v>
      </c>
      <c r="L18" s="233">
        <f t="shared" si="3"/>
        <v>1396.917108716799</v>
      </c>
      <c r="M18" s="233">
        <f t="shared" si="3"/>
        <v>1399.7945292432978</v>
      </c>
      <c r="N18" s="233">
        <f t="shared" si="3"/>
        <v>0</v>
      </c>
      <c r="O18" s="233">
        <f t="shared" si="3"/>
        <v>0</v>
      </c>
      <c r="P18" s="233">
        <f t="shared" si="3"/>
        <v>0</v>
      </c>
      <c r="Q18" s="233">
        <f t="shared" si="3"/>
        <v>0</v>
      </c>
      <c r="R18" s="233">
        <f t="shared" si="3"/>
        <v>2236.5155620693763</v>
      </c>
      <c r="S18" s="233">
        <f t="shared" si="3"/>
        <v>2241.1224179421947</v>
      </c>
      <c r="T18" s="233">
        <f t="shared" si="4"/>
        <v>2245.7387631838296</v>
      </c>
      <c r="U18" s="233">
        <f t="shared" si="4"/>
        <v>2250.3646173408274</v>
      </c>
      <c r="V18" s="233">
        <f t="shared" si="4"/>
        <v>2254.9999999999968</v>
      </c>
      <c r="W18" s="233">
        <f t="shared" si="4"/>
        <v>2259.6449307884923</v>
      </c>
      <c r="X18" s="233">
        <f t="shared" si="4"/>
        <v>2264.2994293738971</v>
      </c>
      <c r="Y18" s="233">
        <f t="shared" si="4"/>
        <v>2268.9635154643056</v>
      </c>
      <c r="Z18" s="233">
        <f t="shared" si="4"/>
        <v>2273.637208808409</v>
      </c>
      <c r="AA18" s="233">
        <f t="shared" si="4"/>
        <v>2278.3205291955765</v>
      </c>
      <c r="AB18" s="233">
        <f t="shared" si="4"/>
        <v>2283.0134964559406</v>
      </c>
      <c r="AC18" s="233">
        <f t="shared" si="4"/>
        <v>2287.7161304604811</v>
      </c>
      <c r="AD18" s="233">
        <f t="shared" si="5"/>
        <v>2292.4284511211076</v>
      </c>
      <c r="AE18" s="233">
        <f t="shared" si="5"/>
        <v>2297.1504783907467</v>
      </c>
      <c r="AF18" s="233">
        <f t="shared" si="5"/>
        <v>2301.8822322634223</v>
      </c>
      <c r="AG18" s="233">
        <f t="shared" si="5"/>
        <v>2306.6237327743456</v>
      </c>
      <c r="AH18" s="233">
        <f t="shared" si="5"/>
        <v>2311.3749999999941</v>
      </c>
      <c r="AI18" s="233">
        <f t="shared" si="5"/>
        <v>2316.1360540582018</v>
      </c>
      <c r="AJ18" s="233">
        <f t="shared" si="5"/>
        <v>2320.9069151082408</v>
      </c>
      <c r="AK18" s="233">
        <f t="shared" si="5"/>
        <v>2325.6876033509097</v>
      </c>
      <c r="AL18" s="233">
        <f t="shared" si="5"/>
        <v>2330.4781390286153</v>
      </c>
      <c r="AM18" s="233">
        <f t="shared" si="5"/>
        <v>2335.2785424254621</v>
      </c>
      <c r="AN18" s="233">
        <f t="shared" si="6"/>
        <v>2340.0888338673353</v>
      </c>
      <c r="AO18" s="233">
        <f t="shared" si="6"/>
        <v>2344.9090337219891</v>
      </c>
      <c r="AP18" s="233">
        <f t="shared" si="6"/>
        <v>2349.7391623991321</v>
      </c>
      <c r="AQ18" s="233">
        <f t="shared" si="6"/>
        <v>2354.5792403505111</v>
      </c>
      <c r="AR18" s="233">
        <f t="shared" si="6"/>
        <v>2359.4292880700041</v>
      </c>
      <c r="AS18" s="233">
        <f t="shared" si="6"/>
        <v>2364.2893260936999</v>
      </c>
      <c r="AT18" s="233">
        <f t="shared" si="6"/>
        <v>2369.1593749999902</v>
      </c>
      <c r="AU18" s="233">
        <f t="shared" si="6"/>
        <v>2374.0394554096529</v>
      </c>
      <c r="AV18" s="233">
        <f t="shared" si="6"/>
        <v>2378.9295879859433</v>
      </c>
      <c r="AW18" s="233">
        <f t="shared" si="6"/>
        <v>2383.8297934346788</v>
      </c>
      <c r="AX18" s="233">
        <f t="shared" si="7"/>
        <v>2388.7400925043271</v>
      </c>
      <c r="AY18" s="233">
        <f t="shared" si="7"/>
        <v>2393.6605059860949</v>
      </c>
      <c r="AZ18" s="233">
        <f t="shared" si="7"/>
        <v>2398.5910547140156</v>
      </c>
      <c r="BA18" s="233">
        <f t="shared" si="7"/>
        <v>2403.5317595650358</v>
      </c>
      <c r="BB18" s="233">
        <f t="shared" si="7"/>
        <v>2408.4826414591071</v>
      </c>
      <c r="BC18" s="233">
        <f t="shared" si="7"/>
        <v>2413.4437213592714</v>
      </c>
      <c r="BD18" s="233">
        <f t="shared" si="7"/>
        <v>2418.4150202717515</v>
      </c>
      <c r="BE18" s="233">
        <f t="shared" si="7"/>
        <v>2423.3965592460399</v>
      </c>
      <c r="BF18" s="233">
        <f t="shared" si="7"/>
        <v>2428.388359374987</v>
      </c>
      <c r="BG18" s="233">
        <f t="shared" si="7"/>
        <v>2433.3904417948911</v>
      </c>
      <c r="BH18" s="233">
        <f t="shared" si="8"/>
        <v>2438.4028276855893</v>
      </c>
      <c r="BI18" s="233">
        <f t="shared" si="8"/>
        <v>2443.4255382705433</v>
      </c>
      <c r="BJ18" s="233">
        <f t="shared" si="8"/>
        <v>2448.4585948169329</v>
      </c>
      <c r="BK18" s="233">
        <f t="shared" si="8"/>
        <v>2453.5020186357451</v>
      </c>
      <c r="BL18" s="233">
        <f t="shared" si="8"/>
        <v>2458.5558310818633</v>
      </c>
      <c r="BM18" s="233">
        <f t="shared" si="8"/>
        <v>2463.6200535541593</v>
      </c>
      <c r="BN18" s="233">
        <f t="shared" si="8"/>
        <v>2468.694707495582</v>
      </c>
      <c r="BO18" s="233">
        <f t="shared" si="8"/>
        <v>2473.7798143932505</v>
      </c>
      <c r="BP18" s="233">
        <f t="shared" si="8"/>
        <v>2478.8753957785425</v>
      </c>
      <c r="BQ18" s="233">
        <f t="shared" si="8"/>
        <v>2483.9814732271884</v>
      </c>
      <c r="BR18" s="233">
        <f t="shared" si="9"/>
        <v>2489.0980683593589</v>
      </c>
      <c r="BS18" s="233">
        <f t="shared" si="9"/>
        <v>2494.2252028397611</v>
      </c>
      <c r="BT18" s="233">
        <f t="shared" si="9"/>
        <v>2499.3628983777267</v>
      </c>
      <c r="BU18" s="233">
        <f t="shared" si="9"/>
        <v>2504.5111767273042</v>
      </c>
      <c r="BV18" s="233">
        <f t="shared" si="9"/>
        <v>2509.6700596873538</v>
      </c>
      <c r="BW18" s="233">
        <f t="shared" si="9"/>
        <v>2514.8395691016362</v>
      </c>
      <c r="BX18" s="233">
        <f t="shared" si="9"/>
        <v>2520.0197268589077</v>
      </c>
      <c r="BY18" s="233">
        <f t="shared" si="9"/>
        <v>2525.2105548930108</v>
      </c>
      <c r="BZ18" s="233">
        <f t="shared" si="9"/>
        <v>2530.4120751829691</v>
      </c>
      <c r="CA18" s="233">
        <f t="shared" si="9"/>
        <v>2535.6243097530787</v>
      </c>
      <c r="CB18" s="233">
        <f t="shared" si="10"/>
        <v>2540.8472806730028</v>
      </c>
      <c r="CC18" s="233">
        <f t="shared" si="10"/>
        <v>2546.0810100578642</v>
      </c>
      <c r="CD18" s="233">
        <f t="shared" si="10"/>
        <v>2551.3255200683393</v>
      </c>
      <c r="CE18" s="233">
        <f t="shared" si="10"/>
        <v>2556.5808329107513</v>
      </c>
      <c r="CF18" s="233">
        <f t="shared" si="10"/>
        <v>2561.8469708371658</v>
      </c>
      <c r="CG18" s="233">
        <f t="shared" si="10"/>
        <v>2567.1239561454831</v>
      </c>
      <c r="CH18" s="233">
        <f t="shared" si="10"/>
        <v>2572.4118111795333</v>
      </c>
      <c r="CI18" s="233">
        <f t="shared" si="10"/>
        <v>2577.7105583291727</v>
      </c>
      <c r="CJ18" s="233">
        <f t="shared" si="10"/>
        <v>2583.0202200303756</v>
      </c>
      <c r="CK18" s="233">
        <f t="shared" si="10"/>
        <v>2588.3408187653313</v>
      </c>
      <c r="CL18" s="233">
        <f t="shared" si="11"/>
        <v>2593.672377062539</v>
      </c>
      <c r="CM18" s="233">
        <f t="shared" si="11"/>
        <v>2599.0149174969015</v>
      </c>
      <c r="CN18" s="233">
        <f t="shared" si="11"/>
        <v>2604.3684626898239</v>
      </c>
      <c r="CO18" s="233">
        <f t="shared" si="11"/>
        <v>2609.7330353093071</v>
      </c>
      <c r="CP18" s="233">
        <f t="shared" si="11"/>
        <v>2615.1086580700439</v>
      </c>
      <c r="CQ18" s="233">
        <f t="shared" si="11"/>
        <v>2620.4953537335164</v>
      </c>
      <c r="CR18" s="233">
        <f t="shared" si="11"/>
        <v>2625.8931451080912</v>
      </c>
      <c r="CS18" s="233">
        <f t="shared" si="11"/>
        <v>2631.302055049116</v>
      </c>
      <c r="CT18" s="233">
        <f t="shared" si="11"/>
        <v>2636.7221064590181</v>
      </c>
      <c r="CU18" s="233">
        <f t="shared" si="11"/>
        <v>2642.1533222873986</v>
      </c>
      <c r="CV18" s="233">
        <f t="shared" si="12"/>
        <v>2647.5957255311318</v>
      </c>
      <c r="CW18" s="233">
        <f t="shared" si="12"/>
        <v>2653.0493392344615</v>
      </c>
      <c r="CX18" s="233">
        <f t="shared" si="12"/>
        <v>2658.5141864890988</v>
      </c>
      <c r="CY18" s="233">
        <f t="shared" si="12"/>
        <v>2663.9902904343207</v>
      </c>
      <c r="CZ18" s="233">
        <f t="shared" si="12"/>
        <v>2669.4776742570662</v>
      </c>
      <c r="DA18" s="233">
        <f t="shared" si="12"/>
        <v>2674.9763611920362</v>
      </c>
      <c r="DB18" s="233">
        <f t="shared" si="12"/>
        <v>2680.4863745217917</v>
      </c>
      <c r="DC18" s="233">
        <f t="shared" si="12"/>
        <v>2686.007737576851</v>
      </c>
      <c r="DD18" s="233">
        <f t="shared" si="12"/>
        <v>2691.5404737357899</v>
      </c>
      <c r="DE18" s="233">
        <f t="shared" si="12"/>
        <v>2697.0846064253406</v>
      </c>
      <c r="DF18" s="233">
        <f t="shared" si="13"/>
        <v>2702.6401591204899</v>
      </c>
      <c r="DG18" s="233">
        <f t="shared" si="13"/>
        <v>2708.2071553445803</v>
      </c>
      <c r="DH18" s="233">
        <f t="shared" si="13"/>
        <v>2713.7856186694066</v>
      </c>
      <c r="DI18" s="233">
        <f t="shared" si="13"/>
        <v>2719.3755727153193</v>
      </c>
      <c r="DJ18" s="233">
        <f t="shared" si="13"/>
        <v>2724.9770411513227</v>
      </c>
      <c r="DK18" s="233">
        <f t="shared" si="13"/>
        <v>2730.5900476951751</v>
      </c>
      <c r="DL18" s="233">
        <f t="shared" si="13"/>
        <v>2736.2146161134892</v>
      </c>
      <c r="DM18" s="233">
        <f t="shared" si="13"/>
        <v>2741.8507702218335</v>
      </c>
      <c r="DN18" s="233">
        <f t="shared" si="13"/>
        <v>2747.4985338848328</v>
      </c>
      <c r="DO18" s="233">
        <f t="shared" si="13"/>
        <v>2753.1579310162683</v>
      </c>
      <c r="DP18" s="233">
        <f t="shared" si="14"/>
        <v>2758.8289855791809</v>
      </c>
      <c r="DQ18" s="233">
        <f t="shared" si="14"/>
        <v>2764.51172158597</v>
      </c>
      <c r="DR18" s="233">
        <f t="shared" si="14"/>
        <v>2770.2061630984986</v>
      </c>
      <c r="DS18" s="233">
        <f t="shared" si="14"/>
        <v>2775.9123342281905</v>
      </c>
      <c r="DT18" s="233">
        <f t="shared" si="14"/>
        <v>2781.6302591361377</v>
      </c>
      <c r="DU18" s="233">
        <f t="shared" si="14"/>
        <v>2787.3599620331984</v>
      </c>
      <c r="DV18" s="233">
        <f t="shared" si="14"/>
        <v>2793.1014671801022</v>
      </c>
      <c r="DW18" s="233">
        <f t="shared" si="14"/>
        <v>2798.8547988875507</v>
      </c>
      <c r="DX18" s="233">
        <f t="shared" si="14"/>
        <v>2804.6199815163222</v>
      </c>
      <c r="DY18" s="233">
        <f t="shared" si="14"/>
        <v>2810.3970394773755</v>
      </c>
      <c r="DZ18" s="233">
        <f t="shared" si="15"/>
        <v>2816.1859972319498</v>
      </c>
      <c r="EA18" s="233">
        <f t="shared" si="15"/>
        <v>2821.9868792916714</v>
      </c>
      <c r="EB18" s="233">
        <f t="shared" si="15"/>
        <v>2827.7997102186569</v>
      </c>
      <c r="EC18" s="233">
        <f t="shared" si="15"/>
        <v>2833.624514625616</v>
      </c>
      <c r="ED18" s="233">
        <f t="shared" si="15"/>
        <v>2839.4613171759574</v>
      </c>
      <c r="EE18" s="233">
        <f t="shared" si="15"/>
        <v>2845.3101425838918</v>
      </c>
      <c r="EF18" s="233">
        <f t="shared" si="15"/>
        <v>2851.1710156145377</v>
      </c>
      <c r="EG18" s="233">
        <f t="shared" si="15"/>
        <v>2857.0439610840253</v>
      </c>
      <c r="EH18" s="233">
        <f t="shared" si="15"/>
        <v>2862.9290038596014</v>
      </c>
      <c r="EI18" s="233">
        <f t="shared" si="15"/>
        <v>2868.8261688597363</v>
      </c>
      <c r="EJ18" s="233">
        <f t="shared" si="15"/>
        <v>2874.7354810542274</v>
      </c>
      <c r="EK18" s="233">
        <f t="shared" si="15"/>
        <v>2880.6569654643067</v>
      </c>
    </row>
    <row r="19" spans="2:141" x14ac:dyDescent="0.45">
      <c r="B19" s="230">
        <f>Assumptions!B56</f>
        <v>11</v>
      </c>
      <c r="C19" s="230" t="str">
        <f>Assumptions!C56</f>
        <v>Fair Market</v>
      </c>
      <c r="D19" s="439">
        <f>Assumptions!D56</f>
        <v>1</v>
      </c>
      <c r="E19" s="22">
        <f>Assumptions!G56</f>
        <v>5</v>
      </c>
      <c r="F19" s="22">
        <f>IF(D19=1,E19+SUM(Assumptions!$G$142:$G$143),'Rent Roll Model'!E19)</f>
        <v>9</v>
      </c>
      <c r="G19" s="233">
        <f>Assumptions!I56</f>
        <v>1391.25</v>
      </c>
      <c r="H19" s="233">
        <f>Assumptions!J56</f>
        <v>2200</v>
      </c>
      <c r="J19" s="233">
        <f t="shared" ref="J19:S28" si="16">IFERROR(IF($D19=0,$G19,IF(J$8&lt;$E19,$G19,IF(J$8&gt;=$F19,$H19,0)))*INDEX(J$3:J$5,MATCH($C19,$B$3:$B$5,0)),0)</f>
        <v>1391.25</v>
      </c>
      <c r="K19" s="233">
        <f t="shared" si="16"/>
        <v>1394.1157472104187</v>
      </c>
      <c r="L19" s="233">
        <f t="shared" si="16"/>
        <v>1396.9873973908816</v>
      </c>
      <c r="M19" s="233">
        <f t="shared" si="16"/>
        <v>1399.8649627005407</v>
      </c>
      <c r="N19" s="233">
        <f t="shared" si="16"/>
        <v>0</v>
      </c>
      <c r="O19" s="233">
        <f t="shared" si="16"/>
        <v>0</v>
      </c>
      <c r="P19" s="233">
        <f t="shared" si="16"/>
        <v>0</v>
      </c>
      <c r="Q19" s="233">
        <f t="shared" si="16"/>
        <v>0</v>
      </c>
      <c r="R19" s="233">
        <f t="shared" si="16"/>
        <v>2236.5155620693763</v>
      </c>
      <c r="S19" s="233">
        <f t="shared" si="16"/>
        <v>2241.1224179421947</v>
      </c>
      <c r="T19" s="233">
        <f t="shared" ref="T19:AC28" si="17">IFERROR(IF($D19=0,$G19,IF(T$8&lt;$E19,$G19,IF(T$8&gt;=$F19,$H19,0)))*INDEX(T$3:T$5,MATCH($C19,$B$3:$B$5,0)),0)</f>
        <v>2245.7387631838296</v>
      </c>
      <c r="U19" s="233">
        <f t="shared" si="17"/>
        <v>2250.3646173408274</v>
      </c>
      <c r="V19" s="233">
        <f t="shared" si="17"/>
        <v>2254.9999999999968</v>
      </c>
      <c r="W19" s="233">
        <f t="shared" si="17"/>
        <v>2259.6449307884923</v>
      </c>
      <c r="X19" s="233">
        <f t="shared" si="17"/>
        <v>2264.2994293738971</v>
      </c>
      <c r="Y19" s="233">
        <f t="shared" si="17"/>
        <v>2268.9635154643056</v>
      </c>
      <c r="Z19" s="233">
        <f t="shared" si="17"/>
        <v>2273.637208808409</v>
      </c>
      <c r="AA19" s="233">
        <f t="shared" si="17"/>
        <v>2278.3205291955765</v>
      </c>
      <c r="AB19" s="233">
        <f t="shared" si="17"/>
        <v>2283.0134964559406</v>
      </c>
      <c r="AC19" s="233">
        <f t="shared" si="17"/>
        <v>2287.7161304604811</v>
      </c>
      <c r="AD19" s="233">
        <f t="shared" ref="AD19:AM28" si="18">IFERROR(IF($D19=0,$G19,IF(AD$8&lt;$E19,$G19,IF(AD$8&gt;=$F19,$H19,0)))*INDEX(AD$3:AD$5,MATCH($C19,$B$3:$B$5,0)),0)</f>
        <v>2292.4284511211076</v>
      </c>
      <c r="AE19" s="233">
        <f t="shared" si="18"/>
        <v>2297.1504783907467</v>
      </c>
      <c r="AF19" s="233">
        <f t="shared" si="18"/>
        <v>2301.8822322634223</v>
      </c>
      <c r="AG19" s="233">
        <f t="shared" si="18"/>
        <v>2306.6237327743456</v>
      </c>
      <c r="AH19" s="233">
        <f t="shared" si="18"/>
        <v>2311.3749999999941</v>
      </c>
      <c r="AI19" s="233">
        <f t="shared" si="18"/>
        <v>2316.1360540582018</v>
      </c>
      <c r="AJ19" s="233">
        <f t="shared" si="18"/>
        <v>2320.9069151082408</v>
      </c>
      <c r="AK19" s="233">
        <f t="shared" si="18"/>
        <v>2325.6876033509097</v>
      </c>
      <c r="AL19" s="233">
        <f t="shared" si="18"/>
        <v>2330.4781390286153</v>
      </c>
      <c r="AM19" s="233">
        <f t="shared" si="18"/>
        <v>2335.2785424254621</v>
      </c>
      <c r="AN19" s="233">
        <f t="shared" ref="AN19:AW28" si="19">IFERROR(IF($D19=0,$G19,IF(AN$8&lt;$E19,$G19,IF(AN$8&gt;=$F19,$H19,0)))*INDEX(AN$3:AN$5,MATCH($C19,$B$3:$B$5,0)),0)</f>
        <v>2340.0888338673353</v>
      </c>
      <c r="AO19" s="233">
        <f t="shared" si="19"/>
        <v>2344.9090337219891</v>
      </c>
      <c r="AP19" s="233">
        <f t="shared" si="19"/>
        <v>2349.7391623991321</v>
      </c>
      <c r="AQ19" s="233">
        <f t="shared" si="19"/>
        <v>2354.5792403505111</v>
      </c>
      <c r="AR19" s="233">
        <f t="shared" si="19"/>
        <v>2359.4292880700041</v>
      </c>
      <c r="AS19" s="233">
        <f t="shared" si="19"/>
        <v>2364.2893260936999</v>
      </c>
      <c r="AT19" s="233">
        <f t="shared" si="19"/>
        <v>2369.1593749999902</v>
      </c>
      <c r="AU19" s="233">
        <f t="shared" si="19"/>
        <v>2374.0394554096529</v>
      </c>
      <c r="AV19" s="233">
        <f t="shared" si="19"/>
        <v>2378.9295879859433</v>
      </c>
      <c r="AW19" s="233">
        <f t="shared" si="19"/>
        <v>2383.8297934346788</v>
      </c>
      <c r="AX19" s="233">
        <f t="shared" ref="AX19:BG28" si="20">IFERROR(IF($D19=0,$G19,IF(AX$8&lt;$E19,$G19,IF(AX$8&gt;=$F19,$H19,0)))*INDEX(AX$3:AX$5,MATCH($C19,$B$3:$B$5,0)),0)</f>
        <v>2388.7400925043271</v>
      </c>
      <c r="AY19" s="233">
        <f t="shared" si="20"/>
        <v>2393.6605059860949</v>
      </c>
      <c r="AZ19" s="233">
        <f t="shared" si="20"/>
        <v>2398.5910547140156</v>
      </c>
      <c r="BA19" s="233">
        <f t="shared" si="20"/>
        <v>2403.5317595650358</v>
      </c>
      <c r="BB19" s="233">
        <f t="shared" si="20"/>
        <v>2408.4826414591071</v>
      </c>
      <c r="BC19" s="233">
        <f t="shared" si="20"/>
        <v>2413.4437213592714</v>
      </c>
      <c r="BD19" s="233">
        <f t="shared" si="20"/>
        <v>2418.4150202717515</v>
      </c>
      <c r="BE19" s="233">
        <f t="shared" si="20"/>
        <v>2423.3965592460399</v>
      </c>
      <c r="BF19" s="233">
        <f t="shared" si="20"/>
        <v>2428.388359374987</v>
      </c>
      <c r="BG19" s="233">
        <f t="shared" si="20"/>
        <v>2433.3904417948911</v>
      </c>
      <c r="BH19" s="233">
        <f t="shared" ref="BH19:BQ28" si="21">IFERROR(IF($D19=0,$G19,IF(BH$8&lt;$E19,$G19,IF(BH$8&gt;=$F19,$H19,0)))*INDEX(BH$3:BH$5,MATCH($C19,$B$3:$B$5,0)),0)</f>
        <v>2438.4028276855893</v>
      </c>
      <c r="BI19" s="233">
        <f t="shared" si="21"/>
        <v>2443.4255382705433</v>
      </c>
      <c r="BJ19" s="233">
        <f t="shared" si="21"/>
        <v>2448.4585948169329</v>
      </c>
      <c r="BK19" s="233">
        <f t="shared" si="21"/>
        <v>2453.5020186357451</v>
      </c>
      <c r="BL19" s="233">
        <f t="shared" si="21"/>
        <v>2458.5558310818633</v>
      </c>
      <c r="BM19" s="233">
        <f t="shared" si="21"/>
        <v>2463.6200535541593</v>
      </c>
      <c r="BN19" s="233">
        <f t="shared" si="21"/>
        <v>2468.694707495582</v>
      </c>
      <c r="BO19" s="233">
        <f t="shared" si="21"/>
        <v>2473.7798143932505</v>
      </c>
      <c r="BP19" s="233">
        <f t="shared" si="21"/>
        <v>2478.8753957785425</v>
      </c>
      <c r="BQ19" s="233">
        <f t="shared" si="21"/>
        <v>2483.9814732271884</v>
      </c>
      <c r="BR19" s="233">
        <f t="shared" ref="BR19:CA28" si="22">IFERROR(IF($D19=0,$G19,IF(BR$8&lt;$E19,$G19,IF(BR$8&gt;=$F19,$H19,0)))*INDEX(BR$3:BR$5,MATCH($C19,$B$3:$B$5,0)),0)</f>
        <v>2489.0980683593589</v>
      </c>
      <c r="BS19" s="233">
        <f t="shared" si="22"/>
        <v>2494.2252028397611</v>
      </c>
      <c r="BT19" s="233">
        <f t="shared" si="22"/>
        <v>2499.3628983777267</v>
      </c>
      <c r="BU19" s="233">
        <f t="shared" si="22"/>
        <v>2504.5111767273042</v>
      </c>
      <c r="BV19" s="233">
        <f t="shared" si="22"/>
        <v>2509.6700596873538</v>
      </c>
      <c r="BW19" s="233">
        <f t="shared" si="22"/>
        <v>2514.8395691016362</v>
      </c>
      <c r="BX19" s="233">
        <f t="shared" si="22"/>
        <v>2520.0197268589077</v>
      </c>
      <c r="BY19" s="233">
        <f t="shared" si="22"/>
        <v>2525.2105548930108</v>
      </c>
      <c r="BZ19" s="233">
        <f t="shared" si="22"/>
        <v>2530.4120751829691</v>
      </c>
      <c r="CA19" s="233">
        <f t="shared" si="22"/>
        <v>2535.6243097530787</v>
      </c>
      <c r="CB19" s="233">
        <f t="shared" ref="CB19:CK28" si="23">IFERROR(IF($D19=0,$G19,IF(CB$8&lt;$E19,$G19,IF(CB$8&gt;=$F19,$H19,0)))*INDEX(CB$3:CB$5,MATCH($C19,$B$3:$B$5,0)),0)</f>
        <v>2540.8472806730028</v>
      </c>
      <c r="CC19" s="233">
        <f t="shared" si="23"/>
        <v>2546.0810100578642</v>
      </c>
      <c r="CD19" s="233">
        <f t="shared" si="23"/>
        <v>2551.3255200683393</v>
      </c>
      <c r="CE19" s="233">
        <f t="shared" si="23"/>
        <v>2556.5808329107513</v>
      </c>
      <c r="CF19" s="233">
        <f t="shared" si="23"/>
        <v>2561.8469708371658</v>
      </c>
      <c r="CG19" s="233">
        <f t="shared" si="23"/>
        <v>2567.1239561454831</v>
      </c>
      <c r="CH19" s="233">
        <f t="shared" si="23"/>
        <v>2572.4118111795333</v>
      </c>
      <c r="CI19" s="233">
        <f t="shared" si="23"/>
        <v>2577.7105583291727</v>
      </c>
      <c r="CJ19" s="233">
        <f t="shared" si="23"/>
        <v>2583.0202200303756</v>
      </c>
      <c r="CK19" s="233">
        <f t="shared" si="23"/>
        <v>2588.3408187653313</v>
      </c>
      <c r="CL19" s="233">
        <f t="shared" ref="CL19:CU28" si="24">IFERROR(IF($D19=0,$G19,IF(CL$8&lt;$E19,$G19,IF(CL$8&gt;=$F19,$H19,0)))*INDEX(CL$3:CL$5,MATCH($C19,$B$3:$B$5,0)),0)</f>
        <v>2593.672377062539</v>
      </c>
      <c r="CM19" s="233">
        <f t="shared" si="24"/>
        <v>2599.0149174969015</v>
      </c>
      <c r="CN19" s="233">
        <f t="shared" si="24"/>
        <v>2604.3684626898239</v>
      </c>
      <c r="CO19" s="233">
        <f t="shared" si="24"/>
        <v>2609.7330353093071</v>
      </c>
      <c r="CP19" s="233">
        <f t="shared" si="24"/>
        <v>2615.1086580700439</v>
      </c>
      <c r="CQ19" s="233">
        <f t="shared" si="24"/>
        <v>2620.4953537335164</v>
      </c>
      <c r="CR19" s="233">
        <f t="shared" si="24"/>
        <v>2625.8931451080912</v>
      </c>
      <c r="CS19" s="233">
        <f t="shared" si="24"/>
        <v>2631.302055049116</v>
      </c>
      <c r="CT19" s="233">
        <f t="shared" si="24"/>
        <v>2636.7221064590181</v>
      </c>
      <c r="CU19" s="233">
        <f t="shared" si="24"/>
        <v>2642.1533222873986</v>
      </c>
      <c r="CV19" s="233">
        <f t="shared" ref="CV19:DE28" si="25">IFERROR(IF($D19=0,$G19,IF(CV$8&lt;$E19,$G19,IF(CV$8&gt;=$F19,$H19,0)))*INDEX(CV$3:CV$5,MATCH($C19,$B$3:$B$5,0)),0)</f>
        <v>2647.5957255311318</v>
      </c>
      <c r="CW19" s="233">
        <f t="shared" si="25"/>
        <v>2653.0493392344615</v>
      </c>
      <c r="CX19" s="233">
        <f t="shared" si="25"/>
        <v>2658.5141864890988</v>
      </c>
      <c r="CY19" s="233">
        <f t="shared" si="25"/>
        <v>2663.9902904343207</v>
      </c>
      <c r="CZ19" s="233">
        <f t="shared" si="25"/>
        <v>2669.4776742570662</v>
      </c>
      <c r="DA19" s="233">
        <f t="shared" si="25"/>
        <v>2674.9763611920362</v>
      </c>
      <c r="DB19" s="233">
        <f t="shared" si="25"/>
        <v>2680.4863745217917</v>
      </c>
      <c r="DC19" s="233">
        <f t="shared" si="25"/>
        <v>2686.007737576851</v>
      </c>
      <c r="DD19" s="233">
        <f t="shared" si="25"/>
        <v>2691.5404737357899</v>
      </c>
      <c r="DE19" s="233">
        <f t="shared" si="25"/>
        <v>2697.0846064253406</v>
      </c>
      <c r="DF19" s="233">
        <f t="shared" ref="DF19:DO28" si="26">IFERROR(IF($D19=0,$G19,IF(DF$8&lt;$E19,$G19,IF(DF$8&gt;=$F19,$H19,0)))*INDEX(DF$3:DF$5,MATCH($C19,$B$3:$B$5,0)),0)</f>
        <v>2702.6401591204899</v>
      </c>
      <c r="DG19" s="233">
        <f t="shared" si="26"/>
        <v>2708.2071553445803</v>
      </c>
      <c r="DH19" s="233">
        <f t="shared" si="26"/>
        <v>2713.7856186694066</v>
      </c>
      <c r="DI19" s="233">
        <f t="shared" si="26"/>
        <v>2719.3755727153193</v>
      </c>
      <c r="DJ19" s="233">
        <f t="shared" si="26"/>
        <v>2724.9770411513227</v>
      </c>
      <c r="DK19" s="233">
        <f t="shared" si="26"/>
        <v>2730.5900476951751</v>
      </c>
      <c r="DL19" s="233">
        <f t="shared" si="26"/>
        <v>2736.2146161134892</v>
      </c>
      <c r="DM19" s="233">
        <f t="shared" si="26"/>
        <v>2741.8507702218335</v>
      </c>
      <c r="DN19" s="233">
        <f t="shared" si="26"/>
        <v>2747.4985338848328</v>
      </c>
      <c r="DO19" s="233">
        <f t="shared" si="26"/>
        <v>2753.1579310162683</v>
      </c>
      <c r="DP19" s="233">
        <f t="shared" ref="DP19:DY28" si="27">IFERROR(IF($D19=0,$G19,IF(DP$8&lt;$E19,$G19,IF(DP$8&gt;=$F19,$H19,0)))*INDEX(DP$3:DP$5,MATCH($C19,$B$3:$B$5,0)),0)</f>
        <v>2758.8289855791809</v>
      </c>
      <c r="DQ19" s="233">
        <f t="shared" si="27"/>
        <v>2764.51172158597</v>
      </c>
      <c r="DR19" s="233">
        <f t="shared" si="27"/>
        <v>2770.2061630984986</v>
      </c>
      <c r="DS19" s="233">
        <f t="shared" si="27"/>
        <v>2775.9123342281905</v>
      </c>
      <c r="DT19" s="233">
        <f t="shared" si="27"/>
        <v>2781.6302591361377</v>
      </c>
      <c r="DU19" s="233">
        <f t="shared" si="27"/>
        <v>2787.3599620331984</v>
      </c>
      <c r="DV19" s="233">
        <f t="shared" si="27"/>
        <v>2793.1014671801022</v>
      </c>
      <c r="DW19" s="233">
        <f t="shared" si="27"/>
        <v>2798.8547988875507</v>
      </c>
      <c r="DX19" s="233">
        <f t="shared" si="27"/>
        <v>2804.6199815163222</v>
      </c>
      <c r="DY19" s="233">
        <f t="shared" si="27"/>
        <v>2810.3970394773755</v>
      </c>
      <c r="DZ19" s="233">
        <f t="shared" ref="DZ19:EK28" si="28">IFERROR(IF($D19=0,$G19,IF(DZ$8&lt;$E19,$G19,IF(DZ$8&gt;=$F19,$H19,0)))*INDEX(DZ$3:DZ$5,MATCH($C19,$B$3:$B$5,0)),0)</f>
        <v>2816.1859972319498</v>
      </c>
      <c r="EA19" s="233">
        <f t="shared" si="28"/>
        <v>2821.9868792916714</v>
      </c>
      <c r="EB19" s="233">
        <f t="shared" si="28"/>
        <v>2827.7997102186569</v>
      </c>
      <c r="EC19" s="233">
        <f t="shared" si="28"/>
        <v>2833.624514625616</v>
      </c>
      <c r="ED19" s="233">
        <f t="shared" si="28"/>
        <v>2839.4613171759574</v>
      </c>
      <c r="EE19" s="233">
        <f t="shared" si="28"/>
        <v>2845.3101425838918</v>
      </c>
      <c r="EF19" s="233">
        <f t="shared" si="28"/>
        <v>2851.1710156145377</v>
      </c>
      <c r="EG19" s="233">
        <f t="shared" si="28"/>
        <v>2857.0439610840253</v>
      </c>
      <c r="EH19" s="233">
        <f t="shared" si="28"/>
        <v>2862.9290038596014</v>
      </c>
      <c r="EI19" s="233">
        <f t="shared" si="28"/>
        <v>2868.8261688597363</v>
      </c>
      <c r="EJ19" s="233">
        <f t="shared" si="28"/>
        <v>2874.7354810542274</v>
      </c>
      <c r="EK19" s="233">
        <f t="shared" si="28"/>
        <v>2880.6569654643067</v>
      </c>
    </row>
    <row r="20" spans="2:141" x14ac:dyDescent="0.45">
      <c r="B20" s="230">
        <f>Assumptions!B57</f>
        <v>12</v>
      </c>
      <c r="C20" s="230" t="str">
        <f>Assumptions!C57</f>
        <v>Fair Market</v>
      </c>
      <c r="D20" s="439">
        <f>Assumptions!D57</f>
        <v>1</v>
      </c>
      <c r="E20" s="22">
        <f>Assumptions!G57</f>
        <v>5</v>
      </c>
      <c r="F20" s="22">
        <f>IF(D20=1,E20+SUM(Assumptions!$G$142:$G$143),'Rent Roll Model'!E20)</f>
        <v>9</v>
      </c>
      <c r="G20" s="233">
        <f>Assumptions!I57</f>
        <v>1428</v>
      </c>
      <c r="H20" s="233">
        <f>Assumptions!J57</f>
        <v>2200</v>
      </c>
      <c r="J20" s="233">
        <f t="shared" si="16"/>
        <v>1428</v>
      </c>
      <c r="K20" s="233">
        <f t="shared" si="16"/>
        <v>1430.9414461933354</v>
      </c>
      <c r="L20" s="233">
        <f t="shared" si="16"/>
        <v>1433.8889512842256</v>
      </c>
      <c r="M20" s="233">
        <f t="shared" si="16"/>
        <v>1436.8425277530077</v>
      </c>
      <c r="N20" s="233">
        <f t="shared" si="16"/>
        <v>0</v>
      </c>
      <c r="O20" s="233">
        <f t="shared" si="16"/>
        <v>0</v>
      </c>
      <c r="P20" s="233">
        <f t="shared" si="16"/>
        <v>0</v>
      </c>
      <c r="Q20" s="233">
        <f t="shared" si="16"/>
        <v>0</v>
      </c>
      <c r="R20" s="233">
        <f t="shared" si="16"/>
        <v>2236.5155620693763</v>
      </c>
      <c r="S20" s="233">
        <f t="shared" si="16"/>
        <v>2241.1224179421947</v>
      </c>
      <c r="T20" s="233">
        <f t="shared" si="17"/>
        <v>2245.7387631838296</v>
      </c>
      <c r="U20" s="233">
        <f t="shared" si="17"/>
        <v>2250.3646173408274</v>
      </c>
      <c r="V20" s="233">
        <f t="shared" si="17"/>
        <v>2254.9999999999968</v>
      </c>
      <c r="W20" s="233">
        <f t="shared" si="17"/>
        <v>2259.6449307884923</v>
      </c>
      <c r="X20" s="233">
        <f t="shared" si="17"/>
        <v>2264.2994293738971</v>
      </c>
      <c r="Y20" s="233">
        <f t="shared" si="17"/>
        <v>2268.9635154643056</v>
      </c>
      <c r="Z20" s="233">
        <f t="shared" si="17"/>
        <v>2273.637208808409</v>
      </c>
      <c r="AA20" s="233">
        <f t="shared" si="17"/>
        <v>2278.3205291955765</v>
      </c>
      <c r="AB20" s="233">
        <f t="shared" si="17"/>
        <v>2283.0134964559406</v>
      </c>
      <c r="AC20" s="233">
        <f t="shared" si="17"/>
        <v>2287.7161304604811</v>
      </c>
      <c r="AD20" s="233">
        <f t="shared" si="18"/>
        <v>2292.4284511211076</v>
      </c>
      <c r="AE20" s="233">
        <f t="shared" si="18"/>
        <v>2297.1504783907467</v>
      </c>
      <c r="AF20" s="233">
        <f t="shared" si="18"/>
        <v>2301.8822322634223</v>
      </c>
      <c r="AG20" s="233">
        <f t="shared" si="18"/>
        <v>2306.6237327743456</v>
      </c>
      <c r="AH20" s="233">
        <f t="shared" si="18"/>
        <v>2311.3749999999941</v>
      </c>
      <c r="AI20" s="233">
        <f t="shared" si="18"/>
        <v>2316.1360540582018</v>
      </c>
      <c r="AJ20" s="233">
        <f t="shared" si="18"/>
        <v>2320.9069151082408</v>
      </c>
      <c r="AK20" s="233">
        <f t="shared" si="18"/>
        <v>2325.6876033509097</v>
      </c>
      <c r="AL20" s="233">
        <f t="shared" si="18"/>
        <v>2330.4781390286153</v>
      </c>
      <c r="AM20" s="233">
        <f t="shared" si="18"/>
        <v>2335.2785424254621</v>
      </c>
      <c r="AN20" s="233">
        <f t="shared" si="19"/>
        <v>2340.0888338673353</v>
      </c>
      <c r="AO20" s="233">
        <f t="shared" si="19"/>
        <v>2344.9090337219891</v>
      </c>
      <c r="AP20" s="233">
        <f t="shared" si="19"/>
        <v>2349.7391623991321</v>
      </c>
      <c r="AQ20" s="233">
        <f t="shared" si="19"/>
        <v>2354.5792403505111</v>
      </c>
      <c r="AR20" s="233">
        <f t="shared" si="19"/>
        <v>2359.4292880700041</v>
      </c>
      <c r="AS20" s="233">
        <f t="shared" si="19"/>
        <v>2364.2893260936999</v>
      </c>
      <c r="AT20" s="233">
        <f t="shared" si="19"/>
        <v>2369.1593749999902</v>
      </c>
      <c r="AU20" s="233">
        <f t="shared" si="19"/>
        <v>2374.0394554096529</v>
      </c>
      <c r="AV20" s="233">
        <f t="shared" si="19"/>
        <v>2378.9295879859433</v>
      </c>
      <c r="AW20" s="233">
        <f t="shared" si="19"/>
        <v>2383.8297934346788</v>
      </c>
      <c r="AX20" s="233">
        <f t="shared" si="20"/>
        <v>2388.7400925043271</v>
      </c>
      <c r="AY20" s="233">
        <f t="shared" si="20"/>
        <v>2393.6605059860949</v>
      </c>
      <c r="AZ20" s="233">
        <f t="shared" si="20"/>
        <v>2398.5910547140156</v>
      </c>
      <c r="BA20" s="233">
        <f t="shared" si="20"/>
        <v>2403.5317595650358</v>
      </c>
      <c r="BB20" s="233">
        <f t="shared" si="20"/>
        <v>2408.4826414591071</v>
      </c>
      <c r="BC20" s="233">
        <f t="shared" si="20"/>
        <v>2413.4437213592714</v>
      </c>
      <c r="BD20" s="233">
        <f t="shared" si="20"/>
        <v>2418.4150202717515</v>
      </c>
      <c r="BE20" s="233">
        <f t="shared" si="20"/>
        <v>2423.3965592460399</v>
      </c>
      <c r="BF20" s="233">
        <f t="shared" si="20"/>
        <v>2428.388359374987</v>
      </c>
      <c r="BG20" s="233">
        <f t="shared" si="20"/>
        <v>2433.3904417948911</v>
      </c>
      <c r="BH20" s="233">
        <f t="shared" si="21"/>
        <v>2438.4028276855893</v>
      </c>
      <c r="BI20" s="233">
        <f t="shared" si="21"/>
        <v>2443.4255382705433</v>
      </c>
      <c r="BJ20" s="233">
        <f t="shared" si="21"/>
        <v>2448.4585948169329</v>
      </c>
      <c r="BK20" s="233">
        <f t="shared" si="21"/>
        <v>2453.5020186357451</v>
      </c>
      <c r="BL20" s="233">
        <f t="shared" si="21"/>
        <v>2458.5558310818633</v>
      </c>
      <c r="BM20" s="233">
        <f t="shared" si="21"/>
        <v>2463.6200535541593</v>
      </c>
      <c r="BN20" s="233">
        <f t="shared" si="21"/>
        <v>2468.694707495582</v>
      </c>
      <c r="BO20" s="233">
        <f t="shared" si="21"/>
        <v>2473.7798143932505</v>
      </c>
      <c r="BP20" s="233">
        <f t="shared" si="21"/>
        <v>2478.8753957785425</v>
      </c>
      <c r="BQ20" s="233">
        <f t="shared" si="21"/>
        <v>2483.9814732271884</v>
      </c>
      <c r="BR20" s="233">
        <f t="shared" si="22"/>
        <v>2489.0980683593589</v>
      </c>
      <c r="BS20" s="233">
        <f t="shared" si="22"/>
        <v>2494.2252028397611</v>
      </c>
      <c r="BT20" s="233">
        <f t="shared" si="22"/>
        <v>2499.3628983777267</v>
      </c>
      <c r="BU20" s="233">
        <f t="shared" si="22"/>
        <v>2504.5111767273042</v>
      </c>
      <c r="BV20" s="233">
        <f t="shared" si="22"/>
        <v>2509.6700596873538</v>
      </c>
      <c r="BW20" s="233">
        <f t="shared" si="22"/>
        <v>2514.8395691016362</v>
      </c>
      <c r="BX20" s="233">
        <f t="shared" si="22"/>
        <v>2520.0197268589077</v>
      </c>
      <c r="BY20" s="233">
        <f t="shared" si="22"/>
        <v>2525.2105548930108</v>
      </c>
      <c r="BZ20" s="233">
        <f t="shared" si="22"/>
        <v>2530.4120751829691</v>
      </c>
      <c r="CA20" s="233">
        <f t="shared" si="22"/>
        <v>2535.6243097530787</v>
      </c>
      <c r="CB20" s="233">
        <f t="shared" si="23"/>
        <v>2540.8472806730028</v>
      </c>
      <c r="CC20" s="233">
        <f t="shared" si="23"/>
        <v>2546.0810100578642</v>
      </c>
      <c r="CD20" s="233">
        <f t="shared" si="23"/>
        <v>2551.3255200683393</v>
      </c>
      <c r="CE20" s="233">
        <f t="shared" si="23"/>
        <v>2556.5808329107513</v>
      </c>
      <c r="CF20" s="233">
        <f t="shared" si="23"/>
        <v>2561.8469708371658</v>
      </c>
      <c r="CG20" s="233">
        <f t="shared" si="23"/>
        <v>2567.1239561454831</v>
      </c>
      <c r="CH20" s="233">
        <f t="shared" si="23"/>
        <v>2572.4118111795333</v>
      </c>
      <c r="CI20" s="233">
        <f t="shared" si="23"/>
        <v>2577.7105583291727</v>
      </c>
      <c r="CJ20" s="233">
        <f t="shared" si="23"/>
        <v>2583.0202200303756</v>
      </c>
      <c r="CK20" s="233">
        <f t="shared" si="23"/>
        <v>2588.3408187653313</v>
      </c>
      <c r="CL20" s="233">
        <f t="shared" si="24"/>
        <v>2593.672377062539</v>
      </c>
      <c r="CM20" s="233">
        <f t="shared" si="24"/>
        <v>2599.0149174969015</v>
      </c>
      <c r="CN20" s="233">
        <f t="shared" si="24"/>
        <v>2604.3684626898239</v>
      </c>
      <c r="CO20" s="233">
        <f t="shared" si="24"/>
        <v>2609.7330353093071</v>
      </c>
      <c r="CP20" s="233">
        <f t="shared" si="24"/>
        <v>2615.1086580700439</v>
      </c>
      <c r="CQ20" s="233">
        <f t="shared" si="24"/>
        <v>2620.4953537335164</v>
      </c>
      <c r="CR20" s="233">
        <f t="shared" si="24"/>
        <v>2625.8931451080912</v>
      </c>
      <c r="CS20" s="233">
        <f t="shared" si="24"/>
        <v>2631.302055049116</v>
      </c>
      <c r="CT20" s="233">
        <f t="shared" si="24"/>
        <v>2636.7221064590181</v>
      </c>
      <c r="CU20" s="233">
        <f t="shared" si="24"/>
        <v>2642.1533222873986</v>
      </c>
      <c r="CV20" s="233">
        <f t="shared" si="25"/>
        <v>2647.5957255311318</v>
      </c>
      <c r="CW20" s="233">
        <f t="shared" si="25"/>
        <v>2653.0493392344615</v>
      </c>
      <c r="CX20" s="233">
        <f t="shared" si="25"/>
        <v>2658.5141864890988</v>
      </c>
      <c r="CY20" s="233">
        <f t="shared" si="25"/>
        <v>2663.9902904343207</v>
      </c>
      <c r="CZ20" s="233">
        <f t="shared" si="25"/>
        <v>2669.4776742570662</v>
      </c>
      <c r="DA20" s="233">
        <f t="shared" si="25"/>
        <v>2674.9763611920362</v>
      </c>
      <c r="DB20" s="233">
        <f t="shared" si="25"/>
        <v>2680.4863745217917</v>
      </c>
      <c r="DC20" s="233">
        <f t="shared" si="25"/>
        <v>2686.007737576851</v>
      </c>
      <c r="DD20" s="233">
        <f t="shared" si="25"/>
        <v>2691.5404737357899</v>
      </c>
      <c r="DE20" s="233">
        <f t="shared" si="25"/>
        <v>2697.0846064253406</v>
      </c>
      <c r="DF20" s="233">
        <f t="shared" si="26"/>
        <v>2702.6401591204899</v>
      </c>
      <c r="DG20" s="233">
        <f t="shared" si="26"/>
        <v>2708.2071553445803</v>
      </c>
      <c r="DH20" s="233">
        <f t="shared" si="26"/>
        <v>2713.7856186694066</v>
      </c>
      <c r="DI20" s="233">
        <f t="shared" si="26"/>
        <v>2719.3755727153193</v>
      </c>
      <c r="DJ20" s="233">
        <f t="shared" si="26"/>
        <v>2724.9770411513227</v>
      </c>
      <c r="DK20" s="233">
        <f t="shared" si="26"/>
        <v>2730.5900476951751</v>
      </c>
      <c r="DL20" s="233">
        <f t="shared" si="26"/>
        <v>2736.2146161134892</v>
      </c>
      <c r="DM20" s="233">
        <f t="shared" si="26"/>
        <v>2741.8507702218335</v>
      </c>
      <c r="DN20" s="233">
        <f t="shared" si="26"/>
        <v>2747.4985338848328</v>
      </c>
      <c r="DO20" s="233">
        <f t="shared" si="26"/>
        <v>2753.1579310162683</v>
      </c>
      <c r="DP20" s="233">
        <f t="shared" si="27"/>
        <v>2758.8289855791809</v>
      </c>
      <c r="DQ20" s="233">
        <f t="shared" si="27"/>
        <v>2764.51172158597</v>
      </c>
      <c r="DR20" s="233">
        <f t="shared" si="27"/>
        <v>2770.2061630984986</v>
      </c>
      <c r="DS20" s="233">
        <f t="shared" si="27"/>
        <v>2775.9123342281905</v>
      </c>
      <c r="DT20" s="233">
        <f t="shared" si="27"/>
        <v>2781.6302591361377</v>
      </c>
      <c r="DU20" s="233">
        <f t="shared" si="27"/>
        <v>2787.3599620331984</v>
      </c>
      <c r="DV20" s="233">
        <f t="shared" si="27"/>
        <v>2793.1014671801022</v>
      </c>
      <c r="DW20" s="233">
        <f t="shared" si="27"/>
        <v>2798.8547988875507</v>
      </c>
      <c r="DX20" s="233">
        <f t="shared" si="27"/>
        <v>2804.6199815163222</v>
      </c>
      <c r="DY20" s="233">
        <f t="shared" si="27"/>
        <v>2810.3970394773755</v>
      </c>
      <c r="DZ20" s="233">
        <f t="shared" si="28"/>
        <v>2816.1859972319498</v>
      </c>
      <c r="EA20" s="233">
        <f t="shared" si="28"/>
        <v>2821.9868792916714</v>
      </c>
      <c r="EB20" s="233">
        <f t="shared" si="28"/>
        <v>2827.7997102186569</v>
      </c>
      <c r="EC20" s="233">
        <f t="shared" si="28"/>
        <v>2833.624514625616</v>
      </c>
      <c r="ED20" s="233">
        <f t="shared" si="28"/>
        <v>2839.4613171759574</v>
      </c>
      <c r="EE20" s="233">
        <f t="shared" si="28"/>
        <v>2845.3101425838918</v>
      </c>
      <c r="EF20" s="233">
        <f t="shared" si="28"/>
        <v>2851.1710156145377</v>
      </c>
      <c r="EG20" s="233">
        <f t="shared" si="28"/>
        <v>2857.0439610840253</v>
      </c>
      <c r="EH20" s="233">
        <f t="shared" si="28"/>
        <v>2862.9290038596014</v>
      </c>
      <c r="EI20" s="233">
        <f t="shared" si="28"/>
        <v>2868.8261688597363</v>
      </c>
      <c r="EJ20" s="233">
        <f t="shared" si="28"/>
        <v>2874.7354810542274</v>
      </c>
      <c r="EK20" s="233">
        <f t="shared" si="28"/>
        <v>2880.6569654643067</v>
      </c>
    </row>
    <row r="21" spans="2:141" x14ac:dyDescent="0.45">
      <c r="B21" s="230">
        <f>Assumptions!B58</f>
        <v>13</v>
      </c>
      <c r="C21" s="230" t="str">
        <f>Assumptions!C58</f>
        <v>Fair Market</v>
      </c>
      <c r="D21" s="439">
        <f>Assumptions!D58</f>
        <v>1</v>
      </c>
      <c r="E21" s="22">
        <f>Assumptions!G58</f>
        <v>6</v>
      </c>
      <c r="F21" s="22">
        <f>IF(D21=1,E21+SUM(Assumptions!$G$142:$G$143),'Rent Roll Model'!E21)</f>
        <v>10</v>
      </c>
      <c r="G21" s="233">
        <f>Assumptions!I58</f>
        <v>1391.25</v>
      </c>
      <c r="H21" s="233">
        <f>Assumptions!J58</f>
        <v>2200</v>
      </c>
      <c r="J21" s="233">
        <f t="shared" si="16"/>
        <v>1391.25</v>
      </c>
      <c r="K21" s="233">
        <f t="shared" si="16"/>
        <v>1394.1157472104187</v>
      </c>
      <c r="L21" s="233">
        <f t="shared" si="16"/>
        <v>1396.9873973908816</v>
      </c>
      <c r="M21" s="233">
        <f t="shared" si="16"/>
        <v>1399.8649627005407</v>
      </c>
      <c r="N21" s="233">
        <f t="shared" si="16"/>
        <v>1402.7484553235931</v>
      </c>
      <c r="O21" s="233">
        <f t="shared" si="16"/>
        <v>0</v>
      </c>
      <c r="P21" s="233">
        <f t="shared" si="16"/>
        <v>0</v>
      </c>
      <c r="Q21" s="233">
        <f t="shared" si="16"/>
        <v>0</v>
      </c>
      <c r="R21" s="233">
        <f t="shared" si="16"/>
        <v>0</v>
      </c>
      <c r="S21" s="233">
        <f t="shared" si="16"/>
        <v>2241.1224179421947</v>
      </c>
      <c r="T21" s="233">
        <f t="shared" si="17"/>
        <v>2245.7387631838296</v>
      </c>
      <c r="U21" s="233">
        <f t="shared" si="17"/>
        <v>2250.3646173408274</v>
      </c>
      <c r="V21" s="233">
        <f t="shared" si="17"/>
        <v>2254.9999999999968</v>
      </c>
      <c r="W21" s="233">
        <f t="shared" si="17"/>
        <v>2259.6449307884923</v>
      </c>
      <c r="X21" s="233">
        <f t="shared" si="17"/>
        <v>2264.2994293738971</v>
      </c>
      <c r="Y21" s="233">
        <f t="shared" si="17"/>
        <v>2268.9635154643056</v>
      </c>
      <c r="Z21" s="233">
        <f t="shared" si="17"/>
        <v>2273.637208808409</v>
      </c>
      <c r="AA21" s="233">
        <f t="shared" si="17"/>
        <v>2278.3205291955765</v>
      </c>
      <c r="AB21" s="233">
        <f t="shared" si="17"/>
        <v>2283.0134964559406</v>
      </c>
      <c r="AC21" s="233">
        <f t="shared" si="17"/>
        <v>2287.7161304604811</v>
      </c>
      <c r="AD21" s="233">
        <f t="shared" si="18"/>
        <v>2292.4284511211076</v>
      </c>
      <c r="AE21" s="233">
        <f t="shared" si="18"/>
        <v>2297.1504783907467</v>
      </c>
      <c r="AF21" s="233">
        <f t="shared" si="18"/>
        <v>2301.8822322634223</v>
      </c>
      <c r="AG21" s="233">
        <f t="shared" si="18"/>
        <v>2306.6237327743456</v>
      </c>
      <c r="AH21" s="233">
        <f t="shared" si="18"/>
        <v>2311.3749999999941</v>
      </c>
      <c r="AI21" s="233">
        <f t="shared" si="18"/>
        <v>2316.1360540582018</v>
      </c>
      <c r="AJ21" s="233">
        <f t="shared" si="18"/>
        <v>2320.9069151082408</v>
      </c>
      <c r="AK21" s="233">
        <f t="shared" si="18"/>
        <v>2325.6876033509097</v>
      </c>
      <c r="AL21" s="233">
        <f t="shared" si="18"/>
        <v>2330.4781390286153</v>
      </c>
      <c r="AM21" s="233">
        <f t="shared" si="18"/>
        <v>2335.2785424254621</v>
      </c>
      <c r="AN21" s="233">
        <f t="shared" si="19"/>
        <v>2340.0888338673353</v>
      </c>
      <c r="AO21" s="233">
        <f t="shared" si="19"/>
        <v>2344.9090337219891</v>
      </c>
      <c r="AP21" s="233">
        <f t="shared" si="19"/>
        <v>2349.7391623991321</v>
      </c>
      <c r="AQ21" s="233">
        <f t="shared" si="19"/>
        <v>2354.5792403505111</v>
      </c>
      <c r="AR21" s="233">
        <f t="shared" si="19"/>
        <v>2359.4292880700041</v>
      </c>
      <c r="AS21" s="233">
        <f t="shared" si="19"/>
        <v>2364.2893260936999</v>
      </c>
      <c r="AT21" s="233">
        <f t="shared" si="19"/>
        <v>2369.1593749999902</v>
      </c>
      <c r="AU21" s="233">
        <f t="shared" si="19"/>
        <v>2374.0394554096529</v>
      </c>
      <c r="AV21" s="233">
        <f t="shared" si="19"/>
        <v>2378.9295879859433</v>
      </c>
      <c r="AW21" s="233">
        <f t="shared" si="19"/>
        <v>2383.8297934346788</v>
      </c>
      <c r="AX21" s="233">
        <f t="shared" si="20"/>
        <v>2388.7400925043271</v>
      </c>
      <c r="AY21" s="233">
        <f t="shared" si="20"/>
        <v>2393.6605059860949</v>
      </c>
      <c r="AZ21" s="233">
        <f t="shared" si="20"/>
        <v>2398.5910547140156</v>
      </c>
      <c r="BA21" s="233">
        <f t="shared" si="20"/>
        <v>2403.5317595650358</v>
      </c>
      <c r="BB21" s="233">
        <f t="shared" si="20"/>
        <v>2408.4826414591071</v>
      </c>
      <c r="BC21" s="233">
        <f t="shared" si="20"/>
        <v>2413.4437213592714</v>
      </c>
      <c r="BD21" s="233">
        <f t="shared" si="20"/>
        <v>2418.4150202717515</v>
      </c>
      <c r="BE21" s="233">
        <f t="shared" si="20"/>
        <v>2423.3965592460399</v>
      </c>
      <c r="BF21" s="233">
        <f t="shared" si="20"/>
        <v>2428.388359374987</v>
      </c>
      <c r="BG21" s="233">
        <f t="shared" si="20"/>
        <v>2433.3904417948911</v>
      </c>
      <c r="BH21" s="233">
        <f t="shared" si="21"/>
        <v>2438.4028276855893</v>
      </c>
      <c r="BI21" s="233">
        <f t="shared" si="21"/>
        <v>2443.4255382705433</v>
      </c>
      <c r="BJ21" s="233">
        <f t="shared" si="21"/>
        <v>2448.4585948169329</v>
      </c>
      <c r="BK21" s="233">
        <f t="shared" si="21"/>
        <v>2453.5020186357451</v>
      </c>
      <c r="BL21" s="233">
        <f t="shared" si="21"/>
        <v>2458.5558310818633</v>
      </c>
      <c r="BM21" s="233">
        <f t="shared" si="21"/>
        <v>2463.6200535541593</v>
      </c>
      <c r="BN21" s="233">
        <f t="shared" si="21"/>
        <v>2468.694707495582</v>
      </c>
      <c r="BO21" s="233">
        <f t="shared" si="21"/>
        <v>2473.7798143932505</v>
      </c>
      <c r="BP21" s="233">
        <f t="shared" si="21"/>
        <v>2478.8753957785425</v>
      </c>
      <c r="BQ21" s="233">
        <f t="shared" si="21"/>
        <v>2483.9814732271884</v>
      </c>
      <c r="BR21" s="233">
        <f t="shared" si="22"/>
        <v>2489.0980683593589</v>
      </c>
      <c r="BS21" s="233">
        <f t="shared" si="22"/>
        <v>2494.2252028397611</v>
      </c>
      <c r="BT21" s="233">
        <f t="shared" si="22"/>
        <v>2499.3628983777267</v>
      </c>
      <c r="BU21" s="233">
        <f t="shared" si="22"/>
        <v>2504.5111767273042</v>
      </c>
      <c r="BV21" s="233">
        <f t="shared" si="22"/>
        <v>2509.6700596873538</v>
      </c>
      <c r="BW21" s="233">
        <f t="shared" si="22"/>
        <v>2514.8395691016362</v>
      </c>
      <c r="BX21" s="233">
        <f t="shared" si="22"/>
        <v>2520.0197268589077</v>
      </c>
      <c r="BY21" s="233">
        <f t="shared" si="22"/>
        <v>2525.2105548930108</v>
      </c>
      <c r="BZ21" s="233">
        <f t="shared" si="22"/>
        <v>2530.4120751829691</v>
      </c>
      <c r="CA21" s="233">
        <f t="shared" si="22"/>
        <v>2535.6243097530787</v>
      </c>
      <c r="CB21" s="233">
        <f t="shared" si="23"/>
        <v>2540.8472806730028</v>
      </c>
      <c r="CC21" s="233">
        <f t="shared" si="23"/>
        <v>2546.0810100578642</v>
      </c>
      <c r="CD21" s="233">
        <f t="shared" si="23"/>
        <v>2551.3255200683393</v>
      </c>
      <c r="CE21" s="233">
        <f t="shared" si="23"/>
        <v>2556.5808329107513</v>
      </c>
      <c r="CF21" s="233">
        <f t="shared" si="23"/>
        <v>2561.8469708371658</v>
      </c>
      <c r="CG21" s="233">
        <f t="shared" si="23"/>
        <v>2567.1239561454831</v>
      </c>
      <c r="CH21" s="233">
        <f t="shared" si="23"/>
        <v>2572.4118111795333</v>
      </c>
      <c r="CI21" s="233">
        <f t="shared" si="23"/>
        <v>2577.7105583291727</v>
      </c>
      <c r="CJ21" s="233">
        <f t="shared" si="23"/>
        <v>2583.0202200303756</v>
      </c>
      <c r="CK21" s="233">
        <f t="shared" si="23"/>
        <v>2588.3408187653313</v>
      </c>
      <c r="CL21" s="233">
        <f t="shared" si="24"/>
        <v>2593.672377062539</v>
      </c>
      <c r="CM21" s="233">
        <f t="shared" si="24"/>
        <v>2599.0149174969015</v>
      </c>
      <c r="CN21" s="233">
        <f t="shared" si="24"/>
        <v>2604.3684626898239</v>
      </c>
      <c r="CO21" s="233">
        <f t="shared" si="24"/>
        <v>2609.7330353093071</v>
      </c>
      <c r="CP21" s="233">
        <f t="shared" si="24"/>
        <v>2615.1086580700439</v>
      </c>
      <c r="CQ21" s="233">
        <f t="shared" si="24"/>
        <v>2620.4953537335164</v>
      </c>
      <c r="CR21" s="233">
        <f t="shared" si="24"/>
        <v>2625.8931451080912</v>
      </c>
      <c r="CS21" s="233">
        <f t="shared" si="24"/>
        <v>2631.302055049116</v>
      </c>
      <c r="CT21" s="233">
        <f t="shared" si="24"/>
        <v>2636.7221064590181</v>
      </c>
      <c r="CU21" s="233">
        <f t="shared" si="24"/>
        <v>2642.1533222873986</v>
      </c>
      <c r="CV21" s="233">
        <f t="shared" si="25"/>
        <v>2647.5957255311318</v>
      </c>
      <c r="CW21" s="233">
        <f t="shared" si="25"/>
        <v>2653.0493392344615</v>
      </c>
      <c r="CX21" s="233">
        <f t="shared" si="25"/>
        <v>2658.5141864890988</v>
      </c>
      <c r="CY21" s="233">
        <f t="shared" si="25"/>
        <v>2663.9902904343207</v>
      </c>
      <c r="CZ21" s="233">
        <f t="shared" si="25"/>
        <v>2669.4776742570662</v>
      </c>
      <c r="DA21" s="233">
        <f t="shared" si="25"/>
        <v>2674.9763611920362</v>
      </c>
      <c r="DB21" s="233">
        <f t="shared" si="25"/>
        <v>2680.4863745217917</v>
      </c>
      <c r="DC21" s="233">
        <f t="shared" si="25"/>
        <v>2686.007737576851</v>
      </c>
      <c r="DD21" s="233">
        <f t="shared" si="25"/>
        <v>2691.5404737357899</v>
      </c>
      <c r="DE21" s="233">
        <f t="shared" si="25"/>
        <v>2697.0846064253406</v>
      </c>
      <c r="DF21" s="233">
        <f t="shared" si="26"/>
        <v>2702.6401591204899</v>
      </c>
      <c r="DG21" s="233">
        <f t="shared" si="26"/>
        <v>2708.2071553445803</v>
      </c>
      <c r="DH21" s="233">
        <f t="shared" si="26"/>
        <v>2713.7856186694066</v>
      </c>
      <c r="DI21" s="233">
        <f t="shared" si="26"/>
        <v>2719.3755727153193</v>
      </c>
      <c r="DJ21" s="233">
        <f t="shared" si="26"/>
        <v>2724.9770411513227</v>
      </c>
      <c r="DK21" s="233">
        <f t="shared" si="26"/>
        <v>2730.5900476951751</v>
      </c>
      <c r="DL21" s="233">
        <f t="shared" si="26"/>
        <v>2736.2146161134892</v>
      </c>
      <c r="DM21" s="233">
        <f t="shared" si="26"/>
        <v>2741.8507702218335</v>
      </c>
      <c r="DN21" s="233">
        <f t="shared" si="26"/>
        <v>2747.4985338848328</v>
      </c>
      <c r="DO21" s="233">
        <f t="shared" si="26"/>
        <v>2753.1579310162683</v>
      </c>
      <c r="DP21" s="233">
        <f t="shared" si="27"/>
        <v>2758.8289855791809</v>
      </c>
      <c r="DQ21" s="233">
        <f t="shared" si="27"/>
        <v>2764.51172158597</v>
      </c>
      <c r="DR21" s="233">
        <f t="shared" si="27"/>
        <v>2770.2061630984986</v>
      </c>
      <c r="DS21" s="233">
        <f t="shared" si="27"/>
        <v>2775.9123342281905</v>
      </c>
      <c r="DT21" s="233">
        <f t="shared" si="27"/>
        <v>2781.6302591361377</v>
      </c>
      <c r="DU21" s="233">
        <f t="shared" si="27"/>
        <v>2787.3599620331984</v>
      </c>
      <c r="DV21" s="233">
        <f t="shared" si="27"/>
        <v>2793.1014671801022</v>
      </c>
      <c r="DW21" s="233">
        <f t="shared" si="27"/>
        <v>2798.8547988875507</v>
      </c>
      <c r="DX21" s="233">
        <f t="shared" si="27"/>
        <v>2804.6199815163222</v>
      </c>
      <c r="DY21" s="233">
        <f t="shared" si="27"/>
        <v>2810.3970394773755</v>
      </c>
      <c r="DZ21" s="233">
        <f t="shared" si="28"/>
        <v>2816.1859972319498</v>
      </c>
      <c r="EA21" s="233">
        <f t="shared" si="28"/>
        <v>2821.9868792916714</v>
      </c>
      <c r="EB21" s="233">
        <f t="shared" si="28"/>
        <v>2827.7997102186569</v>
      </c>
      <c r="EC21" s="233">
        <f t="shared" si="28"/>
        <v>2833.624514625616</v>
      </c>
      <c r="ED21" s="233">
        <f t="shared" si="28"/>
        <v>2839.4613171759574</v>
      </c>
      <c r="EE21" s="233">
        <f t="shared" si="28"/>
        <v>2845.3101425838918</v>
      </c>
      <c r="EF21" s="233">
        <f t="shared" si="28"/>
        <v>2851.1710156145377</v>
      </c>
      <c r="EG21" s="233">
        <f t="shared" si="28"/>
        <v>2857.0439610840253</v>
      </c>
      <c r="EH21" s="233">
        <f t="shared" si="28"/>
        <v>2862.9290038596014</v>
      </c>
      <c r="EI21" s="233">
        <f t="shared" si="28"/>
        <v>2868.8261688597363</v>
      </c>
      <c r="EJ21" s="233">
        <f t="shared" si="28"/>
        <v>2874.7354810542274</v>
      </c>
      <c r="EK21" s="233">
        <f t="shared" si="28"/>
        <v>2880.6569654643067</v>
      </c>
    </row>
    <row r="22" spans="2:141" x14ac:dyDescent="0.45">
      <c r="B22" s="230">
        <f>Assumptions!B59</f>
        <v>14</v>
      </c>
      <c r="C22" s="230" t="str">
        <f>Assumptions!C59</f>
        <v>Fair Market</v>
      </c>
      <c r="D22" s="439">
        <f>Assumptions!D59</f>
        <v>1</v>
      </c>
      <c r="E22" s="22">
        <f>Assumptions!G59</f>
        <v>6</v>
      </c>
      <c r="F22" s="22">
        <f>IF(D22=1,E22+SUM(Assumptions!$G$142:$G$143),'Rent Roll Model'!E22)</f>
        <v>10</v>
      </c>
      <c r="G22" s="233">
        <f>Assumptions!I59</f>
        <v>1776.5</v>
      </c>
      <c r="H22" s="233">
        <f>Assumptions!J59</f>
        <v>2200</v>
      </c>
      <c r="J22" s="233">
        <f t="shared" si="16"/>
        <v>1776.5</v>
      </c>
      <c r="K22" s="233">
        <f t="shared" si="16"/>
        <v>1780.1592991333757</v>
      </c>
      <c r="L22" s="233">
        <f t="shared" si="16"/>
        <v>1783.8261358238283</v>
      </c>
      <c r="M22" s="233">
        <f t="shared" si="16"/>
        <v>1787.5005255974918</v>
      </c>
      <c r="N22" s="233">
        <f t="shared" si="16"/>
        <v>1791.1824840124805</v>
      </c>
      <c r="O22" s="233">
        <f t="shared" si="16"/>
        <v>0</v>
      </c>
      <c r="P22" s="233">
        <f t="shared" si="16"/>
        <v>0</v>
      </c>
      <c r="Q22" s="233">
        <f t="shared" si="16"/>
        <v>0</v>
      </c>
      <c r="R22" s="233">
        <f t="shared" si="16"/>
        <v>0</v>
      </c>
      <c r="S22" s="233">
        <f t="shared" si="16"/>
        <v>2241.1224179421947</v>
      </c>
      <c r="T22" s="233">
        <f t="shared" si="17"/>
        <v>2245.7387631838296</v>
      </c>
      <c r="U22" s="233">
        <f t="shared" si="17"/>
        <v>2250.3646173408274</v>
      </c>
      <c r="V22" s="233">
        <f t="shared" si="17"/>
        <v>2254.9999999999968</v>
      </c>
      <c r="W22" s="233">
        <f t="shared" si="17"/>
        <v>2259.6449307884923</v>
      </c>
      <c r="X22" s="233">
        <f t="shared" si="17"/>
        <v>2264.2994293738971</v>
      </c>
      <c r="Y22" s="233">
        <f t="shared" si="17"/>
        <v>2268.9635154643056</v>
      </c>
      <c r="Z22" s="233">
        <f t="shared" si="17"/>
        <v>2273.637208808409</v>
      </c>
      <c r="AA22" s="233">
        <f t="shared" si="17"/>
        <v>2278.3205291955765</v>
      </c>
      <c r="AB22" s="233">
        <f t="shared" si="17"/>
        <v>2283.0134964559406</v>
      </c>
      <c r="AC22" s="233">
        <f t="shared" si="17"/>
        <v>2287.7161304604811</v>
      </c>
      <c r="AD22" s="233">
        <f t="shared" si="18"/>
        <v>2292.4284511211076</v>
      </c>
      <c r="AE22" s="233">
        <f t="shared" si="18"/>
        <v>2297.1504783907467</v>
      </c>
      <c r="AF22" s="233">
        <f t="shared" si="18"/>
        <v>2301.8822322634223</v>
      </c>
      <c r="AG22" s="233">
        <f t="shared" si="18"/>
        <v>2306.6237327743456</v>
      </c>
      <c r="AH22" s="233">
        <f t="shared" si="18"/>
        <v>2311.3749999999941</v>
      </c>
      <c r="AI22" s="233">
        <f t="shared" si="18"/>
        <v>2316.1360540582018</v>
      </c>
      <c r="AJ22" s="233">
        <f t="shared" si="18"/>
        <v>2320.9069151082408</v>
      </c>
      <c r="AK22" s="233">
        <f t="shared" si="18"/>
        <v>2325.6876033509097</v>
      </c>
      <c r="AL22" s="233">
        <f t="shared" si="18"/>
        <v>2330.4781390286153</v>
      </c>
      <c r="AM22" s="233">
        <f t="shared" si="18"/>
        <v>2335.2785424254621</v>
      </c>
      <c r="AN22" s="233">
        <f t="shared" si="19"/>
        <v>2340.0888338673353</v>
      </c>
      <c r="AO22" s="233">
        <f t="shared" si="19"/>
        <v>2344.9090337219891</v>
      </c>
      <c r="AP22" s="233">
        <f t="shared" si="19"/>
        <v>2349.7391623991321</v>
      </c>
      <c r="AQ22" s="233">
        <f t="shared" si="19"/>
        <v>2354.5792403505111</v>
      </c>
      <c r="AR22" s="233">
        <f t="shared" si="19"/>
        <v>2359.4292880700041</v>
      </c>
      <c r="AS22" s="233">
        <f t="shared" si="19"/>
        <v>2364.2893260936999</v>
      </c>
      <c r="AT22" s="233">
        <f t="shared" si="19"/>
        <v>2369.1593749999902</v>
      </c>
      <c r="AU22" s="233">
        <f t="shared" si="19"/>
        <v>2374.0394554096529</v>
      </c>
      <c r="AV22" s="233">
        <f t="shared" si="19"/>
        <v>2378.9295879859433</v>
      </c>
      <c r="AW22" s="233">
        <f t="shared" si="19"/>
        <v>2383.8297934346788</v>
      </c>
      <c r="AX22" s="233">
        <f t="shared" si="20"/>
        <v>2388.7400925043271</v>
      </c>
      <c r="AY22" s="233">
        <f t="shared" si="20"/>
        <v>2393.6605059860949</v>
      </c>
      <c r="AZ22" s="233">
        <f t="shared" si="20"/>
        <v>2398.5910547140156</v>
      </c>
      <c r="BA22" s="233">
        <f t="shared" si="20"/>
        <v>2403.5317595650358</v>
      </c>
      <c r="BB22" s="233">
        <f t="shared" si="20"/>
        <v>2408.4826414591071</v>
      </c>
      <c r="BC22" s="233">
        <f t="shared" si="20"/>
        <v>2413.4437213592714</v>
      </c>
      <c r="BD22" s="233">
        <f t="shared" si="20"/>
        <v>2418.4150202717515</v>
      </c>
      <c r="BE22" s="233">
        <f t="shared" si="20"/>
        <v>2423.3965592460399</v>
      </c>
      <c r="BF22" s="233">
        <f t="shared" si="20"/>
        <v>2428.388359374987</v>
      </c>
      <c r="BG22" s="233">
        <f t="shared" si="20"/>
        <v>2433.3904417948911</v>
      </c>
      <c r="BH22" s="233">
        <f t="shared" si="21"/>
        <v>2438.4028276855893</v>
      </c>
      <c r="BI22" s="233">
        <f t="shared" si="21"/>
        <v>2443.4255382705433</v>
      </c>
      <c r="BJ22" s="233">
        <f t="shared" si="21"/>
        <v>2448.4585948169329</v>
      </c>
      <c r="BK22" s="233">
        <f t="shared" si="21"/>
        <v>2453.5020186357451</v>
      </c>
      <c r="BL22" s="233">
        <f t="shared" si="21"/>
        <v>2458.5558310818633</v>
      </c>
      <c r="BM22" s="233">
        <f t="shared" si="21"/>
        <v>2463.6200535541593</v>
      </c>
      <c r="BN22" s="233">
        <f t="shared" si="21"/>
        <v>2468.694707495582</v>
      </c>
      <c r="BO22" s="233">
        <f t="shared" si="21"/>
        <v>2473.7798143932505</v>
      </c>
      <c r="BP22" s="233">
        <f t="shared" si="21"/>
        <v>2478.8753957785425</v>
      </c>
      <c r="BQ22" s="233">
        <f t="shared" si="21"/>
        <v>2483.9814732271884</v>
      </c>
      <c r="BR22" s="233">
        <f t="shared" si="22"/>
        <v>2489.0980683593589</v>
      </c>
      <c r="BS22" s="233">
        <f t="shared" si="22"/>
        <v>2494.2252028397611</v>
      </c>
      <c r="BT22" s="233">
        <f t="shared" si="22"/>
        <v>2499.3628983777267</v>
      </c>
      <c r="BU22" s="233">
        <f t="shared" si="22"/>
        <v>2504.5111767273042</v>
      </c>
      <c r="BV22" s="233">
        <f t="shared" si="22"/>
        <v>2509.6700596873538</v>
      </c>
      <c r="BW22" s="233">
        <f t="shared" si="22"/>
        <v>2514.8395691016362</v>
      </c>
      <c r="BX22" s="233">
        <f t="shared" si="22"/>
        <v>2520.0197268589077</v>
      </c>
      <c r="BY22" s="233">
        <f t="shared" si="22"/>
        <v>2525.2105548930108</v>
      </c>
      <c r="BZ22" s="233">
        <f t="shared" si="22"/>
        <v>2530.4120751829691</v>
      </c>
      <c r="CA22" s="233">
        <f t="shared" si="22"/>
        <v>2535.6243097530787</v>
      </c>
      <c r="CB22" s="233">
        <f t="shared" si="23"/>
        <v>2540.8472806730028</v>
      </c>
      <c r="CC22" s="233">
        <f t="shared" si="23"/>
        <v>2546.0810100578642</v>
      </c>
      <c r="CD22" s="233">
        <f t="shared" si="23"/>
        <v>2551.3255200683393</v>
      </c>
      <c r="CE22" s="233">
        <f t="shared" si="23"/>
        <v>2556.5808329107513</v>
      </c>
      <c r="CF22" s="233">
        <f t="shared" si="23"/>
        <v>2561.8469708371658</v>
      </c>
      <c r="CG22" s="233">
        <f t="shared" si="23"/>
        <v>2567.1239561454831</v>
      </c>
      <c r="CH22" s="233">
        <f t="shared" si="23"/>
        <v>2572.4118111795333</v>
      </c>
      <c r="CI22" s="233">
        <f t="shared" si="23"/>
        <v>2577.7105583291727</v>
      </c>
      <c r="CJ22" s="233">
        <f t="shared" si="23"/>
        <v>2583.0202200303756</v>
      </c>
      <c r="CK22" s="233">
        <f t="shared" si="23"/>
        <v>2588.3408187653313</v>
      </c>
      <c r="CL22" s="233">
        <f t="shared" si="24"/>
        <v>2593.672377062539</v>
      </c>
      <c r="CM22" s="233">
        <f t="shared" si="24"/>
        <v>2599.0149174969015</v>
      </c>
      <c r="CN22" s="233">
        <f t="shared" si="24"/>
        <v>2604.3684626898239</v>
      </c>
      <c r="CO22" s="233">
        <f t="shared" si="24"/>
        <v>2609.7330353093071</v>
      </c>
      <c r="CP22" s="233">
        <f t="shared" si="24"/>
        <v>2615.1086580700439</v>
      </c>
      <c r="CQ22" s="233">
        <f t="shared" si="24"/>
        <v>2620.4953537335164</v>
      </c>
      <c r="CR22" s="233">
        <f t="shared" si="24"/>
        <v>2625.8931451080912</v>
      </c>
      <c r="CS22" s="233">
        <f t="shared" si="24"/>
        <v>2631.302055049116</v>
      </c>
      <c r="CT22" s="233">
        <f t="shared" si="24"/>
        <v>2636.7221064590181</v>
      </c>
      <c r="CU22" s="233">
        <f t="shared" si="24"/>
        <v>2642.1533222873986</v>
      </c>
      <c r="CV22" s="233">
        <f t="shared" si="25"/>
        <v>2647.5957255311318</v>
      </c>
      <c r="CW22" s="233">
        <f t="shared" si="25"/>
        <v>2653.0493392344615</v>
      </c>
      <c r="CX22" s="233">
        <f t="shared" si="25"/>
        <v>2658.5141864890988</v>
      </c>
      <c r="CY22" s="233">
        <f t="shared" si="25"/>
        <v>2663.9902904343207</v>
      </c>
      <c r="CZ22" s="233">
        <f t="shared" si="25"/>
        <v>2669.4776742570662</v>
      </c>
      <c r="DA22" s="233">
        <f t="shared" si="25"/>
        <v>2674.9763611920362</v>
      </c>
      <c r="DB22" s="233">
        <f t="shared" si="25"/>
        <v>2680.4863745217917</v>
      </c>
      <c r="DC22" s="233">
        <f t="shared" si="25"/>
        <v>2686.007737576851</v>
      </c>
      <c r="DD22" s="233">
        <f t="shared" si="25"/>
        <v>2691.5404737357899</v>
      </c>
      <c r="DE22" s="233">
        <f t="shared" si="25"/>
        <v>2697.0846064253406</v>
      </c>
      <c r="DF22" s="233">
        <f t="shared" si="26"/>
        <v>2702.6401591204899</v>
      </c>
      <c r="DG22" s="233">
        <f t="shared" si="26"/>
        <v>2708.2071553445803</v>
      </c>
      <c r="DH22" s="233">
        <f t="shared" si="26"/>
        <v>2713.7856186694066</v>
      </c>
      <c r="DI22" s="233">
        <f t="shared" si="26"/>
        <v>2719.3755727153193</v>
      </c>
      <c r="DJ22" s="233">
        <f t="shared" si="26"/>
        <v>2724.9770411513227</v>
      </c>
      <c r="DK22" s="233">
        <f t="shared" si="26"/>
        <v>2730.5900476951751</v>
      </c>
      <c r="DL22" s="233">
        <f t="shared" si="26"/>
        <v>2736.2146161134892</v>
      </c>
      <c r="DM22" s="233">
        <f t="shared" si="26"/>
        <v>2741.8507702218335</v>
      </c>
      <c r="DN22" s="233">
        <f t="shared" si="26"/>
        <v>2747.4985338848328</v>
      </c>
      <c r="DO22" s="233">
        <f t="shared" si="26"/>
        <v>2753.1579310162683</v>
      </c>
      <c r="DP22" s="233">
        <f t="shared" si="27"/>
        <v>2758.8289855791809</v>
      </c>
      <c r="DQ22" s="233">
        <f t="shared" si="27"/>
        <v>2764.51172158597</v>
      </c>
      <c r="DR22" s="233">
        <f t="shared" si="27"/>
        <v>2770.2061630984986</v>
      </c>
      <c r="DS22" s="233">
        <f t="shared" si="27"/>
        <v>2775.9123342281905</v>
      </c>
      <c r="DT22" s="233">
        <f t="shared" si="27"/>
        <v>2781.6302591361377</v>
      </c>
      <c r="DU22" s="233">
        <f t="shared" si="27"/>
        <v>2787.3599620331984</v>
      </c>
      <c r="DV22" s="233">
        <f t="shared" si="27"/>
        <v>2793.1014671801022</v>
      </c>
      <c r="DW22" s="233">
        <f t="shared" si="27"/>
        <v>2798.8547988875507</v>
      </c>
      <c r="DX22" s="233">
        <f t="shared" si="27"/>
        <v>2804.6199815163222</v>
      </c>
      <c r="DY22" s="233">
        <f t="shared" si="27"/>
        <v>2810.3970394773755</v>
      </c>
      <c r="DZ22" s="233">
        <f t="shared" si="28"/>
        <v>2816.1859972319498</v>
      </c>
      <c r="EA22" s="233">
        <f t="shared" si="28"/>
        <v>2821.9868792916714</v>
      </c>
      <c r="EB22" s="233">
        <f t="shared" si="28"/>
        <v>2827.7997102186569</v>
      </c>
      <c r="EC22" s="233">
        <f t="shared" si="28"/>
        <v>2833.624514625616</v>
      </c>
      <c r="ED22" s="233">
        <f t="shared" si="28"/>
        <v>2839.4613171759574</v>
      </c>
      <c r="EE22" s="233">
        <f t="shared" si="28"/>
        <v>2845.3101425838918</v>
      </c>
      <c r="EF22" s="233">
        <f t="shared" si="28"/>
        <v>2851.1710156145377</v>
      </c>
      <c r="EG22" s="233">
        <f t="shared" si="28"/>
        <v>2857.0439610840253</v>
      </c>
      <c r="EH22" s="233">
        <f t="shared" si="28"/>
        <v>2862.9290038596014</v>
      </c>
      <c r="EI22" s="233">
        <f t="shared" si="28"/>
        <v>2868.8261688597363</v>
      </c>
      <c r="EJ22" s="233">
        <f t="shared" si="28"/>
        <v>2874.7354810542274</v>
      </c>
      <c r="EK22" s="233">
        <f t="shared" si="28"/>
        <v>2880.6569654643067</v>
      </c>
    </row>
    <row r="23" spans="2:141" x14ac:dyDescent="0.45">
      <c r="B23" s="230">
        <f>Assumptions!B60</f>
        <v>15</v>
      </c>
      <c r="C23" s="230" t="str">
        <f>Assumptions!C60</f>
        <v>Fair Market</v>
      </c>
      <c r="D23" s="439">
        <f>Assumptions!D60</f>
        <v>0</v>
      </c>
      <c r="E23" s="22">
        <f>Assumptions!G60</f>
        <v>6</v>
      </c>
      <c r="F23" s="22">
        <f>IF(D23=1,E23+SUM(Assumptions!$G$142:$G$143),'Rent Roll Model'!E23)</f>
        <v>6</v>
      </c>
      <c r="G23" s="233">
        <f>Assumptions!I60</f>
        <v>1365</v>
      </c>
      <c r="H23" s="233">
        <f>Assumptions!J60</f>
        <v>1365</v>
      </c>
      <c r="J23" s="233">
        <f t="shared" si="16"/>
        <v>1365</v>
      </c>
      <c r="K23" s="233">
        <f t="shared" si="16"/>
        <v>1367.8116765083353</v>
      </c>
      <c r="L23" s="233">
        <f t="shared" si="16"/>
        <v>1370.6291446099215</v>
      </c>
      <c r="M23" s="233">
        <f t="shared" si="16"/>
        <v>1373.4524162344926</v>
      </c>
      <c r="N23" s="233">
        <f t="shared" si="16"/>
        <v>1376.2815033363556</v>
      </c>
      <c r="O23" s="233">
        <f t="shared" si="16"/>
        <v>1379.1164178944414</v>
      </c>
      <c r="P23" s="233">
        <f t="shared" si="16"/>
        <v>1381.957171912356</v>
      </c>
      <c r="Q23" s="233">
        <f t="shared" si="16"/>
        <v>1384.8037774184302</v>
      </c>
      <c r="R23" s="233">
        <f t="shared" si="16"/>
        <v>1387.656246465772</v>
      </c>
      <c r="S23" s="233">
        <f t="shared" si="16"/>
        <v>1390.5145911323164</v>
      </c>
      <c r="T23" s="233">
        <f t="shared" si="17"/>
        <v>1393.378823520876</v>
      </c>
      <c r="U23" s="233">
        <f t="shared" si="17"/>
        <v>1396.2489557591953</v>
      </c>
      <c r="V23" s="233">
        <f t="shared" si="17"/>
        <v>1399.124999999998</v>
      </c>
      <c r="W23" s="233">
        <f t="shared" si="17"/>
        <v>1402.0069684210418</v>
      </c>
      <c r="X23" s="233">
        <f t="shared" si="17"/>
        <v>1404.8948732251679</v>
      </c>
      <c r="Y23" s="233">
        <f t="shared" si="17"/>
        <v>1407.7887266403534</v>
      </c>
      <c r="Z23" s="233">
        <f t="shared" si="17"/>
        <v>1410.6885409197628</v>
      </c>
      <c r="AA23" s="233">
        <f t="shared" si="17"/>
        <v>1413.594328341801</v>
      </c>
      <c r="AB23" s="233">
        <f t="shared" si="17"/>
        <v>1416.5061012101633</v>
      </c>
      <c r="AC23" s="233">
        <f t="shared" si="17"/>
        <v>1419.4238718538895</v>
      </c>
      <c r="AD23" s="233">
        <f t="shared" si="18"/>
        <v>1422.3476526274146</v>
      </c>
      <c r="AE23" s="233">
        <f t="shared" si="18"/>
        <v>1425.2774559106224</v>
      </c>
      <c r="AF23" s="233">
        <f t="shared" si="18"/>
        <v>1428.2132941088962</v>
      </c>
      <c r="AG23" s="233">
        <f t="shared" si="18"/>
        <v>1431.1551796531735</v>
      </c>
      <c r="AH23" s="233">
        <f t="shared" si="18"/>
        <v>1434.1031249999962</v>
      </c>
      <c r="AI23" s="233">
        <f t="shared" si="18"/>
        <v>1437.057142631566</v>
      </c>
      <c r="AJ23" s="233">
        <f t="shared" si="18"/>
        <v>1440.017245055795</v>
      </c>
      <c r="AK23" s="233">
        <f t="shared" si="18"/>
        <v>1442.9834448063598</v>
      </c>
      <c r="AL23" s="233">
        <f t="shared" si="18"/>
        <v>1445.9557544427544</v>
      </c>
      <c r="AM23" s="233">
        <f t="shared" si="18"/>
        <v>1448.9341865503434</v>
      </c>
      <c r="AN23" s="233">
        <f t="shared" si="19"/>
        <v>1451.918753740415</v>
      </c>
      <c r="AO23" s="233">
        <f t="shared" si="19"/>
        <v>1454.9094686502342</v>
      </c>
      <c r="AP23" s="233">
        <f t="shared" si="19"/>
        <v>1457.9063439430977</v>
      </c>
      <c r="AQ23" s="233">
        <f t="shared" si="19"/>
        <v>1460.9093923083853</v>
      </c>
      <c r="AR23" s="233">
        <f t="shared" si="19"/>
        <v>1463.9186264616162</v>
      </c>
      <c r="AS23" s="233">
        <f t="shared" si="19"/>
        <v>1466.9340591445002</v>
      </c>
      <c r="AT23" s="233">
        <f t="shared" si="19"/>
        <v>1469.9557031249938</v>
      </c>
      <c r="AU23" s="233">
        <f t="shared" si="19"/>
        <v>1472.9835711973528</v>
      </c>
      <c r="AV23" s="233">
        <f t="shared" si="19"/>
        <v>1476.0176761821874</v>
      </c>
      <c r="AW23" s="233">
        <f t="shared" si="19"/>
        <v>1479.0580309265165</v>
      </c>
      <c r="AX23" s="233">
        <f t="shared" si="20"/>
        <v>1482.1046483038213</v>
      </c>
      <c r="AY23" s="233">
        <f t="shared" si="20"/>
        <v>1485.1575412140999</v>
      </c>
      <c r="AZ23" s="233">
        <f t="shared" si="20"/>
        <v>1488.2167225839232</v>
      </c>
      <c r="BA23" s="233">
        <f t="shared" si="20"/>
        <v>1491.2822053664881</v>
      </c>
      <c r="BB23" s="233">
        <f t="shared" si="20"/>
        <v>1494.3540025416733</v>
      </c>
      <c r="BC23" s="233">
        <f t="shared" si="20"/>
        <v>1497.4321271160934</v>
      </c>
      <c r="BD23" s="233">
        <f t="shared" si="20"/>
        <v>1500.5165921231549</v>
      </c>
      <c r="BE23" s="233">
        <f t="shared" si="20"/>
        <v>1503.607410623111</v>
      </c>
      <c r="BF23" s="233">
        <f t="shared" si="20"/>
        <v>1506.7045957031169</v>
      </c>
      <c r="BG23" s="233">
        <f t="shared" si="20"/>
        <v>1509.8081604772849</v>
      </c>
      <c r="BH23" s="233">
        <f t="shared" si="21"/>
        <v>1512.9181180867406</v>
      </c>
      <c r="BI23" s="233">
        <f t="shared" si="21"/>
        <v>1516.0344816996778</v>
      </c>
      <c r="BJ23" s="233">
        <f t="shared" si="21"/>
        <v>1519.1572645114152</v>
      </c>
      <c r="BK23" s="233">
        <f t="shared" si="21"/>
        <v>1522.2864797444511</v>
      </c>
      <c r="BL23" s="233">
        <f t="shared" si="21"/>
        <v>1525.4221406485199</v>
      </c>
      <c r="BM23" s="233">
        <f t="shared" si="21"/>
        <v>1528.564260500649</v>
      </c>
      <c r="BN23" s="233">
        <f t="shared" si="21"/>
        <v>1531.7128526052136</v>
      </c>
      <c r="BO23" s="233">
        <f t="shared" si="21"/>
        <v>1534.867930293994</v>
      </c>
      <c r="BP23" s="233">
        <f t="shared" si="21"/>
        <v>1538.0295069262322</v>
      </c>
      <c r="BQ23" s="233">
        <f t="shared" si="21"/>
        <v>1541.1975958886871</v>
      </c>
      <c r="BR23" s="233">
        <f t="shared" si="22"/>
        <v>1544.3722105956933</v>
      </c>
      <c r="BS23" s="233">
        <f t="shared" si="22"/>
        <v>1547.5533644892155</v>
      </c>
      <c r="BT23" s="233">
        <f t="shared" si="22"/>
        <v>1550.7410710389076</v>
      </c>
      <c r="BU23" s="233">
        <f t="shared" si="22"/>
        <v>1553.9353437421685</v>
      </c>
      <c r="BV23" s="233">
        <f t="shared" si="22"/>
        <v>1557.1361961241992</v>
      </c>
      <c r="BW23" s="233">
        <f t="shared" si="22"/>
        <v>1560.3436417380606</v>
      </c>
      <c r="BX23" s="233">
        <f t="shared" si="22"/>
        <v>1563.5576941647312</v>
      </c>
      <c r="BY23" s="233">
        <f t="shared" si="22"/>
        <v>1566.7783670131635</v>
      </c>
      <c r="BZ23" s="233">
        <f t="shared" si="22"/>
        <v>1570.0056739203421</v>
      </c>
      <c r="CA23" s="233">
        <f t="shared" si="22"/>
        <v>1573.2396285513419</v>
      </c>
      <c r="CB23" s="233">
        <f t="shared" si="23"/>
        <v>1576.480244599386</v>
      </c>
      <c r="CC23" s="233">
        <f t="shared" si="23"/>
        <v>1579.7275357859021</v>
      </c>
      <c r="CD23" s="233">
        <f t="shared" si="23"/>
        <v>1582.9815158605834</v>
      </c>
      <c r="CE23" s="233">
        <f t="shared" si="23"/>
        <v>1586.2421986014435</v>
      </c>
      <c r="CF23" s="233">
        <f t="shared" si="23"/>
        <v>1589.5095978148779</v>
      </c>
      <c r="CG23" s="233">
        <f t="shared" si="23"/>
        <v>1592.7837273357202</v>
      </c>
      <c r="CH23" s="233">
        <f t="shared" si="23"/>
        <v>1596.0646010273015</v>
      </c>
      <c r="CI23" s="233">
        <f t="shared" si="23"/>
        <v>1599.3522327815094</v>
      </c>
      <c r="CJ23" s="233">
        <f t="shared" si="23"/>
        <v>1602.6466365188467</v>
      </c>
      <c r="CK23" s="233">
        <f t="shared" si="23"/>
        <v>1605.9478261884897</v>
      </c>
      <c r="CL23" s="233">
        <f t="shared" si="24"/>
        <v>1609.2558157683479</v>
      </c>
      <c r="CM23" s="233">
        <f t="shared" si="24"/>
        <v>1612.570619265123</v>
      </c>
      <c r="CN23" s="233">
        <f t="shared" si="24"/>
        <v>1615.8922507143682</v>
      </c>
      <c r="CO23" s="233">
        <f t="shared" si="24"/>
        <v>1619.2207241805472</v>
      </c>
      <c r="CP23" s="233">
        <f t="shared" si="24"/>
        <v>1622.5560537570955</v>
      </c>
      <c r="CQ23" s="233">
        <f t="shared" si="24"/>
        <v>1625.8982535664773</v>
      </c>
      <c r="CR23" s="233">
        <f t="shared" si="24"/>
        <v>1629.2473377602473</v>
      </c>
      <c r="CS23" s="233">
        <f t="shared" si="24"/>
        <v>1632.6033205191106</v>
      </c>
      <c r="CT23" s="233">
        <f t="shared" si="24"/>
        <v>1635.9662160529815</v>
      </c>
      <c r="CU23" s="233">
        <f t="shared" si="24"/>
        <v>1639.3360386010449</v>
      </c>
      <c r="CV23" s="233">
        <f t="shared" si="25"/>
        <v>1642.7128024318158</v>
      </c>
      <c r="CW23" s="233">
        <f t="shared" si="25"/>
        <v>1646.0965218432</v>
      </c>
      <c r="CX23" s="233">
        <f t="shared" si="25"/>
        <v>1649.4872111625546</v>
      </c>
      <c r="CY23" s="233">
        <f t="shared" si="25"/>
        <v>1652.8848847467489</v>
      </c>
      <c r="CZ23" s="233">
        <f t="shared" si="25"/>
        <v>1656.2895569822251</v>
      </c>
      <c r="DA23" s="233">
        <f t="shared" si="25"/>
        <v>1659.7012422850589</v>
      </c>
      <c r="DB23" s="233">
        <f t="shared" si="25"/>
        <v>1663.1199551010207</v>
      </c>
      <c r="DC23" s="233">
        <f t="shared" si="25"/>
        <v>1666.5457099056371</v>
      </c>
      <c r="DD23" s="233">
        <f t="shared" si="25"/>
        <v>1669.9785212042514</v>
      </c>
      <c r="DE23" s="233">
        <f t="shared" si="25"/>
        <v>1673.4184035320861</v>
      </c>
      <c r="DF23" s="233">
        <f t="shared" si="26"/>
        <v>1676.8653714543041</v>
      </c>
      <c r="DG23" s="233">
        <f t="shared" si="26"/>
        <v>1680.3194395660689</v>
      </c>
      <c r="DH23" s="233">
        <f t="shared" si="26"/>
        <v>1683.7806224926092</v>
      </c>
      <c r="DI23" s="233">
        <f t="shared" si="26"/>
        <v>1687.2489348892777</v>
      </c>
      <c r="DJ23" s="233">
        <f t="shared" si="26"/>
        <v>1690.7243914416163</v>
      </c>
      <c r="DK23" s="233">
        <f t="shared" si="26"/>
        <v>1694.2070068654155</v>
      </c>
      <c r="DL23" s="233">
        <f t="shared" si="26"/>
        <v>1697.6967959067786</v>
      </c>
      <c r="DM23" s="233">
        <f t="shared" si="26"/>
        <v>1701.193773342183</v>
      </c>
      <c r="DN23" s="233">
        <f t="shared" si="26"/>
        <v>1704.6979539785439</v>
      </c>
      <c r="DO23" s="233">
        <f t="shared" si="26"/>
        <v>1708.2093526532756</v>
      </c>
      <c r="DP23" s="233">
        <f t="shared" si="27"/>
        <v>1711.7279842343553</v>
      </c>
      <c r="DQ23" s="233">
        <f t="shared" si="27"/>
        <v>1715.253863620386</v>
      </c>
      <c r="DR23" s="233">
        <f t="shared" si="27"/>
        <v>1718.7870057406592</v>
      </c>
      <c r="DS23" s="233">
        <f t="shared" si="27"/>
        <v>1722.327425555218</v>
      </c>
      <c r="DT23" s="233">
        <f t="shared" si="27"/>
        <v>1725.8751380549218</v>
      </c>
      <c r="DU23" s="233">
        <f t="shared" si="27"/>
        <v>1729.4301582615071</v>
      </c>
      <c r="DV23" s="233">
        <f t="shared" si="27"/>
        <v>1732.9925012276542</v>
      </c>
      <c r="DW23" s="233">
        <f t="shared" si="27"/>
        <v>1736.5621820370484</v>
      </c>
      <c r="DX23" s="233">
        <f t="shared" si="27"/>
        <v>1740.1392158044455</v>
      </c>
      <c r="DY23" s="233">
        <f t="shared" si="27"/>
        <v>1743.7236176757353</v>
      </c>
      <c r="DZ23" s="233">
        <f t="shared" si="28"/>
        <v>1747.3154028280053</v>
      </c>
      <c r="EA23" s="233">
        <f t="shared" si="28"/>
        <v>1750.9145864696052</v>
      </c>
      <c r="EB23" s="233">
        <f t="shared" si="28"/>
        <v>1754.521183840212</v>
      </c>
      <c r="EC23" s="233">
        <f t="shared" si="28"/>
        <v>1758.1352102108935</v>
      </c>
      <c r="ED23" s="233">
        <f t="shared" si="28"/>
        <v>1761.7566808841736</v>
      </c>
      <c r="EE23" s="233">
        <f t="shared" si="28"/>
        <v>1765.3856111940966</v>
      </c>
      <c r="EF23" s="233">
        <f t="shared" si="28"/>
        <v>1769.0220165062929</v>
      </c>
      <c r="EG23" s="233">
        <f t="shared" si="28"/>
        <v>1772.6659122180429</v>
      </c>
      <c r="EH23" s="233">
        <f t="shared" si="28"/>
        <v>1776.3173137583435</v>
      </c>
      <c r="EI23" s="233">
        <f t="shared" si="28"/>
        <v>1779.9762365879728</v>
      </c>
      <c r="EJ23" s="233">
        <f t="shared" si="28"/>
        <v>1783.6426961995548</v>
      </c>
      <c r="EK23" s="233">
        <f t="shared" si="28"/>
        <v>1787.3167081176266</v>
      </c>
    </row>
    <row r="24" spans="2:141" x14ac:dyDescent="0.45">
      <c r="B24" s="230">
        <f>Assumptions!B61</f>
        <v>16</v>
      </c>
      <c r="C24" s="230" t="str">
        <f>Assumptions!C61</f>
        <v>Fair Market</v>
      </c>
      <c r="D24" s="439">
        <f>Assumptions!D61</f>
        <v>1</v>
      </c>
      <c r="E24" s="22">
        <f>Assumptions!G61</f>
        <v>7</v>
      </c>
      <c r="F24" s="22">
        <f>IF(D24=1,E24+SUM(Assumptions!$G$142:$G$143),'Rent Roll Model'!E24)</f>
        <v>11</v>
      </c>
      <c r="G24" s="233">
        <f>Assumptions!I61</f>
        <v>1548.75</v>
      </c>
      <c r="H24" s="233">
        <f>Assumptions!J61</f>
        <v>2200</v>
      </c>
      <c r="J24" s="233">
        <f t="shared" si="16"/>
        <v>1548.75</v>
      </c>
      <c r="K24" s="233">
        <f t="shared" si="16"/>
        <v>1551.9401714229189</v>
      </c>
      <c r="L24" s="233">
        <f t="shared" si="16"/>
        <v>1555.1369140766417</v>
      </c>
      <c r="M24" s="233">
        <f t="shared" si="16"/>
        <v>1558.3402414968282</v>
      </c>
      <c r="N24" s="233">
        <f t="shared" si="16"/>
        <v>1561.5501672470189</v>
      </c>
      <c r="O24" s="233">
        <f t="shared" si="16"/>
        <v>1564.7667049186932</v>
      </c>
      <c r="P24" s="233">
        <f t="shared" si="16"/>
        <v>0</v>
      </c>
      <c r="Q24" s="233">
        <f t="shared" si="16"/>
        <v>0</v>
      </c>
      <c r="R24" s="233">
        <f t="shared" si="16"/>
        <v>0</v>
      </c>
      <c r="S24" s="233">
        <f t="shared" si="16"/>
        <v>0</v>
      </c>
      <c r="T24" s="233">
        <f t="shared" si="17"/>
        <v>2245.7387631838296</v>
      </c>
      <c r="U24" s="233">
        <f t="shared" si="17"/>
        <v>2250.3646173408274</v>
      </c>
      <c r="V24" s="233">
        <f t="shared" si="17"/>
        <v>2254.9999999999968</v>
      </c>
      <c r="W24" s="233">
        <f t="shared" si="17"/>
        <v>2259.6449307884923</v>
      </c>
      <c r="X24" s="233">
        <f t="shared" si="17"/>
        <v>2264.2994293738971</v>
      </c>
      <c r="Y24" s="233">
        <f t="shared" si="17"/>
        <v>2268.9635154643056</v>
      </c>
      <c r="Z24" s="233">
        <f t="shared" si="17"/>
        <v>2273.637208808409</v>
      </c>
      <c r="AA24" s="233">
        <f t="shared" si="17"/>
        <v>2278.3205291955765</v>
      </c>
      <c r="AB24" s="233">
        <f t="shared" si="17"/>
        <v>2283.0134964559406</v>
      </c>
      <c r="AC24" s="233">
        <f t="shared" si="17"/>
        <v>2287.7161304604811</v>
      </c>
      <c r="AD24" s="233">
        <f t="shared" si="18"/>
        <v>2292.4284511211076</v>
      </c>
      <c r="AE24" s="233">
        <f t="shared" si="18"/>
        <v>2297.1504783907467</v>
      </c>
      <c r="AF24" s="233">
        <f t="shared" si="18"/>
        <v>2301.8822322634223</v>
      </c>
      <c r="AG24" s="233">
        <f t="shared" si="18"/>
        <v>2306.6237327743456</v>
      </c>
      <c r="AH24" s="233">
        <f t="shared" si="18"/>
        <v>2311.3749999999941</v>
      </c>
      <c r="AI24" s="233">
        <f t="shared" si="18"/>
        <v>2316.1360540582018</v>
      </c>
      <c r="AJ24" s="233">
        <f t="shared" si="18"/>
        <v>2320.9069151082408</v>
      </c>
      <c r="AK24" s="233">
        <f t="shared" si="18"/>
        <v>2325.6876033509097</v>
      </c>
      <c r="AL24" s="233">
        <f t="shared" si="18"/>
        <v>2330.4781390286153</v>
      </c>
      <c r="AM24" s="233">
        <f t="shared" si="18"/>
        <v>2335.2785424254621</v>
      </c>
      <c r="AN24" s="233">
        <f t="shared" si="19"/>
        <v>2340.0888338673353</v>
      </c>
      <c r="AO24" s="233">
        <f t="shared" si="19"/>
        <v>2344.9090337219891</v>
      </c>
      <c r="AP24" s="233">
        <f t="shared" si="19"/>
        <v>2349.7391623991321</v>
      </c>
      <c r="AQ24" s="233">
        <f t="shared" si="19"/>
        <v>2354.5792403505111</v>
      </c>
      <c r="AR24" s="233">
        <f t="shared" si="19"/>
        <v>2359.4292880700041</v>
      </c>
      <c r="AS24" s="233">
        <f t="shared" si="19"/>
        <v>2364.2893260936999</v>
      </c>
      <c r="AT24" s="233">
        <f t="shared" si="19"/>
        <v>2369.1593749999902</v>
      </c>
      <c r="AU24" s="233">
        <f t="shared" si="19"/>
        <v>2374.0394554096529</v>
      </c>
      <c r="AV24" s="233">
        <f t="shared" si="19"/>
        <v>2378.9295879859433</v>
      </c>
      <c r="AW24" s="233">
        <f t="shared" si="19"/>
        <v>2383.8297934346788</v>
      </c>
      <c r="AX24" s="233">
        <f t="shared" si="20"/>
        <v>2388.7400925043271</v>
      </c>
      <c r="AY24" s="233">
        <f t="shared" si="20"/>
        <v>2393.6605059860949</v>
      </c>
      <c r="AZ24" s="233">
        <f t="shared" si="20"/>
        <v>2398.5910547140156</v>
      </c>
      <c r="BA24" s="233">
        <f t="shared" si="20"/>
        <v>2403.5317595650358</v>
      </c>
      <c r="BB24" s="233">
        <f t="shared" si="20"/>
        <v>2408.4826414591071</v>
      </c>
      <c r="BC24" s="233">
        <f t="shared" si="20"/>
        <v>2413.4437213592714</v>
      </c>
      <c r="BD24" s="233">
        <f t="shared" si="20"/>
        <v>2418.4150202717515</v>
      </c>
      <c r="BE24" s="233">
        <f t="shared" si="20"/>
        <v>2423.3965592460399</v>
      </c>
      <c r="BF24" s="233">
        <f t="shared" si="20"/>
        <v>2428.388359374987</v>
      </c>
      <c r="BG24" s="233">
        <f t="shared" si="20"/>
        <v>2433.3904417948911</v>
      </c>
      <c r="BH24" s="233">
        <f t="shared" si="21"/>
        <v>2438.4028276855893</v>
      </c>
      <c r="BI24" s="233">
        <f t="shared" si="21"/>
        <v>2443.4255382705433</v>
      </c>
      <c r="BJ24" s="233">
        <f t="shared" si="21"/>
        <v>2448.4585948169329</v>
      </c>
      <c r="BK24" s="233">
        <f t="shared" si="21"/>
        <v>2453.5020186357451</v>
      </c>
      <c r="BL24" s="233">
        <f t="shared" si="21"/>
        <v>2458.5558310818633</v>
      </c>
      <c r="BM24" s="233">
        <f t="shared" si="21"/>
        <v>2463.6200535541593</v>
      </c>
      <c r="BN24" s="233">
        <f t="shared" si="21"/>
        <v>2468.694707495582</v>
      </c>
      <c r="BO24" s="233">
        <f t="shared" si="21"/>
        <v>2473.7798143932505</v>
      </c>
      <c r="BP24" s="233">
        <f t="shared" si="21"/>
        <v>2478.8753957785425</v>
      </c>
      <c r="BQ24" s="233">
        <f t="shared" si="21"/>
        <v>2483.9814732271884</v>
      </c>
      <c r="BR24" s="233">
        <f t="shared" si="22"/>
        <v>2489.0980683593589</v>
      </c>
      <c r="BS24" s="233">
        <f t="shared" si="22"/>
        <v>2494.2252028397611</v>
      </c>
      <c r="BT24" s="233">
        <f t="shared" si="22"/>
        <v>2499.3628983777267</v>
      </c>
      <c r="BU24" s="233">
        <f t="shared" si="22"/>
        <v>2504.5111767273042</v>
      </c>
      <c r="BV24" s="233">
        <f t="shared" si="22"/>
        <v>2509.6700596873538</v>
      </c>
      <c r="BW24" s="233">
        <f t="shared" si="22"/>
        <v>2514.8395691016362</v>
      </c>
      <c r="BX24" s="233">
        <f t="shared" si="22"/>
        <v>2520.0197268589077</v>
      </c>
      <c r="BY24" s="233">
        <f t="shared" si="22"/>
        <v>2525.2105548930108</v>
      </c>
      <c r="BZ24" s="233">
        <f t="shared" si="22"/>
        <v>2530.4120751829691</v>
      </c>
      <c r="CA24" s="233">
        <f t="shared" si="22"/>
        <v>2535.6243097530787</v>
      </c>
      <c r="CB24" s="233">
        <f t="shared" si="23"/>
        <v>2540.8472806730028</v>
      </c>
      <c r="CC24" s="233">
        <f t="shared" si="23"/>
        <v>2546.0810100578642</v>
      </c>
      <c r="CD24" s="233">
        <f t="shared" si="23"/>
        <v>2551.3255200683393</v>
      </c>
      <c r="CE24" s="233">
        <f t="shared" si="23"/>
        <v>2556.5808329107513</v>
      </c>
      <c r="CF24" s="233">
        <f t="shared" si="23"/>
        <v>2561.8469708371658</v>
      </c>
      <c r="CG24" s="233">
        <f t="shared" si="23"/>
        <v>2567.1239561454831</v>
      </c>
      <c r="CH24" s="233">
        <f t="shared" si="23"/>
        <v>2572.4118111795333</v>
      </c>
      <c r="CI24" s="233">
        <f t="shared" si="23"/>
        <v>2577.7105583291727</v>
      </c>
      <c r="CJ24" s="233">
        <f t="shared" si="23"/>
        <v>2583.0202200303756</v>
      </c>
      <c r="CK24" s="233">
        <f t="shared" si="23"/>
        <v>2588.3408187653313</v>
      </c>
      <c r="CL24" s="233">
        <f t="shared" si="24"/>
        <v>2593.672377062539</v>
      </c>
      <c r="CM24" s="233">
        <f t="shared" si="24"/>
        <v>2599.0149174969015</v>
      </c>
      <c r="CN24" s="233">
        <f t="shared" si="24"/>
        <v>2604.3684626898239</v>
      </c>
      <c r="CO24" s="233">
        <f t="shared" si="24"/>
        <v>2609.7330353093071</v>
      </c>
      <c r="CP24" s="233">
        <f t="shared" si="24"/>
        <v>2615.1086580700439</v>
      </c>
      <c r="CQ24" s="233">
        <f t="shared" si="24"/>
        <v>2620.4953537335164</v>
      </c>
      <c r="CR24" s="233">
        <f t="shared" si="24"/>
        <v>2625.8931451080912</v>
      </c>
      <c r="CS24" s="233">
        <f t="shared" si="24"/>
        <v>2631.302055049116</v>
      </c>
      <c r="CT24" s="233">
        <f t="shared" si="24"/>
        <v>2636.7221064590181</v>
      </c>
      <c r="CU24" s="233">
        <f t="shared" si="24"/>
        <v>2642.1533222873986</v>
      </c>
      <c r="CV24" s="233">
        <f t="shared" si="25"/>
        <v>2647.5957255311318</v>
      </c>
      <c r="CW24" s="233">
        <f t="shared" si="25"/>
        <v>2653.0493392344615</v>
      </c>
      <c r="CX24" s="233">
        <f t="shared" si="25"/>
        <v>2658.5141864890988</v>
      </c>
      <c r="CY24" s="233">
        <f t="shared" si="25"/>
        <v>2663.9902904343207</v>
      </c>
      <c r="CZ24" s="233">
        <f t="shared" si="25"/>
        <v>2669.4776742570662</v>
      </c>
      <c r="DA24" s="233">
        <f t="shared" si="25"/>
        <v>2674.9763611920362</v>
      </c>
      <c r="DB24" s="233">
        <f t="shared" si="25"/>
        <v>2680.4863745217917</v>
      </c>
      <c r="DC24" s="233">
        <f t="shared" si="25"/>
        <v>2686.007737576851</v>
      </c>
      <c r="DD24" s="233">
        <f t="shared" si="25"/>
        <v>2691.5404737357899</v>
      </c>
      <c r="DE24" s="233">
        <f t="shared" si="25"/>
        <v>2697.0846064253406</v>
      </c>
      <c r="DF24" s="233">
        <f t="shared" si="26"/>
        <v>2702.6401591204899</v>
      </c>
      <c r="DG24" s="233">
        <f t="shared" si="26"/>
        <v>2708.2071553445803</v>
      </c>
      <c r="DH24" s="233">
        <f t="shared" si="26"/>
        <v>2713.7856186694066</v>
      </c>
      <c r="DI24" s="233">
        <f t="shared" si="26"/>
        <v>2719.3755727153193</v>
      </c>
      <c r="DJ24" s="233">
        <f t="shared" si="26"/>
        <v>2724.9770411513227</v>
      </c>
      <c r="DK24" s="233">
        <f t="shared" si="26"/>
        <v>2730.5900476951751</v>
      </c>
      <c r="DL24" s="233">
        <f t="shared" si="26"/>
        <v>2736.2146161134892</v>
      </c>
      <c r="DM24" s="233">
        <f t="shared" si="26"/>
        <v>2741.8507702218335</v>
      </c>
      <c r="DN24" s="233">
        <f t="shared" si="26"/>
        <v>2747.4985338848328</v>
      </c>
      <c r="DO24" s="233">
        <f t="shared" si="26"/>
        <v>2753.1579310162683</v>
      </c>
      <c r="DP24" s="233">
        <f t="shared" si="27"/>
        <v>2758.8289855791809</v>
      </c>
      <c r="DQ24" s="233">
        <f t="shared" si="27"/>
        <v>2764.51172158597</v>
      </c>
      <c r="DR24" s="233">
        <f t="shared" si="27"/>
        <v>2770.2061630984986</v>
      </c>
      <c r="DS24" s="233">
        <f t="shared" si="27"/>
        <v>2775.9123342281905</v>
      </c>
      <c r="DT24" s="233">
        <f t="shared" si="27"/>
        <v>2781.6302591361377</v>
      </c>
      <c r="DU24" s="233">
        <f t="shared" si="27"/>
        <v>2787.3599620331984</v>
      </c>
      <c r="DV24" s="233">
        <f t="shared" si="27"/>
        <v>2793.1014671801022</v>
      </c>
      <c r="DW24" s="233">
        <f t="shared" si="27"/>
        <v>2798.8547988875507</v>
      </c>
      <c r="DX24" s="233">
        <f t="shared" si="27"/>
        <v>2804.6199815163222</v>
      </c>
      <c r="DY24" s="233">
        <f t="shared" si="27"/>
        <v>2810.3970394773755</v>
      </c>
      <c r="DZ24" s="233">
        <f t="shared" si="28"/>
        <v>2816.1859972319498</v>
      </c>
      <c r="EA24" s="233">
        <f t="shared" si="28"/>
        <v>2821.9868792916714</v>
      </c>
      <c r="EB24" s="233">
        <f t="shared" si="28"/>
        <v>2827.7997102186569</v>
      </c>
      <c r="EC24" s="233">
        <f t="shared" si="28"/>
        <v>2833.624514625616</v>
      </c>
      <c r="ED24" s="233">
        <f t="shared" si="28"/>
        <v>2839.4613171759574</v>
      </c>
      <c r="EE24" s="233">
        <f t="shared" si="28"/>
        <v>2845.3101425838918</v>
      </c>
      <c r="EF24" s="233">
        <f t="shared" si="28"/>
        <v>2851.1710156145377</v>
      </c>
      <c r="EG24" s="233">
        <f t="shared" si="28"/>
        <v>2857.0439610840253</v>
      </c>
      <c r="EH24" s="233">
        <f t="shared" si="28"/>
        <v>2862.9290038596014</v>
      </c>
      <c r="EI24" s="233">
        <f t="shared" si="28"/>
        <v>2868.8261688597363</v>
      </c>
      <c r="EJ24" s="233">
        <f t="shared" si="28"/>
        <v>2874.7354810542274</v>
      </c>
      <c r="EK24" s="233">
        <f t="shared" si="28"/>
        <v>2880.6569654643067</v>
      </c>
    </row>
    <row r="25" spans="2:141" x14ac:dyDescent="0.45">
      <c r="B25" s="230">
        <f>Assumptions!B62</f>
        <v>17</v>
      </c>
      <c r="C25" s="230" t="str">
        <f>Assumptions!C62</f>
        <v>Fair Market</v>
      </c>
      <c r="D25" s="439">
        <f>Assumptions!D62</f>
        <v>1</v>
      </c>
      <c r="E25" s="22">
        <f>Assumptions!G62</f>
        <v>7</v>
      </c>
      <c r="F25" s="22">
        <f>IF(D25=1,E25+SUM(Assumptions!$G$142:$G$143),'Rent Roll Model'!E25)</f>
        <v>11</v>
      </c>
      <c r="G25" s="233">
        <f>Assumptions!I62</f>
        <v>1417.5</v>
      </c>
      <c r="H25" s="233">
        <f>Assumptions!J62</f>
        <v>2200</v>
      </c>
      <c r="J25" s="233">
        <f t="shared" si="16"/>
        <v>1417.5</v>
      </c>
      <c r="K25" s="233">
        <f t="shared" si="16"/>
        <v>1420.4198179125021</v>
      </c>
      <c r="L25" s="233">
        <f t="shared" si="16"/>
        <v>1423.3456501718417</v>
      </c>
      <c r="M25" s="233">
        <f t="shared" si="16"/>
        <v>1426.2775091665885</v>
      </c>
      <c r="N25" s="233">
        <f t="shared" si="16"/>
        <v>1429.2154073108309</v>
      </c>
      <c r="O25" s="233">
        <f t="shared" si="16"/>
        <v>1432.1593570442276</v>
      </c>
      <c r="P25" s="233">
        <f t="shared" si="16"/>
        <v>0</v>
      </c>
      <c r="Q25" s="233">
        <f t="shared" si="16"/>
        <v>0</v>
      </c>
      <c r="R25" s="233">
        <f t="shared" si="16"/>
        <v>0</v>
      </c>
      <c r="S25" s="233">
        <f t="shared" si="16"/>
        <v>0</v>
      </c>
      <c r="T25" s="233">
        <f t="shared" si="17"/>
        <v>2245.7387631838296</v>
      </c>
      <c r="U25" s="233">
        <f t="shared" si="17"/>
        <v>2250.3646173408274</v>
      </c>
      <c r="V25" s="233">
        <f t="shared" si="17"/>
        <v>2254.9999999999968</v>
      </c>
      <c r="W25" s="233">
        <f t="shared" si="17"/>
        <v>2259.6449307884923</v>
      </c>
      <c r="X25" s="233">
        <f t="shared" si="17"/>
        <v>2264.2994293738971</v>
      </c>
      <c r="Y25" s="233">
        <f t="shared" si="17"/>
        <v>2268.9635154643056</v>
      </c>
      <c r="Z25" s="233">
        <f t="shared" si="17"/>
        <v>2273.637208808409</v>
      </c>
      <c r="AA25" s="233">
        <f t="shared" si="17"/>
        <v>2278.3205291955765</v>
      </c>
      <c r="AB25" s="233">
        <f t="shared" si="17"/>
        <v>2283.0134964559406</v>
      </c>
      <c r="AC25" s="233">
        <f t="shared" si="17"/>
        <v>2287.7161304604811</v>
      </c>
      <c r="AD25" s="233">
        <f t="shared" si="18"/>
        <v>2292.4284511211076</v>
      </c>
      <c r="AE25" s="233">
        <f t="shared" si="18"/>
        <v>2297.1504783907467</v>
      </c>
      <c r="AF25" s="233">
        <f t="shared" si="18"/>
        <v>2301.8822322634223</v>
      </c>
      <c r="AG25" s="233">
        <f t="shared" si="18"/>
        <v>2306.6237327743456</v>
      </c>
      <c r="AH25" s="233">
        <f t="shared" si="18"/>
        <v>2311.3749999999941</v>
      </c>
      <c r="AI25" s="233">
        <f t="shared" si="18"/>
        <v>2316.1360540582018</v>
      </c>
      <c r="AJ25" s="233">
        <f t="shared" si="18"/>
        <v>2320.9069151082408</v>
      </c>
      <c r="AK25" s="233">
        <f t="shared" si="18"/>
        <v>2325.6876033509097</v>
      </c>
      <c r="AL25" s="233">
        <f t="shared" si="18"/>
        <v>2330.4781390286153</v>
      </c>
      <c r="AM25" s="233">
        <f t="shared" si="18"/>
        <v>2335.2785424254621</v>
      </c>
      <c r="AN25" s="233">
        <f t="shared" si="19"/>
        <v>2340.0888338673353</v>
      </c>
      <c r="AO25" s="233">
        <f t="shared" si="19"/>
        <v>2344.9090337219891</v>
      </c>
      <c r="AP25" s="233">
        <f t="shared" si="19"/>
        <v>2349.7391623991321</v>
      </c>
      <c r="AQ25" s="233">
        <f t="shared" si="19"/>
        <v>2354.5792403505111</v>
      </c>
      <c r="AR25" s="233">
        <f t="shared" si="19"/>
        <v>2359.4292880700041</v>
      </c>
      <c r="AS25" s="233">
        <f t="shared" si="19"/>
        <v>2364.2893260936999</v>
      </c>
      <c r="AT25" s="233">
        <f t="shared" si="19"/>
        <v>2369.1593749999902</v>
      </c>
      <c r="AU25" s="233">
        <f t="shared" si="19"/>
        <v>2374.0394554096529</v>
      </c>
      <c r="AV25" s="233">
        <f t="shared" si="19"/>
        <v>2378.9295879859433</v>
      </c>
      <c r="AW25" s="233">
        <f t="shared" si="19"/>
        <v>2383.8297934346788</v>
      </c>
      <c r="AX25" s="233">
        <f t="shared" si="20"/>
        <v>2388.7400925043271</v>
      </c>
      <c r="AY25" s="233">
        <f t="shared" si="20"/>
        <v>2393.6605059860949</v>
      </c>
      <c r="AZ25" s="233">
        <f t="shared" si="20"/>
        <v>2398.5910547140156</v>
      </c>
      <c r="BA25" s="233">
        <f t="shared" si="20"/>
        <v>2403.5317595650358</v>
      </c>
      <c r="BB25" s="233">
        <f t="shared" si="20"/>
        <v>2408.4826414591071</v>
      </c>
      <c r="BC25" s="233">
        <f t="shared" si="20"/>
        <v>2413.4437213592714</v>
      </c>
      <c r="BD25" s="233">
        <f t="shared" si="20"/>
        <v>2418.4150202717515</v>
      </c>
      <c r="BE25" s="233">
        <f t="shared" si="20"/>
        <v>2423.3965592460399</v>
      </c>
      <c r="BF25" s="233">
        <f t="shared" si="20"/>
        <v>2428.388359374987</v>
      </c>
      <c r="BG25" s="233">
        <f t="shared" si="20"/>
        <v>2433.3904417948911</v>
      </c>
      <c r="BH25" s="233">
        <f t="shared" si="21"/>
        <v>2438.4028276855893</v>
      </c>
      <c r="BI25" s="233">
        <f t="shared" si="21"/>
        <v>2443.4255382705433</v>
      </c>
      <c r="BJ25" s="233">
        <f t="shared" si="21"/>
        <v>2448.4585948169329</v>
      </c>
      <c r="BK25" s="233">
        <f t="shared" si="21"/>
        <v>2453.5020186357451</v>
      </c>
      <c r="BL25" s="233">
        <f t="shared" si="21"/>
        <v>2458.5558310818633</v>
      </c>
      <c r="BM25" s="233">
        <f t="shared" si="21"/>
        <v>2463.6200535541593</v>
      </c>
      <c r="BN25" s="233">
        <f t="shared" si="21"/>
        <v>2468.694707495582</v>
      </c>
      <c r="BO25" s="233">
        <f t="shared" si="21"/>
        <v>2473.7798143932505</v>
      </c>
      <c r="BP25" s="233">
        <f t="shared" si="21"/>
        <v>2478.8753957785425</v>
      </c>
      <c r="BQ25" s="233">
        <f t="shared" si="21"/>
        <v>2483.9814732271884</v>
      </c>
      <c r="BR25" s="233">
        <f t="shared" si="22"/>
        <v>2489.0980683593589</v>
      </c>
      <c r="BS25" s="233">
        <f t="shared" si="22"/>
        <v>2494.2252028397611</v>
      </c>
      <c r="BT25" s="233">
        <f t="shared" si="22"/>
        <v>2499.3628983777267</v>
      </c>
      <c r="BU25" s="233">
        <f t="shared" si="22"/>
        <v>2504.5111767273042</v>
      </c>
      <c r="BV25" s="233">
        <f t="shared" si="22"/>
        <v>2509.6700596873538</v>
      </c>
      <c r="BW25" s="233">
        <f t="shared" si="22"/>
        <v>2514.8395691016362</v>
      </c>
      <c r="BX25" s="233">
        <f t="shared" si="22"/>
        <v>2520.0197268589077</v>
      </c>
      <c r="BY25" s="233">
        <f t="shared" si="22"/>
        <v>2525.2105548930108</v>
      </c>
      <c r="BZ25" s="233">
        <f t="shared" si="22"/>
        <v>2530.4120751829691</v>
      </c>
      <c r="CA25" s="233">
        <f t="shared" si="22"/>
        <v>2535.6243097530787</v>
      </c>
      <c r="CB25" s="233">
        <f t="shared" si="23"/>
        <v>2540.8472806730028</v>
      </c>
      <c r="CC25" s="233">
        <f t="shared" si="23"/>
        <v>2546.0810100578642</v>
      </c>
      <c r="CD25" s="233">
        <f t="shared" si="23"/>
        <v>2551.3255200683393</v>
      </c>
      <c r="CE25" s="233">
        <f t="shared" si="23"/>
        <v>2556.5808329107513</v>
      </c>
      <c r="CF25" s="233">
        <f t="shared" si="23"/>
        <v>2561.8469708371658</v>
      </c>
      <c r="CG25" s="233">
        <f t="shared" si="23"/>
        <v>2567.1239561454831</v>
      </c>
      <c r="CH25" s="233">
        <f t="shared" si="23"/>
        <v>2572.4118111795333</v>
      </c>
      <c r="CI25" s="233">
        <f t="shared" si="23"/>
        <v>2577.7105583291727</v>
      </c>
      <c r="CJ25" s="233">
        <f t="shared" si="23"/>
        <v>2583.0202200303756</v>
      </c>
      <c r="CK25" s="233">
        <f t="shared" si="23"/>
        <v>2588.3408187653313</v>
      </c>
      <c r="CL25" s="233">
        <f t="shared" si="24"/>
        <v>2593.672377062539</v>
      </c>
      <c r="CM25" s="233">
        <f t="shared" si="24"/>
        <v>2599.0149174969015</v>
      </c>
      <c r="CN25" s="233">
        <f t="shared" si="24"/>
        <v>2604.3684626898239</v>
      </c>
      <c r="CO25" s="233">
        <f t="shared" si="24"/>
        <v>2609.7330353093071</v>
      </c>
      <c r="CP25" s="233">
        <f t="shared" si="24"/>
        <v>2615.1086580700439</v>
      </c>
      <c r="CQ25" s="233">
        <f t="shared" si="24"/>
        <v>2620.4953537335164</v>
      </c>
      <c r="CR25" s="233">
        <f t="shared" si="24"/>
        <v>2625.8931451080912</v>
      </c>
      <c r="CS25" s="233">
        <f t="shared" si="24"/>
        <v>2631.302055049116</v>
      </c>
      <c r="CT25" s="233">
        <f t="shared" si="24"/>
        <v>2636.7221064590181</v>
      </c>
      <c r="CU25" s="233">
        <f t="shared" si="24"/>
        <v>2642.1533222873986</v>
      </c>
      <c r="CV25" s="233">
        <f t="shared" si="25"/>
        <v>2647.5957255311318</v>
      </c>
      <c r="CW25" s="233">
        <f t="shared" si="25"/>
        <v>2653.0493392344615</v>
      </c>
      <c r="CX25" s="233">
        <f t="shared" si="25"/>
        <v>2658.5141864890988</v>
      </c>
      <c r="CY25" s="233">
        <f t="shared" si="25"/>
        <v>2663.9902904343207</v>
      </c>
      <c r="CZ25" s="233">
        <f t="shared" si="25"/>
        <v>2669.4776742570662</v>
      </c>
      <c r="DA25" s="233">
        <f t="shared" si="25"/>
        <v>2674.9763611920362</v>
      </c>
      <c r="DB25" s="233">
        <f t="shared" si="25"/>
        <v>2680.4863745217917</v>
      </c>
      <c r="DC25" s="233">
        <f t="shared" si="25"/>
        <v>2686.007737576851</v>
      </c>
      <c r="DD25" s="233">
        <f t="shared" si="25"/>
        <v>2691.5404737357899</v>
      </c>
      <c r="DE25" s="233">
        <f t="shared" si="25"/>
        <v>2697.0846064253406</v>
      </c>
      <c r="DF25" s="233">
        <f t="shared" si="26"/>
        <v>2702.6401591204899</v>
      </c>
      <c r="DG25" s="233">
        <f t="shared" si="26"/>
        <v>2708.2071553445803</v>
      </c>
      <c r="DH25" s="233">
        <f t="shared" si="26"/>
        <v>2713.7856186694066</v>
      </c>
      <c r="DI25" s="233">
        <f t="shared" si="26"/>
        <v>2719.3755727153193</v>
      </c>
      <c r="DJ25" s="233">
        <f t="shared" si="26"/>
        <v>2724.9770411513227</v>
      </c>
      <c r="DK25" s="233">
        <f t="shared" si="26"/>
        <v>2730.5900476951751</v>
      </c>
      <c r="DL25" s="233">
        <f t="shared" si="26"/>
        <v>2736.2146161134892</v>
      </c>
      <c r="DM25" s="233">
        <f t="shared" si="26"/>
        <v>2741.8507702218335</v>
      </c>
      <c r="DN25" s="233">
        <f t="shared" si="26"/>
        <v>2747.4985338848328</v>
      </c>
      <c r="DO25" s="233">
        <f t="shared" si="26"/>
        <v>2753.1579310162683</v>
      </c>
      <c r="DP25" s="233">
        <f t="shared" si="27"/>
        <v>2758.8289855791809</v>
      </c>
      <c r="DQ25" s="233">
        <f t="shared" si="27"/>
        <v>2764.51172158597</v>
      </c>
      <c r="DR25" s="233">
        <f t="shared" si="27"/>
        <v>2770.2061630984986</v>
      </c>
      <c r="DS25" s="233">
        <f t="shared" si="27"/>
        <v>2775.9123342281905</v>
      </c>
      <c r="DT25" s="233">
        <f t="shared" si="27"/>
        <v>2781.6302591361377</v>
      </c>
      <c r="DU25" s="233">
        <f t="shared" si="27"/>
        <v>2787.3599620331984</v>
      </c>
      <c r="DV25" s="233">
        <f t="shared" si="27"/>
        <v>2793.1014671801022</v>
      </c>
      <c r="DW25" s="233">
        <f t="shared" si="27"/>
        <v>2798.8547988875507</v>
      </c>
      <c r="DX25" s="233">
        <f t="shared" si="27"/>
        <v>2804.6199815163222</v>
      </c>
      <c r="DY25" s="233">
        <f t="shared" si="27"/>
        <v>2810.3970394773755</v>
      </c>
      <c r="DZ25" s="233">
        <f t="shared" si="28"/>
        <v>2816.1859972319498</v>
      </c>
      <c r="EA25" s="233">
        <f t="shared" si="28"/>
        <v>2821.9868792916714</v>
      </c>
      <c r="EB25" s="233">
        <f t="shared" si="28"/>
        <v>2827.7997102186569</v>
      </c>
      <c r="EC25" s="233">
        <f t="shared" si="28"/>
        <v>2833.624514625616</v>
      </c>
      <c r="ED25" s="233">
        <f t="shared" si="28"/>
        <v>2839.4613171759574</v>
      </c>
      <c r="EE25" s="233">
        <f t="shared" si="28"/>
        <v>2845.3101425838918</v>
      </c>
      <c r="EF25" s="233">
        <f t="shared" si="28"/>
        <v>2851.1710156145377</v>
      </c>
      <c r="EG25" s="233">
        <f t="shared" si="28"/>
        <v>2857.0439610840253</v>
      </c>
      <c r="EH25" s="233">
        <f t="shared" si="28"/>
        <v>2862.9290038596014</v>
      </c>
      <c r="EI25" s="233">
        <f t="shared" si="28"/>
        <v>2868.8261688597363</v>
      </c>
      <c r="EJ25" s="233">
        <f t="shared" si="28"/>
        <v>2874.7354810542274</v>
      </c>
      <c r="EK25" s="233">
        <f t="shared" si="28"/>
        <v>2880.6569654643067</v>
      </c>
    </row>
    <row r="26" spans="2:141" x14ac:dyDescent="0.45">
      <c r="B26" s="230">
        <f>Assumptions!B63</f>
        <v>18</v>
      </c>
      <c r="C26" s="230" t="str">
        <f>Assumptions!C63</f>
        <v>Fair Market</v>
      </c>
      <c r="D26" s="439">
        <f>Assumptions!D63</f>
        <v>1</v>
      </c>
      <c r="E26" s="22">
        <f>Assumptions!G63</f>
        <v>7</v>
      </c>
      <c r="F26" s="22">
        <f>IF(D26=1,E26+SUM(Assumptions!$G$142:$G$143),'Rent Roll Model'!E26)</f>
        <v>11</v>
      </c>
      <c r="G26" s="233">
        <f>Assumptions!I63</f>
        <v>1494.01</v>
      </c>
      <c r="H26" s="233">
        <f>Assumptions!J63</f>
        <v>2200</v>
      </c>
      <c r="J26" s="233">
        <f t="shared" si="16"/>
        <v>1494.01</v>
      </c>
      <c r="K26" s="233">
        <f t="shared" si="16"/>
        <v>1497.0874159855077</v>
      </c>
      <c r="L26" s="233">
        <f t="shared" si="16"/>
        <v>1500.1711709440799</v>
      </c>
      <c r="M26" s="233">
        <f t="shared" si="16"/>
        <v>1503.2612779329629</v>
      </c>
      <c r="N26" s="233">
        <f t="shared" si="16"/>
        <v>1506.3577500362994</v>
      </c>
      <c r="O26" s="233">
        <f t="shared" si="16"/>
        <v>1509.4606003651827</v>
      </c>
      <c r="P26" s="233">
        <f t="shared" si="16"/>
        <v>0</v>
      </c>
      <c r="Q26" s="233">
        <f t="shared" si="16"/>
        <v>0</v>
      </c>
      <c r="R26" s="233">
        <f t="shared" si="16"/>
        <v>0</v>
      </c>
      <c r="S26" s="233">
        <f t="shared" si="16"/>
        <v>0</v>
      </c>
      <c r="T26" s="233">
        <f t="shared" si="17"/>
        <v>2245.7387631838296</v>
      </c>
      <c r="U26" s="233">
        <f t="shared" si="17"/>
        <v>2250.3646173408274</v>
      </c>
      <c r="V26" s="233">
        <f t="shared" si="17"/>
        <v>2254.9999999999968</v>
      </c>
      <c r="W26" s="233">
        <f t="shared" si="17"/>
        <v>2259.6449307884923</v>
      </c>
      <c r="X26" s="233">
        <f t="shared" si="17"/>
        <v>2264.2994293738971</v>
      </c>
      <c r="Y26" s="233">
        <f t="shared" si="17"/>
        <v>2268.9635154643056</v>
      </c>
      <c r="Z26" s="233">
        <f t="shared" si="17"/>
        <v>2273.637208808409</v>
      </c>
      <c r="AA26" s="233">
        <f t="shared" si="17"/>
        <v>2278.3205291955765</v>
      </c>
      <c r="AB26" s="233">
        <f t="shared" si="17"/>
        <v>2283.0134964559406</v>
      </c>
      <c r="AC26" s="233">
        <f t="shared" si="17"/>
        <v>2287.7161304604811</v>
      </c>
      <c r="AD26" s="233">
        <f t="shared" si="18"/>
        <v>2292.4284511211076</v>
      </c>
      <c r="AE26" s="233">
        <f t="shared" si="18"/>
        <v>2297.1504783907467</v>
      </c>
      <c r="AF26" s="233">
        <f t="shared" si="18"/>
        <v>2301.8822322634223</v>
      </c>
      <c r="AG26" s="233">
        <f t="shared" si="18"/>
        <v>2306.6237327743456</v>
      </c>
      <c r="AH26" s="233">
        <f t="shared" si="18"/>
        <v>2311.3749999999941</v>
      </c>
      <c r="AI26" s="233">
        <f t="shared" si="18"/>
        <v>2316.1360540582018</v>
      </c>
      <c r="AJ26" s="233">
        <f t="shared" si="18"/>
        <v>2320.9069151082408</v>
      </c>
      <c r="AK26" s="233">
        <f t="shared" si="18"/>
        <v>2325.6876033509097</v>
      </c>
      <c r="AL26" s="233">
        <f t="shared" si="18"/>
        <v>2330.4781390286153</v>
      </c>
      <c r="AM26" s="233">
        <f t="shared" si="18"/>
        <v>2335.2785424254621</v>
      </c>
      <c r="AN26" s="233">
        <f t="shared" si="19"/>
        <v>2340.0888338673353</v>
      </c>
      <c r="AO26" s="233">
        <f t="shared" si="19"/>
        <v>2344.9090337219891</v>
      </c>
      <c r="AP26" s="233">
        <f t="shared" si="19"/>
        <v>2349.7391623991321</v>
      </c>
      <c r="AQ26" s="233">
        <f t="shared" si="19"/>
        <v>2354.5792403505111</v>
      </c>
      <c r="AR26" s="233">
        <f t="shared" si="19"/>
        <v>2359.4292880700041</v>
      </c>
      <c r="AS26" s="233">
        <f t="shared" si="19"/>
        <v>2364.2893260936999</v>
      </c>
      <c r="AT26" s="233">
        <f t="shared" si="19"/>
        <v>2369.1593749999902</v>
      </c>
      <c r="AU26" s="233">
        <f t="shared" si="19"/>
        <v>2374.0394554096529</v>
      </c>
      <c r="AV26" s="233">
        <f t="shared" si="19"/>
        <v>2378.9295879859433</v>
      </c>
      <c r="AW26" s="233">
        <f t="shared" si="19"/>
        <v>2383.8297934346788</v>
      </c>
      <c r="AX26" s="233">
        <f t="shared" si="20"/>
        <v>2388.7400925043271</v>
      </c>
      <c r="AY26" s="233">
        <f t="shared" si="20"/>
        <v>2393.6605059860949</v>
      </c>
      <c r="AZ26" s="233">
        <f t="shared" si="20"/>
        <v>2398.5910547140156</v>
      </c>
      <c r="BA26" s="233">
        <f t="shared" si="20"/>
        <v>2403.5317595650358</v>
      </c>
      <c r="BB26" s="233">
        <f t="shared" si="20"/>
        <v>2408.4826414591071</v>
      </c>
      <c r="BC26" s="233">
        <f t="shared" si="20"/>
        <v>2413.4437213592714</v>
      </c>
      <c r="BD26" s="233">
        <f t="shared" si="20"/>
        <v>2418.4150202717515</v>
      </c>
      <c r="BE26" s="233">
        <f t="shared" si="20"/>
        <v>2423.3965592460399</v>
      </c>
      <c r="BF26" s="233">
        <f t="shared" si="20"/>
        <v>2428.388359374987</v>
      </c>
      <c r="BG26" s="233">
        <f t="shared" si="20"/>
        <v>2433.3904417948911</v>
      </c>
      <c r="BH26" s="233">
        <f t="shared" si="21"/>
        <v>2438.4028276855893</v>
      </c>
      <c r="BI26" s="233">
        <f t="shared" si="21"/>
        <v>2443.4255382705433</v>
      </c>
      <c r="BJ26" s="233">
        <f t="shared" si="21"/>
        <v>2448.4585948169329</v>
      </c>
      <c r="BK26" s="233">
        <f t="shared" si="21"/>
        <v>2453.5020186357451</v>
      </c>
      <c r="BL26" s="233">
        <f t="shared" si="21"/>
        <v>2458.5558310818633</v>
      </c>
      <c r="BM26" s="233">
        <f t="shared" si="21"/>
        <v>2463.6200535541593</v>
      </c>
      <c r="BN26" s="233">
        <f t="shared" si="21"/>
        <v>2468.694707495582</v>
      </c>
      <c r="BO26" s="233">
        <f t="shared" si="21"/>
        <v>2473.7798143932505</v>
      </c>
      <c r="BP26" s="233">
        <f t="shared" si="21"/>
        <v>2478.8753957785425</v>
      </c>
      <c r="BQ26" s="233">
        <f t="shared" si="21"/>
        <v>2483.9814732271884</v>
      </c>
      <c r="BR26" s="233">
        <f t="shared" si="22"/>
        <v>2489.0980683593589</v>
      </c>
      <c r="BS26" s="233">
        <f t="shared" si="22"/>
        <v>2494.2252028397611</v>
      </c>
      <c r="BT26" s="233">
        <f t="shared" si="22"/>
        <v>2499.3628983777267</v>
      </c>
      <c r="BU26" s="233">
        <f t="shared" si="22"/>
        <v>2504.5111767273042</v>
      </c>
      <c r="BV26" s="233">
        <f t="shared" si="22"/>
        <v>2509.6700596873538</v>
      </c>
      <c r="BW26" s="233">
        <f t="shared" si="22"/>
        <v>2514.8395691016362</v>
      </c>
      <c r="BX26" s="233">
        <f t="shared" si="22"/>
        <v>2520.0197268589077</v>
      </c>
      <c r="BY26" s="233">
        <f t="shared" si="22"/>
        <v>2525.2105548930108</v>
      </c>
      <c r="BZ26" s="233">
        <f t="shared" si="22"/>
        <v>2530.4120751829691</v>
      </c>
      <c r="CA26" s="233">
        <f t="shared" si="22"/>
        <v>2535.6243097530787</v>
      </c>
      <c r="CB26" s="233">
        <f t="shared" si="23"/>
        <v>2540.8472806730028</v>
      </c>
      <c r="CC26" s="233">
        <f t="shared" si="23"/>
        <v>2546.0810100578642</v>
      </c>
      <c r="CD26" s="233">
        <f t="shared" si="23"/>
        <v>2551.3255200683393</v>
      </c>
      <c r="CE26" s="233">
        <f t="shared" si="23"/>
        <v>2556.5808329107513</v>
      </c>
      <c r="CF26" s="233">
        <f t="shared" si="23"/>
        <v>2561.8469708371658</v>
      </c>
      <c r="CG26" s="233">
        <f t="shared" si="23"/>
        <v>2567.1239561454831</v>
      </c>
      <c r="CH26" s="233">
        <f t="shared" si="23"/>
        <v>2572.4118111795333</v>
      </c>
      <c r="CI26" s="233">
        <f t="shared" si="23"/>
        <v>2577.7105583291727</v>
      </c>
      <c r="CJ26" s="233">
        <f t="shared" si="23"/>
        <v>2583.0202200303756</v>
      </c>
      <c r="CK26" s="233">
        <f t="shared" si="23"/>
        <v>2588.3408187653313</v>
      </c>
      <c r="CL26" s="233">
        <f t="shared" si="24"/>
        <v>2593.672377062539</v>
      </c>
      <c r="CM26" s="233">
        <f t="shared" si="24"/>
        <v>2599.0149174969015</v>
      </c>
      <c r="CN26" s="233">
        <f t="shared" si="24"/>
        <v>2604.3684626898239</v>
      </c>
      <c r="CO26" s="233">
        <f t="shared" si="24"/>
        <v>2609.7330353093071</v>
      </c>
      <c r="CP26" s="233">
        <f t="shared" si="24"/>
        <v>2615.1086580700439</v>
      </c>
      <c r="CQ26" s="233">
        <f t="shared" si="24"/>
        <v>2620.4953537335164</v>
      </c>
      <c r="CR26" s="233">
        <f t="shared" si="24"/>
        <v>2625.8931451080912</v>
      </c>
      <c r="CS26" s="233">
        <f t="shared" si="24"/>
        <v>2631.302055049116</v>
      </c>
      <c r="CT26" s="233">
        <f t="shared" si="24"/>
        <v>2636.7221064590181</v>
      </c>
      <c r="CU26" s="233">
        <f t="shared" si="24"/>
        <v>2642.1533222873986</v>
      </c>
      <c r="CV26" s="233">
        <f t="shared" si="25"/>
        <v>2647.5957255311318</v>
      </c>
      <c r="CW26" s="233">
        <f t="shared" si="25"/>
        <v>2653.0493392344615</v>
      </c>
      <c r="CX26" s="233">
        <f t="shared" si="25"/>
        <v>2658.5141864890988</v>
      </c>
      <c r="CY26" s="233">
        <f t="shared" si="25"/>
        <v>2663.9902904343207</v>
      </c>
      <c r="CZ26" s="233">
        <f t="shared" si="25"/>
        <v>2669.4776742570662</v>
      </c>
      <c r="DA26" s="233">
        <f t="shared" si="25"/>
        <v>2674.9763611920362</v>
      </c>
      <c r="DB26" s="233">
        <f t="shared" si="25"/>
        <v>2680.4863745217917</v>
      </c>
      <c r="DC26" s="233">
        <f t="shared" si="25"/>
        <v>2686.007737576851</v>
      </c>
      <c r="DD26" s="233">
        <f t="shared" si="25"/>
        <v>2691.5404737357899</v>
      </c>
      <c r="DE26" s="233">
        <f t="shared" si="25"/>
        <v>2697.0846064253406</v>
      </c>
      <c r="DF26" s="233">
        <f t="shared" si="26"/>
        <v>2702.6401591204899</v>
      </c>
      <c r="DG26" s="233">
        <f t="shared" si="26"/>
        <v>2708.2071553445803</v>
      </c>
      <c r="DH26" s="233">
        <f t="shared" si="26"/>
        <v>2713.7856186694066</v>
      </c>
      <c r="DI26" s="233">
        <f t="shared" si="26"/>
        <v>2719.3755727153193</v>
      </c>
      <c r="DJ26" s="233">
        <f t="shared" si="26"/>
        <v>2724.9770411513227</v>
      </c>
      <c r="DK26" s="233">
        <f t="shared" si="26"/>
        <v>2730.5900476951751</v>
      </c>
      <c r="DL26" s="233">
        <f t="shared" si="26"/>
        <v>2736.2146161134892</v>
      </c>
      <c r="DM26" s="233">
        <f t="shared" si="26"/>
        <v>2741.8507702218335</v>
      </c>
      <c r="DN26" s="233">
        <f t="shared" si="26"/>
        <v>2747.4985338848328</v>
      </c>
      <c r="DO26" s="233">
        <f t="shared" si="26"/>
        <v>2753.1579310162683</v>
      </c>
      <c r="DP26" s="233">
        <f t="shared" si="27"/>
        <v>2758.8289855791809</v>
      </c>
      <c r="DQ26" s="233">
        <f t="shared" si="27"/>
        <v>2764.51172158597</v>
      </c>
      <c r="DR26" s="233">
        <f t="shared" si="27"/>
        <v>2770.2061630984986</v>
      </c>
      <c r="DS26" s="233">
        <f t="shared" si="27"/>
        <v>2775.9123342281905</v>
      </c>
      <c r="DT26" s="233">
        <f t="shared" si="27"/>
        <v>2781.6302591361377</v>
      </c>
      <c r="DU26" s="233">
        <f t="shared" si="27"/>
        <v>2787.3599620331984</v>
      </c>
      <c r="DV26" s="233">
        <f t="shared" si="27"/>
        <v>2793.1014671801022</v>
      </c>
      <c r="DW26" s="233">
        <f t="shared" si="27"/>
        <v>2798.8547988875507</v>
      </c>
      <c r="DX26" s="233">
        <f t="shared" si="27"/>
        <v>2804.6199815163222</v>
      </c>
      <c r="DY26" s="233">
        <f t="shared" si="27"/>
        <v>2810.3970394773755</v>
      </c>
      <c r="DZ26" s="233">
        <f t="shared" si="28"/>
        <v>2816.1859972319498</v>
      </c>
      <c r="EA26" s="233">
        <f t="shared" si="28"/>
        <v>2821.9868792916714</v>
      </c>
      <c r="EB26" s="233">
        <f t="shared" si="28"/>
        <v>2827.7997102186569</v>
      </c>
      <c r="EC26" s="233">
        <f t="shared" si="28"/>
        <v>2833.624514625616</v>
      </c>
      <c r="ED26" s="233">
        <f t="shared" si="28"/>
        <v>2839.4613171759574</v>
      </c>
      <c r="EE26" s="233">
        <f t="shared" si="28"/>
        <v>2845.3101425838918</v>
      </c>
      <c r="EF26" s="233">
        <f t="shared" si="28"/>
        <v>2851.1710156145377</v>
      </c>
      <c r="EG26" s="233">
        <f t="shared" si="28"/>
        <v>2857.0439610840253</v>
      </c>
      <c r="EH26" s="233">
        <f t="shared" si="28"/>
        <v>2862.9290038596014</v>
      </c>
      <c r="EI26" s="233">
        <f t="shared" si="28"/>
        <v>2868.8261688597363</v>
      </c>
      <c r="EJ26" s="233">
        <f t="shared" si="28"/>
        <v>2874.7354810542274</v>
      </c>
      <c r="EK26" s="233">
        <f t="shared" si="28"/>
        <v>2880.6569654643067</v>
      </c>
    </row>
    <row r="27" spans="2:141" x14ac:dyDescent="0.45">
      <c r="B27" s="230">
        <f>Assumptions!B64</f>
        <v>19</v>
      </c>
      <c r="C27" s="230" t="str">
        <f>Assumptions!C64</f>
        <v>Fair Market</v>
      </c>
      <c r="D27" s="439">
        <f>Assumptions!D64</f>
        <v>1</v>
      </c>
      <c r="E27" s="22">
        <f>Assumptions!G64</f>
        <v>8</v>
      </c>
      <c r="F27" s="22">
        <f>IF(D27=1,E27+SUM(Assumptions!$G$142:$G$143),'Rent Roll Model'!E27)</f>
        <v>12</v>
      </c>
      <c r="G27" s="233">
        <f>Assumptions!I64</f>
        <v>1548.75</v>
      </c>
      <c r="H27" s="233">
        <f>Assumptions!J64</f>
        <v>2200</v>
      </c>
      <c r="J27" s="233">
        <f t="shared" si="16"/>
        <v>1548.75</v>
      </c>
      <c r="K27" s="233">
        <f t="shared" si="16"/>
        <v>1551.9401714229189</v>
      </c>
      <c r="L27" s="233">
        <f t="shared" si="16"/>
        <v>1555.1369140766417</v>
      </c>
      <c r="M27" s="233">
        <f t="shared" si="16"/>
        <v>1558.3402414968282</v>
      </c>
      <c r="N27" s="233">
        <f t="shared" si="16"/>
        <v>1561.5501672470189</v>
      </c>
      <c r="O27" s="233">
        <f t="shared" si="16"/>
        <v>1564.7667049186932</v>
      </c>
      <c r="P27" s="233">
        <f t="shared" si="16"/>
        <v>1567.9898681313271</v>
      </c>
      <c r="Q27" s="233">
        <f t="shared" si="16"/>
        <v>0</v>
      </c>
      <c r="R27" s="233">
        <f t="shared" si="16"/>
        <v>0</v>
      </c>
      <c r="S27" s="233">
        <f t="shared" si="16"/>
        <v>0</v>
      </c>
      <c r="T27" s="233">
        <f t="shared" si="17"/>
        <v>0</v>
      </c>
      <c r="U27" s="233">
        <f t="shared" si="17"/>
        <v>2250.3646173408274</v>
      </c>
      <c r="V27" s="233">
        <f t="shared" si="17"/>
        <v>2254.9999999999968</v>
      </c>
      <c r="W27" s="233">
        <f t="shared" si="17"/>
        <v>2259.6449307884923</v>
      </c>
      <c r="X27" s="233">
        <f t="shared" si="17"/>
        <v>2264.2994293738971</v>
      </c>
      <c r="Y27" s="233">
        <f t="shared" si="17"/>
        <v>2268.9635154643056</v>
      </c>
      <c r="Z27" s="233">
        <f t="shared" si="17"/>
        <v>2273.637208808409</v>
      </c>
      <c r="AA27" s="233">
        <f t="shared" si="17"/>
        <v>2278.3205291955765</v>
      </c>
      <c r="AB27" s="233">
        <f t="shared" si="17"/>
        <v>2283.0134964559406</v>
      </c>
      <c r="AC27" s="233">
        <f t="shared" si="17"/>
        <v>2287.7161304604811</v>
      </c>
      <c r="AD27" s="233">
        <f t="shared" si="18"/>
        <v>2292.4284511211076</v>
      </c>
      <c r="AE27" s="233">
        <f t="shared" si="18"/>
        <v>2297.1504783907467</v>
      </c>
      <c r="AF27" s="233">
        <f t="shared" si="18"/>
        <v>2301.8822322634223</v>
      </c>
      <c r="AG27" s="233">
        <f t="shared" si="18"/>
        <v>2306.6237327743456</v>
      </c>
      <c r="AH27" s="233">
        <f t="shared" si="18"/>
        <v>2311.3749999999941</v>
      </c>
      <c r="AI27" s="233">
        <f t="shared" si="18"/>
        <v>2316.1360540582018</v>
      </c>
      <c r="AJ27" s="233">
        <f t="shared" si="18"/>
        <v>2320.9069151082408</v>
      </c>
      <c r="AK27" s="233">
        <f t="shared" si="18"/>
        <v>2325.6876033509097</v>
      </c>
      <c r="AL27" s="233">
        <f t="shared" si="18"/>
        <v>2330.4781390286153</v>
      </c>
      <c r="AM27" s="233">
        <f t="shared" si="18"/>
        <v>2335.2785424254621</v>
      </c>
      <c r="AN27" s="233">
        <f t="shared" si="19"/>
        <v>2340.0888338673353</v>
      </c>
      <c r="AO27" s="233">
        <f t="shared" si="19"/>
        <v>2344.9090337219891</v>
      </c>
      <c r="AP27" s="233">
        <f t="shared" si="19"/>
        <v>2349.7391623991321</v>
      </c>
      <c r="AQ27" s="233">
        <f t="shared" si="19"/>
        <v>2354.5792403505111</v>
      </c>
      <c r="AR27" s="233">
        <f t="shared" si="19"/>
        <v>2359.4292880700041</v>
      </c>
      <c r="AS27" s="233">
        <f t="shared" si="19"/>
        <v>2364.2893260936999</v>
      </c>
      <c r="AT27" s="233">
        <f t="shared" si="19"/>
        <v>2369.1593749999902</v>
      </c>
      <c r="AU27" s="233">
        <f t="shared" si="19"/>
        <v>2374.0394554096529</v>
      </c>
      <c r="AV27" s="233">
        <f t="shared" si="19"/>
        <v>2378.9295879859433</v>
      </c>
      <c r="AW27" s="233">
        <f t="shared" si="19"/>
        <v>2383.8297934346788</v>
      </c>
      <c r="AX27" s="233">
        <f t="shared" si="20"/>
        <v>2388.7400925043271</v>
      </c>
      <c r="AY27" s="233">
        <f t="shared" si="20"/>
        <v>2393.6605059860949</v>
      </c>
      <c r="AZ27" s="233">
        <f t="shared" si="20"/>
        <v>2398.5910547140156</v>
      </c>
      <c r="BA27" s="233">
        <f t="shared" si="20"/>
        <v>2403.5317595650358</v>
      </c>
      <c r="BB27" s="233">
        <f t="shared" si="20"/>
        <v>2408.4826414591071</v>
      </c>
      <c r="BC27" s="233">
        <f t="shared" si="20"/>
        <v>2413.4437213592714</v>
      </c>
      <c r="BD27" s="233">
        <f t="shared" si="20"/>
        <v>2418.4150202717515</v>
      </c>
      <c r="BE27" s="233">
        <f t="shared" si="20"/>
        <v>2423.3965592460399</v>
      </c>
      <c r="BF27" s="233">
        <f t="shared" si="20"/>
        <v>2428.388359374987</v>
      </c>
      <c r="BG27" s="233">
        <f t="shared" si="20"/>
        <v>2433.3904417948911</v>
      </c>
      <c r="BH27" s="233">
        <f t="shared" si="21"/>
        <v>2438.4028276855893</v>
      </c>
      <c r="BI27" s="233">
        <f t="shared" si="21"/>
        <v>2443.4255382705433</v>
      </c>
      <c r="BJ27" s="233">
        <f t="shared" si="21"/>
        <v>2448.4585948169329</v>
      </c>
      <c r="BK27" s="233">
        <f t="shared" si="21"/>
        <v>2453.5020186357451</v>
      </c>
      <c r="BL27" s="233">
        <f t="shared" si="21"/>
        <v>2458.5558310818633</v>
      </c>
      <c r="BM27" s="233">
        <f t="shared" si="21"/>
        <v>2463.6200535541593</v>
      </c>
      <c r="BN27" s="233">
        <f t="shared" si="21"/>
        <v>2468.694707495582</v>
      </c>
      <c r="BO27" s="233">
        <f t="shared" si="21"/>
        <v>2473.7798143932505</v>
      </c>
      <c r="BP27" s="233">
        <f t="shared" si="21"/>
        <v>2478.8753957785425</v>
      </c>
      <c r="BQ27" s="233">
        <f t="shared" si="21"/>
        <v>2483.9814732271884</v>
      </c>
      <c r="BR27" s="233">
        <f t="shared" si="22"/>
        <v>2489.0980683593589</v>
      </c>
      <c r="BS27" s="233">
        <f t="shared" si="22"/>
        <v>2494.2252028397611</v>
      </c>
      <c r="BT27" s="233">
        <f t="shared" si="22"/>
        <v>2499.3628983777267</v>
      </c>
      <c r="BU27" s="233">
        <f t="shared" si="22"/>
        <v>2504.5111767273042</v>
      </c>
      <c r="BV27" s="233">
        <f t="shared" si="22"/>
        <v>2509.6700596873538</v>
      </c>
      <c r="BW27" s="233">
        <f t="shared" si="22"/>
        <v>2514.8395691016362</v>
      </c>
      <c r="BX27" s="233">
        <f t="shared" si="22"/>
        <v>2520.0197268589077</v>
      </c>
      <c r="BY27" s="233">
        <f t="shared" si="22"/>
        <v>2525.2105548930108</v>
      </c>
      <c r="BZ27" s="233">
        <f t="shared" si="22"/>
        <v>2530.4120751829691</v>
      </c>
      <c r="CA27" s="233">
        <f t="shared" si="22"/>
        <v>2535.6243097530787</v>
      </c>
      <c r="CB27" s="233">
        <f t="shared" si="23"/>
        <v>2540.8472806730028</v>
      </c>
      <c r="CC27" s="233">
        <f t="shared" si="23"/>
        <v>2546.0810100578642</v>
      </c>
      <c r="CD27" s="233">
        <f t="shared" si="23"/>
        <v>2551.3255200683393</v>
      </c>
      <c r="CE27" s="233">
        <f t="shared" si="23"/>
        <v>2556.5808329107513</v>
      </c>
      <c r="CF27" s="233">
        <f t="shared" si="23"/>
        <v>2561.8469708371658</v>
      </c>
      <c r="CG27" s="233">
        <f t="shared" si="23"/>
        <v>2567.1239561454831</v>
      </c>
      <c r="CH27" s="233">
        <f t="shared" si="23"/>
        <v>2572.4118111795333</v>
      </c>
      <c r="CI27" s="233">
        <f t="shared" si="23"/>
        <v>2577.7105583291727</v>
      </c>
      <c r="CJ27" s="233">
        <f t="shared" si="23"/>
        <v>2583.0202200303756</v>
      </c>
      <c r="CK27" s="233">
        <f t="shared" si="23"/>
        <v>2588.3408187653313</v>
      </c>
      <c r="CL27" s="233">
        <f t="shared" si="24"/>
        <v>2593.672377062539</v>
      </c>
      <c r="CM27" s="233">
        <f t="shared" si="24"/>
        <v>2599.0149174969015</v>
      </c>
      <c r="CN27" s="233">
        <f t="shared" si="24"/>
        <v>2604.3684626898239</v>
      </c>
      <c r="CO27" s="233">
        <f t="shared" si="24"/>
        <v>2609.7330353093071</v>
      </c>
      <c r="CP27" s="233">
        <f t="shared" si="24"/>
        <v>2615.1086580700439</v>
      </c>
      <c r="CQ27" s="233">
        <f t="shared" si="24"/>
        <v>2620.4953537335164</v>
      </c>
      <c r="CR27" s="233">
        <f t="shared" si="24"/>
        <v>2625.8931451080912</v>
      </c>
      <c r="CS27" s="233">
        <f t="shared" si="24"/>
        <v>2631.302055049116</v>
      </c>
      <c r="CT27" s="233">
        <f t="shared" si="24"/>
        <v>2636.7221064590181</v>
      </c>
      <c r="CU27" s="233">
        <f t="shared" si="24"/>
        <v>2642.1533222873986</v>
      </c>
      <c r="CV27" s="233">
        <f t="shared" si="25"/>
        <v>2647.5957255311318</v>
      </c>
      <c r="CW27" s="233">
        <f t="shared" si="25"/>
        <v>2653.0493392344615</v>
      </c>
      <c r="CX27" s="233">
        <f t="shared" si="25"/>
        <v>2658.5141864890988</v>
      </c>
      <c r="CY27" s="233">
        <f t="shared" si="25"/>
        <v>2663.9902904343207</v>
      </c>
      <c r="CZ27" s="233">
        <f t="shared" si="25"/>
        <v>2669.4776742570662</v>
      </c>
      <c r="DA27" s="233">
        <f t="shared" si="25"/>
        <v>2674.9763611920362</v>
      </c>
      <c r="DB27" s="233">
        <f t="shared" si="25"/>
        <v>2680.4863745217917</v>
      </c>
      <c r="DC27" s="233">
        <f t="shared" si="25"/>
        <v>2686.007737576851</v>
      </c>
      <c r="DD27" s="233">
        <f t="shared" si="25"/>
        <v>2691.5404737357899</v>
      </c>
      <c r="DE27" s="233">
        <f t="shared" si="25"/>
        <v>2697.0846064253406</v>
      </c>
      <c r="DF27" s="233">
        <f t="shared" si="26"/>
        <v>2702.6401591204899</v>
      </c>
      <c r="DG27" s="233">
        <f t="shared" si="26"/>
        <v>2708.2071553445803</v>
      </c>
      <c r="DH27" s="233">
        <f t="shared" si="26"/>
        <v>2713.7856186694066</v>
      </c>
      <c r="DI27" s="233">
        <f t="shared" si="26"/>
        <v>2719.3755727153193</v>
      </c>
      <c r="DJ27" s="233">
        <f t="shared" si="26"/>
        <v>2724.9770411513227</v>
      </c>
      <c r="DK27" s="233">
        <f t="shared" si="26"/>
        <v>2730.5900476951751</v>
      </c>
      <c r="DL27" s="233">
        <f t="shared" si="26"/>
        <v>2736.2146161134892</v>
      </c>
      <c r="DM27" s="233">
        <f t="shared" si="26"/>
        <v>2741.8507702218335</v>
      </c>
      <c r="DN27" s="233">
        <f t="shared" si="26"/>
        <v>2747.4985338848328</v>
      </c>
      <c r="DO27" s="233">
        <f t="shared" si="26"/>
        <v>2753.1579310162683</v>
      </c>
      <c r="DP27" s="233">
        <f t="shared" si="27"/>
        <v>2758.8289855791809</v>
      </c>
      <c r="DQ27" s="233">
        <f t="shared" si="27"/>
        <v>2764.51172158597</v>
      </c>
      <c r="DR27" s="233">
        <f t="shared" si="27"/>
        <v>2770.2061630984986</v>
      </c>
      <c r="DS27" s="233">
        <f t="shared" si="27"/>
        <v>2775.9123342281905</v>
      </c>
      <c r="DT27" s="233">
        <f t="shared" si="27"/>
        <v>2781.6302591361377</v>
      </c>
      <c r="DU27" s="233">
        <f t="shared" si="27"/>
        <v>2787.3599620331984</v>
      </c>
      <c r="DV27" s="233">
        <f t="shared" si="27"/>
        <v>2793.1014671801022</v>
      </c>
      <c r="DW27" s="233">
        <f t="shared" si="27"/>
        <v>2798.8547988875507</v>
      </c>
      <c r="DX27" s="233">
        <f t="shared" si="27"/>
        <v>2804.6199815163222</v>
      </c>
      <c r="DY27" s="233">
        <f t="shared" si="27"/>
        <v>2810.3970394773755</v>
      </c>
      <c r="DZ27" s="233">
        <f t="shared" si="28"/>
        <v>2816.1859972319498</v>
      </c>
      <c r="EA27" s="233">
        <f t="shared" si="28"/>
        <v>2821.9868792916714</v>
      </c>
      <c r="EB27" s="233">
        <f t="shared" si="28"/>
        <v>2827.7997102186569</v>
      </c>
      <c r="EC27" s="233">
        <f t="shared" si="28"/>
        <v>2833.624514625616</v>
      </c>
      <c r="ED27" s="233">
        <f t="shared" si="28"/>
        <v>2839.4613171759574</v>
      </c>
      <c r="EE27" s="233">
        <f t="shared" si="28"/>
        <v>2845.3101425838918</v>
      </c>
      <c r="EF27" s="233">
        <f t="shared" si="28"/>
        <v>2851.1710156145377</v>
      </c>
      <c r="EG27" s="233">
        <f t="shared" si="28"/>
        <v>2857.0439610840253</v>
      </c>
      <c r="EH27" s="233">
        <f t="shared" si="28"/>
        <v>2862.9290038596014</v>
      </c>
      <c r="EI27" s="233">
        <f t="shared" si="28"/>
        <v>2868.8261688597363</v>
      </c>
      <c r="EJ27" s="233">
        <f t="shared" si="28"/>
        <v>2874.7354810542274</v>
      </c>
      <c r="EK27" s="233">
        <f t="shared" si="28"/>
        <v>2880.6569654643067</v>
      </c>
    </row>
    <row r="28" spans="2:141" x14ac:dyDescent="0.45">
      <c r="B28" s="230">
        <f>Assumptions!B65</f>
        <v>20</v>
      </c>
      <c r="C28" s="230" t="str">
        <f>Assumptions!C65</f>
        <v>Fair Market</v>
      </c>
      <c r="D28" s="439">
        <f>Assumptions!D65</f>
        <v>1</v>
      </c>
      <c r="E28" s="22">
        <f>Assumptions!G65</f>
        <v>8</v>
      </c>
      <c r="F28" s="22">
        <f>IF(D28=1,E28+SUM(Assumptions!$G$142:$G$143),'Rent Roll Model'!E28)</f>
        <v>12</v>
      </c>
      <c r="G28" s="233">
        <f>Assumptions!I65</f>
        <v>1344</v>
      </c>
      <c r="H28" s="233">
        <f>Assumptions!J65</f>
        <v>2200</v>
      </c>
      <c r="J28" s="233">
        <f t="shared" si="16"/>
        <v>1344</v>
      </c>
      <c r="K28" s="233">
        <f t="shared" si="16"/>
        <v>1346.7684199466687</v>
      </c>
      <c r="L28" s="233">
        <f t="shared" si="16"/>
        <v>1349.5425423851536</v>
      </c>
      <c r="M28" s="233">
        <f t="shared" si="16"/>
        <v>1352.3223790616544</v>
      </c>
      <c r="N28" s="233">
        <f t="shared" si="16"/>
        <v>1355.1079417465655</v>
      </c>
      <c r="O28" s="233">
        <f t="shared" si="16"/>
        <v>1357.899242234527</v>
      </c>
      <c r="P28" s="233">
        <f t="shared" si="16"/>
        <v>1360.6962923444735</v>
      </c>
      <c r="Q28" s="233">
        <f t="shared" si="16"/>
        <v>0</v>
      </c>
      <c r="R28" s="233">
        <f t="shared" si="16"/>
        <v>0</v>
      </c>
      <c r="S28" s="233">
        <f t="shared" si="16"/>
        <v>0</v>
      </c>
      <c r="T28" s="233">
        <f t="shared" si="17"/>
        <v>0</v>
      </c>
      <c r="U28" s="233">
        <f t="shared" si="17"/>
        <v>2250.3646173408274</v>
      </c>
      <c r="V28" s="233">
        <f t="shared" si="17"/>
        <v>2254.9999999999968</v>
      </c>
      <c r="W28" s="233">
        <f t="shared" si="17"/>
        <v>2259.6449307884923</v>
      </c>
      <c r="X28" s="233">
        <f t="shared" si="17"/>
        <v>2264.2994293738971</v>
      </c>
      <c r="Y28" s="233">
        <f t="shared" si="17"/>
        <v>2268.9635154643056</v>
      </c>
      <c r="Z28" s="233">
        <f t="shared" si="17"/>
        <v>2273.637208808409</v>
      </c>
      <c r="AA28" s="233">
        <f t="shared" si="17"/>
        <v>2278.3205291955765</v>
      </c>
      <c r="AB28" s="233">
        <f t="shared" si="17"/>
        <v>2283.0134964559406</v>
      </c>
      <c r="AC28" s="233">
        <f t="shared" si="17"/>
        <v>2287.7161304604811</v>
      </c>
      <c r="AD28" s="233">
        <f t="shared" si="18"/>
        <v>2292.4284511211076</v>
      </c>
      <c r="AE28" s="233">
        <f t="shared" si="18"/>
        <v>2297.1504783907467</v>
      </c>
      <c r="AF28" s="233">
        <f t="shared" si="18"/>
        <v>2301.8822322634223</v>
      </c>
      <c r="AG28" s="233">
        <f t="shared" si="18"/>
        <v>2306.6237327743456</v>
      </c>
      <c r="AH28" s="233">
        <f t="shared" si="18"/>
        <v>2311.3749999999941</v>
      </c>
      <c r="AI28" s="233">
        <f t="shared" si="18"/>
        <v>2316.1360540582018</v>
      </c>
      <c r="AJ28" s="233">
        <f t="shared" si="18"/>
        <v>2320.9069151082408</v>
      </c>
      <c r="AK28" s="233">
        <f t="shared" si="18"/>
        <v>2325.6876033509097</v>
      </c>
      <c r="AL28" s="233">
        <f t="shared" si="18"/>
        <v>2330.4781390286153</v>
      </c>
      <c r="AM28" s="233">
        <f t="shared" si="18"/>
        <v>2335.2785424254621</v>
      </c>
      <c r="AN28" s="233">
        <f t="shared" si="19"/>
        <v>2340.0888338673353</v>
      </c>
      <c r="AO28" s="233">
        <f t="shared" si="19"/>
        <v>2344.9090337219891</v>
      </c>
      <c r="AP28" s="233">
        <f t="shared" si="19"/>
        <v>2349.7391623991321</v>
      </c>
      <c r="AQ28" s="233">
        <f t="shared" si="19"/>
        <v>2354.5792403505111</v>
      </c>
      <c r="AR28" s="233">
        <f t="shared" si="19"/>
        <v>2359.4292880700041</v>
      </c>
      <c r="AS28" s="233">
        <f t="shared" si="19"/>
        <v>2364.2893260936999</v>
      </c>
      <c r="AT28" s="233">
        <f t="shared" si="19"/>
        <v>2369.1593749999902</v>
      </c>
      <c r="AU28" s="233">
        <f t="shared" si="19"/>
        <v>2374.0394554096529</v>
      </c>
      <c r="AV28" s="233">
        <f t="shared" si="19"/>
        <v>2378.9295879859433</v>
      </c>
      <c r="AW28" s="233">
        <f t="shared" si="19"/>
        <v>2383.8297934346788</v>
      </c>
      <c r="AX28" s="233">
        <f t="shared" si="20"/>
        <v>2388.7400925043271</v>
      </c>
      <c r="AY28" s="233">
        <f t="shared" si="20"/>
        <v>2393.6605059860949</v>
      </c>
      <c r="AZ28" s="233">
        <f t="shared" si="20"/>
        <v>2398.5910547140156</v>
      </c>
      <c r="BA28" s="233">
        <f t="shared" si="20"/>
        <v>2403.5317595650358</v>
      </c>
      <c r="BB28" s="233">
        <f t="shared" si="20"/>
        <v>2408.4826414591071</v>
      </c>
      <c r="BC28" s="233">
        <f t="shared" si="20"/>
        <v>2413.4437213592714</v>
      </c>
      <c r="BD28" s="233">
        <f t="shared" si="20"/>
        <v>2418.4150202717515</v>
      </c>
      <c r="BE28" s="233">
        <f t="shared" si="20"/>
        <v>2423.3965592460399</v>
      </c>
      <c r="BF28" s="233">
        <f t="shared" si="20"/>
        <v>2428.388359374987</v>
      </c>
      <c r="BG28" s="233">
        <f t="shared" si="20"/>
        <v>2433.3904417948911</v>
      </c>
      <c r="BH28" s="233">
        <f t="shared" si="21"/>
        <v>2438.4028276855893</v>
      </c>
      <c r="BI28" s="233">
        <f t="shared" si="21"/>
        <v>2443.4255382705433</v>
      </c>
      <c r="BJ28" s="233">
        <f t="shared" si="21"/>
        <v>2448.4585948169329</v>
      </c>
      <c r="BK28" s="233">
        <f t="shared" si="21"/>
        <v>2453.5020186357451</v>
      </c>
      <c r="BL28" s="233">
        <f t="shared" si="21"/>
        <v>2458.5558310818633</v>
      </c>
      <c r="BM28" s="233">
        <f t="shared" si="21"/>
        <v>2463.6200535541593</v>
      </c>
      <c r="BN28" s="233">
        <f t="shared" si="21"/>
        <v>2468.694707495582</v>
      </c>
      <c r="BO28" s="233">
        <f t="shared" si="21"/>
        <v>2473.7798143932505</v>
      </c>
      <c r="BP28" s="233">
        <f t="shared" si="21"/>
        <v>2478.8753957785425</v>
      </c>
      <c r="BQ28" s="233">
        <f t="shared" si="21"/>
        <v>2483.9814732271884</v>
      </c>
      <c r="BR28" s="233">
        <f t="shared" si="22"/>
        <v>2489.0980683593589</v>
      </c>
      <c r="BS28" s="233">
        <f t="shared" si="22"/>
        <v>2494.2252028397611</v>
      </c>
      <c r="BT28" s="233">
        <f t="shared" si="22"/>
        <v>2499.3628983777267</v>
      </c>
      <c r="BU28" s="233">
        <f t="shared" si="22"/>
        <v>2504.5111767273042</v>
      </c>
      <c r="BV28" s="233">
        <f t="shared" si="22"/>
        <v>2509.6700596873538</v>
      </c>
      <c r="BW28" s="233">
        <f t="shared" si="22"/>
        <v>2514.8395691016362</v>
      </c>
      <c r="BX28" s="233">
        <f t="shared" si="22"/>
        <v>2520.0197268589077</v>
      </c>
      <c r="BY28" s="233">
        <f t="shared" si="22"/>
        <v>2525.2105548930108</v>
      </c>
      <c r="BZ28" s="233">
        <f t="shared" si="22"/>
        <v>2530.4120751829691</v>
      </c>
      <c r="CA28" s="233">
        <f t="shared" si="22"/>
        <v>2535.6243097530787</v>
      </c>
      <c r="CB28" s="233">
        <f t="shared" si="23"/>
        <v>2540.8472806730028</v>
      </c>
      <c r="CC28" s="233">
        <f t="shared" si="23"/>
        <v>2546.0810100578642</v>
      </c>
      <c r="CD28" s="233">
        <f t="shared" si="23"/>
        <v>2551.3255200683393</v>
      </c>
      <c r="CE28" s="233">
        <f t="shared" si="23"/>
        <v>2556.5808329107513</v>
      </c>
      <c r="CF28" s="233">
        <f t="shared" si="23"/>
        <v>2561.8469708371658</v>
      </c>
      <c r="CG28" s="233">
        <f t="shared" si="23"/>
        <v>2567.1239561454831</v>
      </c>
      <c r="CH28" s="233">
        <f t="shared" si="23"/>
        <v>2572.4118111795333</v>
      </c>
      <c r="CI28" s="233">
        <f t="shared" si="23"/>
        <v>2577.7105583291727</v>
      </c>
      <c r="CJ28" s="233">
        <f t="shared" si="23"/>
        <v>2583.0202200303756</v>
      </c>
      <c r="CK28" s="233">
        <f t="shared" si="23"/>
        <v>2588.3408187653313</v>
      </c>
      <c r="CL28" s="233">
        <f t="shared" si="24"/>
        <v>2593.672377062539</v>
      </c>
      <c r="CM28" s="233">
        <f t="shared" si="24"/>
        <v>2599.0149174969015</v>
      </c>
      <c r="CN28" s="233">
        <f t="shared" si="24"/>
        <v>2604.3684626898239</v>
      </c>
      <c r="CO28" s="233">
        <f t="shared" si="24"/>
        <v>2609.7330353093071</v>
      </c>
      <c r="CP28" s="233">
        <f t="shared" si="24"/>
        <v>2615.1086580700439</v>
      </c>
      <c r="CQ28" s="233">
        <f t="shared" si="24"/>
        <v>2620.4953537335164</v>
      </c>
      <c r="CR28" s="233">
        <f t="shared" si="24"/>
        <v>2625.8931451080912</v>
      </c>
      <c r="CS28" s="233">
        <f t="shared" si="24"/>
        <v>2631.302055049116</v>
      </c>
      <c r="CT28" s="233">
        <f t="shared" si="24"/>
        <v>2636.7221064590181</v>
      </c>
      <c r="CU28" s="233">
        <f t="shared" si="24"/>
        <v>2642.1533222873986</v>
      </c>
      <c r="CV28" s="233">
        <f t="shared" si="25"/>
        <v>2647.5957255311318</v>
      </c>
      <c r="CW28" s="233">
        <f t="shared" si="25"/>
        <v>2653.0493392344615</v>
      </c>
      <c r="CX28" s="233">
        <f t="shared" si="25"/>
        <v>2658.5141864890988</v>
      </c>
      <c r="CY28" s="233">
        <f t="shared" si="25"/>
        <v>2663.9902904343207</v>
      </c>
      <c r="CZ28" s="233">
        <f t="shared" si="25"/>
        <v>2669.4776742570662</v>
      </c>
      <c r="DA28" s="233">
        <f t="shared" si="25"/>
        <v>2674.9763611920362</v>
      </c>
      <c r="DB28" s="233">
        <f t="shared" si="25"/>
        <v>2680.4863745217917</v>
      </c>
      <c r="DC28" s="233">
        <f t="shared" si="25"/>
        <v>2686.007737576851</v>
      </c>
      <c r="DD28" s="233">
        <f t="shared" si="25"/>
        <v>2691.5404737357899</v>
      </c>
      <c r="DE28" s="233">
        <f t="shared" si="25"/>
        <v>2697.0846064253406</v>
      </c>
      <c r="DF28" s="233">
        <f t="shared" si="26"/>
        <v>2702.6401591204899</v>
      </c>
      <c r="DG28" s="233">
        <f t="shared" si="26"/>
        <v>2708.2071553445803</v>
      </c>
      <c r="DH28" s="233">
        <f t="shared" si="26"/>
        <v>2713.7856186694066</v>
      </c>
      <c r="DI28" s="233">
        <f t="shared" si="26"/>
        <v>2719.3755727153193</v>
      </c>
      <c r="DJ28" s="233">
        <f t="shared" si="26"/>
        <v>2724.9770411513227</v>
      </c>
      <c r="DK28" s="233">
        <f t="shared" si="26"/>
        <v>2730.5900476951751</v>
      </c>
      <c r="DL28" s="233">
        <f t="shared" si="26"/>
        <v>2736.2146161134892</v>
      </c>
      <c r="DM28" s="233">
        <f t="shared" si="26"/>
        <v>2741.8507702218335</v>
      </c>
      <c r="DN28" s="233">
        <f t="shared" si="26"/>
        <v>2747.4985338848328</v>
      </c>
      <c r="DO28" s="233">
        <f t="shared" si="26"/>
        <v>2753.1579310162683</v>
      </c>
      <c r="DP28" s="233">
        <f t="shared" si="27"/>
        <v>2758.8289855791809</v>
      </c>
      <c r="DQ28" s="233">
        <f t="shared" si="27"/>
        <v>2764.51172158597</v>
      </c>
      <c r="DR28" s="233">
        <f t="shared" si="27"/>
        <v>2770.2061630984986</v>
      </c>
      <c r="DS28" s="233">
        <f t="shared" si="27"/>
        <v>2775.9123342281905</v>
      </c>
      <c r="DT28" s="233">
        <f t="shared" si="27"/>
        <v>2781.6302591361377</v>
      </c>
      <c r="DU28" s="233">
        <f t="shared" si="27"/>
        <v>2787.3599620331984</v>
      </c>
      <c r="DV28" s="233">
        <f t="shared" si="27"/>
        <v>2793.1014671801022</v>
      </c>
      <c r="DW28" s="233">
        <f t="shared" si="27"/>
        <v>2798.8547988875507</v>
      </c>
      <c r="DX28" s="233">
        <f t="shared" si="27"/>
        <v>2804.6199815163222</v>
      </c>
      <c r="DY28" s="233">
        <f t="shared" si="27"/>
        <v>2810.3970394773755</v>
      </c>
      <c r="DZ28" s="233">
        <f t="shared" si="28"/>
        <v>2816.1859972319498</v>
      </c>
      <c r="EA28" s="233">
        <f t="shared" si="28"/>
        <v>2821.9868792916714</v>
      </c>
      <c r="EB28" s="233">
        <f t="shared" si="28"/>
        <v>2827.7997102186569</v>
      </c>
      <c r="EC28" s="233">
        <f t="shared" si="28"/>
        <v>2833.624514625616</v>
      </c>
      <c r="ED28" s="233">
        <f t="shared" si="28"/>
        <v>2839.4613171759574</v>
      </c>
      <c r="EE28" s="233">
        <f t="shared" si="28"/>
        <v>2845.3101425838918</v>
      </c>
      <c r="EF28" s="233">
        <f t="shared" si="28"/>
        <v>2851.1710156145377</v>
      </c>
      <c r="EG28" s="233">
        <f t="shared" si="28"/>
        <v>2857.0439610840253</v>
      </c>
      <c r="EH28" s="233">
        <f t="shared" si="28"/>
        <v>2862.9290038596014</v>
      </c>
      <c r="EI28" s="233">
        <f t="shared" si="28"/>
        <v>2868.8261688597363</v>
      </c>
      <c r="EJ28" s="233">
        <f t="shared" si="28"/>
        <v>2874.7354810542274</v>
      </c>
      <c r="EK28" s="233">
        <f t="shared" si="28"/>
        <v>2880.6569654643067</v>
      </c>
    </row>
    <row r="29" spans="2:141" x14ac:dyDescent="0.45">
      <c r="B29" s="230">
        <f>Assumptions!B66</f>
        <v>21</v>
      </c>
      <c r="C29" s="230" t="str">
        <f>Assumptions!C66</f>
        <v>Fair Market</v>
      </c>
      <c r="D29" s="439">
        <f>Assumptions!D66</f>
        <v>2</v>
      </c>
      <c r="E29" s="22">
        <f>Assumptions!G66</f>
        <v>8</v>
      </c>
      <c r="F29" s="22">
        <f>IF(D29=1,E29+SUM(Assumptions!$G$142:$G$143),'Rent Roll Model'!E29)</f>
        <v>8</v>
      </c>
      <c r="G29" s="233">
        <f>Assumptions!I66</f>
        <v>1700</v>
      </c>
      <c r="H29" s="233">
        <f>Assumptions!J66</f>
        <v>2200</v>
      </c>
      <c r="J29" s="233">
        <f t="shared" ref="J29:S38" si="29">IFERROR(IF($D29=0,$G29,IF(J$8&lt;$E29,$G29,IF(J$8&gt;=$F29,$H29,0)))*INDEX(J$3:J$5,MATCH($C29,$B$3:$B$5,0)),0)</f>
        <v>1700</v>
      </c>
      <c r="K29" s="233">
        <f t="shared" si="29"/>
        <v>1703.5017216587325</v>
      </c>
      <c r="L29" s="233">
        <f t="shared" si="29"/>
        <v>1707.0106562907449</v>
      </c>
      <c r="M29" s="233">
        <f t="shared" si="29"/>
        <v>1710.5268187535805</v>
      </c>
      <c r="N29" s="233">
        <f t="shared" si="29"/>
        <v>1714.050223935388</v>
      </c>
      <c r="O29" s="233">
        <f t="shared" si="29"/>
        <v>1717.580886754982</v>
      </c>
      <c r="P29" s="233">
        <f t="shared" si="29"/>
        <v>1721.1188221619086</v>
      </c>
      <c r="Q29" s="233">
        <f t="shared" si="29"/>
        <v>2231.9181760590086</v>
      </c>
      <c r="R29" s="233">
        <f t="shared" si="29"/>
        <v>2236.5155620693763</v>
      </c>
      <c r="S29" s="233">
        <f t="shared" si="29"/>
        <v>2241.1224179421947</v>
      </c>
      <c r="T29" s="233">
        <f t="shared" ref="T29:AC38" si="30">IFERROR(IF($D29=0,$G29,IF(T$8&lt;$E29,$G29,IF(T$8&gt;=$F29,$H29,0)))*INDEX(T$3:T$5,MATCH($C29,$B$3:$B$5,0)),0)</f>
        <v>2245.7387631838296</v>
      </c>
      <c r="U29" s="233">
        <f t="shared" si="30"/>
        <v>2250.3646173408274</v>
      </c>
      <c r="V29" s="233">
        <f t="shared" si="30"/>
        <v>2254.9999999999968</v>
      </c>
      <c r="W29" s="233">
        <f t="shared" si="30"/>
        <v>2259.6449307884923</v>
      </c>
      <c r="X29" s="233">
        <f t="shared" si="30"/>
        <v>2264.2994293738971</v>
      </c>
      <c r="Y29" s="233">
        <f t="shared" si="30"/>
        <v>2268.9635154643056</v>
      </c>
      <c r="Z29" s="233">
        <f t="shared" si="30"/>
        <v>2273.637208808409</v>
      </c>
      <c r="AA29" s="233">
        <f t="shared" si="30"/>
        <v>2278.3205291955765</v>
      </c>
      <c r="AB29" s="233">
        <f t="shared" si="30"/>
        <v>2283.0134964559406</v>
      </c>
      <c r="AC29" s="233">
        <f t="shared" si="30"/>
        <v>2287.7161304604811</v>
      </c>
      <c r="AD29" s="233">
        <f t="shared" ref="AD29:AM38" si="31">IFERROR(IF($D29=0,$G29,IF(AD$8&lt;$E29,$G29,IF(AD$8&gt;=$F29,$H29,0)))*INDEX(AD$3:AD$5,MATCH($C29,$B$3:$B$5,0)),0)</f>
        <v>2292.4284511211076</v>
      </c>
      <c r="AE29" s="233">
        <f t="shared" si="31"/>
        <v>2297.1504783907467</v>
      </c>
      <c r="AF29" s="233">
        <f t="shared" si="31"/>
        <v>2301.8822322634223</v>
      </c>
      <c r="AG29" s="233">
        <f t="shared" si="31"/>
        <v>2306.6237327743456</v>
      </c>
      <c r="AH29" s="233">
        <f t="shared" si="31"/>
        <v>2311.3749999999941</v>
      </c>
      <c r="AI29" s="233">
        <f t="shared" si="31"/>
        <v>2316.1360540582018</v>
      </c>
      <c r="AJ29" s="233">
        <f t="shared" si="31"/>
        <v>2320.9069151082408</v>
      </c>
      <c r="AK29" s="233">
        <f t="shared" si="31"/>
        <v>2325.6876033509097</v>
      </c>
      <c r="AL29" s="233">
        <f t="shared" si="31"/>
        <v>2330.4781390286153</v>
      </c>
      <c r="AM29" s="233">
        <f t="shared" si="31"/>
        <v>2335.2785424254621</v>
      </c>
      <c r="AN29" s="233">
        <f t="shared" ref="AN29:AW38" si="32">IFERROR(IF($D29=0,$G29,IF(AN$8&lt;$E29,$G29,IF(AN$8&gt;=$F29,$H29,0)))*INDEX(AN$3:AN$5,MATCH($C29,$B$3:$B$5,0)),0)</f>
        <v>2340.0888338673353</v>
      </c>
      <c r="AO29" s="233">
        <f t="shared" si="32"/>
        <v>2344.9090337219891</v>
      </c>
      <c r="AP29" s="233">
        <f t="shared" si="32"/>
        <v>2349.7391623991321</v>
      </c>
      <c r="AQ29" s="233">
        <f t="shared" si="32"/>
        <v>2354.5792403505111</v>
      </c>
      <c r="AR29" s="233">
        <f t="shared" si="32"/>
        <v>2359.4292880700041</v>
      </c>
      <c r="AS29" s="233">
        <f t="shared" si="32"/>
        <v>2364.2893260936999</v>
      </c>
      <c r="AT29" s="233">
        <f t="shared" si="32"/>
        <v>2369.1593749999902</v>
      </c>
      <c r="AU29" s="233">
        <f t="shared" si="32"/>
        <v>2374.0394554096529</v>
      </c>
      <c r="AV29" s="233">
        <f t="shared" si="32"/>
        <v>2378.9295879859433</v>
      </c>
      <c r="AW29" s="233">
        <f t="shared" si="32"/>
        <v>2383.8297934346788</v>
      </c>
      <c r="AX29" s="233">
        <f t="shared" ref="AX29:BG38" si="33">IFERROR(IF($D29=0,$G29,IF(AX$8&lt;$E29,$G29,IF(AX$8&gt;=$F29,$H29,0)))*INDEX(AX$3:AX$5,MATCH($C29,$B$3:$B$5,0)),0)</f>
        <v>2388.7400925043271</v>
      </c>
      <c r="AY29" s="233">
        <f t="shared" si="33"/>
        <v>2393.6605059860949</v>
      </c>
      <c r="AZ29" s="233">
        <f t="shared" si="33"/>
        <v>2398.5910547140156</v>
      </c>
      <c r="BA29" s="233">
        <f t="shared" si="33"/>
        <v>2403.5317595650358</v>
      </c>
      <c r="BB29" s="233">
        <f t="shared" si="33"/>
        <v>2408.4826414591071</v>
      </c>
      <c r="BC29" s="233">
        <f t="shared" si="33"/>
        <v>2413.4437213592714</v>
      </c>
      <c r="BD29" s="233">
        <f t="shared" si="33"/>
        <v>2418.4150202717515</v>
      </c>
      <c r="BE29" s="233">
        <f t="shared" si="33"/>
        <v>2423.3965592460399</v>
      </c>
      <c r="BF29" s="233">
        <f t="shared" si="33"/>
        <v>2428.388359374987</v>
      </c>
      <c r="BG29" s="233">
        <f t="shared" si="33"/>
        <v>2433.3904417948911</v>
      </c>
      <c r="BH29" s="233">
        <f t="shared" ref="BH29:BQ38" si="34">IFERROR(IF($D29=0,$G29,IF(BH$8&lt;$E29,$G29,IF(BH$8&gt;=$F29,$H29,0)))*INDEX(BH$3:BH$5,MATCH($C29,$B$3:$B$5,0)),0)</f>
        <v>2438.4028276855893</v>
      </c>
      <c r="BI29" s="233">
        <f t="shared" si="34"/>
        <v>2443.4255382705433</v>
      </c>
      <c r="BJ29" s="233">
        <f t="shared" si="34"/>
        <v>2448.4585948169329</v>
      </c>
      <c r="BK29" s="233">
        <f t="shared" si="34"/>
        <v>2453.5020186357451</v>
      </c>
      <c r="BL29" s="233">
        <f t="shared" si="34"/>
        <v>2458.5558310818633</v>
      </c>
      <c r="BM29" s="233">
        <f t="shared" si="34"/>
        <v>2463.6200535541593</v>
      </c>
      <c r="BN29" s="233">
        <f t="shared" si="34"/>
        <v>2468.694707495582</v>
      </c>
      <c r="BO29" s="233">
        <f t="shared" si="34"/>
        <v>2473.7798143932505</v>
      </c>
      <c r="BP29" s="233">
        <f t="shared" si="34"/>
        <v>2478.8753957785425</v>
      </c>
      <c r="BQ29" s="233">
        <f t="shared" si="34"/>
        <v>2483.9814732271884</v>
      </c>
      <c r="BR29" s="233">
        <f t="shared" ref="BR29:CA38" si="35">IFERROR(IF($D29=0,$G29,IF(BR$8&lt;$E29,$G29,IF(BR$8&gt;=$F29,$H29,0)))*INDEX(BR$3:BR$5,MATCH($C29,$B$3:$B$5,0)),0)</f>
        <v>2489.0980683593589</v>
      </c>
      <c r="BS29" s="233">
        <f t="shared" si="35"/>
        <v>2494.2252028397611</v>
      </c>
      <c r="BT29" s="233">
        <f t="shared" si="35"/>
        <v>2499.3628983777267</v>
      </c>
      <c r="BU29" s="233">
        <f t="shared" si="35"/>
        <v>2504.5111767273042</v>
      </c>
      <c r="BV29" s="233">
        <f t="shared" si="35"/>
        <v>2509.6700596873538</v>
      </c>
      <c r="BW29" s="233">
        <f t="shared" si="35"/>
        <v>2514.8395691016362</v>
      </c>
      <c r="BX29" s="233">
        <f t="shared" si="35"/>
        <v>2520.0197268589077</v>
      </c>
      <c r="BY29" s="233">
        <f t="shared" si="35"/>
        <v>2525.2105548930108</v>
      </c>
      <c r="BZ29" s="233">
        <f t="shared" si="35"/>
        <v>2530.4120751829691</v>
      </c>
      <c r="CA29" s="233">
        <f t="shared" si="35"/>
        <v>2535.6243097530787</v>
      </c>
      <c r="CB29" s="233">
        <f t="shared" ref="CB29:CK38" si="36">IFERROR(IF($D29=0,$G29,IF(CB$8&lt;$E29,$G29,IF(CB$8&gt;=$F29,$H29,0)))*INDEX(CB$3:CB$5,MATCH($C29,$B$3:$B$5,0)),0)</f>
        <v>2540.8472806730028</v>
      </c>
      <c r="CC29" s="233">
        <f t="shared" si="36"/>
        <v>2546.0810100578642</v>
      </c>
      <c r="CD29" s="233">
        <f t="shared" si="36"/>
        <v>2551.3255200683393</v>
      </c>
      <c r="CE29" s="233">
        <f t="shared" si="36"/>
        <v>2556.5808329107513</v>
      </c>
      <c r="CF29" s="233">
        <f t="shared" si="36"/>
        <v>2561.8469708371658</v>
      </c>
      <c r="CG29" s="233">
        <f t="shared" si="36"/>
        <v>2567.1239561454831</v>
      </c>
      <c r="CH29" s="233">
        <f t="shared" si="36"/>
        <v>2572.4118111795333</v>
      </c>
      <c r="CI29" s="233">
        <f t="shared" si="36"/>
        <v>2577.7105583291727</v>
      </c>
      <c r="CJ29" s="233">
        <f t="shared" si="36"/>
        <v>2583.0202200303756</v>
      </c>
      <c r="CK29" s="233">
        <f t="shared" si="36"/>
        <v>2588.3408187653313</v>
      </c>
      <c r="CL29" s="233">
        <f t="shared" ref="CL29:CU38" si="37">IFERROR(IF($D29=0,$G29,IF(CL$8&lt;$E29,$G29,IF(CL$8&gt;=$F29,$H29,0)))*INDEX(CL$3:CL$5,MATCH($C29,$B$3:$B$5,0)),0)</f>
        <v>2593.672377062539</v>
      </c>
      <c r="CM29" s="233">
        <f t="shared" si="37"/>
        <v>2599.0149174969015</v>
      </c>
      <c r="CN29" s="233">
        <f t="shared" si="37"/>
        <v>2604.3684626898239</v>
      </c>
      <c r="CO29" s="233">
        <f t="shared" si="37"/>
        <v>2609.7330353093071</v>
      </c>
      <c r="CP29" s="233">
        <f t="shared" si="37"/>
        <v>2615.1086580700439</v>
      </c>
      <c r="CQ29" s="233">
        <f t="shared" si="37"/>
        <v>2620.4953537335164</v>
      </c>
      <c r="CR29" s="233">
        <f t="shared" si="37"/>
        <v>2625.8931451080912</v>
      </c>
      <c r="CS29" s="233">
        <f t="shared" si="37"/>
        <v>2631.302055049116</v>
      </c>
      <c r="CT29" s="233">
        <f t="shared" si="37"/>
        <v>2636.7221064590181</v>
      </c>
      <c r="CU29" s="233">
        <f t="shared" si="37"/>
        <v>2642.1533222873986</v>
      </c>
      <c r="CV29" s="233">
        <f t="shared" ref="CV29:DE38" si="38">IFERROR(IF($D29=0,$G29,IF(CV$8&lt;$E29,$G29,IF(CV$8&gt;=$F29,$H29,0)))*INDEX(CV$3:CV$5,MATCH($C29,$B$3:$B$5,0)),0)</f>
        <v>2647.5957255311318</v>
      </c>
      <c r="CW29" s="233">
        <f t="shared" si="38"/>
        <v>2653.0493392344615</v>
      </c>
      <c r="CX29" s="233">
        <f t="shared" si="38"/>
        <v>2658.5141864890988</v>
      </c>
      <c r="CY29" s="233">
        <f t="shared" si="38"/>
        <v>2663.9902904343207</v>
      </c>
      <c r="CZ29" s="233">
        <f t="shared" si="38"/>
        <v>2669.4776742570662</v>
      </c>
      <c r="DA29" s="233">
        <f t="shared" si="38"/>
        <v>2674.9763611920362</v>
      </c>
      <c r="DB29" s="233">
        <f t="shared" si="38"/>
        <v>2680.4863745217917</v>
      </c>
      <c r="DC29" s="233">
        <f t="shared" si="38"/>
        <v>2686.007737576851</v>
      </c>
      <c r="DD29" s="233">
        <f t="shared" si="38"/>
        <v>2691.5404737357899</v>
      </c>
      <c r="DE29" s="233">
        <f t="shared" si="38"/>
        <v>2697.0846064253406</v>
      </c>
      <c r="DF29" s="233">
        <f t="shared" ref="DF29:DO38" si="39">IFERROR(IF($D29=0,$G29,IF(DF$8&lt;$E29,$G29,IF(DF$8&gt;=$F29,$H29,0)))*INDEX(DF$3:DF$5,MATCH($C29,$B$3:$B$5,0)),0)</f>
        <v>2702.6401591204899</v>
      </c>
      <c r="DG29" s="233">
        <f t="shared" si="39"/>
        <v>2708.2071553445803</v>
      </c>
      <c r="DH29" s="233">
        <f t="shared" si="39"/>
        <v>2713.7856186694066</v>
      </c>
      <c r="DI29" s="233">
        <f t="shared" si="39"/>
        <v>2719.3755727153193</v>
      </c>
      <c r="DJ29" s="233">
        <f t="shared" si="39"/>
        <v>2724.9770411513227</v>
      </c>
      <c r="DK29" s="233">
        <f t="shared" si="39"/>
        <v>2730.5900476951751</v>
      </c>
      <c r="DL29" s="233">
        <f t="shared" si="39"/>
        <v>2736.2146161134892</v>
      </c>
      <c r="DM29" s="233">
        <f t="shared" si="39"/>
        <v>2741.8507702218335</v>
      </c>
      <c r="DN29" s="233">
        <f t="shared" si="39"/>
        <v>2747.4985338848328</v>
      </c>
      <c r="DO29" s="233">
        <f t="shared" si="39"/>
        <v>2753.1579310162683</v>
      </c>
      <c r="DP29" s="233">
        <f t="shared" ref="DP29:DY38" si="40">IFERROR(IF($D29=0,$G29,IF(DP$8&lt;$E29,$G29,IF(DP$8&gt;=$F29,$H29,0)))*INDEX(DP$3:DP$5,MATCH($C29,$B$3:$B$5,0)),0)</f>
        <v>2758.8289855791809</v>
      </c>
      <c r="DQ29" s="233">
        <f t="shared" si="40"/>
        <v>2764.51172158597</v>
      </c>
      <c r="DR29" s="233">
        <f t="shared" si="40"/>
        <v>2770.2061630984986</v>
      </c>
      <c r="DS29" s="233">
        <f t="shared" si="40"/>
        <v>2775.9123342281905</v>
      </c>
      <c r="DT29" s="233">
        <f t="shared" si="40"/>
        <v>2781.6302591361377</v>
      </c>
      <c r="DU29" s="233">
        <f t="shared" si="40"/>
        <v>2787.3599620331984</v>
      </c>
      <c r="DV29" s="233">
        <f t="shared" si="40"/>
        <v>2793.1014671801022</v>
      </c>
      <c r="DW29" s="233">
        <f t="shared" si="40"/>
        <v>2798.8547988875507</v>
      </c>
      <c r="DX29" s="233">
        <f t="shared" si="40"/>
        <v>2804.6199815163222</v>
      </c>
      <c r="DY29" s="233">
        <f t="shared" si="40"/>
        <v>2810.3970394773755</v>
      </c>
      <c r="DZ29" s="233">
        <f t="shared" ref="DZ29:EK38" si="41">IFERROR(IF($D29=0,$G29,IF(DZ$8&lt;$E29,$G29,IF(DZ$8&gt;=$F29,$H29,0)))*INDEX(DZ$3:DZ$5,MATCH($C29,$B$3:$B$5,0)),0)</f>
        <v>2816.1859972319498</v>
      </c>
      <c r="EA29" s="233">
        <f t="shared" si="41"/>
        <v>2821.9868792916714</v>
      </c>
      <c r="EB29" s="233">
        <f t="shared" si="41"/>
        <v>2827.7997102186569</v>
      </c>
      <c r="EC29" s="233">
        <f t="shared" si="41"/>
        <v>2833.624514625616</v>
      </c>
      <c r="ED29" s="233">
        <f t="shared" si="41"/>
        <v>2839.4613171759574</v>
      </c>
      <c r="EE29" s="233">
        <f t="shared" si="41"/>
        <v>2845.3101425838918</v>
      </c>
      <c r="EF29" s="233">
        <f t="shared" si="41"/>
        <v>2851.1710156145377</v>
      </c>
      <c r="EG29" s="233">
        <f t="shared" si="41"/>
        <v>2857.0439610840253</v>
      </c>
      <c r="EH29" s="233">
        <f t="shared" si="41"/>
        <v>2862.9290038596014</v>
      </c>
      <c r="EI29" s="233">
        <f t="shared" si="41"/>
        <v>2868.8261688597363</v>
      </c>
      <c r="EJ29" s="233">
        <f t="shared" si="41"/>
        <v>2874.7354810542274</v>
      </c>
      <c r="EK29" s="233">
        <f t="shared" si="41"/>
        <v>2880.6569654643067</v>
      </c>
    </row>
    <row r="30" spans="2:141" x14ac:dyDescent="0.45">
      <c r="B30" s="230">
        <f>Assumptions!B67</f>
        <v>22</v>
      </c>
      <c r="C30" s="230" t="str">
        <f>Assumptions!C67</f>
        <v>Fair Market</v>
      </c>
      <c r="D30" s="439">
        <f>Assumptions!D67</f>
        <v>1</v>
      </c>
      <c r="E30" s="22">
        <f>Assumptions!G67</f>
        <v>9</v>
      </c>
      <c r="F30" s="22">
        <f>IF(D30=1,E30+SUM(Assumptions!$G$142:$G$143),'Rent Roll Model'!E30)</f>
        <v>13</v>
      </c>
      <c r="G30" s="233">
        <f>Assumptions!I67</f>
        <v>1412.25</v>
      </c>
      <c r="H30" s="233">
        <f>Assumptions!J67</f>
        <v>2200</v>
      </c>
      <c r="J30" s="233">
        <f t="shared" si="29"/>
        <v>1412.25</v>
      </c>
      <c r="K30" s="233">
        <f t="shared" si="29"/>
        <v>1415.1590037720855</v>
      </c>
      <c r="L30" s="233">
        <f t="shared" si="29"/>
        <v>1418.0739996156497</v>
      </c>
      <c r="M30" s="233">
        <f t="shared" si="29"/>
        <v>1420.9949998733789</v>
      </c>
      <c r="N30" s="233">
        <f t="shared" si="29"/>
        <v>1423.9220169133832</v>
      </c>
      <c r="O30" s="233">
        <f t="shared" si="29"/>
        <v>1426.8550631292492</v>
      </c>
      <c r="P30" s="233">
        <f t="shared" si="29"/>
        <v>1429.7941509400914</v>
      </c>
      <c r="Q30" s="233">
        <f t="shared" si="29"/>
        <v>1432.7392927906067</v>
      </c>
      <c r="R30" s="233">
        <f t="shared" si="29"/>
        <v>0</v>
      </c>
      <c r="S30" s="233">
        <f t="shared" si="29"/>
        <v>0</v>
      </c>
      <c r="T30" s="233">
        <f t="shared" si="30"/>
        <v>0</v>
      </c>
      <c r="U30" s="233">
        <f t="shared" si="30"/>
        <v>0</v>
      </c>
      <c r="V30" s="233">
        <f t="shared" si="30"/>
        <v>2254.9999999999968</v>
      </c>
      <c r="W30" s="233">
        <f t="shared" si="30"/>
        <v>2259.6449307884923</v>
      </c>
      <c r="X30" s="233">
        <f t="shared" si="30"/>
        <v>2264.2994293738971</v>
      </c>
      <c r="Y30" s="233">
        <f t="shared" si="30"/>
        <v>2268.9635154643056</v>
      </c>
      <c r="Z30" s="233">
        <f t="shared" si="30"/>
        <v>2273.637208808409</v>
      </c>
      <c r="AA30" s="233">
        <f t="shared" si="30"/>
        <v>2278.3205291955765</v>
      </c>
      <c r="AB30" s="233">
        <f t="shared" si="30"/>
        <v>2283.0134964559406</v>
      </c>
      <c r="AC30" s="233">
        <f t="shared" si="30"/>
        <v>2287.7161304604811</v>
      </c>
      <c r="AD30" s="233">
        <f t="shared" si="31"/>
        <v>2292.4284511211076</v>
      </c>
      <c r="AE30" s="233">
        <f t="shared" si="31"/>
        <v>2297.1504783907467</v>
      </c>
      <c r="AF30" s="233">
        <f t="shared" si="31"/>
        <v>2301.8822322634223</v>
      </c>
      <c r="AG30" s="233">
        <f t="shared" si="31"/>
        <v>2306.6237327743456</v>
      </c>
      <c r="AH30" s="233">
        <f t="shared" si="31"/>
        <v>2311.3749999999941</v>
      </c>
      <c r="AI30" s="233">
        <f t="shared" si="31"/>
        <v>2316.1360540582018</v>
      </c>
      <c r="AJ30" s="233">
        <f t="shared" si="31"/>
        <v>2320.9069151082408</v>
      </c>
      <c r="AK30" s="233">
        <f t="shared" si="31"/>
        <v>2325.6876033509097</v>
      </c>
      <c r="AL30" s="233">
        <f t="shared" si="31"/>
        <v>2330.4781390286153</v>
      </c>
      <c r="AM30" s="233">
        <f t="shared" si="31"/>
        <v>2335.2785424254621</v>
      </c>
      <c r="AN30" s="233">
        <f t="shared" si="32"/>
        <v>2340.0888338673353</v>
      </c>
      <c r="AO30" s="233">
        <f t="shared" si="32"/>
        <v>2344.9090337219891</v>
      </c>
      <c r="AP30" s="233">
        <f t="shared" si="32"/>
        <v>2349.7391623991321</v>
      </c>
      <c r="AQ30" s="233">
        <f t="shared" si="32"/>
        <v>2354.5792403505111</v>
      </c>
      <c r="AR30" s="233">
        <f t="shared" si="32"/>
        <v>2359.4292880700041</v>
      </c>
      <c r="AS30" s="233">
        <f t="shared" si="32"/>
        <v>2364.2893260936999</v>
      </c>
      <c r="AT30" s="233">
        <f t="shared" si="32"/>
        <v>2369.1593749999902</v>
      </c>
      <c r="AU30" s="233">
        <f t="shared" si="32"/>
        <v>2374.0394554096529</v>
      </c>
      <c r="AV30" s="233">
        <f t="shared" si="32"/>
        <v>2378.9295879859433</v>
      </c>
      <c r="AW30" s="233">
        <f t="shared" si="32"/>
        <v>2383.8297934346788</v>
      </c>
      <c r="AX30" s="233">
        <f t="shared" si="33"/>
        <v>2388.7400925043271</v>
      </c>
      <c r="AY30" s="233">
        <f t="shared" si="33"/>
        <v>2393.6605059860949</v>
      </c>
      <c r="AZ30" s="233">
        <f t="shared" si="33"/>
        <v>2398.5910547140156</v>
      </c>
      <c r="BA30" s="233">
        <f t="shared" si="33"/>
        <v>2403.5317595650358</v>
      </c>
      <c r="BB30" s="233">
        <f t="shared" si="33"/>
        <v>2408.4826414591071</v>
      </c>
      <c r="BC30" s="233">
        <f t="shared" si="33"/>
        <v>2413.4437213592714</v>
      </c>
      <c r="BD30" s="233">
        <f t="shared" si="33"/>
        <v>2418.4150202717515</v>
      </c>
      <c r="BE30" s="233">
        <f t="shared" si="33"/>
        <v>2423.3965592460399</v>
      </c>
      <c r="BF30" s="233">
        <f t="shared" si="33"/>
        <v>2428.388359374987</v>
      </c>
      <c r="BG30" s="233">
        <f t="shared" si="33"/>
        <v>2433.3904417948911</v>
      </c>
      <c r="BH30" s="233">
        <f t="shared" si="34"/>
        <v>2438.4028276855893</v>
      </c>
      <c r="BI30" s="233">
        <f t="shared" si="34"/>
        <v>2443.4255382705433</v>
      </c>
      <c r="BJ30" s="233">
        <f t="shared" si="34"/>
        <v>2448.4585948169329</v>
      </c>
      <c r="BK30" s="233">
        <f t="shared" si="34"/>
        <v>2453.5020186357451</v>
      </c>
      <c r="BL30" s="233">
        <f t="shared" si="34"/>
        <v>2458.5558310818633</v>
      </c>
      <c r="BM30" s="233">
        <f t="shared" si="34"/>
        <v>2463.6200535541593</v>
      </c>
      <c r="BN30" s="233">
        <f t="shared" si="34"/>
        <v>2468.694707495582</v>
      </c>
      <c r="BO30" s="233">
        <f t="shared" si="34"/>
        <v>2473.7798143932505</v>
      </c>
      <c r="BP30" s="233">
        <f t="shared" si="34"/>
        <v>2478.8753957785425</v>
      </c>
      <c r="BQ30" s="233">
        <f t="shared" si="34"/>
        <v>2483.9814732271884</v>
      </c>
      <c r="BR30" s="233">
        <f t="shared" si="35"/>
        <v>2489.0980683593589</v>
      </c>
      <c r="BS30" s="233">
        <f t="shared" si="35"/>
        <v>2494.2252028397611</v>
      </c>
      <c r="BT30" s="233">
        <f t="shared" si="35"/>
        <v>2499.3628983777267</v>
      </c>
      <c r="BU30" s="233">
        <f t="shared" si="35"/>
        <v>2504.5111767273042</v>
      </c>
      <c r="BV30" s="233">
        <f t="shared" si="35"/>
        <v>2509.6700596873538</v>
      </c>
      <c r="BW30" s="233">
        <f t="shared" si="35"/>
        <v>2514.8395691016362</v>
      </c>
      <c r="BX30" s="233">
        <f t="shared" si="35"/>
        <v>2520.0197268589077</v>
      </c>
      <c r="BY30" s="233">
        <f t="shared" si="35"/>
        <v>2525.2105548930108</v>
      </c>
      <c r="BZ30" s="233">
        <f t="shared" si="35"/>
        <v>2530.4120751829691</v>
      </c>
      <c r="CA30" s="233">
        <f t="shared" si="35"/>
        <v>2535.6243097530787</v>
      </c>
      <c r="CB30" s="233">
        <f t="shared" si="36"/>
        <v>2540.8472806730028</v>
      </c>
      <c r="CC30" s="233">
        <f t="shared" si="36"/>
        <v>2546.0810100578642</v>
      </c>
      <c r="CD30" s="233">
        <f t="shared" si="36"/>
        <v>2551.3255200683393</v>
      </c>
      <c r="CE30" s="233">
        <f t="shared" si="36"/>
        <v>2556.5808329107513</v>
      </c>
      <c r="CF30" s="233">
        <f t="shared" si="36"/>
        <v>2561.8469708371658</v>
      </c>
      <c r="CG30" s="233">
        <f t="shared" si="36"/>
        <v>2567.1239561454831</v>
      </c>
      <c r="CH30" s="233">
        <f t="shared" si="36"/>
        <v>2572.4118111795333</v>
      </c>
      <c r="CI30" s="233">
        <f t="shared" si="36"/>
        <v>2577.7105583291727</v>
      </c>
      <c r="CJ30" s="233">
        <f t="shared" si="36"/>
        <v>2583.0202200303756</v>
      </c>
      <c r="CK30" s="233">
        <f t="shared" si="36"/>
        <v>2588.3408187653313</v>
      </c>
      <c r="CL30" s="233">
        <f t="shared" si="37"/>
        <v>2593.672377062539</v>
      </c>
      <c r="CM30" s="233">
        <f t="shared" si="37"/>
        <v>2599.0149174969015</v>
      </c>
      <c r="CN30" s="233">
        <f t="shared" si="37"/>
        <v>2604.3684626898239</v>
      </c>
      <c r="CO30" s="233">
        <f t="shared" si="37"/>
        <v>2609.7330353093071</v>
      </c>
      <c r="CP30" s="233">
        <f t="shared" si="37"/>
        <v>2615.1086580700439</v>
      </c>
      <c r="CQ30" s="233">
        <f t="shared" si="37"/>
        <v>2620.4953537335164</v>
      </c>
      <c r="CR30" s="233">
        <f t="shared" si="37"/>
        <v>2625.8931451080912</v>
      </c>
      <c r="CS30" s="233">
        <f t="shared" si="37"/>
        <v>2631.302055049116</v>
      </c>
      <c r="CT30" s="233">
        <f t="shared" si="37"/>
        <v>2636.7221064590181</v>
      </c>
      <c r="CU30" s="233">
        <f t="shared" si="37"/>
        <v>2642.1533222873986</v>
      </c>
      <c r="CV30" s="233">
        <f t="shared" si="38"/>
        <v>2647.5957255311318</v>
      </c>
      <c r="CW30" s="233">
        <f t="shared" si="38"/>
        <v>2653.0493392344615</v>
      </c>
      <c r="CX30" s="233">
        <f t="shared" si="38"/>
        <v>2658.5141864890988</v>
      </c>
      <c r="CY30" s="233">
        <f t="shared" si="38"/>
        <v>2663.9902904343207</v>
      </c>
      <c r="CZ30" s="233">
        <f t="shared" si="38"/>
        <v>2669.4776742570662</v>
      </c>
      <c r="DA30" s="233">
        <f t="shared" si="38"/>
        <v>2674.9763611920362</v>
      </c>
      <c r="DB30" s="233">
        <f t="shared" si="38"/>
        <v>2680.4863745217917</v>
      </c>
      <c r="DC30" s="233">
        <f t="shared" si="38"/>
        <v>2686.007737576851</v>
      </c>
      <c r="DD30" s="233">
        <f t="shared" si="38"/>
        <v>2691.5404737357899</v>
      </c>
      <c r="DE30" s="233">
        <f t="shared" si="38"/>
        <v>2697.0846064253406</v>
      </c>
      <c r="DF30" s="233">
        <f t="shared" si="39"/>
        <v>2702.6401591204899</v>
      </c>
      <c r="DG30" s="233">
        <f t="shared" si="39"/>
        <v>2708.2071553445803</v>
      </c>
      <c r="DH30" s="233">
        <f t="shared" si="39"/>
        <v>2713.7856186694066</v>
      </c>
      <c r="DI30" s="233">
        <f t="shared" si="39"/>
        <v>2719.3755727153193</v>
      </c>
      <c r="DJ30" s="233">
        <f t="shared" si="39"/>
        <v>2724.9770411513227</v>
      </c>
      <c r="DK30" s="233">
        <f t="shared" si="39"/>
        <v>2730.5900476951751</v>
      </c>
      <c r="DL30" s="233">
        <f t="shared" si="39"/>
        <v>2736.2146161134892</v>
      </c>
      <c r="DM30" s="233">
        <f t="shared" si="39"/>
        <v>2741.8507702218335</v>
      </c>
      <c r="DN30" s="233">
        <f t="shared" si="39"/>
        <v>2747.4985338848328</v>
      </c>
      <c r="DO30" s="233">
        <f t="shared" si="39"/>
        <v>2753.1579310162683</v>
      </c>
      <c r="DP30" s="233">
        <f t="shared" si="40"/>
        <v>2758.8289855791809</v>
      </c>
      <c r="DQ30" s="233">
        <f t="shared" si="40"/>
        <v>2764.51172158597</v>
      </c>
      <c r="DR30" s="233">
        <f t="shared" si="40"/>
        <v>2770.2061630984986</v>
      </c>
      <c r="DS30" s="233">
        <f t="shared" si="40"/>
        <v>2775.9123342281905</v>
      </c>
      <c r="DT30" s="233">
        <f t="shared" si="40"/>
        <v>2781.6302591361377</v>
      </c>
      <c r="DU30" s="233">
        <f t="shared" si="40"/>
        <v>2787.3599620331984</v>
      </c>
      <c r="DV30" s="233">
        <f t="shared" si="40"/>
        <v>2793.1014671801022</v>
      </c>
      <c r="DW30" s="233">
        <f t="shared" si="40"/>
        <v>2798.8547988875507</v>
      </c>
      <c r="DX30" s="233">
        <f t="shared" si="40"/>
        <v>2804.6199815163222</v>
      </c>
      <c r="DY30" s="233">
        <f t="shared" si="40"/>
        <v>2810.3970394773755</v>
      </c>
      <c r="DZ30" s="233">
        <f t="shared" si="41"/>
        <v>2816.1859972319498</v>
      </c>
      <c r="EA30" s="233">
        <f t="shared" si="41"/>
        <v>2821.9868792916714</v>
      </c>
      <c r="EB30" s="233">
        <f t="shared" si="41"/>
        <v>2827.7997102186569</v>
      </c>
      <c r="EC30" s="233">
        <f t="shared" si="41"/>
        <v>2833.624514625616</v>
      </c>
      <c r="ED30" s="233">
        <f t="shared" si="41"/>
        <v>2839.4613171759574</v>
      </c>
      <c r="EE30" s="233">
        <f t="shared" si="41"/>
        <v>2845.3101425838918</v>
      </c>
      <c r="EF30" s="233">
        <f t="shared" si="41"/>
        <v>2851.1710156145377</v>
      </c>
      <c r="EG30" s="233">
        <f t="shared" si="41"/>
        <v>2857.0439610840253</v>
      </c>
      <c r="EH30" s="233">
        <f t="shared" si="41"/>
        <v>2862.9290038596014</v>
      </c>
      <c r="EI30" s="233">
        <f t="shared" si="41"/>
        <v>2868.8261688597363</v>
      </c>
      <c r="EJ30" s="233">
        <f t="shared" si="41"/>
        <v>2874.7354810542274</v>
      </c>
      <c r="EK30" s="233">
        <f t="shared" si="41"/>
        <v>2880.6569654643067</v>
      </c>
    </row>
    <row r="31" spans="2:141" x14ac:dyDescent="0.45">
      <c r="B31" s="230">
        <f>Assumptions!B68</f>
        <v>23</v>
      </c>
      <c r="C31" s="230" t="str">
        <f>Assumptions!C68</f>
        <v>Fair Market</v>
      </c>
      <c r="D31" s="439">
        <f>Assumptions!D68</f>
        <v>1</v>
      </c>
      <c r="E31" s="22">
        <f>Assumptions!G68</f>
        <v>9</v>
      </c>
      <c r="F31" s="22">
        <f>IF(D31=1,E31+SUM(Assumptions!$G$142:$G$143),'Rent Roll Model'!E31)</f>
        <v>13</v>
      </c>
      <c r="G31" s="233">
        <f>Assumptions!I68</f>
        <v>1522.5</v>
      </c>
      <c r="H31" s="233">
        <f>Assumptions!J68</f>
        <v>2200</v>
      </c>
      <c r="J31" s="233">
        <f t="shared" si="29"/>
        <v>1522.5</v>
      </c>
      <c r="K31" s="233">
        <f t="shared" si="29"/>
        <v>1525.6361007208357</v>
      </c>
      <c r="L31" s="233">
        <f t="shared" si="29"/>
        <v>1528.7786612956818</v>
      </c>
      <c r="M31" s="233">
        <f t="shared" si="29"/>
        <v>1531.9276950307803</v>
      </c>
      <c r="N31" s="233">
        <f t="shared" si="29"/>
        <v>1535.0832152597814</v>
      </c>
      <c r="O31" s="233">
        <f t="shared" si="29"/>
        <v>1538.2452353438</v>
      </c>
      <c r="P31" s="233">
        <f t="shared" si="29"/>
        <v>1541.4137686714739</v>
      </c>
      <c r="Q31" s="233">
        <f t="shared" si="29"/>
        <v>1544.5888286590184</v>
      </c>
      <c r="R31" s="233">
        <f t="shared" si="29"/>
        <v>0</v>
      </c>
      <c r="S31" s="233">
        <f t="shared" si="29"/>
        <v>0</v>
      </c>
      <c r="T31" s="233">
        <f t="shared" si="30"/>
        <v>0</v>
      </c>
      <c r="U31" s="233">
        <f t="shared" si="30"/>
        <v>0</v>
      </c>
      <c r="V31" s="233">
        <f t="shared" si="30"/>
        <v>2254.9999999999968</v>
      </c>
      <c r="W31" s="233">
        <f t="shared" si="30"/>
        <v>2259.6449307884923</v>
      </c>
      <c r="X31" s="233">
        <f t="shared" si="30"/>
        <v>2264.2994293738971</v>
      </c>
      <c r="Y31" s="233">
        <f t="shared" si="30"/>
        <v>2268.9635154643056</v>
      </c>
      <c r="Z31" s="233">
        <f t="shared" si="30"/>
        <v>2273.637208808409</v>
      </c>
      <c r="AA31" s="233">
        <f t="shared" si="30"/>
        <v>2278.3205291955765</v>
      </c>
      <c r="AB31" s="233">
        <f t="shared" si="30"/>
        <v>2283.0134964559406</v>
      </c>
      <c r="AC31" s="233">
        <f t="shared" si="30"/>
        <v>2287.7161304604811</v>
      </c>
      <c r="AD31" s="233">
        <f t="shared" si="31"/>
        <v>2292.4284511211076</v>
      </c>
      <c r="AE31" s="233">
        <f t="shared" si="31"/>
        <v>2297.1504783907467</v>
      </c>
      <c r="AF31" s="233">
        <f t="shared" si="31"/>
        <v>2301.8822322634223</v>
      </c>
      <c r="AG31" s="233">
        <f t="shared" si="31"/>
        <v>2306.6237327743456</v>
      </c>
      <c r="AH31" s="233">
        <f t="shared" si="31"/>
        <v>2311.3749999999941</v>
      </c>
      <c r="AI31" s="233">
        <f t="shared" si="31"/>
        <v>2316.1360540582018</v>
      </c>
      <c r="AJ31" s="233">
        <f t="shared" si="31"/>
        <v>2320.9069151082408</v>
      </c>
      <c r="AK31" s="233">
        <f t="shared" si="31"/>
        <v>2325.6876033509097</v>
      </c>
      <c r="AL31" s="233">
        <f t="shared" si="31"/>
        <v>2330.4781390286153</v>
      </c>
      <c r="AM31" s="233">
        <f t="shared" si="31"/>
        <v>2335.2785424254621</v>
      </c>
      <c r="AN31" s="233">
        <f t="shared" si="32"/>
        <v>2340.0888338673353</v>
      </c>
      <c r="AO31" s="233">
        <f t="shared" si="32"/>
        <v>2344.9090337219891</v>
      </c>
      <c r="AP31" s="233">
        <f t="shared" si="32"/>
        <v>2349.7391623991321</v>
      </c>
      <c r="AQ31" s="233">
        <f t="shared" si="32"/>
        <v>2354.5792403505111</v>
      </c>
      <c r="AR31" s="233">
        <f t="shared" si="32"/>
        <v>2359.4292880700041</v>
      </c>
      <c r="AS31" s="233">
        <f t="shared" si="32"/>
        <v>2364.2893260936999</v>
      </c>
      <c r="AT31" s="233">
        <f t="shared" si="32"/>
        <v>2369.1593749999902</v>
      </c>
      <c r="AU31" s="233">
        <f t="shared" si="32"/>
        <v>2374.0394554096529</v>
      </c>
      <c r="AV31" s="233">
        <f t="shared" si="32"/>
        <v>2378.9295879859433</v>
      </c>
      <c r="AW31" s="233">
        <f t="shared" si="32"/>
        <v>2383.8297934346788</v>
      </c>
      <c r="AX31" s="233">
        <f t="shared" si="33"/>
        <v>2388.7400925043271</v>
      </c>
      <c r="AY31" s="233">
        <f t="shared" si="33"/>
        <v>2393.6605059860949</v>
      </c>
      <c r="AZ31" s="233">
        <f t="shared" si="33"/>
        <v>2398.5910547140156</v>
      </c>
      <c r="BA31" s="233">
        <f t="shared" si="33"/>
        <v>2403.5317595650358</v>
      </c>
      <c r="BB31" s="233">
        <f t="shared" si="33"/>
        <v>2408.4826414591071</v>
      </c>
      <c r="BC31" s="233">
        <f t="shared" si="33"/>
        <v>2413.4437213592714</v>
      </c>
      <c r="BD31" s="233">
        <f t="shared" si="33"/>
        <v>2418.4150202717515</v>
      </c>
      <c r="BE31" s="233">
        <f t="shared" si="33"/>
        <v>2423.3965592460399</v>
      </c>
      <c r="BF31" s="233">
        <f t="shared" si="33"/>
        <v>2428.388359374987</v>
      </c>
      <c r="BG31" s="233">
        <f t="shared" si="33"/>
        <v>2433.3904417948911</v>
      </c>
      <c r="BH31" s="233">
        <f t="shared" si="34"/>
        <v>2438.4028276855893</v>
      </c>
      <c r="BI31" s="233">
        <f t="shared" si="34"/>
        <v>2443.4255382705433</v>
      </c>
      <c r="BJ31" s="233">
        <f t="shared" si="34"/>
        <v>2448.4585948169329</v>
      </c>
      <c r="BK31" s="233">
        <f t="shared" si="34"/>
        <v>2453.5020186357451</v>
      </c>
      <c r="BL31" s="233">
        <f t="shared" si="34"/>
        <v>2458.5558310818633</v>
      </c>
      <c r="BM31" s="233">
        <f t="shared" si="34"/>
        <v>2463.6200535541593</v>
      </c>
      <c r="BN31" s="233">
        <f t="shared" si="34"/>
        <v>2468.694707495582</v>
      </c>
      <c r="BO31" s="233">
        <f t="shared" si="34"/>
        <v>2473.7798143932505</v>
      </c>
      <c r="BP31" s="233">
        <f t="shared" si="34"/>
        <v>2478.8753957785425</v>
      </c>
      <c r="BQ31" s="233">
        <f t="shared" si="34"/>
        <v>2483.9814732271884</v>
      </c>
      <c r="BR31" s="233">
        <f t="shared" si="35"/>
        <v>2489.0980683593589</v>
      </c>
      <c r="BS31" s="233">
        <f t="shared" si="35"/>
        <v>2494.2252028397611</v>
      </c>
      <c r="BT31" s="233">
        <f t="shared" si="35"/>
        <v>2499.3628983777267</v>
      </c>
      <c r="BU31" s="233">
        <f t="shared" si="35"/>
        <v>2504.5111767273042</v>
      </c>
      <c r="BV31" s="233">
        <f t="shared" si="35"/>
        <v>2509.6700596873538</v>
      </c>
      <c r="BW31" s="233">
        <f t="shared" si="35"/>
        <v>2514.8395691016362</v>
      </c>
      <c r="BX31" s="233">
        <f t="shared" si="35"/>
        <v>2520.0197268589077</v>
      </c>
      <c r="BY31" s="233">
        <f t="shared" si="35"/>
        <v>2525.2105548930108</v>
      </c>
      <c r="BZ31" s="233">
        <f t="shared" si="35"/>
        <v>2530.4120751829691</v>
      </c>
      <c r="CA31" s="233">
        <f t="shared" si="35"/>
        <v>2535.6243097530787</v>
      </c>
      <c r="CB31" s="233">
        <f t="shared" si="36"/>
        <v>2540.8472806730028</v>
      </c>
      <c r="CC31" s="233">
        <f t="shared" si="36"/>
        <v>2546.0810100578642</v>
      </c>
      <c r="CD31" s="233">
        <f t="shared" si="36"/>
        <v>2551.3255200683393</v>
      </c>
      <c r="CE31" s="233">
        <f t="shared" si="36"/>
        <v>2556.5808329107513</v>
      </c>
      <c r="CF31" s="233">
        <f t="shared" si="36"/>
        <v>2561.8469708371658</v>
      </c>
      <c r="CG31" s="233">
        <f t="shared" si="36"/>
        <v>2567.1239561454831</v>
      </c>
      <c r="CH31" s="233">
        <f t="shared" si="36"/>
        <v>2572.4118111795333</v>
      </c>
      <c r="CI31" s="233">
        <f t="shared" si="36"/>
        <v>2577.7105583291727</v>
      </c>
      <c r="CJ31" s="233">
        <f t="shared" si="36"/>
        <v>2583.0202200303756</v>
      </c>
      <c r="CK31" s="233">
        <f t="shared" si="36"/>
        <v>2588.3408187653313</v>
      </c>
      <c r="CL31" s="233">
        <f t="shared" si="37"/>
        <v>2593.672377062539</v>
      </c>
      <c r="CM31" s="233">
        <f t="shared" si="37"/>
        <v>2599.0149174969015</v>
      </c>
      <c r="CN31" s="233">
        <f t="shared" si="37"/>
        <v>2604.3684626898239</v>
      </c>
      <c r="CO31" s="233">
        <f t="shared" si="37"/>
        <v>2609.7330353093071</v>
      </c>
      <c r="CP31" s="233">
        <f t="shared" si="37"/>
        <v>2615.1086580700439</v>
      </c>
      <c r="CQ31" s="233">
        <f t="shared" si="37"/>
        <v>2620.4953537335164</v>
      </c>
      <c r="CR31" s="233">
        <f t="shared" si="37"/>
        <v>2625.8931451080912</v>
      </c>
      <c r="CS31" s="233">
        <f t="shared" si="37"/>
        <v>2631.302055049116</v>
      </c>
      <c r="CT31" s="233">
        <f t="shared" si="37"/>
        <v>2636.7221064590181</v>
      </c>
      <c r="CU31" s="233">
        <f t="shared" si="37"/>
        <v>2642.1533222873986</v>
      </c>
      <c r="CV31" s="233">
        <f t="shared" si="38"/>
        <v>2647.5957255311318</v>
      </c>
      <c r="CW31" s="233">
        <f t="shared" si="38"/>
        <v>2653.0493392344615</v>
      </c>
      <c r="CX31" s="233">
        <f t="shared" si="38"/>
        <v>2658.5141864890988</v>
      </c>
      <c r="CY31" s="233">
        <f t="shared" si="38"/>
        <v>2663.9902904343207</v>
      </c>
      <c r="CZ31" s="233">
        <f t="shared" si="38"/>
        <v>2669.4776742570662</v>
      </c>
      <c r="DA31" s="233">
        <f t="shared" si="38"/>
        <v>2674.9763611920362</v>
      </c>
      <c r="DB31" s="233">
        <f t="shared" si="38"/>
        <v>2680.4863745217917</v>
      </c>
      <c r="DC31" s="233">
        <f t="shared" si="38"/>
        <v>2686.007737576851</v>
      </c>
      <c r="DD31" s="233">
        <f t="shared" si="38"/>
        <v>2691.5404737357899</v>
      </c>
      <c r="DE31" s="233">
        <f t="shared" si="38"/>
        <v>2697.0846064253406</v>
      </c>
      <c r="DF31" s="233">
        <f t="shared" si="39"/>
        <v>2702.6401591204899</v>
      </c>
      <c r="DG31" s="233">
        <f t="shared" si="39"/>
        <v>2708.2071553445803</v>
      </c>
      <c r="DH31" s="233">
        <f t="shared" si="39"/>
        <v>2713.7856186694066</v>
      </c>
      <c r="DI31" s="233">
        <f t="shared" si="39"/>
        <v>2719.3755727153193</v>
      </c>
      <c r="DJ31" s="233">
        <f t="shared" si="39"/>
        <v>2724.9770411513227</v>
      </c>
      <c r="DK31" s="233">
        <f t="shared" si="39"/>
        <v>2730.5900476951751</v>
      </c>
      <c r="DL31" s="233">
        <f t="shared" si="39"/>
        <v>2736.2146161134892</v>
      </c>
      <c r="DM31" s="233">
        <f t="shared" si="39"/>
        <v>2741.8507702218335</v>
      </c>
      <c r="DN31" s="233">
        <f t="shared" si="39"/>
        <v>2747.4985338848328</v>
      </c>
      <c r="DO31" s="233">
        <f t="shared" si="39"/>
        <v>2753.1579310162683</v>
      </c>
      <c r="DP31" s="233">
        <f t="shared" si="40"/>
        <v>2758.8289855791809</v>
      </c>
      <c r="DQ31" s="233">
        <f t="shared" si="40"/>
        <v>2764.51172158597</v>
      </c>
      <c r="DR31" s="233">
        <f t="shared" si="40"/>
        <v>2770.2061630984986</v>
      </c>
      <c r="DS31" s="233">
        <f t="shared" si="40"/>
        <v>2775.9123342281905</v>
      </c>
      <c r="DT31" s="233">
        <f t="shared" si="40"/>
        <v>2781.6302591361377</v>
      </c>
      <c r="DU31" s="233">
        <f t="shared" si="40"/>
        <v>2787.3599620331984</v>
      </c>
      <c r="DV31" s="233">
        <f t="shared" si="40"/>
        <v>2793.1014671801022</v>
      </c>
      <c r="DW31" s="233">
        <f t="shared" si="40"/>
        <v>2798.8547988875507</v>
      </c>
      <c r="DX31" s="233">
        <f t="shared" si="40"/>
        <v>2804.6199815163222</v>
      </c>
      <c r="DY31" s="233">
        <f t="shared" si="40"/>
        <v>2810.3970394773755</v>
      </c>
      <c r="DZ31" s="233">
        <f t="shared" si="41"/>
        <v>2816.1859972319498</v>
      </c>
      <c r="EA31" s="233">
        <f t="shared" si="41"/>
        <v>2821.9868792916714</v>
      </c>
      <c r="EB31" s="233">
        <f t="shared" si="41"/>
        <v>2827.7997102186569</v>
      </c>
      <c r="EC31" s="233">
        <f t="shared" si="41"/>
        <v>2833.624514625616</v>
      </c>
      <c r="ED31" s="233">
        <f t="shared" si="41"/>
        <v>2839.4613171759574</v>
      </c>
      <c r="EE31" s="233">
        <f t="shared" si="41"/>
        <v>2845.3101425838918</v>
      </c>
      <c r="EF31" s="233">
        <f t="shared" si="41"/>
        <v>2851.1710156145377</v>
      </c>
      <c r="EG31" s="233">
        <f t="shared" si="41"/>
        <v>2857.0439610840253</v>
      </c>
      <c r="EH31" s="233">
        <f t="shared" si="41"/>
        <v>2862.9290038596014</v>
      </c>
      <c r="EI31" s="233">
        <f t="shared" si="41"/>
        <v>2868.8261688597363</v>
      </c>
      <c r="EJ31" s="233">
        <f t="shared" si="41"/>
        <v>2874.7354810542274</v>
      </c>
      <c r="EK31" s="233">
        <f t="shared" si="41"/>
        <v>2880.6569654643067</v>
      </c>
    </row>
    <row r="32" spans="2:141" x14ac:dyDescent="0.45">
      <c r="B32" s="230">
        <f>Assumptions!B69</f>
        <v>24</v>
      </c>
      <c r="C32" s="230" t="str">
        <f>Assumptions!C69</f>
        <v>Fair Market</v>
      </c>
      <c r="D32" s="439">
        <f>Assumptions!D69</f>
        <v>1</v>
      </c>
      <c r="E32" s="22">
        <f>Assumptions!G69</f>
        <v>9</v>
      </c>
      <c r="F32" s="22">
        <f>IF(D32=1,E32+SUM(Assumptions!$G$142:$G$143),'Rent Roll Model'!E32)</f>
        <v>13</v>
      </c>
      <c r="G32" s="233">
        <f>Assumptions!I69</f>
        <v>1627.5</v>
      </c>
      <c r="H32" s="233">
        <f>Assumptions!J69</f>
        <v>2200</v>
      </c>
      <c r="J32" s="233">
        <f t="shared" si="29"/>
        <v>1627.5</v>
      </c>
      <c r="K32" s="233">
        <f t="shared" si="29"/>
        <v>1630.8523835291692</v>
      </c>
      <c r="L32" s="233">
        <f t="shared" si="29"/>
        <v>1634.2116724195218</v>
      </c>
      <c r="M32" s="233">
        <f t="shared" si="29"/>
        <v>1637.5778808949719</v>
      </c>
      <c r="N32" s="233">
        <f t="shared" si="29"/>
        <v>1640.9510232087316</v>
      </c>
      <c r="O32" s="233">
        <f t="shared" si="29"/>
        <v>1644.3311136433724</v>
      </c>
      <c r="P32" s="233">
        <f t="shared" si="29"/>
        <v>1647.718166510886</v>
      </c>
      <c r="Q32" s="233">
        <f t="shared" si="29"/>
        <v>1651.1121961527438</v>
      </c>
      <c r="R32" s="233">
        <f t="shared" si="29"/>
        <v>0</v>
      </c>
      <c r="S32" s="233">
        <f t="shared" si="29"/>
        <v>0</v>
      </c>
      <c r="T32" s="233">
        <f t="shared" si="30"/>
        <v>0</v>
      </c>
      <c r="U32" s="233">
        <f t="shared" si="30"/>
        <v>0</v>
      </c>
      <c r="V32" s="233">
        <f t="shared" si="30"/>
        <v>2254.9999999999968</v>
      </c>
      <c r="W32" s="233">
        <f t="shared" si="30"/>
        <v>2259.6449307884923</v>
      </c>
      <c r="X32" s="233">
        <f t="shared" si="30"/>
        <v>2264.2994293738971</v>
      </c>
      <c r="Y32" s="233">
        <f t="shared" si="30"/>
        <v>2268.9635154643056</v>
      </c>
      <c r="Z32" s="233">
        <f t="shared" si="30"/>
        <v>2273.637208808409</v>
      </c>
      <c r="AA32" s="233">
        <f t="shared" si="30"/>
        <v>2278.3205291955765</v>
      </c>
      <c r="AB32" s="233">
        <f t="shared" si="30"/>
        <v>2283.0134964559406</v>
      </c>
      <c r="AC32" s="233">
        <f t="shared" si="30"/>
        <v>2287.7161304604811</v>
      </c>
      <c r="AD32" s="233">
        <f t="shared" si="31"/>
        <v>2292.4284511211076</v>
      </c>
      <c r="AE32" s="233">
        <f t="shared" si="31"/>
        <v>2297.1504783907467</v>
      </c>
      <c r="AF32" s="233">
        <f t="shared" si="31"/>
        <v>2301.8822322634223</v>
      </c>
      <c r="AG32" s="233">
        <f t="shared" si="31"/>
        <v>2306.6237327743456</v>
      </c>
      <c r="AH32" s="233">
        <f t="shared" si="31"/>
        <v>2311.3749999999941</v>
      </c>
      <c r="AI32" s="233">
        <f t="shared" si="31"/>
        <v>2316.1360540582018</v>
      </c>
      <c r="AJ32" s="233">
        <f t="shared" si="31"/>
        <v>2320.9069151082408</v>
      </c>
      <c r="AK32" s="233">
        <f t="shared" si="31"/>
        <v>2325.6876033509097</v>
      </c>
      <c r="AL32" s="233">
        <f t="shared" si="31"/>
        <v>2330.4781390286153</v>
      </c>
      <c r="AM32" s="233">
        <f t="shared" si="31"/>
        <v>2335.2785424254621</v>
      </c>
      <c r="AN32" s="233">
        <f t="shared" si="32"/>
        <v>2340.0888338673353</v>
      </c>
      <c r="AO32" s="233">
        <f t="shared" si="32"/>
        <v>2344.9090337219891</v>
      </c>
      <c r="AP32" s="233">
        <f t="shared" si="32"/>
        <v>2349.7391623991321</v>
      </c>
      <c r="AQ32" s="233">
        <f t="shared" si="32"/>
        <v>2354.5792403505111</v>
      </c>
      <c r="AR32" s="233">
        <f t="shared" si="32"/>
        <v>2359.4292880700041</v>
      </c>
      <c r="AS32" s="233">
        <f t="shared" si="32"/>
        <v>2364.2893260936999</v>
      </c>
      <c r="AT32" s="233">
        <f t="shared" si="32"/>
        <v>2369.1593749999902</v>
      </c>
      <c r="AU32" s="233">
        <f t="shared" si="32"/>
        <v>2374.0394554096529</v>
      </c>
      <c r="AV32" s="233">
        <f t="shared" si="32"/>
        <v>2378.9295879859433</v>
      </c>
      <c r="AW32" s="233">
        <f t="shared" si="32"/>
        <v>2383.8297934346788</v>
      </c>
      <c r="AX32" s="233">
        <f t="shared" si="33"/>
        <v>2388.7400925043271</v>
      </c>
      <c r="AY32" s="233">
        <f t="shared" si="33"/>
        <v>2393.6605059860949</v>
      </c>
      <c r="AZ32" s="233">
        <f t="shared" si="33"/>
        <v>2398.5910547140156</v>
      </c>
      <c r="BA32" s="233">
        <f t="shared" si="33"/>
        <v>2403.5317595650358</v>
      </c>
      <c r="BB32" s="233">
        <f t="shared" si="33"/>
        <v>2408.4826414591071</v>
      </c>
      <c r="BC32" s="233">
        <f t="shared" si="33"/>
        <v>2413.4437213592714</v>
      </c>
      <c r="BD32" s="233">
        <f t="shared" si="33"/>
        <v>2418.4150202717515</v>
      </c>
      <c r="BE32" s="233">
        <f t="shared" si="33"/>
        <v>2423.3965592460399</v>
      </c>
      <c r="BF32" s="233">
        <f t="shared" si="33"/>
        <v>2428.388359374987</v>
      </c>
      <c r="BG32" s="233">
        <f t="shared" si="33"/>
        <v>2433.3904417948911</v>
      </c>
      <c r="BH32" s="233">
        <f t="shared" si="34"/>
        <v>2438.4028276855893</v>
      </c>
      <c r="BI32" s="233">
        <f t="shared" si="34"/>
        <v>2443.4255382705433</v>
      </c>
      <c r="BJ32" s="233">
        <f t="shared" si="34"/>
        <v>2448.4585948169329</v>
      </c>
      <c r="BK32" s="233">
        <f t="shared" si="34"/>
        <v>2453.5020186357451</v>
      </c>
      <c r="BL32" s="233">
        <f t="shared" si="34"/>
        <v>2458.5558310818633</v>
      </c>
      <c r="BM32" s="233">
        <f t="shared" si="34"/>
        <v>2463.6200535541593</v>
      </c>
      <c r="BN32" s="233">
        <f t="shared" si="34"/>
        <v>2468.694707495582</v>
      </c>
      <c r="BO32" s="233">
        <f t="shared" si="34"/>
        <v>2473.7798143932505</v>
      </c>
      <c r="BP32" s="233">
        <f t="shared" si="34"/>
        <v>2478.8753957785425</v>
      </c>
      <c r="BQ32" s="233">
        <f t="shared" si="34"/>
        <v>2483.9814732271884</v>
      </c>
      <c r="BR32" s="233">
        <f t="shared" si="35"/>
        <v>2489.0980683593589</v>
      </c>
      <c r="BS32" s="233">
        <f t="shared" si="35"/>
        <v>2494.2252028397611</v>
      </c>
      <c r="BT32" s="233">
        <f t="shared" si="35"/>
        <v>2499.3628983777267</v>
      </c>
      <c r="BU32" s="233">
        <f t="shared" si="35"/>
        <v>2504.5111767273042</v>
      </c>
      <c r="BV32" s="233">
        <f t="shared" si="35"/>
        <v>2509.6700596873538</v>
      </c>
      <c r="BW32" s="233">
        <f t="shared" si="35"/>
        <v>2514.8395691016362</v>
      </c>
      <c r="BX32" s="233">
        <f t="shared" si="35"/>
        <v>2520.0197268589077</v>
      </c>
      <c r="BY32" s="233">
        <f t="shared" si="35"/>
        <v>2525.2105548930108</v>
      </c>
      <c r="BZ32" s="233">
        <f t="shared" si="35"/>
        <v>2530.4120751829691</v>
      </c>
      <c r="CA32" s="233">
        <f t="shared" si="35"/>
        <v>2535.6243097530787</v>
      </c>
      <c r="CB32" s="233">
        <f t="shared" si="36"/>
        <v>2540.8472806730028</v>
      </c>
      <c r="CC32" s="233">
        <f t="shared" si="36"/>
        <v>2546.0810100578642</v>
      </c>
      <c r="CD32" s="233">
        <f t="shared" si="36"/>
        <v>2551.3255200683393</v>
      </c>
      <c r="CE32" s="233">
        <f t="shared" si="36"/>
        <v>2556.5808329107513</v>
      </c>
      <c r="CF32" s="233">
        <f t="shared" si="36"/>
        <v>2561.8469708371658</v>
      </c>
      <c r="CG32" s="233">
        <f t="shared" si="36"/>
        <v>2567.1239561454831</v>
      </c>
      <c r="CH32" s="233">
        <f t="shared" si="36"/>
        <v>2572.4118111795333</v>
      </c>
      <c r="CI32" s="233">
        <f t="shared" si="36"/>
        <v>2577.7105583291727</v>
      </c>
      <c r="CJ32" s="233">
        <f t="shared" si="36"/>
        <v>2583.0202200303756</v>
      </c>
      <c r="CK32" s="233">
        <f t="shared" si="36"/>
        <v>2588.3408187653313</v>
      </c>
      <c r="CL32" s="233">
        <f t="shared" si="37"/>
        <v>2593.672377062539</v>
      </c>
      <c r="CM32" s="233">
        <f t="shared" si="37"/>
        <v>2599.0149174969015</v>
      </c>
      <c r="CN32" s="233">
        <f t="shared" si="37"/>
        <v>2604.3684626898239</v>
      </c>
      <c r="CO32" s="233">
        <f t="shared" si="37"/>
        <v>2609.7330353093071</v>
      </c>
      <c r="CP32" s="233">
        <f t="shared" si="37"/>
        <v>2615.1086580700439</v>
      </c>
      <c r="CQ32" s="233">
        <f t="shared" si="37"/>
        <v>2620.4953537335164</v>
      </c>
      <c r="CR32" s="233">
        <f t="shared" si="37"/>
        <v>2625.8931451080912</v>
      </c>
      <c r="CS32" s="233">
        <f t="shared" si="37"/>
        <v>2631.302055049116</v>
      </c>
      <c r="CT32" s="233">
        <f t="shared" si="37"/>
        <v>2636.7221064590181</v>
      </c>
      <c r="CU32" s="233">
        <f t="shared" si="37"/>
        <v>2642.1533222873986</v>
      </c>
      <c r="CV32" s="233">
        <f t="shared" si="38"/>
        <v>2647.5957255311318</v>
      </c>
      <c r="CW32" s="233">
        <f t="shared" si="38"/>
        <v>2653.0493392344615</v>
      </c>
      <c r="CX32" s="233">
        <f t="shared" si="38"/>
        <v>2658.5141864890988</v>
      </c>
      <c r="CY32" s="233">
        <f t="shared" si="38"/>
        <v>2663.9902904343207</v>
      </c>
      <c r="CZ32" s="233">
        <f t="shared" si="38"/>
        <v>2669.4776742570662</v>
      </c>
      <c r="DA32" s="233">
        <f t="shared" si="38"/>
        <v>2674.9763611920362</v>
      </c>
      <c r="DB32" s="233">
        <f t="shared" si="38"/>
        <v>2680.4863745217917</v>
      </c>
      <c r="DC32" s="233">
        <f t="shared" si="38"/>
        <v>2686.007737576851</v>
      </c>
      <c r="DD32" s="233">
        <f t="shared" si="38"/>
        <v>2691.5404737357899</v>
      </c>
      <c r="DE32" s="233">
        <f t="shared" si="38"/>
        <v>2697.0846064253406</v>
      </c>
      <c r="DF32" s="233">
        <f t="shared" si="39"/>
        <v>2702.6401591204899</v>
      </c>
      <c r="DG32" s="233">
        <f t="shared" si="39"/>
        <v>2708.2071553445803</v>
      </c>
      <c r="DH32" s="233">
        <f t="shared" si="39"/>
        <v>2713.7856186694066</v>
      </c>
      <c r="DI32" s="233">
        <f t="shared" si="39"/>
        <v>2719.3755727153193</v>
      </c>
      <c r="DJ32" s="233">
        <f t="shared" si="39"/>
        <v>2724.9770411513227</v>
      </c>
      <c r="DK32" s="233">
        <f t="shared" si="39"/>
        <v>2730.5900476951751</v>
      </c>
      <c r="DL32" s="233">
        <f t="shared" si="39"/>
        <v>2736.2146161134892</v>
      </c>
      <c r="DM32" s="233">
        <f t="shared" si="39"/>
        <v>2741.8507702218335</v>
      </c>
      <c r="DN32" s="233">
        <f t="shared" si="39"/>
        <v>2747.4985338848328</v>
      </c>
      <c r="DO32" s="233">
        <f t="shared" si="39"/>
        <v>2753.1579310162683</v>
      </c>
      <c r="DP32" s="233">
        <f t="shared" si="40"/>
        <v>2758.8289855791809</v>
      </c>
      <c r="DQ32" s="233">
        <f t="shared" si="40"/>
        <v>2764.51172158597</v>
      </c>
      <c r="DR32" s="233">
        <f t="shared" si="40"/>
        <v>2770.2061630984986</v>
      </c>
      <c r="DS32" s="233">
        <f t="shared" si="40"/>
        <v>2775.9123342281905</v>
      </c>
      <c r="DT32" s="233">
        <f t="shared" si="40"/>
        <v>2781.6302591361377</v>
      </c>
      <c r="DU32" s="233">
        <f t="shared" si="40"/>
        <v>2787.3599620331984</v>
      </c>
      <c r="DV32" s="233">
        <f t="shared" si="40"/>
        <v>2793.1014671801022</v>
      </c>
      <c r="DW32" s="233">
        <f t="shared" si="40"/>
        <v>2798.8547988875507</v>
      </c>
      <c r="DX32" s="233">
        <f t="shared" si="40"/>
        <v>2804.6199815163222</v>
      </c>
      <c r="DY32" s="233">
        <f t="shared" si="40"/>
        <v>2810.3970394773755</v>
      </c>
      <c r="DZ32" s="233">
        <f t="shared" si="41"/>
        <v>2816.1859972319498</v>
      </c>
      <c r="EA32" s="233">
        <f t="shared" si="41"/>
        <v>2821.9868792916714</v>
      </c>
      <c r="EB32" s="233">
        <f t="shared" si="41"/>
        <v>2827.7997102186569</v>
      </c>
      <c r="EC32" s="233">
        <f t="shared" si="41"/>
        <v>2833.624514625616</v>
      </c>
      <c r="ED32" s="233">
        <f t="shared" si="41"/>
        <v>2839.4613171759574</v>
      </c>
      <c r="EE32" s="233">
        <f t="shared" si="41"/>
        <v>2845.3101425838918</v>
      </c>
      <c r="EF32" s="233">
        <f t="shared" si="41"/>
        <v>2851.1710156145377</v>
      </c>
      <c r="EG32" s="233">
        <f t="shared" si="41"/>
        <v>2857.0439610840253</v>
      </c>
      <c r="EH32" s="233">
        <f t="shared" si="41"/>
        <v>2862.9290038596014</v>
      </c>
      <c r="EI32" s="233">
        <f t="shared" si="41"/>
        <v>2868.8261688597363</v>
      </c>
      <c r="EJ32" s="233">
        <f t="shared" si="41"/>
        <v>2874.7354810542274</v>
      </c>
      <c r="EK32" s="233">
        <f t="shared" si="41"/>
        <v>2880.6569654643067</v>
      </c>
    </row>
    <row r="33" spans="2:141" x14ac:dyDescent="0.45">
      <c r="B33" s="230">
        <f>Assumptions!B70</f>
        <v>25</v>
      </c>
      <c r="C33" s="230" t="str">
        <f>Assumptions!C70</f>
        <v>Fair Market</v>
      </c>
      <c r="D33" s="439">
        <f>Assumptions!D70</f>
        <v>1</v>
      </c>
      <c r="E33" s="22">
        <f>Assumptions!G70</f>
        <v>10</v>
      </c>
      <c r="F33" s="22">
        <f>IF(D33=1,E33+SUM(Assumptions!$G$142:$G$143),'Rent Roll Model'!E33)</f>
        <v>14</v>
      </c>
      <c r="G33" s="233">
        <f>Assumptions!I70</f>
        <v>1522.5</v>
      </c>
      <c r="H33" s="233">
        <f>Assumptions!J70</f>
        <v>2200</v>
      </c>
      <c r="J33" s="233">
        <f t="shared" si="29"/>
        <v>1522.5</v>
      </c>
      <c r="K33" s="233">
        <f t="shared" si="29"/>
        <v>1525.6361007208357</v>
      </c>
      <c r="L33" s="233">
        <f t="shared" si="29"/>
        <v>1528.7786612956818</v>
      </c>
      <c r="M33" s="233">
        <f t="shared" si="29"/>
        <v>1531.9276950307803</v>
      </c>
      <c r="N33" s="233">
        <f t="shared" si="29"/>
        <v>1535.0832152597814</v>
      </c>
      <c r="O33" s="233">
        <f t="shared" si="29"/>
        <v>1538.2452353438</v>
      </c>
      <c r="P33" s="233">
        <f t="shared" si="29"/>
        <v>1541.4137686714739</v>
      </c>
      <c r="Q33" s="233">
        <f t="shared" si="29"/>
        <v>1544.5888286590184</v>
      </c>
      <c r="R33" s="233">
        <f t="shared" si="29"/>
        <v>1547.7704287502843</v>
      </c>
      <c r="S33" s="233">
        <f t="shared" si="29"/>
        <v>0</v>
      </c>
      <c r="T33" s="233">
        <f t="shared" si="30"/>
        <v>0</v>
      </c>
      <c r="U33" s="233">
        <f t="shared" si="30"/>
        <v>0</v>
      </c>
      <c r="V33" s="233">
        <f t="shared" si="30"/>
        <v>0</v>
      </c>
      <c r="W33" s="233">
        <f t="shared" si="30"/>
        <v>2259.6449307884923</v>
      </c>
      <c r="X33" s="233">
        <f t="shared" si="30"/>
        <v>2264.2994293738971</v>
      </c>
      <c r="Y33" s="233">
        <f t="shared" si="30"/>
        <v>2268.9635154643056</v>
      </c>
      <c r="Z33" s="233">
        <f t="shared" si="30"/>
        <v>2273.637208808409</v>
      </c>
      <c r="AA33" s="233">
        <f t="shared" si="30"/>
        <v>2278.3205291955765</v>
      </c>
      <c r="AB33" s="233">
        <f t="shared" si="30"/>
        <v>2283.0134964559406</v>
      </c>
      <c r="AC33" s="233">
        <f t="shared" si="30"/>
        <v>2287.7161304604811</v>
      </c>
      <c r="AD33" s="233">
        <f t="shared" si="31"/>
        <v>2292.4284511211076</v>
      </c>
      <c r="AE33" s="233">
        <f t="shared" si="31"/>
        <v>2297.1504783907467</v>
      </c>
      <c r="AF33" s="233">
        <f t="shared" si="31"/>
        <v>2301.8822322634223</v>
      </c>
      <c r="AG33" s="233">
        <f t="shared" si="31"/>
        <v>2306.6237327743456</v>
      </c>
      <c r="AH33" s="233">
        <f t="shared" si="31"/>
        <v>2311.3749999999941</v>
      </c>
      <c r="AI33" s="233">
        <f t="shared" si="31"/>
        <v>2316.1360540582018</v>
      </c>
      <c r="AJ33" s="233">
        <f t="shared" si="31"/>
        <v>2320.9069151082408</v>
      </c>
      <c r="AK33" s="233">
        <f t="shared" si="31"/>
        <v>2325.6876033509097</v>
      </c>
      <c r="AL33" s="233">
        <f t="shared" si="31"/>
        <v>2330.4781390286153</v>
      </c>
      <c r="AM33" s="233">
        <f t="shared" si="31"/>
        <v>2335.2785424254621</v>
      </c>
      <c r="AN33" s="233">
        <f t="shared" si="32"/>
        <v>2340.0888338673353</v>
      </c>
      <c r="AO33" s="233">
        <f t="shared" si="32"/>
        <v>2344.9090337219891</v>
      </c>
      <c r="AP33" s="233">
        <f t="shared" si="32"/>
        <v>2349.7391623991321</v>
      </c>
      <c r="AQ33" s="233">
        <f t="shared" si="32"/>
        <v>2354.5792403505111</v>
      </c>
      <c r="AR33" s="233">
        <f t="shared" si="32"/>
        <v>2359.4292880700041</v>
      </c>
      <c r="AS33" s="233">
        <f t="shared" si="32"/>
        <v>2364.2893260936999</v>
      </c>
      <c r="AT33" s="233">
        <f t="shared" si="32"/>
        <v>2369.1593749999902</v>
      </c>
      <c r="AU33" s="233">
        <f t="shared" si="32"/>
        <v>2374.0394554096529</v>
      </c>
      <c r="AV33" s="233">
        <f t="shared" si="32"/>
        <v>2378.9295879859433</v>
      </c>
      <c r="AW33" s="233">
        <f t="shared" si="32"/>
        <v>2383.8297934346788</v>
      </c>
      <c r="AX33" s="233">
        <f t="shared" si="33"/>
        <v>2388.7400925043271</v>
      </c>
      <c r="AY33" s="233">
        <f t="shared" si="33"/>
        <v>2393.6605059860949</v>
      </c>
      <c r="AZ33" s="233">
        <f t="shared" si="33"/>
        <v>2398.5910547140156</v>
      </c>
      <c r="BA33" s="233">
        <f t="shared" si="33"/>
        <v>2403.5317595650358</v>
      </c>
      <c r="BB33" s="233">
        <f t="shared" si="33"/>
        <v>2408.4826414591071</v>
      </c>
      <c r="BC33" s="233">
        <f t="shared" si="33"/>
        <v>2413.4437213592714</v>
      </c>
      <c r="BD33" s="233">
        <f t="shared" si="33"/>
        <v>2418.4150202717515</v>
      </c>
      <c r="BE33" s="233">
        <f t="shared" si="33"/>
        <v>2423.3965592460399</v>
      </c>
      <c r="BF33" s="233">
        <f t="shared" si="33"/>
        <v>2428.388359374987</v>
      </c>
      <c r="BG33" s="233">
        <f t="shared" si="33"/>
        <v>2433.3904417948911</v>
      </c>
      <c r="BH33" s="233">
        <f t="shared" si="34"/>
        <v>2438.4028276855893</v>
      </c>
      <c r="BI33" s="233">
        <f t="shared" si="34"/>
        <v>2443.4255382705433</v>
      </c>
      <c r="BJ33" s="233">
        <f t="shared" si="34"/>
        <v>2448.4585948169329</v>
      </c>
      <c r="BK33" s="233">
        <f t="shared" si="34"/>
        <v>2453.5020186357451</v>
      </c>
      <c r="BL33" s="233">
        <f t="shared" si="34"/>
        <v>2458.5558310818633</v>
      </c>
      <c r="BM33" s="233">
        <f t="shared" si="34"/>
        <v>2463.6200535541593</v>
      </c>
      <c r="BN33" s="233">
        <f t="shared" si="34"/>
        <v>2468.694707495582</v>
      </c>
      <c r="BO33" s="233">
        <f t="shared" si="34"/>
        <v>2473.7798143932505</v>
      </c>
      <c r="BP33" s="233">
        <f t="shared" si="34"/>
        <v>2478.8753957785425</v>
      </c>
      <c r="BQ33" s="233">
        <f t="shared" si="34"/>
        <v>2483.9814732271884</v>
      </c>
      <c r="BR33" s="233">
        <f t="shared" si="35"/>
        <v>2489.0980683593589</v>
      </c>
      <c r="BS33" s="233">
        <f t="shared" si="35"/>
        <v>2494.2252028397611</v>
      </c>
      <c r="BT33" s="233">
        <f t="shared" si="35"/>
        <v>2499.3628983777267</v>
      </c>
      <c r="BU33" s="233">
        <f t="shared" si="35"/>
        <v>2504.5111767273042</v>
      </c>
      <c r="BV33" s="233">
        <f t="shared" si="35"/>
        <v>2509.6700596873538</v>
      </c>
      <c r="BW33" s="233">
        <f t="shared" si="35"/>
        <v>2514.8395691016362</v>
      </c>
      <c r="BX33" s="233">
        <f t="shared" si="35"/>
        <v>2520.0197268589077</v>
      </c>
      <c r="BY33" s="233">
        <f t="shared" si="35"/>
        <v>2525.2105548930108</v>
      </c>
      <c r="BZ33" s="233">
        <f t="shared" si="35"/>
        <v>2530.4120751829691</v>
      </c>
      <c r="CA33" s="233">
        <f t="shared" si="35"/>
        <v>2535.6243097530787</v>
      </c>
      <c r="CB33" s="233">
        <f t="shared" si="36"/>
        <v>2540.8472806730028</v>
      </c>
      <c r="CC33" s="233">
        <f t="shared" si="36"/>
        <v>2546.0810100578642</v>
      </c>
      <c r="CD33" s="233">
        <f t="shared" si="36"/>
        <v>2551.3255200683393</v>
      </c>
      <c r="CE33" s="233">
        <f t="shared" si="36"/>
        <v>2556.5808329107513</v>
      </c>
      <c r="CF33" s="233">
        <f t="shared" si="36"/>
        <v>2561.8469708371658</v>
      </c>
      <c r="CG33" s="233">
        <f t="shared" si="36"/>
        <v>2567.1239561454831</v>
      </c>
      <c r="CH33" s="233">
        <f t="shared" si="36"/>
        <v>2572.4118111795333</v>
      </c>
      <c r="CI33" s="233">
        <f t="shared" si="36"/>
        <v>2577.7105583291727</v>
      </c>
      <c r="CJ33" s="233">
        <f t="shared" si="36"/>
        <v>2583.0202200303756</v>
      </c>
      <c r="CK33" s="233">
        <f t="shared" si="36"/>
        <v>2588.3408187653313</v>
      </c>
      <c r="CL33" s="233">
        <f t="shared" si="37"/>
        <v>2593.672377062539</v>
      </c>
      <c r="CM33" s="233">
        <f t="shared" si="37"/>
        <v>2599.0149174969015</v>
      </c>
      <c r="CN33" s="233">
        <f t="shared" si="37"/>
        <v>2604.3684626898239</v>
      </c>
      <c r="CO33" s="233">
        <f t="shared" si="37"/>
        <v>2609.7330353093071</v>
      </c>
      <c r="CP33" s="233">
        <f t="shared" si="37"/>
        <v>2615.1086580700439</v>
      </c>
      <c r="CQ33" s="233">
        <f t="shared" si="37"/>
        <v>2620.4953537335164</v>
      </c>
      <c r="CR33" s="233">
        <f t="shared" si="37"/>
        <v>2625.8931451080912</v>
      </c>
      <c r="CS33" s="233">
        <f t="shared" si="37"/>
        <v>2631.302055049116</v>
      </c>
      <c r="CT33" s="233">
        <f t="shared" si="37"/>
        <v>2636.7221064590181</v>
      </c>
      <c r="CU33" s="233">
        <f t="shared" si="37"/>
        <v>2642.1533222873986</v>
      </c>
      <c r="CV33" s="233">
        <f t="shared" si="38"/>
        <v>2647.5957255311318</v>
      </c>
      <c r="CW33" s="233">
        <f t="shared" si="38"/>
        <v>2653.0493392344615</v>
      </c>
      <c r="CX33" s="233">
        <f t="shared" si="38"/>
        <v>2658.5141864890988</v>
      </c>
      <c r="CY33" s="233">
        <f t="shared" si="38"/>
        <v>2663.9902904343207</v>
      </c>
      <c r="CZ33" s="233">
        <f t="shared" si="38"/>
        <v>2669.4776742570662</v>
      </c>
      <c r="DA33" s="233">
        <f t="shared" si="38"/>
        <v>2674.9763611920362</v>
      </c>
      <c r="DB33" s="233">
        <f t="shared" si="38"/>
        <v>2680.4863745217917</v>
      </c>
      <c r="DC33" s="233">
        <f t="shared" si="38"/>
        <v>2686.007737576851</v>
      </c>
      <c r="DD33" s="233">
        <f t="shared" si="38"/>
        <v>2691.5404737357899</v>
      </c>
      <c r="DE33" s="233">
        <f t="shared" si="38"/>
        <v>2697.0846064253406</v>
      </c>
      <c r="DF33" s="233">
        <f t="shared" si="39"/>
        <v>2702.6401591204899</v>
      </c>
      <c r="DG33" s="233">
        <f t="shared" si="39"/>
        <v>2708.2071553445803</v>
      </c>
      <c r="DH33" s="233">
        <f t="shared" si="39"/>
        <v>2713.7856186694066</v>
      </c>
      <c r="DI33" s="233">
        <f t="shared" si="39"/>
        <v>2719.3755727153193</v>
      </c>
      <c r="DJ33" s="233">
        <f t="shared" si="39"/>
        <v>2724.9770411513227</v>
      </c>
      <c r="DK33" s="233">
        <f t="shared" si="39"/>
        <v>2730.5900476951751</v>
      </c>
      <c r="DL33" s="233">
        <f t="shared" si="39"/>
        <v>2736.2146161134892</v>
      </c>
      <c r="DM33" s="233">
        <f t="shared" si="39"/>
        <v>2741.8507702218335</v>
      </c>
      <c r="DN33" s="233">
        <f t="shared" si="39"/>
        <v>2747.4985338848328</v>
      </c>
      <c r="DO33" s="233">
        <f t="shared" si="39"/>
        <v>2753.1579310162683</v>
      </c>
      <c r="DP33" s="233">
        <f t="shared" si="40"/>
        <v>2758.8289855791809</v>
      </c>
      <c r="DQ33" s="233">
        <f t="shared" si="40"/>
        <v>2764.51172158597</v>
      </c>
      <c r="DR33" s="233">
        <f t="shared" si="40"/>
        <v>2770.2061630984986</v>
      </c>
      <c r="DS33" s="233">
        <f t="shared" si="40"/>
        <v>2775.9123342281905</v>
      </c>
      <c r="DT33" s="233">
        <f t="shared" si="40"/>
        <v>2781.6302591361377</v>
      </c>
      <c r="DU33" s="233">
        <f t="shared" si="40"/>
        <v>2787.3599620331984</v>
      </c>
      <c r="DV33" s="233">
        <f t="shared" si="40"/>
        <v>2793.1014671801022</v>
      </c>
      <c r="DW33" s="233">
        <f t="shared" si="40"/>
        <v>2798.8547988875507</v>
      </c>
      <c r="DX33" s="233">
        <f t="shared" si="40"/>
        <v>2804.6199815163222</v>
      </c>
      <c r="DY33" s="233">
        <f t="shared" si="40"/>
        <v>2810.3970394773755</v>
      </c>
      <c r="DZ33" s="233">
        <f t="shared" si="41"/>
        <v>2816.1859972319498</v>
      </c>
      <c r="EA33" s="233">
        <f t="shared" si="41"/>
        <v>2821.9868792916714</v>
      </c>
      <c r="EB33" s="233">
        <f t="shared" si="41"/>
        <v>2827.7997102186569</v>
      </c>
      <c r="EC33" s="233">
        <f t="shared" si="41"/>
        <v>2833.624514625616</v>
      </c>
      <c r="ED33" s="233">
        <f t="shared" si="41"/>
        <v>2839.4613171759574</v>
      </c>
      <c r="EE33" s="233">
        <f t="shared" si="41"/>
        <v>2845.3101425838918</v>
      </c>
      <c r="EF33" s="233">
        <f t="shared" si="41"/>
        <v>2851.1710156145377</v>
      </c>
      <c r="EG33" s="233">
        <f t="shared" si="41"/>
        <v>2857.0439610840253</v>
      </c>
      <c r="EH33" s="233">
        <f t="shared" si="41"/>
        <v>2862.9290038596014</v>
      </c>
      <c r="EI33" s="233">
        <f t="shared" si="41"/>
        <v>2868.8261688597363</v>
      </c>
      <c r="EJ33" s="233">
        <f t="shared" si="41"/>
        <v>2874.7354810542274</v>
      </c>
      <c r="EK33" s="233">
        <f t="shared" si="41"/>
        <v>2880.6569654643067</v>
      </c>
    </row>
    <row r="34" spans="2:141" x14ac:dyDescent="0.45">
      <c r="B34" s="230">
        <f>Assumptions!B71</f>
        <v>26</v>
      </c>
      <c r="C34" s="230" t="str">
        <f>Assumptions!C71</f>
        <v>Fair Market</v>
      </c>
      <c r="D34" s="439">
        <f>Assumptions!D71</f>
        <v>1</v>
      </c>
      <c r="E34" s="22">
        <f>Assumptions!G71</f>
        <v>10</v>
      </c>
      <c r="F34" s="22">
        <f>IF(D34=1,E34+SUM(Assumptions!$G$142:$G$143),'Rent Roll Model'!E34)</f>
        <v>14</v>
      </c>
      <c r="G34" s="233">
        <f>Assumptions!I71</f>
        <v>1444.72</v>
      </c>
      <c r="H34" s="233">
        <f>Assumptions!J71</f>
        <v>2200</v>
      </c>
      <c r="J34" s="233">
        <f t="shared" si="29"/>
        <v>1444.72</v>
      </c>
      <c r="K34" s="233">
        <f t="shared" si="29"/>
        <v>1447.6958866557673</v>
      </c>
      <c r="L34" s="233">
        <f t="shared" si="29"/>
        <v>1450.6779031508029</v>
      </c>
      <c r="M34" s="233">
        <f t="shared" si="29"/>
        <v>1453.6660621115723</v>
      </c>
      <c r="N34" s="233">
        <f t="shared" si="29"/>
        <v>1456.6603761905492</v>
      </c>
      <c r="O34" s="233">
        <f t="shared" si="29"/>
        <v>1459.6608580662692</v>
      </c>
      <c r="P34" s="233">
        <f t="shared" si="29"/>
        <v>1462.6675204433839</v>
      </c>
      <c r="Q34" s="233">
        <f t="shared" si="29"/>
        <v>1465.6803760527141</v>
      </c>
      <c r="R34" s="233">
        <f t="shared" si="29"/>
        <v>1468.6994376513044</v>
      </c>
      <c r="S34" s="233">
        <f t="shared" si="29"/>
        <v>0</v>
      </c>
      <c r="T34" s="233">
        <f t="shared" si="30"/>
        <v>0</v>
      </c>
      <c r="U34" s="233">
        <f t="shared" si="30"/>
        <v>0</v>
      </c>
      <c r="V34" s="233">
        <f t="shared" si="30"/>
        <v>0</v>
      </c>
      <c r="W34" s="233">
        <f t="shared" si="30"/>
        <v>2259.6449307884923</v>
      </c>
      <c r="X34" s="233">
        <f t="shared" si="30"/>
        <v>2264.2994293738971</v>
      </c>
      <c r="Y34" s="233">
        <f t="shared" si="30"/>
        <v>2268.9635154643056</v>
      </c>
      <c r="Z34" s="233">
        <f t="shared" si="30"/>
        <v>2273.637208808409</v>
      </c>
      <c r="AA34" s="233">
        <f t="shared" si="30"/>
        <v>2278.3205291955765</v>
      </c>
      <c r="AB34" s="233">
        <f t="shared" si="30"/>
        <v>2283.0134964559406</v>
      </c>
      <c r="AC34" s="233">
        <f t="shared" si="30"/>
        <v>2287.7161304604811</v>
      </c>
      <c r="AD34" s="233">
        <f t="shared" si="31"/>
        <v>2292.4284511211076</v>
      </c>
      <c r="AE34" s="233">
        <f t="shared" si="31"/>
        <v>2297.1504783907467</v>
      </c>
      <c r="AF34" s="233">
        <f t="shared" si="31"/>
        <v>2301.8822322634223</v>
      </c>
      <c r="AG34" s="233">
        <f t="shared" si="31"/>
        <v>2306.6237327743456</v>
      </c>
      <c r="AH34" s="233">
        <f t="shared" si="31"/>
        <v>2311.3749999999941</v>
      </c>
      <c r="AI34" s="233">
        <f t="shared" si="31"/>
        <v>2316.1360540582018</v>
      </c>
      <c r="AJ34" s="233">
        <f t="shared" si="31"/>
        <v>2320.9069151082408</v>
      </c>
      <c r="AK34" s="233">
        <f t="shared" si="31"/>
        <v>2325.6876033509097</v>
      </c>
      <c r="AL34" s="233">
        <f t="shared" si="31"/>
        <v>2330.4781390286153</v>
      </c>
      <c r="AM34" s="233">
        <f t="shared" si="31"/>
        <v>2335.2785424254621</v>
      </c>
      <c r="AN34" s="233">
        <f t="shared" si="32"/>
        <v>2340.0888338673353</v>
      </c>
      <c r="AO34" s="233">
        <f t="shared" si="32"/>
        <v>2344.9090337219891</v>
      </c>
      <c r="AP34" s="233">
        <f t="shared" si="32"/>
        <v>2349.7391623991321</v>
      </c>
      <c r="AQ34" s="233">
        <f t="shared" si="32"/>
        <v>2354.5792403505111</v>
      </c>
      <c r="AR34" s="233">
        <f t="shared" si="32"/>
        <v>2359.4292880700041</v>
      </c>
      <c r="AS34" s="233">
        <f t="shared" si="32"/>
        <v>2364.2893260936999</v>
      </c>
      <c r="AT34" s="233">
        <f t="shared" si="32"/>
        <v>2369.1593749999902</v>
      </c>
      <c r="AU34" s="233">
        <f t="shared" si="32"/>
        <v>2374.0394554096529</v>
      </c>
      <c r="AV34" s="233">
        <f t="shared" si="32"/>
        <v>2378.9295879859433</v>
      </c>
      <c r="AW34" s="233">
        <f t="shared" si="32"/>
        <v>2383.8297934346788</v>
      </c>
      <c r="AX34" s="233">
        <f t="shared" si="33"/>
        <v>2388.7400925043271</v>
      </c>
      <c r="AY34" s="233">
        <f t="shared" si="33"/>
        <v>2393.6605059860949</v>
      </c>
      <c r="AZ34" s="233">
        <f t="shared" si="33"/>
        <v>2398.5910547140156</v>
      </c>
      <c r="BA34" s="233">
        <f t="shared" si="33"/>
        <v>2403.5317595650358</v>
      </c>
      <c r="BB34" s="233">
        <f t="shared" si="33"/>
        <v>2408.4826414591071</v>
      </c>
      <c r="BC34" s="233">
        <f t="shared" si="33"/>
        <v>2413.4437213592714</v>
      </c>
      <c r="BD34" s="233">
        <f t="shared" si="33"/>
        <v>2418.4150202717515</v>
      </c>
      <c r="BE34" s="233">
        <f t="shared" si="33"/>
        <v>2423.3965592460399</v>
      </c>
      <c r="BF34" s="233">
        <f t="shared" si="33"/>
        <v>2428.388359374987</v>
      </c>
      <c r="BG34" s="233">
        <f t="shared" si="33"/>
        <v>2433.3904417948911</v>
      </c>
      <c r="BH34" s="233">
        <f t="shared" si="34"/>
        <v>2438.4028276855893</v>
      </c>
      <c r="BI34" s="233">
        <f t="shared" si="34"/>
        <v>2443.4255382705433</v>
      </c>
      <c r="BJ34" s="233">
        <f t="shared" si="34"/>
        <v>2448.4585948169329</v>
      </c>
      <c r="BK34" s="233">
        <f t="shared" si="34"/>
        <v>2453.5020186357451</v>
      </c>
      <c r="BL34" s="233">
        <f t="shared" si="34"/>
        <v>2458.5558310818633</v>
      </c>
      <c r="BM34" s="233">
        <f t="shared" si="34"/>
        <v>2463.6200535541593</v>
      </c>
      <c r="BN34" s="233">
        <f t="shared" si="34"/>
        <v>2468.694707495582</v>
      </c>
      <c r="BO34" s="233">
        <f t="shared" si="34"/>
        <v>2473.7798143932505</v>
      </c>
      <c r="BP34" s="233">
        <f t="shared" si="34"/>
        <v>2478.8753957785425</v>
      </c>
      <c r="BQ34" s="233">
        <f t="shared" si="34"/>
        <v>2483.9814732271884</v>
      </c>
      <c r="BR34" s="233">
        <f t="shared" si="35"/>
        <v>2489.0980683593589</v>
      </c>
      <c r="BS34" s="233">
        <f t="shared" si="35"/>
        <v>2494.2252028397611</v>
      </c>
      <c r="BT34" s="233">
        <f t="shared" si="35"/>
        <v>2499.3628983777267</v>
      </c>
      <c r="BU34" s="233">
        <f t="shared" si="35"/>
        <v>2504.5111767273042</v>
      </c>
      <c r="BV34" s="233">
        <f t="shared" si="35"/>
        <v>2509.6700596873538</v>
      </c>
      <c r="BW34" s="233">
        <f t="shared" si="35"/>
        <v>2514.8395691016362</v>
      </c>
      <c r="BX34" s="233">
        <f t="shared" si="35"/>
        <v>2520.0197268589077</v>
      </c>
      <c r="BY34" s="233">
        <f t="shared" si="35"/>
        <v>2525.2105548930108</v>
      </c>
      <c r="BZ34" s="233">
        <f t="shared" si="35"/>
        <v>2530.4120751829691</v>
      </c>
      <c r="CA34" s="233">
        <f t="shared" si="35"/>
        <v>2535.6243097530787</v>
      </c>
      <c r="CB34" s="233">
        <f t="shared" si="36"/>
        <v>2540.8472806730028</v>
      </c>
      <c r="CC34" s="233">
        <f t="shared" si="36"/>
        <v>2546.0810100578642</v>
      </c>
      <c r="CD34" s="233">
        <f t="shared" si="36"/>
        <v>2551.3255200683393</v>
      </c>
      <c r="CE34" s="233">
        <f t="shared" si="36"/>
        <v>2556.5808329107513</v>
      </c>
      <c r="CF34" s="233">
        <f t="shared" si="36"/>
        <v>2561.8469708371658</v>
      </c>
      <c r="CG34" s="233">
        <f t="shared" si="36"/>
        <v>2567.1239561454831</v>
      </c>
      <c r="CH34" s="233">
        <f t="shared" si="36"/>
        <v>2572.4118111795333</v>
      </c>
      <c r="CI34" s="233">
        <f t="shared" si="36"/>
        <v>2577.7105583291727</v>
      </c>
      <c r="CJ34" s="233">
        <f t="shared" si="36"/>
        <v>2583.0202200303756</v>
      </c>
      <c r="CK34" s="233">
        <f t="shared" si="36"/>
        <v>2588.3408187653313</v>
      </c>
      <c r="CL34" s="233">
        <f t="shared" si="37"/>
        <v>2593.672377062539</v>
      </c>
      <c r="CM34" s="233">
        <f t="shared" si="37"/>
        <v>2599.0149174969015</v>
      </c>
      <c r="CN34" s="233">
        <f t="shared" si="37"/>
        <v>2604.3684626898239</v>
      </c>
      <c r="CO34" s="233">
        <f t="shared" si="37"/>
        <v>2609.7330353093071</v>
      </c>
      <c r="CP34" s="233">
        <f t="shared" si="37"/>
        <v>2615.1086580700439</v>
      </c>
      <c r="CQ34" s="233">
        <f t="shared" si="37"/>
        <v>2620.4953537335164</v>
      </c>
      <c r="CR34" s="233">
        <f t="shared" si="37"/>
        <v>2625.8931451080912</v>
      </c>
      <c r="CS34" s="233">
        <f t="shared" si="37"/>
        <v>2631.302055049116</v>
      </c>
      <c r="CT34" s="233">
        <f t="shared" si="37"/>
        <v>2636.7221064590181</v>
      </c>
      <c r="CU34" s="233">
        <f t="shared" si="37"/>
        <v>2642.1533222873986</v>
      </c>
      <c r="CV34" s="233">
        <f t="shared" si="38"/>
        <v>2647.5957255311318</v>
      </c>
      <c r="CW34" s="233">
        <f t="shared" si="38"/>
        <v>2653.0493392344615</v>
      </c>
      <c r="CX34" s="233">
        <f t="shared" si="38"/>
        <v>2658.5141864890988</v>
      </c>
      <c r="CY34" s="233">
        <f t="shared" si="38"/>
        <v>2663.9902904343207</v>
      </c>
      <c r="CZ34" s="233">
        <f t="shared" si="38"/>
        <v>2669.4776742570662</v>
      </c>
      <c r="DA34" s="233">
        <f t="shared" si="38"/>
        <v>2674.9763611920362</v>
      </c>
      <c r="DB34" s="233">
        <f t="shared" si="38"/>
        <v>2680.4863745217917</v>
      </c>
      <c r="DC34" s="233">
        <f t="shared" si="38"/>
        <v>2686.007737576851</v>
      </c>
      <c r="DD34" s="233">
        <f t="shared" si="38"/>
        <v>2691.5404737357899</v>
      </c>
      <c r="DE34" s="233">
        <f t="shared" si="38"/>
        <v>2697.0846064253406</v>
      </c>
      <c r="DF34" s="233">
        <f t="shared" si="39"/>
        <v>2702.6401591204899</v>
      </c>
      <c r="DG34" s="233">
        <f t="shared" si="39"/>
        <v>2708.2071553445803</v>
      </c>
      <c r="DH34" s="233">
        <f t="shared" si="39"/>
        <v>2713.7856186694066</v>
      </c>
      <c r="DI34" s="233">
        <f t="shared" si="39"/>
        <v>2719.3755727153193</v>
      </c>
      <c r="DJ34" s="233">
        <f t="shared" si="39"/>
        <v>2724.9770411513227</v>
      </c>
      <c r="DK34" s="233">
        <f t="shared" si="39"/>
        <v>2730.5900476951751</v>
      </c>
      <c r="DL34" s="233">
        <f t="shared" si="39"/>
        <v>2736.2146161134892</v>
      </c>
      <c r="DM34" s="233">
        <f t="shared" si="39"/>
        <v>2741.8507702218335</v>
      </c>
      <c r="DN34" s="233">
        <f t="shared" si="39"/>
        <v>2747.4985338848328</v>
      </c>
      <c r="DO34" s="233">
        <f t="shared" si="39"/>
        <v>2753.1579310162683</v>
      </c>
      <c r="DP34" s="233">
        <f t="shared" si="40"/>
        <v>2758.8289855791809</v>
      </c>
      <c r="DQ34" s="233">
        <f t="shared" si="40"/>
        <v>2764.51172158597</v>
      </c>
      <c r="DR34" s="233">
        <f t="shared" si="40"/>
        <v>2770.2061630984986</v>
      </c>
      <c r="DS34" s="233">
        <f t="shared" si="40"/>
        <v>2775.9123342281905</v>
      </c>
      <c r="DT34" s="233">
        <f t="shared" si="40"/>
        <v>2781.6302591361377</v>
      </c>
      <c r="DU34" s="233">
        <f t="shared" si="40"/>
        <v>2787.3599620331984</v>
      </c>
      <c r="DV34" s="233">
        <f t="shared" si="40"/>
        <v>2793.1014671801022</v>
      </c>
      <c r="DW34" s="233">
        <f t="shared" si="40"/>
        <v>2798.8547988875507</v>
      </c>
      <c r="DX34" s="233">
        <f t="shared" si="40"/>
        <v>2804.6199815163222</v>
      </c>
      <c r="DY34" s="233">
        <f t="shared" si="40"/>
        <v>2810.3970394773755</v>
      </c>
      <c r="DZ34" s="233">
        <f t="shared" si="41"/>
        <v>2816.1859972319498</v>
      </c>
      <c r="EA34" s="233">
        <f t="shared" si="41"/>
        <v>2821.9868792916714</v>
      </c>
      <c r="EB34" s="233">
        <f t="shared" si="41"/>
        <v>2827.7997102186569</v>
      </c>
      <c r="EC34" s="233">
        <f t="shared" si="41"/>
        <v>2833.624514625616</v>
      </c>
      <c r="ED34" s="233">
        <f t="shared" si="41"/>
        <v>2839.4613171759574</v>
      </c>
      <c r="EE34" s="233">
        <f t="shared" si="41"/>
        <v>2845.3101425838918</v>
      </c>
      <c r="EF34" s="233">
        <f t="shared" si="41"/>
        <v>2851.1710156145377</v>
      </c>
      <c r="EG34" s="233">
        <f t="shared" si="41"/>
        <v>2857.0439610840253</v>
      </c>
      <c r="EH34" s="233">
        <f t="shared" si="41"/>
        <v>2862.9290038596014</v>
      </c>
      <c r="EI34" s="233">
        <f t="shared" si="41"/>
        <v>2868.8261688597363</v>
      </c>
      <c r="EJ34" s="233">
        <f t="shared" si="41"/>
        <v>2874.7354810542274</v>
      </c>
      <c r="EK34" s="233">
        <f t="shared" si="41"/>
        <v>2880.6569654643067</v>
      </c>
    </row>
    <row r="35" spans="2:141" x14ac:dyDescent="0.45">
      <c r="B35" s="230">
        <f>Assumptions!B72</f>
        <v>27</v>
      </c>
      <c r="C35" s="230" t="str">
        <f>Assumptions!C72</f>
        <v>Fair Market</v>
      </c>
      <c r="D35" s="439">
        <f>Assumptions!D72</f>
        <v>1</v>
      </c>
      <c r="E35" s="22">
        <f>Assumptions!G72</f>
        <v>10</v>
      </c>
      <c r="F35" s="22">
        <f>IF(D35=1,E35+SUM(Assumptions!$G$142:$G$143),'Rent Roll Model'!E35)</f>
        <v>14</v>
      </c>
      <c r="G35" s="233">
        <f>Assumptions!I72</f>
        <v>1785</v>
      </c>
      <c r="H35" s="233">
        <f>Assumptions!J72</f>
        <v>2200</v>
      </c>
      <c r="J35" s="233">
        <f t="shared" si="29"/>
        <v>1785</v>
      </c>
      <c r="K35" s="233">
        <f t="shared" si="29"/>
        <v>1788.6768077416693</v>
      </c>
      <c r="L35" s="233">
        <f t="shared" si="29"/>
        <v>1792.3611891052822</v>
      </c>
      <c r="M35" s="233">
        <f t="shared" si="29"/>
        <v>1796.0531596912597</v>
      </c>
      <c r="N35" s="233">
        <f t="shared" si="29"/>
        <v>1799.7527351321573</v>
      </c>
      <c r="O35" s="233">
        <f t="shared" si="29"/>
        <v>1803.4599310927313</v>
      </c>
      <c r="P35" s="233">
        <f t="shared" si="29"/>
        <v>1807.174763270004</v>
      </c>
      <c r="Q35" s="233">
        <f t="shared" si="29"/>
        <v>1810.897247393332</v>
      </c>
      <c r="R35" s="233">
        <f t="shared" si="29"/>
        <v>1814.6273992244712</v>
      </c>
      <c r="S35" s="233">
        <f t="shared" si="29"/>
        <v>0</v>
      </c>
      <c r="T35" s="233">
        <f t="shared" si="30"/>
        <v>0</v>
      </c>
      <c r="U35" s="233">
        <f t="shared" si="30"/>
        <v>0</v>
      </c>
      <c r="V35" s="233">
        <f t="shared" si="30"/>
        <v>0</v>
      </c>
      <c r="W35" s="233">
        <f t="shared" si="30"/>
        <v>2259.6449307884923</v>
      </c>
      <c r="X35" s="233">
        <f t="shared" si="30"/>
        <v>2264.2994293738971</v>
      </c>
      <c r="Y35" s="233">
        <f t="shared" si="30"/>
        <v>2268.9635154643056</v>
      </c>
      <c r="Z35" s="233">
        <f t="shared" si="30"/>
        <v>2273.637208808409</v>
      </c>
      <c r="AA35" s="233">
        <f t="shared" si="30"/>
        <v>2278.3205291955765</v>
      </c>
      <c r="AB35" s="233">
        <f t="shared" si="30"/>
        <v>2283.0134964559406</v>
      </c>
      <c r="AC35" s="233">
        <f t="shared" si="30"/>
        <v>2287.7161304604811</v>
      </c>
      <c r="AD35" s="233">
        <f t="shared" si="31"/>
        <v>2292.4284511211076</v>
      </c>
      <c r="AE35" s="233">
        <f t="shared" si="31"/>
        <v>2297.1504783907467</v>
      </c>
      <c r="AF35" s="233">
        <f t="shared" si="31"/>
        <v>2301.8822322634223</v>
      </c>
      <c r="AG35" s="233">
        <f t="shared" si="31"/>
        <v>2306.6237327743456</v>
      </c>
      <c r="AH35" s="233">
        <f t="shared" si="31"/>
        <v>2311.3749999999941</v>
      </c>
      <c r="AI35" s="233">
        <f t="shared" si="31"/>
        <v>2316.1360540582018</v>
      </c>
      <c r="AJ35" s="233">
        <f t="shared" si="31"/>
        <v>2320.9069151082408</v>
      </c>
      <c r="AK35" s="233">
        <f t="shared" si="31"/>
        <v>2325.6876033509097</v>
      </c>
      <c r="AL35" s="233">
        <f t="shared" si="31"/>
        <v>2330.4781390286153</v>
      </c>
      <c r="AM35" s="233">
        <f t="shared" si="31"/>
        <v>2335.2785424254621</v>
      </c>
      <c r="AN35" s="233">
        <f t="shared" si="32"/>
        <v>2340.0888338673353</v>
      </c>
      <c r="AO35" s="233">
        <f t="shared" si="32"/>
        <v>2344.9090337219891</v>
      </c>
      <c r="AP35" s="233">
        <f t="shared" si="32"/>
        <v>2349.7391623991321</v>
      </c>
      <c r="AQ35" s="233">
        <f t="shared" si="32"/>
        <v>2354.5792403505111</v>
      </c>
      <c r="AR35" s="233">
        <f t="shared" si="32"/>
        <v>2359.4292880700041</v>
      </c>
      <c r="AS35" s="233">
        <f t="shared" si="32"/>
        <v>2364.2893260936999</v>
      </c>
      <c r="AT35" s="233">
        <f t="shared" si="32"/>
        <v>2369.1593749999902</v>
      </c>
      <c r="AU35" s="233">
        <f t="shared" si="32"/>
        <v>2374.0394554096529</v>
      </c>
      <c r="AV35" s="233">
        <f t="shared" si="32"/>
        <v>2378.9295879859433</v>
      </c>
      <c r="AW35" s="233">
        <f t="shared" si="32"/>
        <v>2383.8297934346788</v>
      </c>
      <c r="AX35" s="233">
        <f t="shared" si="33"/>
        <v>2388.7400925043271</v>
      </c>
      <c r="AY35" s="233">
        <f t="shared" si="33"/>
        <v>2393.6605059860949</v>
      </c>
      <c r="AZ35" s="233">
        <f t="shared" si="33"/>
        <v>2398.5910547140156</v>
      </c>
      <c r="BA35" s="233">
        <f t="shared" si="33"/>
        <v>2403.5317595650358</v>
      </c>
      <c r="BB35" s="233">
        <f t="shared" si="33"/>
        <v>2408.4826414591071</v>
      </c>
      <c r="BC35" s="233">
        <f t="shared" si="33"/>
        <v>2413.4437213592714</v>
      </c>
      <c r="BD35" s="233">
        <f t="shared" si="33"/>
        <v>2418.4150202717515</v>
      </c>
      <c r="BE35" s="233">
        <f t="shared" si="33"/>
        <v>2423.3965592460399</v>
      </c>
      <c r="BF35" s="233">
        <f t="shared" si="33"/>
        <v>2428.388359374987</v>
      </c>
      <c r="BG35" s="233">
        <f t="shared" si="33"/>
        <v>2433.3904417948911</v>
      </c>
      <c r="BH35" s="233">
        <f t="shared" si="34"/>
        <v>2438.4028276855893</v>
      </c>
      <c r="BI35" s="233">
        <f t="shared" si="34"/>
        <v>2443.4255382705433</v>
      </c>
      <c r="BJ35" s="233">
        <f t="shared" si="34"/>
        <v>2448.4585948169329</v>
      </c>
      <c r="BK35" s="233">
        <f t="shared" si="34"/>
        <v>2453.5020186357451</v>
      </c>
      <c r="BL35" s="233">
        <f t="shared" si="34"/>
        <v>2458.5558310818633</v>
      </c>
      <c r="BM35" s="233">
        <f t="shared" si="34"/>
        <v>2463.6200535541593</v>
      </c>
      <c r="BN35" s="233">
        <f t="shared" si="34"/>
        <v>2468.694707495582</v>
      </c>
      <c r="BO35" s="233">
        <f t="shared" si="34"/>
        <v>2473.7798143932505</v>
      </c>
      <c r="BP35" s="233">
        <f t="shared" si="34"/>
        <v>2478.8753957785425</v>
      </c>
      <c r="BQ35" s="233">
        <f t="shared" si="34"/>
        <v>2483.9814732271884</v>
      </c>
      <c r="BR35" s="233">
        <f t="shared" si="35"/>
        <v>2489.0980683593589</v>
      </c>
      <c r="BS35" s="233">
        <f t="shared" si="35"/>
        <v>2494.2252028397611</v>
      </c>
      <c r="BT35" s="233">
        <f t="shared" si="35"/>
        <v>2499.3628983777267</v>
      </c>
      <c r="BU35" s="233">
        <f t="shared" si="35"/>
        <v>2504.5111767273042</v>
      </c>
      <c r="BV35" s="233">
        <f t="shared" si="35"/>
        <v>2509.6700596873538</v>
      </c>
      <c r="BW35" s="233">
        <f t="shared" si="35"/>
        <v>2514.8395691016362</v>
      </c>
      <c r="BX35" s="233">
        <f t="shared" si="35"/>
        <v>2520.0197268589077</v>
      </c>
      <c r="BY35" s="233">
        <f t="shared" si="35"/>
        <v>2525.2105548930108</v>
      </c>
      <c r="BZ35" s="233">
        <f t="shared" si="35"/>
        <v>2530.4120751829691</v>
      </c>
      <c r="CA35" s="233">
        <f t="shared" si="35"/>
        <v>2535.6243097530787</v>
      </c>
      <c r="CB35" s="233">
        <f t="shared" si="36"/>
        <v>2540.8472806730028</v>
      </c>
      <c r="CC35" s="233">
        <f t="shared" si="36"/>
        <v>2546.0810100578642</v>
      </c>
      <c r="CD35" s="233">
        <f t="shared" si="36"/>
        <v>2551.3255200683393</v>
      </c>
      <c r="CE35" s="233">
        <f t="shared" si="36"/>
        <v>2556.5808329107513</v>
      </c>
      <c r="CF35" s="233">
        <f t="shared" si="36"/>
        <v>2561.8469708371658</v>
      </c>
      <c r="CG35" s="233">
        <f t="shared" si="36"/>
        <v>2567.1239561454831</v>
      </c>
      <c r="CH35" s="233">
        <f t="shared" si="36"/>
        <v>2572.4118111795333</v>
      </c>
      <c r="CI35" s="233">
        <f t="shared" si="36"/>
        <v>2577.7105583291727</v>
      </c>
      <c r="CJ35" s="233">
        <f t="shared" si="36"/>
        <v>2583.0202200303756</v>
      </c>
      <c r="CK35" s="233">
        <f t="shared" si="36"/>
        <v>2588.3408187653313</v>
      </c>
      <c r="CL35" s="233">
        <f t="shared" si="37"/>
        <v>2593.672377062539</v>
      </c>
      <c r="CM35" s="233">
        <f t="shared" si="37"/>
        <v>2599.0149174969015</v>
      </c>
      <c r="CN35" s="233">
        <f t="shared" si="37"/>
        <v>2604.3684626898239</v>
      </c>
      <c r="CO35" s="233">
        <f t="shared" si="37"/>
        <v>2609.7330353093071</v>
      </c>
      <c r="CP35" s="233">
        <f t="shared" si="37"/>
        <v>2615.1086580700439</v>
      </c>
      <c r="CQ35" s="233">
        <f t="shared" si="37"/>
        <v>2620.4953537335164</v>
      </c>
      <c r="CR35" s="233">
        <f t="shared" si="37"/>
        <v>2625.8931451080912</v>
      </c>
      <c r="CS35" s="233">
        <f t="shared" si="37"/>
        <v>2631.302055049116</v>
      </c>
      <c r="CT35" s="233">
        <f t="shared" si="37"/>
        <v>2636.7221064590181</v>
      </c>
      <c r="CU35" s="233">
        <f t="shared" si="37"/>
        <v>2642.1533222873986</v>
      </c>
      <c r="CV35" s="233">
        <f t="shared" si="38"/>
        <v>2647.5957255311318</v>
      </c>
      <c r="CW35" s="233">
        <f t="shared" si="38"/>
        <v>2653.0493392344615</v>
      </c>
      <c r="CX35" s="233">
        <f t="shared" si="38"/>
        <v>2658.5141864890988</v>
      </c>
      <c r="CY35" s="233">
        <f t="shared" si="38"/>
        <v>2663.9902904343207</v>
      </c>
      <c r="CZ35" s="233">
        <f t="shared" si="38"/>
        <v>2669.4776742570662</v>
      </c>
      <c r="DA35" s="233">
        <f t="shared" si="38"/>
        <v>2674.9763611920362</v>
      </c>
      <c r="DB35" s="233">
        <f t="shared" si="38"/>
        <v>2680.4863745217917</v>
      </c>
      <c r="DC35" s="233">
        <f t="shared" si="38"/>
        <v>2686.007737576851</v>
      </c>
      <c r="DD35" s="233">
        <f t="shared" si="38"/>
        <v>2691.5404737357899</v>
      </c>
      <c r="DE35" s="233">
        <f t="shared" si="38"/>
        <v>2697.0846064253406</v>
      </c>
      <c r="DF35" s="233">
        <f t="shared" si="39"/>
        <v>2702.6401591204899</v>
      </c>
      <c r="DG35" s="233">
        <f t="shared" si="39"/>
        <v>2708.2071553445803</v>
      </c>
      <c r="DH35" s="233">
        <f t="shared" si="39"/>
        <v>2713.7856186694066</v>
      </c>
      <c r="DI35" s="233">
        <f t="shared" si="39"/>
        <v>2719.3755727153193</v>
      </c>
      <c r="DJ35" s="233">
        <f t="shared" si="39"/>
        <v>2724.9770411513227</v>
      </c>
      <c r="DK35" s="233">
        <f t="shared" si="39"/>
        <v>2730.5900476951751</v>
      </c>
      <c r="DL35" s="233">
        <f t="shared" si="39"/>
        <v>2736.2146161134892</v>
      </c>
      <c r="DM35" s="233">
        <f t="shared" si="39"/>
        <v>2741.8507702218335</v>
      </c>
      <c r="DN35" s="233">
        <f t="shared" si="39"/>
        <v>2747.4985338848328</v>
      </c>
      <c r="DO35" s="233">
        <f t="shared" si="39"/>
        <v>2753.1579310162683</v>
      </c>
      <c r="DP35" s="233">
        <f t="shared" si="40"/>
        <v>2758.8289855791809</v>
      </c>
      <c r="DQ35" s="233">
        <f t="shared" si="40"/>
        <v>2764.51172158597</v>
      </c>
      <c r="DR35" s="233">
        <f t="shared" si="40"/>
        <v>2770.2061630984986</v>
      </c>
      <c r="DS35" s="233">
        <f t="shared" si="40"/>
        <v>2775.9123342281905</v>
      </c>
      <c r="DT35" s="233">
        <f t="shared" si="40"/>
        <v>2781.6302591361377</v>
      </c>
      <c r="DU35" s="233">
        <f t="shared" si="40"/>
        <v>2787.3599620331984</v>
      </c>
      <c r="DV35" s="233">
        <f t="shared" si="40"/>
        <v>2793.1014671801022</v>
      </c>
      <c r="DW35" s="233">
        <f t="shared" si="40"/>
        <v>2798.8547988875507</v>
      </c>
      <c r="DX35" s="233">
        <f t="shared" si="40"/>
        <v>2804.6199815163222</v>
      </c>
      <c r="DY35" s="233">
        <f t="shared" si="40"/>
        <v>2810.3970394773755</v>
      </c>
      <c r="DZ35" s="233">
        <f t="shared" si="41"/>
        <v>2816.1859972319498</v>
      </c>
      <c r="EA35" s="233">
        <f t="shared" si="41"/>
        <v>2821.9868792916714</v>
      </c>
      <c r="EB35" s="233">
        <f t="shared" si="41"/>
        <v>2827.7997102186569</v>
      </c>
      <c r="EC35" s="233">
        <f t="shared" si="41"/>
        <v>2833.624514625616</v>
      </c>
      <c r="ED35" s="233">
        <f t="shared" si="41"/>
        <v>2839.4613171759574</v>
      </c>
      <c r="EE35" s="233">
        <f t="shared" si="41"/>
        <v>2845.3101425838918</v>
      </c>
      <c r="EF35" s="233">
        <f t="shared" si="41"/>
        <v>2851.1710156145377</v>
      </c>
      <c r="EG35" s="233">
        <f t="shared" si="41"/>
        <v>2857.0439610840253</v>
      </c>
      <c r="EH35" s="233">
        <f t="shared" si="41"/>
        <v>2862.9290038596014</v>
      </c>
      <c r="EI35" s="233">
        <f t="shared" si="41"/>
        <v>2868.8261688597363</v>
      </c>
      <c r="EJ35" s="233">
        <f t="shared" si="41"/>
        <v>2874.7354810542274</v>
      </c>
      <c r="EK35" s="233">
        <f t="shared" si="41"/>
        <v>2880.6569654643067</v>
      </c>
    </row>
    <row r="36" spans="2:141" x14ac:dyDescent="0.45">
      <c r="B36" s="230">
        <f>Assumptions!B73</f>
        <v>28</v>
      </c>
      <c r="C36" s="230" t="str">
        <f>Assumptions!C73</f>
        <v>Fair Market</v>
      </c>
      <c r="D36" s="439">
        <f>Assumptions!D73</f>
        <v>1</v>
      </c>
      <c r="E36" s="22">
        <f>Assumptions!G73</f>
        <v>11</v>
      </c>
      <c r="F36" s="22">
        <f>IF(D36=1,E36+SUM(Assumptions!$G$142:$G$143),'Rent Roll Model'!E36)</f>
        <v>15</v>
      </c>
      <c r="G36" s="233">
        <f>Assumptions!I73</f>
        <v>1451.66</v>
      </c>
      <c r="H36" s="233">
        <f>Assumptions!J73</f>
        <v>2200</v>
      </c>
      <c r="J36" s="233">
        <f t="shared" si="29"/>
        <v>1451.66</v>
      </c>
      <c r="K36" s="233">
        <f t="shared" si="29"/>
        <v>1454.65018191948</v>
      </c>
      <c r="L36" s="233">
        <f t="shared" si="29"/>
        <v>1457.6465231241311</v>
      </c>
      <c r="M36" s="233">
        <f t="shared" si="29"/>
        <v>1460.6490363010723</v>
      </c>
      <c r="N36" s="233">
        <f t="shared" si="29"/>
        <v>1463.6577341635561</v>
      </c>
      <c r="O36" s="233">
        <f t="shared" si="29"/>
        <v>1466.672629451022</v>
      </c>
      <c r="P36" s="233">
        <f t="shared" si="29"/>
        <v>1469.6937349291507</v>
      </c>
      <c r="Q36" s="233">
        <f t="shared" si="29"/>
        <v>1472.7210633899183</v>
      </c>
      <c r="R36" s="233">
        <f t="shared" si="29"/>
        <v>1475.7546276516505</v>
      </c>
      <c r="S36" s="233">
        <f t="shared" si="29"/>
        <v>1478.7944405590756</v>
      </c>
      <c r="T36" s="233">
        <f t="shared" si="30"/>
        <v>0</v>
      </c>
      <c r="U36" s="233">
        <f t="shared" si="30"/>
        <v>0</v>
      </c>
      <c r="V36" s="233">
        <f t="shared" si="30"/>
        <v>0</v>
      </c>
      <c r="W36" s="233">
        <f t="shared" si="30"/>
        <v>0</v>
      </c>
      <c r="X36" s="233">
        <f t="shared" si="30"/>
        <v>2264.2994293738971</v>
      </c>
      <c r="Y36" s="233">
        <f t="shared" si="30"/>
        <v>2268.9635154643056</v>
      </c>
      <c r="Z36" s="233">
        <f t="shared" si="30"/>
        <v>2273.637208808409</v>
      </c>
      <c r="AA36" s="233">
        <f t="shared" si="30"/>
        <v>2278.3205291955765</v>
      </c>
      <c r="AB36" s="233">
        <f t="shared" si="30"/>
        <v>2283.0134964559406</v>
      </c>
      <c r="AC36" s="233">
        <f t="shared" si="30"/>
        <v>2287.7161304604811</v>
      </c>
      <c r="AD36" s="233">
        <f t="shared" si="31"/>
        <v>2292.4284511211076</v>
      </c>
      <c r="AE36" s="233">
        <f t="shared" si="31"/>
        <v>2297.1504783907467</v>
      </c>
      <c r="AF36" s="233">
        <f t="shared" si="31"/>
        <v>2301.8822322634223</v>
      </c>
      <c r="AG36" s="233">
        <f t="shared" si="31"/>
        <v>2306.6237327743456</v>
      </c>
      <c r="AH36" s="233">
        <f t="shared" si="31"/>
        <v>2311.3749999999941</v>
      </c>
      <c r="AI36" s="233">
        <f t="shared" si="31"/>
        <v>2316.1360540582018</v>
      </c>
      <c r="AJ36" s="233">
        <f t="shared" si="31"/>
        <v>2320.9069151082408</v>
      </c>
      <c r="AK36" s="233">
        <f t="shared" si="31"/>
        <v>2325.6876033509097</v>
      </c>
      <c r="AL36" s="233">
        <f t="shared" si="31"/>
        <v>2330.4781390286153</v>
      </c>
      <c r="AM36" s="233">
        <f t="shared" si="31"/>
        <v>2335.2785424254621</v>
      </c>
      <c r="AN36" s="233">
        <f t="shared" si="32"/>
        <v>2340.0888338673353</v>
      </c>
      <c r="AO36" s="233">
        <f t="shared" si="32"/>
        <v>2344.9090337219891</v>
      </c>
      <c r="AP36" s="233">
        <f t="shared" si="32"/>
        <v>2349.7391623991321</v>
      </c>
      <c r="AQ36" s="233">
        <f t="shared" si="32"/>
        <v>2354.5792403505111</v>
      </c>
      <c r="AR36" s="233">
        <f t="shared" si="32"/>
        <v>2359.4292880700041</v>
      </c>
      <c r="AS36" s="233">
        <f t="shared" si="32"/>
        <v>2364.2893260936999</v>
      </c>
      <c r="AT36" s="233">
        <f t="shared" si="32"/>
        <v>2369.1593749999902</v>
      </c>
      <c r="AU36" s="233">
        <f t="shared" si="32"/>
        <v>2374.0394554096529</v>
      </c>
      <c r="AV36" s="233">
        <f t="shared" si="32"/>
        <v>2378.9295879859433</v>
      </c>
      <c r="AW36" s="233">
        <f t="shared" si="32"/>
        <v>2383.8297934346788</v>
      </c>
      <c r="AX36" s="233">
        <f t="shared" si="33"/>
        <v>2388.7400925043271</v>
      </c>
      <c r="AY36" s="233">
        <f t="shared" si="33"/>
        <v>2393.6605059860949</v>
      </c>
      <c r="AZ36" s="233">
        <f t="shared" si="33"/>
        <v>2398.5910547140156</v>
      </c>
      <c r="BA36" s="233">
        <f t="shared" si="33"/>
        <v>2403.5317595650358</v>
      </c>
      <c r="BB36" s="233">
        <f t="shared" si="33"/>
        <v>2408.4826414591071</v>
      </c>
      <c r="BC36" s="233">
        <f t="shared" si="33"/>
        <v>2413.4437213592714</v>
      </c>
      <c r="BD36" s="233">
        <f t="shared" si="33"/>
        <v>2418.4150202717515</v>
      </c>
      <c r="BE36" s="233">
        <f t="shared" si="33"/>
        <v>2423.3965592460399</v>
      </c>
      <c r="BF36" s="233">
        <f t="shared" si="33"/>
        <v>2428.388359374987</v>
      </c>
      <c r="BG36" s="233">
        <f t="shared" si="33"/>
        <v>2433.3904417948911</v>
      </c>
      <c r="BH36" s="233">
        <f t="shared" si="34"/>
        <v>2438.4028276855893</v>
      </c>
      <c r="BI36" s="233">
        <f t="shared" si="34"/>
        <v>2443.4255382705433</v>
      </c>
      <c r="BJ36" s="233">
        <f t="shared" si="34"/>
        <v>2448.4585948169329</v>
      </c>
      <c r="BK36" s="233">
        <f t="shared" si="34"/>
        <v>2453.5020186357451</v>
      </c>
      <c r="BL36" s="233">
        <f t="shared" si="34"/>
        <v>2458.5558310818633</v>
      </c>
      <c r="BM36" s="233">
        <f t="shared" si="34"/>
        <v>2463.6200535541593</v>
      </c>
      <c r="BN36" s="233">
        <f t="shared" si="34"/>
        <v>2468.694707495582</v>
      </c>
      <c r="BO36" s="233">
        <f t="shared" si="34"/>
        <v>2473.7798143932505</v>
      </c>
      <c r="BP36" s="233">
        <f t="shared" si="34"/>
        <v>2478.8753957785425</v>
      </c>
      <c r="BQ36" s="233">
        <f t="shared" si="34"/>
        <v>2483.9814732271884</v>
      </c>
      <c r="BR36" s="233">
        <f t="shared" si="35"/>
        <v>2489.0980683593589</v>
      </c>
      <c r="BS36" s="233">
        <f t="shared" si="35"/>
        <v>2494.2252028397611</v>
      </c>
      <c r="BT36" s="233">
        <f t="shared" si="35"/>
        <v>2499.3628983777267</v>
      </c>
      <c r="BU36" s="233">
        <f t="shared" si="35"/>
        <v>2504.5111767273042</v>
      </c>
      <c r="BV36" s="233">
        <f t="shared" si="35"/>
        <v>2509.6700596873538</v>
      </c>
      <c r="BW36" s="233">
        <f t="shared" si="35"/>
        <v>2514.8395691016362</v>
      </c>
      <c r="BX36" s="233">
        <f t="shared" si="35"/>
        <v>2520.0197268589077</v>
      </c>
      <c r="BY36" s="233">
        <f t="shared" si="35"/>
        <v>2525.2105548930108</v>
      </c>
      <c r="BZ36" s="233">
        <f t="shared" si="35"/>
        <v>2530.4120751829691</v>
      </c>
      <c r="CA36" s="233">
        <f t="shared" si="35"/>
        <v>2535.6243097530787</v>
      </c>
      <c r="CB36" s="233">
        <f t="shared" si="36"/>
        <v>2540.8472806730028</v>
      </c>
      <c r="CC36" s="233">
        <f t="shared" si="36"/>
        <v>2546.0810100578642</v>
      </c>
      <c r="CD36" s="233">
        <f t="shared" si="36"/>
        <v>2551.3255200683393</v>
      </c>
      <c r="CE36" s="233">
        <f t="shared" si="36"/>
        <v>2556.5808329107513</v>
      </c>
      <c r="CF36" s="233">
        <f t="shared" si="36"/>
        <v>2561.8469708371658</v>
      </c>
      <c r="CG36" s="233">
        <f t="shared" si="36"/>
        <v>2567.1239561454831</v>
      </c>
      <c r="CH36" s="233">
        <f t="shared" si="36"/>
        <v>2572.4118111795333</v>
      </c>
      <c r="CI36" s="233">
        <f t="shared" si="36"/>
        <v>2577.7105583291727</v>
      </c>
      <c r="CJ36" s="233">
        <f t="shared" si="36"/>
        <v>2583.0202200303756</v>
      </c>
      <c r="CK36" s="233">
        <f t="shared" si="36"/>
        <v>2588.3408187653313</v>
      </c>
      <c r="CL36" s="233">
        <f t="shared" si="37"/>
        <v>2593.672377062539</v>
      </c>
      <c r="CM36" s="233">
        <f t="shared" si="37"/>
        <v>2599.0149174969015</v>
      </c>
      <c r="CN36" s="233">
        <f t="shared" si="37"/>
        <v>2604.3684626898239</v>
      </c>
      <c r="CO36" s="233">
        <f t="shared" si="37"/>
        <v>2609.7330353093071</v>
      </c>
      <c r="CP36" s="233">
        <f t="shared" si="37"/>
        <v>2615.1086580700439</v>
      </c>
      <c r="CQ36" s="233">
        <f t="shared" si="37"/>
        <v>2620.4953537335164</v>
      </c>
      <c r="CR36" s="233">
        <f t="shared" si="37"/>
        <v>2625.8931451080912</v>
      </c>
      <c r="CS36" s="233">
        <f t="shared" si="37"/>
        <v>2631.302055049116</v>
      </c>
      <c r="CT36" s="233">
        <f t="shared" si="37"/>
        <v>2636.7221064590181</v>
      </c>
      <c r="CU36" s="233">
        <f t="shared" si="37"/>
        <v>2642.1533222873986</v>
      </c>
      <c r="CV36" s="233">
        <f t="shared" si="38"/>
        <v>2647.5957255311318</v>
      </c>
      <c r="CW36" s="233">
        <f t="shared" si="38"/>
        <v>2653.0493392344615</v>
      </c>
      <c r="CX36" s="233">
        <f t="shared" si="38"/>
        <v>2658.5141864890988</v>
      </c>
      <c r="CY36" s="233">
        <f t="shared" si="38"/>
        <v>2663.9902904343207</v>
      </c>
      <c r="CZ36" s="233">
        <f t="shared" si="38"/>
        <v>2669.4776742570662</v>
      </c>
      <c r="DA36" s="233">
        <f t="shared" si="38"/>
        <v>2674.9763611920362</v>
      </c>
      <c r="DB36" s="233">
        <f t="shared" si="38"/>
        <v>2680.4863745217917</v>
      </c>
      <c r="DC36" s="233">
        <f t="shared" si="38"/>
        <v>2686.007737576851</v>
      </c>
      <c r="DD36" s="233">
        <f t="shared" si="38"/>
        <v>2691.5404737357899</v>
      </c>
      <c r="DE36" s="233">
        <f t="shared" si="38"/>
        <v>2697.0846064253406</v>
      </c>
      <c r="DF36" s="233">
        <f t="shared" si="39"/>
        <v>2702.6401591204899</v>
      </c>
      <c r="DG36" s="233">
        <f t="shared" si="39"/>
        <v>2708.2071553445803</v>
      </c>
      <c r="DH36" s="233">
        <f t="shared" si="39"/>
        <v>2713.7856186694066</v>
      </c>
      <c r="DI36" s="233">
        <f t="shared" si="39"/>
        <v>2719.3755727153193</v>
      </c>
      <c r="DJ36" s="233">
        <f t="shared" si="39"/>
        <v>2724.9770411513227</v>
      </c>
      <c r="DK36" s="233">
        <f t="shared" si="39"/>
        <v>2730.5900476951751</v>
      </c>
      <c r="DL36" s="233">
        <f t="shared" si="39"/>
        <v>2736.2146161134892</v>
      </c>
      <c r="DM36" s="233">
        <f t="shared" si="39"/>
        <v>2741.8507702218335</v>
      </c>
      <c r="DN36" s="233">
        <f t="shared" si="39"/>
        <v>2747.4985338848328</v>
      </c>
      <c r="DO36" s="233">
        <f t="shared" si="39"/>
        <v>2753.1579310162683</v>
      </c>
      <c r="DP36" s="233">
        <f t="shared" si="40"/>
        <v>2758.8289855791809</v>
      </c>
      <c r="DQ36" s="233">
        <f t="shared" si="40"/>
        <v>2764.51172158597</v>
      </c>
      <c r="DR36" s="233">
        <f t="shared" si="40"/>
        <v>2770.2061630984986</v>
      </c>
      <c r="DS36" s="233">
        <f t="shared" si="40"/>
        <v>2775.9123342281905</v>
      </c>
      <c r="DT36" s="233">
        <f t="shared" si="40"/>
        <v>2781.6302591361377</v>
      </c>
      <c r="DU36" s="233">
        <f t="shared" si="40"/>
        <v>2787.3599620331984</v>
      </c>
      <c r="DV36" s="233">
        <f t="shared" si="40"/>
        <v>2793.1014671801022</v>
      </c>
      <c r="DW36" s="233">
        <f t="shared" si="40"/>
        <v>2798.8547988875507</v>
      </c>
      <c r="DX36" s="233">
        <f t="shared" si="40"/>
        <v>2804.6199815163222</v>
      </c>
      <c r="DY36" s="233">
        <f t="shared" si="40"/>
        <v>2810.3970394773755</v>
      </c>
      <c r="DZ36" s="233">
        <f t="shared" si="41"/>
        <v>2816.1859972319498</v>
      </c>
      <c r="EA36" s="233">
        <f t="shared" si="41"/>
        <v>2821.9868792916714</v>
      </c>
      <c r="EB36" s="233">
        <f t="shared" si="41"/>
        <v>2827.7997102186569</v>
      </c>
      <c r="EC36" s="233">
        <f t="shared" si="41"/>
        <v>2833.624514625616</v>
      </c>
      <c r="ED36" s="233">
        <f t="shared" si="41"/>
        <v>2839.4613171759574</v>
      </c>
      <c r="EE36" s="233">
        <f t="shared" si="41"/>
        <v>2845.3101425838918</v>
      </c>
      <c r="EF36" s="233">
        <f t="shared" si="41"/>
        <v>2851.1710156145377</v>
      </c>
      <c r="EG36" s="233">
        <f t="shared" si="41"/>
        <v>2857.0439610840253</v>
      </c>
      <c r="EH36" s="233">
        <f t="shared" si="41"/>
        <v>2862.9290038596014</v>
      </c>
      <c r="EI36" s="233">
        <f t="shared" si="41"/>
        <v>2868.8261688597363</v>
      </c>
      <c r="EJ36" s="233">
        <f t="shared" si="41"/>
        <v>2874.7354810542274</v>
      </c>
      <c r="EK36" s="233">
        <f t="shared" si="41"/>
        <v>2880.6569654643067</v>
      </c>
    </row>
    <row r="37" spans="2:141" x14ac:dyDescent="0.45">
      <c r="B37" s="230">
        <f>Assumptions!B74</f>
        <v>29</v>
      </c>
      <c r="C37" s="230" t="str">
        <f>Assumptions!C74</f>
        <v>Fair Market</v>
      </c>
      <c r="D37" s="439">
        <f>Assumptions!D74</f>
        <v>1</v>
      </c>
      <c r="E37" s="22">
        <f>Assumptions!G74</f>
        <v>11</v>
      </c>
      <c r="F37" s="22">
        <f>IF(D37=1,E37+SUM(Assumptions!$G$142:$G$143),'Rent Roll Model'!E37)</f>
        <v>15</v>
      </c>
      <c r="G37" s="233">
        <f>Assumptions!I74</f>
        <v>1548.75</v>
      </c>
      <c r="H37" s="233">
        <f>Assumptions!J74</f>
        <v>2200</v>
      </c>
      <c r="J37" s="233">
        <f t="shared" si="29"/>
        <v>1548.75</v>
      </c>
      <c r="K37" s="233">
        <f t="shared" si="29"/>
        <v>1551.9401714229189</v>
      </c>
      <c r="L37" s="233">
        <f t="shared" si="29"/>
        <v>1555.1369140766417</v>
      </c>
      <c r="M37" s="233">
        <f t="shared" si="29"/>
        <v>1558.3402414968282</v>
      </c>
      <c r="N37" s="233">
        <f t="shared" si="29"/>
        <v>1561.5501672470189</v>
      </c>
      <c r="O37" s="233">
        <f t="shared" si="29"/>
        <v>1564.7667049186932</v>
      </c>
      <c r="P37" s="233">
        <f t="shared" si="29"/>
        <v>1567.9898681313271</v>
      </c>
      <c r="Q37" s="233">
        <f t="shared" si="29"/>
        <v>1571.2196705324498</v>
      </c>
      <c r="R37" s="233">
        <f t="shared" si="29"/>
        <v>1574.456125797703</v>
      </c>
      <c r="S37" s="233">
        <f t="shared" si="29"/>
        <v>1577.6992476308974</v>
      </c>
      <c r="T37" s="233">
        <f t="shared" si="30"/>
        <v>0</v>
      </c>
      <c r="U37" s="233">
        <f t="shared" si="30"/>
        <v>0</v>
      </c>
      <c r="V37" s="233">
        <f t="shared" si="30"/>
        <v>0</v>
      </c>
      <c r="W37" s="233">
        <f t="shared" si="30"/>
        <v>0</v>
      </c>
      <c r="X37" s="233">
        <f t="shared" si="30"/>
        <v>2264.2994293738971</v>
      </c>
      <c r="Y37" s="233">
        <f t="shared" si="30"/>
        <v>2268.9635154643056</v>
      </c>
      <c r="Z37" s="233">
        <f t="shared" si="30"/>
        <v>2273.637208808409</v>
      </c>
      <c r="AA37" s="233">
        <f t="shared" si="30"/>
        <v>2278.3205291955765</v>
      </c>
      <c r="AB37" s="233">
        <f t="shared" si="30"/>
        <v>2283.0134964559406</v>
      </c>
      <c r="AC37" s="233">
        <f t="shared" si="30"/>
        <v>2287.7161304604811</v>
      </c>
      <c r="AD37" s="233">
        <f t="shared" si="31"/>
        <v>2292.4284511211076</v>
      </c>
      <c r="AE37" s="233">
        <f t="shared" si="31"/>
        <v>2297.1504783907467</v>
      </c>
      <c r="AF37" s="233">
        <f t="shared" si="31"/>
        <v>2301.8822322634223</v>
      </c>
      <c r="AG37" s="233">
        <f t="shared" si="31"/>
        <v>2306.6237327743456</v>
      </c>
      <c r="AH37" s="233">
        <f t="shared" si="31"/>
        <v>2311.3749999999941</v>
      </c>
      <c r="AI37" s="233">
        <f t="shared" si="31"/>
        <v>2316.1360540582018</v>
      </c>
      <c r="AJ37" s="233">
        <f t="shared" si="31"/>
        <v>2320.9069151082408</v>
      </c>
      <c r="AK37" s="233">
        <f t="shared" si="31"/>
        <v>2325.6876033509097</v>
      </c>
      <c r="AL37" s="233">
        <f t="shared" si="31"/>
        <v>2330.4781390286153</v>
      </c>
      <c r="AM37" s="233">
        <f t="shared" si="31"/>
        <v>2335.2785424254621</v>
      </c>
      <c r="AN37" s="233">
        <f t="shared" si="32"/>
        <v>2340.0888338673353</v>
      </c>
      <c r="AO37" s="233">
        <f t="shared" si="32"/>
        <v>2344.9090337219891</v>
      </c>
      <c r="AP37" s="233">
        <f t="shared" si="32"/>
        <v>2349.7391623991321</v>
      </c>
      <c r="AQ37" s="233">
        <f t="shared" si="32"/>
        <v>2354.5792403505111</v>
      </c>
      <c r="AR37" s="233">
        <f t="shared" si="32"/>
        <v>2359.4292880700041</v>
      </c>
      <c r="AS37" s="233">
        <f t="shared" si="32"/>
        <v>2364.2893260936999</v>
      </c>
      <c r="AT37" s="233">
        <f t="shared" si="32"/>
        <v>2369.1593749999902</v>
      </c>
      <c r="AU37" s="233">
        <f t="shared" si="32"/>
        <v>2374.0394554096529</v>
      </c>
      <c r="AV37" s="233">
        <f t="shared" si="32"/>
        <v>2378.9295879859433</v>
      </c>
      <c r="AW37" s="233">
        <f t="shared" si="32"/>
        <v>2383.8297934346788</v>
      </c>
      <c r="AX37" s="233">
        <f t="shared" si="33"/>
        <v>2388.7400925043271</v>
      </c>
      <c r="AY37" s="233">
        <f t="shared" si="33"/>
        <v>2393.6605059860949</v>
      </c>
      <c r="AZ37" s="233">
        <f t="shared" si="33"/>
        <v>2398.5910547140156</v>
      </c>
      <c r="BA37" s="233">
        <f t="shared" si="33"/>
        <v>2403.5317595650358</v>
      </c>
      <c r="BB37" s="233">
        <f t="shared" si="33"/>
        <v>2408.4826414591071</v>
      </c>
      <c r="BC37" s="233">
        <f t="shared" si="33"/>
        <v>2413.4437213592714</v>
      </c>
      <c r="BD37" s="233">
        <f t="shared" si="33"/>
        <v>2418.4150202717515</v>
      </c>
      <c r="BE37" s="233">
        <f t="shared" si="33"/>
        <v>2423.3965592460399</v>
      </c>
      <c r="BF37" s="233">
        <f t="shared" si="33"/>
        <v>2428.388359374987</v>
      </c>
      <c r="BG37" s="233">
        <f t="shared" si="33"/>
        <v>2433.3904417948911</v>
      </c>
      <c r="BH37" s="233">
        <f t="shared" si="34"/>
        <v>2438.4028276855893</v>
      </c>
      <c r="BI37" s="233">
        <f t="shared" si="34"/>
        <v>2443.4255382705433</v>
      </c>
      <c r="BJ37" s="233">
        <f t="shared" si="34"/>
        <v>2448.4585948169329</v>
      </c>
      <c r="BK37" s="233">
        <f t="shared" si="34"/>
        <v>2453.5020186357451</v>
      </c>
      <c r="BL37" s="233">
        <f t="shared" si="34"/>
        <v>2458.5558310818633</v>
      </c>
      <c r="BM37" s="233">
        <f t="shared" si="34"/>
        <v>2463.6200535541593</v>
      </c>
      <c r="BN37" s="233">
        <f t="shared" si="34"/>
        <v>2468.694707495582</v>
      </c>
      <c r="BO37" s="233">
        <f t="shared" si="34"/>
        <v>2473.7798143932505</v>
      </c>
      <c r="BP37" s="233">
        <f t="shared" si="34"/>
        <v>2478.8753957785425</v>
      </c>
      <c r="BQ37" s="233">
        <f t="shared" si="34"/>
        <v>2483.9814732271884</v>
      </c>
      <c r="BR37" s="233">
        <f t="shared" si="35"/>
        <v>2489.0980683593589</v>
      </c>
      <c r="BS37" s="233">
        <f t="shared" si="35"/>
        <v>2494.2252028397611</v>
      </c>
      <c r="BT37" s="233">
        <f t="shared" si="35"/>
        <v>2499.3628983777267</v>
      </c>
      <c r="BU37" s="233">
        <f t="shared" si="35"/>
        <v>2504.5111767273042</v>
      </c>
      <c r="BV37" s="233">
        <f t="shared" si="35"/>
        <v>2509.6700596873538</v>
      </c>
      <c r="BW37" s="233">
        <f t="shared" si="35"/>
        <v>2514.8395691016362</v>
      </c>
      <c r="BX37" s="233">
        <f t="shared" si="35"/>
        <v>2520.0197268589077</v>
      </c>
      <c r="BY37" s="233">
        <f t="shared" si="35"/>
        <v>2525.2105548930108</v>
      </c>
      <c r="BZ37" s="233">
        <f t="shared" si="35"/>
        <v>2530.4120751829691</v>
      </c>
      <c r="CA37" s="233">
        <f t="shared" si="35"/>
        <v>2535.6243097530787</v>
      </c>
      <c r="CB37" s="233">
        <f t="shared" si="36"/>
        <v>2540.8472806730028</v>
      </c>
      <c r="CC37" s="233">
        <f t="shared" si="36"/>
        <v>2546.0810100578642</v>
      </c>
      <c r="CD37" s="233">
        <f t="shared" si="36"/>
        <v>2551.3255200683393</v>
      </c>
      <c r="CE37" s="233">
        <f t="shared" si="36"/>
        <v>2556.5808329107513</v>
      </c>
      <c r="CF37" s="233">
        <f t="shared" si="36"/>
        <v>2561.8469708371658</v>
      </c>
      <c r="CG37" s="233">
        <f t="shared" si="36"/>
        <v>2567.1239561454831</v>
      </c>
      <c r="CH37" s="233">
        <f t="shared" si="36"/>
        <v>2572.4118111795333</v>
      </c>
      <c r="CI37" s="233">
        <f t="shared" si="36"/>
        <v>2577.7105583291727</v>
      </c>
      <c r="CJ37" s="233">
        <f t="shared" si="36"/>
        <v>2583.0202200303756</v>
      </c>
      <c r="CK37" s="233">
        <f t="shared" si="36"/>
        <v>2588.3408187653313</v>
      </c>
      <c r="CL37" s="233">
        <f t="shared" si="37"/>
        <v>2593.672377062539</v>
      </c>
      <c r="CM37" s="233">
        <f t="shared" si="37"/>
        <v>2599.0149174969015</v>
      </c>
      <c r="CN37" s="233">
        <f t="shared" si="37"/>
        <v>2604.3684626898239</v>
      </c>
      <c r="CO37" s="233">
        <f t="shared" si="37"/>
        <v>2609.7330353093071</v>
      </c>
      <c r="CP37" s="233">
        <f t="shared" si="37"/>
        <v>2615.1086580700439</v>
      </c>
      <c r="CQ37" s="233">
        <f t="shared" si="37"/>
        <v>2620.4953537335164</v>
      </c>
      <c r="CR37" s="233">
        <f t="shared" si="37"/>
        <v>2625.8931451080912</v>
      </c>
      <c r="CS37" s="233">
        <f t="shared" si="37"/>
        <v>2631.302055049116</v>
      </c>
      <c r="CT37" s="233">
        <f t="shared" si="37"/>
        <v>2636.7221064590181</v>
      </c>
      <c r="CU37" s="233">
        <f t="shared" si="37"/>
        <v>2642.1533222873986</v>
      </c>
      <c r="CV37" s="233">
        <f t="shared" si="38"/>
        <v>2647.5957255311318</v>
      </c>
      <c r="CW37" s="233">
        <f t="shared" si="38"/>
        <v>2653.0493392344615</v>
      </c>
      <c r="CX37" s="233">
        <f t="shared" si="38"/>
        <v>2658.5141864890988</v>
      </c>
      <c r="CY37" s="233">
        <f t="shared" si="38"/>
        <v>2663.9902904343207</v>
      </c>
      <c r="CZ37" s="233">
        <f t="shared" si="38"/>
        <v>2669.4776742570662</v>
      </c>
      <c r="DA37" s="233">
        <f t="shared" si="38"/>
        <v>2674.9763611920362</v>
      </c>
      <c r="DB37" s="233">
        <f t="shared" si="38"/>
        <v>2680.4863745217917</v>
      </c>
      <c r="DC37" s="233">
        <f t="shared" si="38"/>
        <v>2686.007737576851</v>
      </c>
      <c r="DD37" s="233">
        <f t="shared" si="38"/>
        <v>2691.5404737357899</v>
      </c>
      <c r="DE37" s="233">
        <f t="shared" si="38"/>
        <v>2697.0846064253406</v>
      </c>
      <c r="DF37" s="233">
        <f t="shared" si="39"/>
        <v>2702.6401591204899</v>
      </c>
      <c r="DG37" s="233">
        <f t="shared" si="39"/>
        <v>2708.2071553445803</v>
      </c>
      <c r="DH37" s="233">
        <f t="shared" si="39"/>
        <v>2713.7856186694066</v>
      </c>
      <c r="DI37" s="233">
        <f t="shared" si="39"/>
        <v>2719.3755727153193</v>
      </c>
      <c r="DJ37" s="233">
        <f t="shared" si="39"/>
        <v>2724.9770411513227</v>
      </c>
      <c r="DK37" s="233">
        <f t="shared" si="39"/>
        <v>2730.5900476951751</v>
      </c>
      <c r="DL37" s="233">
        <f t="shared" si="39"/>
        <v>2736.2146161134892</v>
      </c>
      <c r="DM37" s="233">
        <f t="shared" si="39"/>
        <v>2741.8507702218335</v>
      </c>
      <c r="DN37" s="233">
        <f t="shared" si="39"/>
        <v>2747.4985338848328</v>
      </c>
      <c r="DO37" s="233">
        <f t="shared" si="39"/>
        <v>2753.1579310162683</v>
      </c>
      <c r="DP37" s="233">
        <f t="shared" si="40"/>
        <v>2758.8289855791809</v>
      </c>
      <c r="DQ37" s="233">
        <f t="shared" si="40"/>
        <v>2764.51172158597</v>
      </c>
      <c r="DR37" s="233">
        <f t="shared" si="40"/>
        <v>2770.2061630984986</v>
      </c>
      <c r="DS37" s="233">
        <f t="shared" si="40"/>
        <v>2775.9123342281905</v>
      </c>
      <c r="DT37" s="233">
        <f t="shared" si="40"/>
        <v>2781.6302591361377</v>
      </c>
      <c r="DU37" s="233">
        <f t="shared" si="40"/>
        <v>2787.3599620331984</v>
      </c>
      <c r="DV37" s="233">
        <f t="shared" si="40"/>
        <v>2793.1014671801022</v>
      </c>
      <c r="DW37" s="233">
        <f t="shared" si="40"/>
        <v>2798.8547988875507</v>
      </c>
      <c r="DX37" s="233">
        <f t="shared" si="40"/>
        <v>2804.6199815163222</v>
      </c>
      <c r="DY37" s="233">
        <f t="shared" si="40"/>
        <v>2810.3970394773755</v>
      </c>
      <c r="DZ37" s="233">
        <f t="shared" si="41"/>
        <v>2816.1859972319498</v>
      </c>
      <c r="EA37" s="233">
        <f t="shared" si="41"/>
        <v>2821.9868792916714</v>
      </c>
      <c r="EB37" s="233">
        <f t="shared" si="41"/>
        <v>2827.7997102186569</v>
      </c>
      <c r="EC37" s="233">
        <f t="shared" si="41"/>
        <v>2833.624514625616</v>
      </c>
      <c r="ED37" s="233">
        <f t="shared" si="41"/>
        <v>2839.4613171759574</v>
      </c>
      <c r="EE37" s="233">
        <f t="shared" si="41"/>
        <v>2845.3101425838918</v>
      </c>
      <c r="EF37" s="233">
        <f t="shared" si="41"/>
        <v>2851.1710156145377</v>
      </c>
      <c r="EG37" s="233">
        <f t="shared" si="41"/>
        <v>2857.0439610840253</v>
      </c>
      <c r="EH37" s="233">
        <f t="shared" si="41"/>
        <v>2862.9290038596014</v>
      </c>
      <c r="EI37" s="233">
        <f t="shared" si="41"/>
        <v>2868.8261688597363</v>
      </c>
      <c r="EJ37" s="233">
        <f t="shared" si="41"/>
        <v>2874.7354810542274</v>
      </c>
      <c r="EK37" s="233">
        <f t="shared" si="41"/>
        <v>2880.6569654643067</v>
      </c>
    </row>
    <row r="38" spans="2:141" x14ac:dyDescent="0.45">
      <c r="B38" s="230">
        <f>Assumptions!B75</f>
        <v>30</v>
      </c>
      <c r="C38" s="230" t="str">
        <f>Assumptions!C75</f>
        <v>Fair Market</v>
      </c>
      <c r="D38" s="439">
        <f>Assumptions!D75</f>
        <v>1</v>
      </c>
      <c r="E38" s="22">
        <f>Assumptions!G75</f>
        <v>11</v>
      </c>
      <c r="F38" s="22">
        <f>IF(D38=1,E38+SUM(Assumptions!$G$142:$G$143),'Rent Roll Model'!E38)</f>
        <v>15</v>
      </c>
      <c r="G38" s="233">
        <f>Assumptions!I75</f>
        <v>1443.75</v>
      </c>
      <c r="H38" s="233">
        <f>Assumptions!J75</f>
        <v>2200</v>
      </c>
      <c r="J38" s="233">
        <f t="shared" si="29"/>
        <v>1443.75</v>
      </c>
      <c r="K38" s="233">
        <f t="shared" si="29"/>
        <v>1446.7238886145853</v>
      </c>
      <c r="L38" s="233">
        <f t="shared" si="29"/>
        <v>1449.7039029528016</v>
      </c>
      <c r="M38" s="233">
        <f t="shared" si="29"/>
        <v>1452.6900556326364</v>
      </c>
      <c r="N38" s="233">
        <f t="shared" si="29"/>
        <v>1455.6823592980684</v>
      </c>
      <c r="O38" s="233">
        <f t="shared" si="29"/>
        <v>1458.6808266191208</v>
      </c>
      <c r="P38" s="233">
        <f t="shared" si="29"/>
        <v>1461.685470291915</v>
      </c>
      <c r="Q38" s="233">
        <f t="shared" si="29"/>
        <v>1464.6963030387244</v>
      </c>
      <c r="R38" s="233">
        <f t="shared" si="29"/>
        <v>1467.7133376080283</v>
      </c>
      <c r="S38" s="233">
        <f t="shared" si="29"/>
        <v>1470.7365867745652</v>
      </c>
      <c r="T38" s="233">
        <f t="shared" si="30"/>
        <v>0</v>
      </c>
      <c r="U38" s="233">
        <f t="shared" si="30"/>
        <v>0</v>
      </c>
      <c r="V38" s="233">
        <f t="shared" si="30"/>
        <v>0</v>
      </c>
      <c r="W38" s="233">
        <f t="shared" si="30"/>
        <v>0</v>
      </c>
      <c r="X38" s="233">
        <f t="shared" si="30"/>
        <v>2264.2994293738971</v>
      </c>
      <c r="Y38" s="233">
        <f t="shared" si="30"/>
        <v>2268.9635154643056</v>
      </c>
      <c r="Z38" s="233">
        <f t="shared" si="30"/>
        <v>2273.637208808409</v>
      </c>
      <c r="AA38" s="233">
        <f t="shared" si="30"/>
        <v>2278.3205291955765</v>
      </c>
      <c r="AB38" s="233">
        <f t="shared" si="30"/>
        <v>2283.0134964559406</v>
      </c>
      <c r="AC38" s="233">
        <f t="shared" si="30"/>
        <v>2287.7161304604811</v>
      </c>
      <c r="AD38" s="233">
        <f t="shared" si="31"/>
        <v>2292.4284511211076</v>
      </c>
      <c r="AE38" s="233">
        <f t="shared" si="31"/>
        <v>2297.1504783907467</v>
      </c>
      <c r="AF38" s="233">
        <f t="shared" si="31"/>
        <v>2301.8822322634223</v>
      </c>
      <c r="AG38" s="233">
        <f t="shared" si="31"/>
        <v>2306.6237327743456</v>
      </c>
      <c r="AH38" s="233">
        <f t="shared" si="31"/>
        <v>2311.3749999999941</v>
      </c>
      <c r="AI38" s="233">
        <f t="shared" si="31"/>
        <v>2316.1360540582018</v>
      </c>
      <c r="AJ38" s="233">
        <f t="shared" si="31"/>
        <v>2320.9069151082408</v>
      </c>
      <c r="AK38" s="233">
        <f t="shared" si="31"/>
        <v>2325.6876033509097</v>
      </c>
      <c r="AL38" s="233">
        <f t="shared" si="31"/>
        <v>2330.4781390286153</v>
      </c>
      <c r="AM38" s="233">
        <f t="shared" si="31"/>
        <v>2335.2785424254621</v>
      </c>
      <c r="AN38" s="233">
        <f t="shared" si="32"/>
        <v>2340.0888338673353</v>
      </c>
      <c r="AO38" s="233">
        <f t="shared" si="32"/>
        <v>2344.9090337219891</v>
      </c>
      <c r="AP38" s="233">
        <f t="shared" si="32"/>
        <v>2349.7391623991321</v>
      </c>
      <c r="AQ38" s="233">
        <f t="shared" si="32"/>
        <v>2354.5792403505111</v>
      </c>
      <c r="AR38" s="233">
        <f t="shared" si="32"/>
        <v>2359.4292880700041</v>
      </c>
      <c r="AS38" s="233">
        <f t="shared" si="32"/>
        <v>2364.2893260936999</v>
      </c>
      <c r="AT38" s="233">
        <f t="shared" si="32"/>
        <v>2369.1593749999902</v>
      </c>
      <c r="AU38" s="233">
        <f t="shared" si="32"/>
        <v>2374.0394554096529</v>
      </c>
      <c r="AV38" s="233">
        <f t="shared" si="32"/>
        <v>2378.9295879859433</v>
      </c>
      <c r="AW38" s="233">
        <f t="shared" si="32"/>
        <v>2383.8297934346788</v>
      </c>
      <c r="AX38" s="233">
        <f t="shared" si="33"/>
        <v>2388.7400925043271</v>
      </c>
      <c r="AY38" s="233">
        <f t="shared" si="33"/>
        <v>2393.6605059860949</v>
      </c>
      <c r="AZ38" s="233">
        <f t="shared" si="33"/>
        <v>2398.5910547140156</v>
      </c>
      <c r="BA38" s="233">
        <f t="shared" si="33"/>
        <v>2403.5317595650358</v>
      </c>
      <c r="BB38" s="233">
        <f t="shared" si="33"/>
        <v>2408.4826414591071</v>
      </c>
      <c r="BC38" s="233">
        <f t="shared" si="33"/>
        <v>2413.4437213592714</v>
      </c>
      <c r="BD38" s="233">
        <f t="shared" si="33"/>
        <v>2418.4150202717515</v>
      </c>
      <c r="BE38" s="233">
        <f t="shared" si="33"/>
        <v>2423.3965592460399</v>
      </c>
      <c r="BF38" s="233">
        <f t="shared" si="33"/>
        <v>2428.388359374987</v>
      </c>
      <c r="BG38" s="233">
        <f t="shared" si="33"/>
        <v>2433.3904417948911</v>
      </c>
      <c r="BH38" s="233">
        <f t="shared" si="34"/>
        <v>2438.4028276855893</v>
      </c>
      <c r="BI38" s="233">
        <f t="shared" si="34"/>
        <v>2443.4255382705433</v>
      </c>
      <c r="BJ38" s="233">
        <f t="shared" si="34"/>
        <v>2448.4585948169329</v>
      </c>
      <c r="BK38" s="233">
        <f t="shared" si="34"/>
        <v>2453.5020186357451</v>
      </c>
      <c r="BL38" s="233">
        <f t="shared" si="34"/>
        <v>2458.5558310818633</v>
      </c>
      <c r="BM38" s="233">
        <f t="shared" si="34"/>
        <v>2463.6200535541593</v>
      </c>
      <c r="BN38" s="233">
        <f t="shared" si="34"/>
        <v>2468.694707495582</v>
      </c>
      <c r="BO38" s="233">
        <f t="shared" si="34"/>
        <v>2473.7798143932505</v>
      </c>
      <c r="BP38" s="233">
        <f t="shared" si="34"/>
        <v>2478.8753957785425</v>
      </c>
      <c r="BQ38" s="233">
        <f t="shared" si="34"/>
        <v>2483.9814732271884</v>
      </c>
      <c r="BR38" s="233">
        <f t="shared" si="35"/>
        <v>2489.0980683593589</v>
      </c>
      <c r="BS38" s="233">
        <f t="shared" si="35"/>
        <v>2494.2252028397611</v>
      </c>
      <c r="BT38" s="233">
        <f t="shared" si="35"/>
        <v>2499.3628983777267</v>
      </c>
      <c r="BU38" s="233">
        <f t="shared" si="35"/>
        <v>2504.5111767273042</v>
      </c>
      <c r="BV38" s="233">
        <f t="shared" si="35"/>
        <v>2509.6700596873538</v>
      </c>
      <c r="BW38" s="233">
        <f t="shared" si="35"/>
        <v>2514.8395691016362</v>
      </c>
      <c r="BX38" s="233">
        <f t="shared" si="35"/>
        <v>2520.0197268589077</v>
      </c>
      <c r="BY38" s="233">
        <f t="shared" si="35"/>
        <v>2525.2105548930108</v>
      </c>
      <c r="BZ38" s="233">
        <f t="shared" si="35"/>
        <v>2530.4120751829691</v>
      </c>
      <c r="CA38" s="233">
        <f t="shared" si="35"/>
        <v>2535.6243097530787</v>
      </c>
      <c r="CB38" s="233">
        <f t="shared" si="36"/>
        <v>2540.8472806730028</v>
      </c>
      <c r="CC38" s="233">
        <f t="shared" si="36"/>
        <v>2546.0810100578642</v>
      </c>
      <c r="CD38" s="233">
        <f t="shared" si="36"/>
        <v>2551.3255200683393</v>
      </c>
      <c r="CE38" s="233">
        <f t="shared" si="36"/>
        <v>2556.5808329107513</v>
      </c>
      <c r="CF38" s="233">
        <f t="shared" si="36"/>
        <v>2561.8469708371658</v>
      </c>
      <c r="CG38" s="233">
        <f t="shared" si="36"/>
        <v>2567.1239561454831</v>
      </c>
      <c r="CH38" s="233">
        <f t="shared" si="36"/>
        <v>2572.4118111795333</v>
      </c>
      <c r="CI38" s="233">
        <f t="shared" si="36"/>
        <v>2577.7105583291727</v>
      </c>
      <c r="CJ38" s="233">
        <f t="shared" si="36"/>
        <v>2583.0202200303756</v>
      </c>
      <c r="CK38" s="233">
        <f t="shared" si="36"/>
        <v>2588.3408187653313</v>
      </c>
      <c r="CL38" s="233">
        <f t="shared" si="37"/>
        <v>2593.672377062539</v>
      </c>
      <c r="CM38" s="233">
        <f t="shared" si="37"/>
        <v>2599.0149174969015</v>
      </c>
      <c r="CN38" s="233">
        <f t="shared" si="37"/>
        <v>2604.3684626898239</v>
      </c>
      <c r="CO38" s="233">
        <f t="shared" si="37"/>
        <v>2609.7330353093071</v>
      </c>
      <c r="CP38" s="233">
        <f t="shared" si="37"/>
        <v>2615.1086580700439</v>
      </c>
      <c r="CQ38" s="233">
        <f t="shared" si="37"/>
        <v>2620.4953537335164</v>
      </c>
      <c r="CR38" s="233">
        <f t="shared" si="37"/>
        <v>2625.8931451080912</v>
      </c>
      <c r="CS38" s="233">
        <f t="shared" si="37"/>
        <v>2631.302055049116</v>
      </c>
      <c r="CT38" s="233">
        <f t="shared" si="37"/>
        <v>2636.7221064590181</v>
      </c>
      <c r="CU38" s="233">
        <f t="shared" si="37"/>
        <v>2642.1533222873986</v>
      </c>
      <c r="CV38" s="233">
        <f t="shared" si="38"/>
        <v>2647.5957255311318</v>
      </c>
      <c r="CW38" s="233">
        <f t="shared" si="38"/>
        <v>2653.0493392344615</v>
      </c>
      <c r="CX38" s="233">
        <f t="shared" si="38"/>
        <v>2658.5141864890988</v>
      </c>
      <c r="CY38" s="233">
        <f t="shared" si="38"/>
        <v>2663.9902904343207</v>
      </c>
      <c r="CZ38" s="233">
        <f t="shared" si="38"/>
        <v>2669.4776742570662</v>
      </c>
      <c r="DA38" s="233">
        <f t="shared" si="38"/>
        <v>2674.9763611920362</v>
      </c>
      <c r="DB38" s="233">
        <f t="shared" si="38"/>
        <v>2680.4863745217917</v>
      </c>
      <c r="DC38" s="233">
        <f t="shared" si="38"/>
        <v>2686.007737576851</v>
      </c>
      <c r="DD38" s="233">
        <f t="shared" si="38"/>
        <v>2691.5404737357899</v>
      </c>
      <c r="DE38" s="233">
        <f t="shared" si="38"/>
        <v>2697.0846064253406</v>
      </c>
      <c r="DF38" s="233">
        <f t="shared" si="39"/>
        <v>2702.6401591204899</v>
      </c>
      <c r="DG38" s="233">
        <f t="shared" si="39"/>
        <v>2708.2071553445803</v>
      </c>
      <c r="DH38" s="233">
        <f t="shared" si="39"/>
        <v>2713.7856186694066</v>
      </c>
      <c r="DI38" s="233">
        <f t="shared" si="39"/>
        <v>2719.3755727153193</v>
      </c>
      <c r="DJ38" s="233">
        <f t="shared" si="39"/>
        <v>2724.9770411513227</v>
      </c>
      <c r="DK38" s="233">
        <f t="shared" si="39"/>
        <v>2730.5900476951751</v>
      </c>
      <c r="DL38" s="233">
        <f t="shared" si="39"/>
        <v>2736.2146161134892</v>
      </c>
      <c r="DM38" s="233">
        <f t="shared" si="39"/>
        <v>2741.8507702218335</v>
      </c>
      <c r="DN38" s="233">
        <f t="shared" si="39"/>
        <v>2747.4985338848328</v>
      </c>
      <c r="DO38" s="233">
        <f t="shared" si="39"/>
        <v>2753.1579310162683</v>
      </c>
      <c r="DP38" s="233">
        <f t="shared" si="40"/>
        <v>2758.8289855791809</v>
      </c>
      <c r="DQ38" s="233">
        <f t="shared" si="40"/>
        <v>2764.51172158597</v>
      </c>
      <c r="DR38" s="233">
        <f t="shared" si="40"/>
        <v>2770.2061630984986</v>
      </c>
      <c r="DS38" s="233">
        <f t="shared" si="40"/>
        <v>2775.9123342281905</v>
      </c>
      <c r="DT38" s="233">
        <f t="shared" si="40"/>
        <v>2781.6302591361377</v>
      </c>
      <c r="DU38" s="233">
        <f t="shared" si="40"/>
        <v>2787.3599620331984</v>
      </c>
      <c r="DV38" s="233">
        <f t="shared" si="40"/>
        <v>2793.1014671801022</v>
      </c>
      <c r="DW38" s="233">
        <f t="shared" si="40"/>
        <v>2798.8547988875507</v>
      </c>
      <c r="DX38" s="233">
        <f t="shared" si="40"/>
        <v>2804.6199815163222</v>
      </c>
      <c r="DY38" s="233">
        <f t="shared" si="40"/>
        <v>2810.3970394773755</v>
      </c>
      <c r="DZ38" s="233">
        <f t="shared" si="41"/>
        <v>2816.1859972319498</v>
      </c>
      <c r="EA38" s="233">
        <f t="shared" si="41"/>
        <v>2821.9868792916714</v>
      </c>
      <c r="EB38" s="233">
        <f t="shared" si="41"/>
        <v>2827.7997102186569</v>
      </c>
      <c r="EC38" s="233">
        <f t="shared" si="41"/>
        <v>2833.624514625616</v>
      </c>
      <c r="ED38" s="233">
        <f t="shared" si="41"/>
        <v>2839.4613171759574</v>
      </c>
      <c r="EE38" s="233">
        <f t="shared" si="41"/>
        <v>2845.3101425838918</v>
      </c>
      <c r="EF38" s="233">
        <f t="shared" si="41"/>
        <v>2851.1710156145377</v>
      </c>
      <c r="EG38" s="233">
        <f t="shared" si="41"/>
        <v>2857.0439610840253</v>
      </c>
      <c r="EH38" s="233">
        <f t="shared" si="41"/>
        <v>2862.9290038596014</v>
      </c>
      <c r="EI38" s="233">
        <f t="shared" si="41"/>
        <v>2868.8261688597363</v>
      </c>
      <c r="EJ38" s="233">
        <f t="shared" si="41"/>
        <v>2874.7354810542274</v>
      </c>
      <c r="EK38" s="233">
        <f t="shared" si="41"/>
        <v>2880.6569654643067</v>
      </c>
    </row>
    <row r="39" spans="2:141" x14ac:dyDescent="0.45">
      <c r="B39" s="230">
        <f>Assumptions!B76</f>
        <v>31</v>
      </c>
      <c r="C39" s="230" t="str">
        <f>Assumptions!C76</f>
        <v>Fair Market</v>
      </c>
      <c r="D39" s="439">
        <f>Assumptions!D76</f>
        <v>1</v>
      </c>
      <c r="E39" s="22">
        <f>Assumptions!G76</f>
        <v>12</v>
      </c>
      <c r="F39" s="22">
        <f>IF(D39=1,E39+SUM(Assumptions!$G$142:$G$143),'Rent Roll Model'!E39)</f>
        <v>16</v>
      </c>
      <c r="G39" s="233">
        <f>Assumptions!I76</f>
        <v>1391.25</v>
      </c>
      <c r="H39" s="233">
        <f>Assumptions!J76</f>
        <v>2200</v>
      </c>
      <c r="J39" s="233">
        <f t="shared" ref="J39:S48" si="42">IFERROR(IF($D39=0,$G39,IF(J$8&lt;$E39,$G39,IF(J$8&gt;=$F39,$H39,0)))*INDEX(J$3:J$5,MATCH($C39,$B$3:$B$5,0)),0)</f>
        <v>1391.25</v>
      </c>
      <c r="K39" s="233">
        <f t="shared" si="42"/>
        <v>1394.1157472104187</v>
      </c>
      <c r="L39" s="233">
        <f t="shared" si="42"/>
        <v>1396.9873973908816</v>
      </c>
      <c r="M39" s="233">
        <f t="shared" si="42"/>
        <v>1399.8649627005407</v>
      </c>
      <c r="N39" s="233">
        <f t="shared" si="42"/>
        <v>1402.7484553235931</v>
      </c>
      <c r="O39" s="233">
        <f t="shared" si="42"/>
        <v>1405.6378874693346</v>
      </c>
      <c r="P39" s="233">
        <f t="shared" si="42"/>
        <v>1408.5332713722089</v>
      </c>
      <c r="Q39" s="233">
        <f t="shared" si="42"/>
        <v>1411.4346192918617</v>
      </c>
      <c r="R39" s="233">
        <f t="shared" si="42"/>
        <v>1414.3419435131909</v>
      </c>
      <c r="S39" s="233">
        <f t="shared" si="42"/>
        <v>1417.2552563463994</v>
      </c>
      <c r="T39" s="233">
        <f t="shared" ref="T39:AC48" si="43">IFERROR(IF($D39=0,$G39,IF(T$8&lt;$E39,$G39,IF(T$8&gt;=$F39,$H39,0)))*INDEX(T$3:T$5,MATCH($C39,$B$3:$B$5,0)),0)</f>
        <v>1420.1745701270468</v>
      </c>
      <c r="U39" s="233">
        <f t="shared" si="43"/>
        <v>0</v>
      </c>
      <c r="V39" s="233">
        <f t="shared" si="43"/>
        <v>0</v>
      </c>
      <c r="W39" s="233">
        <f t="shared" si="43"/>
        <v>0</v>
      </c>
      <c r="X39" s="233">
        <f t="shared" si="43"/>
        <v>0</v>
      </c>
      <c r="Y39" s="233">
        <f t="shared" si="43"/>
        <v>2268.9635154643056</v>
      </c>
      <c r="Z39" s="233">
        <f t="shared" si="43"/>
        <v>2273.637208808409</v>
      </c>
      <c r="AA39" s="233">
        <f t="shared" si="43"/>
        <v>2278.3205291955765</v>
      </c>
      <c r="AB39" s="233">
        <f t="shared" si="43"/>
        <v>2283.0134964559406</v>
      </c>
      <c r="AC39" s="233">
        <f t="shared" si="43"/>
        <v>2287.7161304604811</v>
      </c>
      <c r="AD39" s="233">
        <f t="shared" ref="AD39:AM48" si="44">IFERROR(IF($D39=0,$G39,IF(AD$8&lt;$E39,$G39,IF(AD$8&gt;=$F39,$H39,0)))*INDEX(AD$3:AD$5,MATCH($C39,$B$3:$B$5,0)),0)</f>
        <v>2292.4284511211076</v>
      </c>
      <c r="AE39" s="233">
        <f t="shared" si="44"/>
        <v>2297.1504783907467</v>
      </c>
      <c r="AF39" s="233">
        <f t="shared" si="44"/>
        <v>2301.8822322634223</v>
      </c>
      <c r="AG39" s="233">
        <f t="shared" si="44"/>
        <v>2306.6237327743456</v>
      </c>
      <c r="AH39" s="233">
        <f t="shared" si="44"/>
        <v>2311.3749999999941</v>
      </c>
      <c r="AI39" s="233">
        <f t="shared" si="44"/>
        <v>2316.1360540582018</v>
      </c>
      <c r="AJ39" s="233">
        <f t="shared" si="44"/>
        <v>2320.9069151082408</v>
      </c>
      <c r="AK39" s="233">
        <f t="shared" si="44"/>
        <v>2325.6876033509097</v>
      </c>
      <c r="AL39" s="233">
        <f t="shared" si="44"/>
        <v>2330.4781390286153</v>
      </c>
      <c r="AM39" s="233">
        <f t="shared" si="44"/>
        <v>2335.2785424254621</v>
      </c>
      <c r="AN39" s="233">
        <f t="shared" ref="AN39:AW48" si="45">IFERROR(IF($D39=0,$G39,IF(AN$8&lt;$E39,$G39,IF(AN$8&gt;=$F39,$H39,0)))*INDEX(AN$3:AN$5,MATCH($C39,$B$3:$B$5,0)),0)</f>
        <v>2340.0888338673353</v>
      </c>
      <c r="AO39" s="233">
        <f t="shared" si="45"/>
        <v>2344.9090337219891</v>
      </c>
      <c r="AP39" s="233">
        <f t="shared" si="45"/>
        <v>2349.7391623991321</v>
      </c>
      <c r="AQ39" s="233">
        <f t="shared" si="45"/>
        <v>2354.5792403505111</v>
      </c>
      <c r="AR39" s="233">
        <f t="shared" si="45"/>
        <v>2359.4292880700041</v>
      </c>
      <c r="AS39" s="233">
        <f t="shared" si="45"/>
        <v>2364.2893260936999</v>
      </c>
      <c r="AT39" s="233">
        <f t="shared" si="45"/>
        <v>2369.1593749999902</v>
      </c>
      <c r="AU39" s="233">
        <f t="shared" si="45"/>
        <v>2374.0394554096529</v>
      </c>
      <c r="AV39" s="233">
        <f t="shared" si="45"/>
        <v>2378.9295879859433</v>
      </c>
      <c r="AW39" s="233">
        <f t="shared" si="45"/>
        <v>2383.8297934346788</v>
      </c>
      <c r="AX39" s="233">
        <f t="shared" ref="AX39:BG48" si="46">IFERROR(IF($D39=0,$G39,IF(AX$8&lt;$E39,$G39,IF(AX$8&gt;=$F39,$H39,0)))*INDEX(AX$3:AX$5,MATCH($C39,$B$3:$B$5,0)),0)</f>
        <v>2388.7400925043271</v>
      </c>
      <c r="AY39" s="233">
        <f t="shared" si="46"/>
        <v>2393.6605059860949</v>
      </c>
      <c r="AZ39" s="233">
        <f t="shared" si="46"/>
        <v>2398.5910547140156</v>
      </c>
      <c r="BA39" s="233">
        <f t="shared" si="46"/>
        <v>2403.5317595650358</v>
      </c>
      <c r="BB39" s="233">
        <f t="shared" si="46"/>
        <v>2408.4826414591071</v>
      </c>
      <c r="BC39" s="233">
        <f t="shared" si="46"/>
        <v>2413.4437213592714</v>
      </c>
      <c r="BD39" s="233">
        <f t="shared" si="46"/>
        <v>2418.4150202717515</v>
      </c>
      <c r="BE39" s="233">
        <f t="shared" si="46"/>
        <v>2423.3965592460399</v>
      </c>
      <c r="BF39" s="233">
        <f t="shared" si="46"/>
        <v>2428.388359374987</v>
      </c>
      <c r="BG39" s="233">
        <f t="shared" si="46"/>
        <v>2433.3904417948911</v>
      </c>
      <c r="BH39" s="233">
        <f t="shared" ref="BH39:BQ48" si="47">IFERROR(IF($D39=0,$G39,IF(BH$8&lt;$E39,$G39,IF(BH$8&gt;=$F39,$H39,0)))*INDEX(BH$3:BH$5,MATCH($C39,$B$3:$B$5,0)),0)</f>
        <v>2438.4028276855893</v>
      </c>
      <c r="BI39" s="233">
        <f t="shared" si="47"/>
        <v>2443.4255382705433</v>
      </c>
      <c r="BJ39" s="233">
        <f t="shared" si="47"/>
        <v>2448.4585948169329</v>
      </c>
      <c r="BK39" s="233">
        <f t="shared" si="47"/>
        <v>2453.5020186357451</v>
      </c>
      <c r="BL39" s="233">
        <f t="shared" si="47"/>
        <v>2458.5558310818633</v>
      </c>
      <c r="BM39" s="233">
        <f t="shared" si="47"/>
        <v>2463.6200535541593</v>
      </c>
      <c r="BN39" s="233">
        <f t="shared" si="47"/>
        <v>2468.694707495582</v>
      </c>
      <c r="BO39" s="233">
        <f t="shared" si="47"/>
        <v>2473.7798143932505</v>
      </c>
      <c r="BP39" s="233">
        <f t="shared" si="47"/>
        <v>2478.8753957785425</v>
      </c>
      <c r="BQ39" s="233">
        <f t="shared" si="47"/>
        <v>2483.9814732271884</v>
      </c>
      <c r="BR39" s="233">
        <f t="shared" ref="BR39:CA48" si="48">IFERROR(IF($D39=0,$G39,IF(BR$8&lt;$E39,$G39,IF(BR$8&gt;=$F39,$H39,0)))*INDEX(BR$3:BR$5,MATCH($C39,$B$3:$B$5,0)),0)</f>
        <v>2489.0980683593589</v>
      </c>
      <c r="BS39" s="233">
        <f t="shared" si="48"/>
        <v>2494.2252028397611</v>
      </c>
      <c r="BT39" s="233">
        <f t="shared" si="48"/>
        <v>2499.3628983777267</v>
      </c>
      <c r="BU39" s="233">
        <f t="shared" si="48"/>
        <v>2504.5111767273042</v>
      </c>
      <c r="BV39" s="233">
        <f t="shared" si="48"/>
        <v>2509.6700596873538</v>
      </c>
      <c r="BW39" s="233">
        <f t="shared" si="48"/>
        <v>2514.8395691016362</v>
      </c>
      <c r="BX39" s="233">
        <f t="shared" si="48"/>
        <v>2520.0197268589077</v>
      </c>
      <c r="BY39" s="233">
        <f t="shared" si="48"/>
        <v>2525.2105548930108</v>
      </c>
      <c r="BZ39" s="233">
        <f t="shared" si="48"/>
        <v>2530.4120751829691</v>
      </c>
      <c r="CA39" s="233">
        <f t="shared" si="48"/>
        <v>2535.6243097530787</v>
      </c>
      <c r="CB39" s="233">
        <f t="shared" ref="CB39:CK48" si="49">IFERROR(IF($D39=0,$G39,IF(CB$8&lt;$E39,$G39,IF(CB$8&gt;=$F39,$H39,0)))*INDEX(CB$3:CB$5,MATCH($C39,$B$3:$B$5,0)),0)</f>
        <v>2540.8472806730028</v>
      </c>
      <c r="CC39" s="233">
        <f t="shared" si="49"/>
        <v>2546.0810100578642</v>
      </c>
      <c r="CD39" s="233">
        <f t="shared" si="49"/>
        <v>2551.3255200683393</v>
      </c>
      <c r="CE39" s="233">
        <f t="shared" si="49"/>
        <v>2556.5808329107513</v>
      </c>
      <c r="CF39" s="233">
        <f t="shared" si="49"/>
        <v>2561.8469708371658</v>
      </c>
      <c r="CG39" s="233">
        <f t="shared" si="49"/>
        <v>2567.1239561454831</v>
      </c>
      <c r="CH39" s="233">
        <f t="shared" si="49"/>
        <v>2572.4118111795333</v>
      </c>
      <c r="CI39" s="233">
        <f t="shared" si="49"/>
        <v>2577.7105583291727</v>
      </c>
      <c r="CJ39" s="233">
        <f t="shared" si="49"/>
        <v>2583.0202200303756</v>
      </c>
      <c r="CK39" s="233">
        <f t="shared" si="49"/>
        <v>2588.3408187653313</v>
      </c>
      <c r="CL39" s="233">
        <f t="shared" ref="CL39:CU48" si="50">IFERROR(IF($D39=0,$G39,IF(CL$8&lt;$E39,$G39,IF(CL$8&gt;=$F39,$H39,0)))*INDEX(CL$3:CL$5,MATCH($C39,$B$3:$B$5,0)),0)</f>
        <v>2593.672377062539</v>
      </c>
      <c r="CM39" s="233">
        <f t="shared" si="50"/>
        <v>2599.0149174969015</v>
      </c>
      <c r="CN39" s="233">
        <f t="shared" si="50"/>
        <v>2604.3684626898239</v>
      </c>
      <c r="CO39" s="233">
        <f t="shared" si="50"/>
        <v>2609.7330353093071</v>
      </c>
      <c r="CP39" s="233">
        <f t="shared" si="50"/>
        <v>2615.1086580700439</v>
      </c>
      <c r="CQ39" s="233">
        <f t="shared" si="50"/>
        <v>2620.4953537335164</v>
      </c>
      <c r="CR39" s="233">
        <f t="shared" si="50"/>
        <v>2625.8931451080912</v>
      </c>
      <c r="CS39" s="233">
        <f t="shared" si="50"/>
        <v>2631.302055049116</v>
      </c>
      <c r="CT39" s="233">
        <f t="shared" si="50"/>
        <v>2636.7221064590181</v>
      </c>
      <c r="CU39" s="233">
        <f t="shared" si="50"/>
        <v>2642.1533222873986</v>
      </c>
      <c r="CV39" s="233">
        <f t="shared" ref="CV39:DE48" si="51">IFERROR(IF($D39=0,$G39,IF(CV$8&lt;$E39,$G39,IF(CV$8&gt;=$F39,$H39,0)))*INDEX(CV$3:CV$5,MATCH($C39,$B$3:$B$5,0)),0)</f>
        <v>2647.5957255311318</v>
      </c>
      <c r="CW39" s="233">
        <f t="shared" si="51"/>
        <v>2653.0493392344615</v>
      </c>
      <c r="CX39" s="233">
        <f t="shared" si="51"/>
        <v>2658.5141864890988</v>
      </c>
      <c r="CY39" s="233">
        <f t="shared" si="51"/>
        <v>2663.9902904343207</v>
      </c>
      <c r="CZ39" s="233">
        <f t="shared" si="51"/>
        <v>2669.4776742570662</v>
      </c>
      <c r="DA39" s="233">
        <f t="shared" si="51"/>
        <v>2674.9763611920362</v>
      </c>
      <c r="DB39" s="233">
        <f t="shared" si="51"/>
        <v>2680.4863745217917</v>
      </c>
      <c r="DC39" s="233">
        <f t="shared" si="51"/>
        <v>2686.007737576851</v>
      </c>
      <c r="DD39" s="233">
        <f t="shared" si="51"/>
        <v>2691.5404737357899</v>
      </c>
      <c r="DE39" s="233">
        <f t="shared" si="51"/>
        <v>2697.0846064253406</v>
      </c>
      <c r="DF39" s="233">
        <f t="shared" ref="DF39:DO48" si="52">IFERROR(IF($D39=0,$G39,IF(DF$8&lt;$E39,$G39,IF(DF$8&gt;=$F39,$H39,0)))*INDEX(DF$3:DF$5,MATCH($C39,$B$3:$B$5,0)),0)</f>
        <v>2702.6401591204899</v>
      </c>
      <c r="DG39" s="233">
        <f t="shared" si="52"/>
        <v>2708.2071553445803</v>
      </c>
      <c r="DH39" s="233">
        <f t="shared" si="52"/>
        <v>2713.7856186694066</v>
      </c>
      <c r="DI39" s="233">
        <f t="shared" si="52"/>
        <v>2719.3755727153193</v>
      </c>
      <c r="DJ39" s="233">
        <f t="shared" si="52"/>
        <v>2724.9770411513227</v>
      </c>
      <c r="DK39" s="233">
        <f t="shared" si="52"/>
        <v>2730.5900476951751</v>
      </c>
      <c r="DL39" s="233">
        <f t="shared" si="52"/>
        <v>2736.2146161134892</v>
      </c>
      <c r="DM39" s="233">
        <f t="shared" si="52"/>
        <v>2741.8507702218335</v>
      </c>
      <c r="DN39" s="233">
        <f t="shared" si="52"/>
        <v>2747.4985338848328</v>
      </c>
      <c r="DO39" s="233">
        <f t="shared" si="52"/>
        <v>2753.1579310162683</v>
      </c>
      <c r="DP39" s="233">
        <f t="shared" ref="DP39:DY48" si="53">IFERROR(IF($D39=0,$G39,IF(DP$8&lt;$E39,$G39,IF(DP$8&gt;=$F39,$H39,0)))*INDEX(DP$3:DP$5,MATCH($C39,$B$3:$B$5,0)),0)</f>
        <v>2758.8289855791809</v>
      </c>
      <c r="DQ39" s="233">
        <f t="shared" si="53"/>
        <v>2764.51172158597</v>
      </c>
      <c r="DR39" s="233">
        <f t="shared" si="53"/>
        <v>2770.2061630984986</v>
      </c>
      <c r="DS39" s="233">
        <f t="shared" si="53"/>
        <v>2775.9123342281905</v>
      </c>
      <c r="DT39" s="233">
        <f t="shared" si="53"/>
        <v>2781.6302591361377</v>
      </c>
      <c r="DU39" s="233">
        <f t="shared" si="53"/>
        <v>2787.3599620331984</v>
      </c>
      <c r="DV39" s="233">
        <f t="shared" si="53"/>
        <v>2793.1014671801022</v>
      </c>
      <c r="DW39" s="233">
        <f t="shared" si="53"/>
        <v>2798.8547988875507</v>
      </c>
      <c r="DX39" s="233">
        <f t="shared" si="53"/>
        <v>2804.6199815163222</v>
      </c>
      <c r="DY39" s="233">
        <f t="shared" si="53"/>
        <v>2810.3970394773755</v>
      </c>
      <c r="DZ39" s="233">
        <f t="shared" ref="DZ39:EK48" si="54">IFERROR(IF($D39=0,$G39,IF(DZ$8&lt;$E39,$G39,IF(DZ$8&gt;=$F39,$H39,0)))*INDEX(DZ$3:DZ$5,MATCH($C39,$B$3:$B$5,0)),0)</f>
        <v>2816.1859972319498</v>
      </c>
      <c r="EA39" s="233">
        <f t="shared" si="54"/>
        <v>2821.9868792916714</v>
      </c>
      <c r="EB39" s="233">
        <f t="shared" si="54"/>
        <v>2827.7997102186569</v>
      </c>
      <c r="EC39" s="233">
        <f t="shared" si="54"/>
        <v>2833.624514625616</v>
      </c>
      <c r="ED39" s="233">
        <f t="shared" si="54"/>
        <v>2839.4613171759574</v>
      </c>
      <c r="EE39" s="233">
        <f t="shared" si="54"/>
        <v>2845.3101425838918</v>
      </c>
      <c r="EF39" s="233">
        <f t="shared" si="54"/>
        <v>2851.1710156145377</v>
      </c>
      <c r="EG39" s="233">
        <f t="shared" si="54"/>
        <v>2857.0439610840253</v>
      </c>
      <c r="EH39" s="233">
        <f t="shared" si="54"/>
        <v>2862.9290038596014</v>
      </c>
      <c r="EI39" s="233">
        <f t="shared" si="54"/>
        <v>2868.8261688597363</v>
      </c>
      <c r="EJ39" s="233">
        <f t="shared" si="54"/>
        <v>2874.7354810542274</v>
      </c>
      <c r="EK39" s="233">
        <f t="shared" si="54"/>
        <v>2880.6569654643067</v>
      </c>
    </row>
    <row r="40" spans="2:141" x14ac:dyDescent="0.45">
      <c r="B40" s="230">
        <f>Assumptions!B77</f>
        <v>32</v>
      </c>
      <c r="C40" s="230" t="str">
        <f>Assumptions!C77</f>
        <v>Fair Market</v>
      </c>
      <c r="D40" s="439">
        <f>Assumptions!D77</f>
        <v>0</v>
      </c>
      <c r="E40" s="22">
        <f>Assumptions!G77</f>
        <v>12</v>
      </c>
      <c r="F40" s="22">
        <f>IF(D40=1,E40+SUM(Assumptions!$G$142:$G$143),'Rent Roll Model'!E40)</f>
        <v>12</v>
      </c>
      <c r="G40" s="233">
        <f>Assumptions!I77</f>
        <v>1219</v>
      </c>
      <c r="H40" s="233">
        <f>Assumptions!J77</f>
        <v>1219</v>
      </c>
      <c r="J40" s="233">
        <f t="shared" si="42"/>
        <v>1219</v>
      </c>
      <c r="K40" s="233">
        <f t="shared" si="42"/>
        <v>1221.5109404129382</v>
      </c>
      <c r="L40" s="233">
        <f t="shared" si="42"/>
        <v>1224.0270529520105</v>
      </c>
      <c r="M40" s="233">
        <f t="shared" si="42"/>
        <v>1226.5483482709499</v>
      </c>
      <c r="N40" s="233">
        <f t="shared" si="42"/>
        <v>1229.0748370454342</v>
      </c>
      <c r="O40" s="233">
        <f t="shared" si="42"/>
        <v>1231.6065299731313</v>
      </c>
      <c r="P40" s="233">
        <f t="shared" si="42"/>
        <v>1234.1434377737451</v>
      </c>
      <c r="Q40" s="233">
        <f t="shared" si="42"/>
        <v>1236.6855711890596</v>
      </c>
      <c r="R40" s="233">
        <f t="shared" si="42"/>
        <v>1239.2329409829863</v>
      </c>
      <c r="S40" s="233">
        <f t="shared" si="42"/>
        <v>1241.7855579416071</v>
      </c>
      <c r="T40" s="233">
        <f t="shared" si="43"/>
        <v>1244.3434328732219</v>
      </c>
      <c r="U40" s="233">
        <f t="shared" si="43"/>
        <v>1246.9065766083947</v>
      </c>
      <c r="V40" s="233">
        <f t="shared" si="43"/>
        <v>1249.4749999999983</v>
      </c>
      <c r="W40" s="233">
        <f t="shared" si="43"/>
        <v>1252.04871392326</v>
      </c>
      <c r="X40" s="233">
        <f t="shared" si="43"/>
        <v>1254.6277292758093</v>
      </c>
      <c r="Y40" s="233">
        <f t="shared" si="43"/>
        <v>1257.2120569777221</v>
      </c>
      <c r="Z40" s="233">
        <f t="shared" si="43"/>
        <v>1259.8017079715685</v>
      </c>
      <c r="AA40" s="233">
        <f t="shared" si="43"/>
        <v>1262.3966932224582</v>
      </c>
      <c r="AB40" s="233">
        <f t="shared" si="43"/>
        <v>1264.9970237180871</v>
      </c>
      <c r="AC40" s="233">
        <f t="shared" si="43"/>
        <v>1267.6027104687848</v>
      </c>
      <c r="AD40" s="233">
        <f t="shared" si="44"/>
        <v>1270.2137645075593</v>
      </c>
      <c r="AE40" s="233">
        <f t="shared" si="44"/>
        <v>1272.8301968901455</v>
      </c>
      <c r="AF40" s="233">
        <f t="shared" si="44"/>
        <v>1275.4520186950508</v>
      </c>
      <c r="AG40" s="233">
        <f t="shared" si="44"/>
        <v>1278.0792410236033</v>
      </c>
      <c r="AH40" s="233">
        <f t="shared" si="44"/>
        <v>1280.7118749999966</v>
      </c>
      <c r="AI40" s="233">
        <f t="shared" si="44"/>
        <v>1283.3499317713399</v>
      </c>
      <c r="AJ40" s="233">
        <f t="shared" si="44"/>
        <v>1285.9934225077027</v>
      </c>
      <c r="AK40" s="233">
        <f t="shared" si="44"/>
        <v>1288.6423584021632</v>
      </c>
      <c r="AL40" s="233">
        <f t="shared" si="44"/>
        <v>1291.2967506708553</v>
      </c>
      <c r="AM40" s="233">
        <f t="shared" si="44"/>
        <v>1293.9566105530173</v>
      </c>
      <c r="AN40" s="233">
        <f t="shared" si="45"/>
        <v>1296.6219493110373</v>
      </c>
      <c r="AO40" s="233">
        <f t="shared" si="45"/>
        <v>1299.2927782305023</v>
      </c>
      <c r="AP40" s="233">
        <f t="shared" si="45"/>
        <v>1301.9691086202463</v>
      </c>
      <c r="AQ40" s="233">
        <f t="shared" si="45"/>
        <v>1304.6509518123969</v>
      </c>
      <c r="AR40" s="233">
        <f t="shared" si="45"/>
        <v>1307.338319162425</v>
      </c>
      <c r="AS40" s="233">
        <f t="shared" si="45"/>
        <v>1310.031222049191</v>
      </c>
      <c r="AT40" s="233">
        <f t="shared" si="45"/>
        <v>1312.7296718749944</v>
      </c>
      <c r="AU40" s="233">
        <f t="shared" si="45"/>
        <v>1315.4336800656213</v>
      </c>
      <c r="AV40" s="233">
        <f t="shared" si="45"/>
        <v>1318.1432580703931</v>
      </c>
      <c r="AW40" s="233">
        <f t="shared" si="45"/>
        <v>1320.8584173622153</v>
      </c>
      <c r="AX40" s="233">
        <f t="shared" si="46"/>
        <v>1323.5791694376251</v>
      </c>
      <c r="AY40" s="233">
        <f t="shared" si="46"/>
        <v>1326.3055258168408</v>
      </c>
      <c r="AZ40" s="233">
        <f t="shared" si="46"/>
        <v>1329.0374980438114</v>
      </c>
      <c r="BA40" s="233">
        <f t="shared" si="46"/>
        <v>1331.7750976862631</v>
      </c>
      <c r="BB40" s="233">
        <f t="shared" si="46"/>
        <v>1334.5183363357505</v>
      </c>
      <c r="BC40" s="233">
        <f t="shared" si="46"/>
        <v>1337.2672256077053</v>
      </c>
      <c r="BD40" s="233">
        <f t="shared" si="46"/>
        <v>1340.0217771414841</v>
      </c>
      <c r="BE40" s="233">
        <f t="shared" si="46"/>
        <v>1342.7820026004192</v>
      </c>
      <c r="BF40" s="233">
        <f t="shared" si="46"/>
        <v>1345.5479136718677</v>
      </c>
      <c r="BG40" s="233">
        <f t="shared" si="46"/>
        <v>1348.3195220672603</v>
      </c>
      <c r="BH40" s="233">
        <f t="shared" si="47"/>
        <v>1351.0968395221514</v>
      </c>
      <c r="BI40" s="233">
        <f t="shared" si="47"/>
        <v>1353.8798777962691</v>
      </c>
      <c r="BJ40" s="233">
        <f t="shared" si="47"/>
        <v>1356.6686486735641</v>
      </c>
      <c r="BK40" s="233">
        <f t="shared" si="47"/>
        <v>1359.4631639622608</v>
      </c>
      <c r="BL40" s="233">
        <f t="shared" si="47"/>
        <v>1362.2634354949053</v>
      </c>
      <c r="BM40" s="233">
        <f t="shared" si="47"/>
        <v>1365.0694751284184</v>
      </c>
      <c r="BN40" s="233">
        <f t="shared" si="47"/>
        <v>1367.8812947441431</v>
      </c>
      <c r="BO40" s="233">
        <f t="shared" si="47"/>
        <v>1370.6989062478965</v>
      </c>
      <c r="BP40" s="233">
        <f t="shared" si="47"/>
        <v>1373.5223215700198</v>
      </c>
      <c r="BQ40" s="233">
        <f t="shared" si="47"/>
        <v>1376.3515526654285</v>
      </c>
      <c r="BR40" s="233">
        <f t="shared" si="48"/>
        <v>1379.1866115136631</v>
      </c>
      <c r="BS40" s="233">
        <f t="shared" si="48"/>
        <v>1382.0275101189404</v>
      </c>
      <c r="BT40" s="233">
        <f t="shared" si="48"/>
        <v>1384.8742605102041</v>
      </c>
      <c r="BU40" s="233">
        <f t="shared" si="48"/>
        <v>1387.7268747411745</v>
      </c>
      <c r="BV40" s="233">
        <f t="shared" si="48"/>
        <v>1390.5853648904019</v>
      </c>
      <c r="BW40" s="233">
        <f t="shared" si="48"/>
        <v>1393.4497430613158</v>
      </c>
      <c r="BX40" s="233">
        <f t="shared" si="48"/>
        <v>1396.3200213822765</v>
      </c>
      <c r="BY40" s="233">
        <f t="shared" si="48"/>
        <v>1399.1962120066273</v>
      </c>
      <c r="BZ40" s="233">
        <f t="shared" si="48"/>
        <v>1402.078327112745</v>
      </c>
      <c r="CA40" s="233">
        <f t="shared" si="48"/>
        <v>1404.9663789040922</v>
      </c>
      <c r="CB40" s="233">
        <f t="shared" si="49"/>
        <v>1407.8603796092684</v>
      </c>
      <c r="CC40" s="233">
        <f t="shared" si="49"/>
        <v>1410.7603414820621</v>
      </c>
      <c r="CD40" s="233">
        <f t="shared" si="49"/>
        <v>1413.6662768015026</v>
      </c>
      <c r="CE40" s="233">
        <f t="shared" si="49"/>
        <v>1416.5781978719117</v>
      </c>
      <c r="CF40" s="233">
        <f t="shared" si="49"/>
        <v>1419.4961170229569</v>
      </c>
      <c r="CG40" s="233">
        <f t="shared" si="49"/>
        <v>1422.4200466097018</v>
      </c>
      <c r="CH40" s="233">
        <f t="shared" si="49"/>
        <v>1425.3499990126597</v>
      </c>
      <c r="CI40" s="233">
        <f t="shared" si="49"/>
        <v>1428.2859866378462</v>
      </c>
      <c r="CJ40" s="233">
        <f t="shared" si="49"/>
        <v>1431.2280219168308</v>
      </c>
      <c r="CK40" s="233">
        <f t="shared" si="49"/>
        <v>1434.1761173067905</v>
      </c>
      <c r="CL40" s="233">
        <f t="shared" si="50"/>
        <v>1437.1302852905612</v>
      </c>
      <c r="CM40" s="233">
        <f t="shared" si="50"/>
        <v>1440.0905383766924</v>
      </c>
      <c r="CN40" s="233">
        <f t="shared" si="50"/>
        <v>1443.056889099498</v>
      </c>
      <c r="CO40" s="233">
        <f t="shared" si="50"/>
        <v>1446.0293500191115</v>
      </c>
      <c r="CP40" s="233">
        <f t="shared" si="50"/>
        <v>1449.0079337215379</v>
      </c>
      <c r="CQ40" s="233">
        <f t="shared" si="50"/>
        <v>1451.9926528187075</v>
      </c>
      <c r="CR40" s="233">
        <f t="shared" si="50"/>
        <v>1454.9835199485285</v>
      </c>
      <c r="CS40" s="233">
        <f t="shared" si="50"/>
        <v>1457.9805477749421</v>
      </c>
      <c r="CT40" s="233">
        <f t="shared" si="50"/>
        <v>1460.983748987974</v>
      </c>
      <c r="CU40" s="233">
        <f t="shared" si="50"/>
        <v>1463.9931363037904</v>
      </c>
      <c r="CV40" s="233">
        <f t="shared" si="51"/>
        <v>1467.0087224647498</v>
      </c>
      <c r="CW40" s="233">
        <f t="shared" si="51"/>
        <v>1470.0305202394584</v>
      </c>
      <c r="CX40" s="233">
        <f t="shared" si="51"/>
        <v>1473.0585424228234</v>
      </c>
      <c r="CY40" s="233">
        <f t="shared" si="51"/>
        <v>1476.0928018361076</v>
      </c>
      <c r="CZ40" s="233">
        <f t="shared" si="51"/>
        <v>1479.1333113269834</v>
      </c>
      <c r="DA40" s="233">
        <f t="shared" si="51"/>
        <v>1482.1800837695873</v>
      </c>
      <c r="DB40" s="233">
        <f t="shared" si="51"/>
        <v>1485.2331320645744</v>
      </c>
      <c r="DC40" s="233">
        <f t="shared" si="51"/>
        <v>1488.2924691391734</v>
      </c>
      <c r="DD40" s="233">
        <f t="shared" si="51"/>
        <v>1491.3581079472399</v>
      </c>
      <c r="DE40" s="233">
        <f t="shared" si="51"/>
        <v>1494.4300614693136</v>
      </c>
      <c r="DF40" s="233">
        <f t="shared" si="52"/>
        <v>1497.5083427126715</v>
      </c>
      <c r="DG40" s="233">
        <f t="shared" si="52"/>
        <v>1500.5929647113833</v>
      </c>
      <c r="DH40" s="233">
        <f t="shared" si="52"/>
        <v>1503.6839405263668</v>
      </c>
      <c r="DI40" s="233">
        <f t="shared" si="52"/>
        <v>1506.7812832454429</v>
      </c>
      <c r="DJ40" s="233">
        <f t="shared" si="52"/>
        <v>1509.8850059833921</v>
      </c>
      <c r="DK40" s="233">
        <f t="shared" si="52"/>
        <v>1512.9951218820083</v>
      </c>
      <c r="DL40" s="233">
        <f t="shared" si="52"/>
        <v>1516.111644110156</v>
      </c>
      <c r="DM40" s="233">
        <f t="shared" si="52"/>
        <v>1519.234585863825</v>
      </c>
      <c r="DN40" s="233">
        <f t="shared" si="52"/>
        <v>1522.3639603661868</v>
      </c>
      <c r="DO40" s="233">
        <f t="shared" si="52"/>
        <v>1525.4997808676505</v>
      </c>
      <c r="DP40" s="233">
        <f t="shared" si="53"/>
        <v>1528.6420606459187</v>
      </c>
      <c r="DQ40" s="233">
        <f t="shared" si="53"/>
        <v>1531.7908130060443</v>
      </c>
      <c r="DR40" s="233">
        <f t="shared" si="53"/>
        <v>1534.9460512804862</v>
      </c>
      <c r="DS40" s="233">
        <f t="shared" si="53"/>
        <v>1538.1077888291654</v>
      </c>
      <c r="DT40" s="233">
        <f t="shared" si="53"/>
        <v>1541.2760390395235</v>
      </c>
      <c r="DU40" s="233">
        <f t="shared" si="53"/>
        <v>1544.4508153265767</v>
      </c>
      <c r="DV40" s="233">
        <f t="shared" si="53"/>
        <v>1547.6321311329748</v>
      </c>
      <c r="DW40" s="233">
        <f t="shared" si="53"/>
        <v>1550.8199999290564</v>
      </c>
      <c r="DX40" s="233">
        <f t="shared" si="53"/>
        <v>1554.0144352129078</v>
      </c>
      <c r="DY40" s="233">
        <f t="shared" si="53"/>
        <v>1557.2154505104186</v>
      </c>
      <c r="DZ40" s="233">
        <f t="shared" si="54"/>
        <v>1560.4230593753396</v>
      </c>
      <c r="EA40" s="233">
        <f t="shared" si="54"/>
        <v>1563.6372753893397</v>
      </c>
      <c r="EB40" s="233">
        <f t="shared" si="54"/>
        <v>1566.8581121620648</v>
      </c>
      <c r="EC40" s="233">
        <f t="shared" si="54"/>
        <v>1570.0855833311937</v>
      </c>
      <c r="ED40" s="233">
        <f t="shared" si="54"/>
        <v>1573.3197025624963</v>
      </c>
      <c r="EE40" s="233">
        <f t="shared" si="54"/>
        <v>1576.5604835498928</v>
      </c>
      <c r="EF40" s="233">
        <f t="shared" si="54"/>
        <v>1579.8079400155098</v>
      </c>
      <c r="EG40" s="233">
        <f t="shared" si="54"/>
        <v>1583.0620857097394</v>
      </c>
      <c r="EH40" s="233">
        <f t="shared" si="54"/>
        <v>1586.3229344112974</v>
      </c>
      <c r="EI40" s="233">
        <f t="shared" si="54"/>
        <v>1589.5904999272811</v>
      </c>
      <c r="EJ40" s="233">
        <f t="shared" si="54"/>
        <v>1592.8647960932287</v>
      </c>
      <c r="EK40" s="233">
        <f t="shared" si="54"/>
        <v>1596.1458367731773</v>
      </c>
    </row>
    <row r="41" spans="2:141" x14ac:dyDescent="0.45">
      <c r="B41" s="230">
        <f>Assumptions!B78</f>
        <v>33</v>
      </c>
      <c r="C41" s="230" t="str">
        <f>Assumptions!C78</f>
        <v>Fair Market</v>
      </c>
      <c r="D41" s="439">
        <f>Assumptions!D78</f>
        <v>1</v>
      </c>
      <c r="E41" s="22">
        <f>Assumptions!G78</f>
        <v>12</v>
      </c>
      <c r="F41" s="22">
        <f>IF(D41=1,E41+SUM(Assumptions!$G$142:$G$143),'Rent Roll Model'!E41)</f>
        <v>16</v>
      </c>
      <c r="G41" s="233">
        <f>Assumptions!I78</f>
        <v>1600</v>
      </c>
      <c r="H41" s="233">
        <f>Assumptions!J78</f>
        <v>2200</v>
      </c>
      <c r="J41" s="233">
        <f t="shared" si="42"/>
        <v>1600</v>
      </c>
      <c r="K41" s="233">
        <f t="shared" si="42"/>
        <v>1603.2957380317484</v>
      </c>
      <c r="L41" s="233">
        <f t="shared" si="42"/>
        <v>1606.5982647442304</v>
      </c>
      <c r="M41" s="233">
        <f t="shared" si="42"/>
        <v>1609.9075941210169</v>
      </c>
      <c r="N41" s="233">
        <f t="shared" si="42"/>
        <v>1613.2237401744828</v>
      </c>
      <c r="O41" s="233">
        <f t="shared" si="42"/>
        <v>1616.5467169458655</v>
      </c>
      <c r="P41" s="233">
        <f t="shared" si="42"/>
        <v>1619.8765385053257</v>
      </c>
      <c r="Q41" s="233">
        <f t="shared" si="42"/>
        <v>1623.2132189520062</v>
      </c>
      <c r="R41" s="233">
        <f t="shared" si="42"/>
        <v>1626.5567724140919</v>
      </c>
      <c r="S41" s="233">
        <f t="shared" si="42"/>
        <v>1629.9072130488689</v>
      </c>
      <c r="T41" s="233">
        <f t="shared" si="43"/>
        <v>1633.2645550427851</v>
      </c>
      <c r="U41" s="233">
        <f t="shared" si="43"/>
        <v>0</v>
      </c>
      <c r="V41" s="233">
        <f t="shared" si="43"/>
        <v>0</v>
      </c>
      <c r="W41" s="233">
        <f t="shared" si="43"/>
        <v>0</v>
      </c>
      <c r="X41" s="233">
        <f t="shared" si="43"/>
        <v>0</v>
      </c>
      <c r="Y41" s="233">
        <f t="shared" si="43"/>
        <v>2268.9635154643056</v>
      </c>
      <c r="Z41" s="233">
        <f t="shared" si="43"/>
        <v>2273.637208808409</v>
      </c>
      <c r="AA41" s="233">
        <f t="shared" si="43"/>
        <v>2278.3205291955765</v>
      </c>
      <c r="AB41" s="233">
        <f t="shared" si="43"/>
        <v>2283.0134964559406</v>
      </c>
      <c r="AC41" s="233">
        <f t="shared" si="43"/>
        <v>2287.7161304604811</v>
      </c>
      <c r="AD41" s="233">
        <f t="shared" si="44"/>
        <v>2292.4284511211076</v>
      </c>
      <c r="AE41" s="233">
        <f t="shared" si="44"/>
        <v>2297.1504783907467</v>
      </c>
      <c r="AF41" s="233">
        <f t="shared" si="44"/>
        <v>2301.8822322634223</v>
      </c>
      <c r="AG41" s="233">
        <f t="shared" si="44"/>
        <v>2306.6237327743456</v>
      </c>
      <c r="AH41" s="233">
        <f t="shared" si="44"/>
        <v>2311.3749999999941</v>
      </c>
      <c r="AI41" s="233">
        <f t="shared" si="44"/>
        <v>2316.1360540582018</v>
      </c>
      <c r="AJ41" s="233">
        <f t="shared" si="44"/>
        <v>2320.9069151082408</v>
      </c>
      <c r="AK41" s="233">
        <f t="shared" si="44"/>
        <v>2325.6876033509097</v>
      </c>
      <c r="AL41" s="233">
        <f t="shared" si="44"/>
        <v>2330.4781390286153</v>
      </c>
      <c r="AM41" s="233">
        <f t="shared" si="44"/>
        <v>2335.2785424254621</v>
      </c>
      <c r="AN41" s="233">
        <f t="shared" si="45"/>
        <v>2340.0888338673353</v>
      </c>
      <c r="AO41" s="233">
        <f t="shared" si="45"/>
        <v>2344.9090337219891</v>
      </c>
      <c r="AP41" s="233">
        <f t="shared" si="45"/>
        <v>2349.7391623991321</v>
      </c>
      <c r="AQ41" s="233">
        <f t="shared" si="45"/>
        <v>2354.5792403505111</v>
      </c>
      <c r="AR41" s="233">
        <f t="shared" si="45"/>
        <v>2359.4292880700041</v>
      </c>
      <c r="AS41" s="233">
        <f t="shared" si="45"/>
        <v>2364.2893260936999</v>
      </c>
      <c r="AT41" s="233">
        <f t="shared" si="45"/>
        <v>2369.1593749999902</v>
      </c>
      <c r="AU41" s="233">
        <f t="shared" si="45"/>
        <v>2374.0394554096529</v>
      </c>
      <c r="AV41" s="233">
        <f t="shared" si="45"/>
        <v>2378.9295879859433</v>
      </c>
      <c r="AW41" s="233">
        <f t="shared" si="45"/>
        <v>2383.8297934346788</v>
      </c>
      <c r="AX41" s="233">
        <f t="shared" si="46"/>
        <v>2388.7400925043271</v>
      </c>
      <c r="AY41" s="233">
        <f t="shared" si="46"/>
        <v>2393.6605059860949</v>
      </c>
      <c r="AZ41" s="233">
        <f t="shared" si="46"/>
        <v>2398.5910547140156</v>
      </c>
      <c r="BA41" s="233">
        <f t="shared" si="46"/>
        <v>2403.5317595650358</v>
      </c>
      <c r="BB41" s="233">
        <f t="shared" si="46"/>
        <v>2408.4826414591071</v>
      </c>
      <c r="BC41" s="233">
        <f t="shared" si="46"/>
        <v>2413.4437213592714</v>
      </c>
      <c r="BD41" s="233">
        <f t="shared" si="46"/>
        <v>2418.4150202717515</v>
      </c>
      <c r="BE41" s="233">
        <f t="shared" si="46"/>
        <v>2423.3965592460399</v>
      </c>
      <c r="BF41" s="233">
        <f t="shared" si="46"/>
        <v>2428.388359374987</v>
      </c>
      <c r="BG41" s="233">
        <f t="shared" si="46"/>
        <v>2433.3904417948911</v>
      </c>
      <c r="BH41" s="233">
        <f t="shared" si="47"/>
        <v>2438.4028276855893</v>
      </c>
      <c r="BI41" s="233">
        <f t="shared" si="47"/>
        <v>2443.4255382705433</v>
      </c>
      <c r="BJ41" s="233">
        <f t="shared" si="47"/>
        <v>2448.4585948169329</v>
      </c>
      <c r="BK41" s="233">
        <f t="shared" si="47"/>
        <v>2453.5020186357451</v>
      </c>
      <c r="BL41" s="233">
        <f t="shared" si="47"/>
        <v>2458.5558310818633</v>
      </c>
      <c r="BM41" s="233">
        <f t="shared" si="47"/>
        <v>2463.6200535541593</v>
      </c>
      <c r="BN41" s="233">
        <f t="shared" si="47"/>
        <v>2468.694707495582</v>
      </c>
      <c r="BO41" s="233">
        <f t="shared" si="47"/>
        <v>2473.7798143932505</v>
      </c>
      <c r="BP41" s="233">
        <f t="shared" si="47"/>
        <v>2478.8753957785425</v>
      </c>
      <c r="BQ41" s="233">
        <f t="shared" si="47"/>
        <v>2483.9814732271884</v>
      </c>
      <c r="BR41" s="233">
        <f t="shared" si="48"/>
        <v>2489.0980683593589</v>
      </c>
      <c r="BS41" s="233">
        <f t="shared" si="48"/>
        <v>2494.2252028397611</v>
      </c>
      <c r="BT41" s="233">
        <f t="shared" si="48"/>
        <v>2499.3628983777267</v>
      </c>
      <c r="BU41" s="233">
        <f t="shared" si="48"/>
        <v>2504.5111767273042</v>
      </c>
      <c r="BV41" s="233">
        <f t="shared" si="48"/>
        <v>2509.6700596873538</v>
      </c>
      <c r="BW41" s="233">
        <f t="shared" si="48"/>
        <v>2514.8395691016362</v>
      </c>
      <c r="BX41" s="233">
        <f t="shared" si="48"/>
        <v>2520.0197268589077</v>
      </c>
      <c r="BY41" s="233">
        <f t="shared" si="48"/>
        <v>2525.2105548930108</v>
      </c>
      <c r="BZ41" s="233">
        <f t="shared" si="48"/>
        <v>2530.4120751829691</v>
      </c>
      <c r="CA41" s="233">
        <f t="shared" si="48"/>
        <v>2535.6243097530787</v>
      </c>
      <c r="CB41" s="233">
        <f t="shared" si="49"/>
        <v>2540.8472806730028</v>
      </c>
      <c r="CC41" s="233">
        <f t="shared" si="49"/>
        <v>2546.0810100578642</v>
      </c>
      <c r="CD41" s="233">
        <f t="shared" si="49"/>
        <v>2551.3255200683393</v>
      </c>
      <c r="CE41" s="233">
        <f t="shared" si="49"/>
        <v>2556.5808329107513</v>
      </c>
      <c r="CF41" s="233">
        <f t="shared" si="49"/>
        <v>2561.8469708371658</v>
      </c>
      <c r="CG41" s="233">
        <f t="shared" si="49"/>
        <v>2567.1239561454831</v>
      </c>
      <c r="CH41" s="233">
        <f t="shared" si="49"/>
        <v>2572.4118111795333</v>
      </c>
      <c r="CI41" s="233">
        <f t="shared" si="49"/>
        <v>2577.7105583291727</v>
      </c>
      <c r="CJ41" s="233">
        <f t="shared" si="49"/>
        <v>2583.0202200303756</v>
      </c>
      <c r="CK41" s="233">
        <f t="shared" si="49"/>
        <v>2588.3408187653313</v>
      </c>
      <c r="CL41" s="233">
        <f t="shared" si="50"/>
        <v>2593.672377062539</v>
      </c>
      <c r="CM41" s="233">
        <f t="shared" si="50"/>
        <v>2599.0149174969015</v>
      </c>
      <c r="CN41" s="233">
        <f t="shared" si="50"/>
        <v>2604.3684626898239</v>
      </c>
      <c r="CO41" s="233">
        <f t="shared" si="50"/>
        <v>2609.7330353093071</v>
      </c>
      <c r="CP41" s="233">
        <f t="shared" si="50"/>
        <v>2615.1086580700439</v>
      </c>
      <c r="CQ41" s="233">
        <f t="shared" si="50"/>
        <v>2620.4953537335164</v>
      </c>
      <c r="CR41" s="233">
        <f t="shared" si="50"/>
        <v>2625.8931451080912</v>
      </c>
      <c r="CS41" s="233">
        <f t="shared" si="50"/>
        <v>2631.302055049116</v>
      </c>
      <c r="CT41" s="233">
        <f t="shared" si="50"/>
        <v>2636.7221064590181</v>
      </c>
      <c r="CU41" s="233">
        <f t="shared" si="50"/>
        <v>2642.1533222873986</v>
      </c>
      <c r="CV41" s="233">
        <f t="shared" si="51"/>
        <v>2647.5957255311318</v>
      </c>
      <c r="CW41" s="233">
        <f t="shared" si="51"/>
        <v>2653.0493392344615</v>
      </c>
      <c r="CX41" s="233">
        <f t="shared" si="51"/>
        <v>2658.5141864890988</v>
      </c>
      <c r="CY41" s="233">
        <f t="shared" si="51"/>
        <v>2663.9902904343207</v>
      </c>
      <c r="CZ41" s="233">
        <f t="shared" si="51"/>
        <v>2669.4776742570662</v>
      </c>
      <c r="DA41" s="233">
        <f t="shared" si="51"/>
        <v>2674.9763611920362</v>
      </c>
      <c r="DB41" s="233">
        <f t="shared" si="51"/>
        <v>2680.4863745217917</v>
      </c>
      <c r="DC41" s="233">
        <f t="shared" si="51"/>
        <v>2686.007737576851</v>
      </c>
      <c r="DD41" s="233">
        <f t="shared" si="51"/>
        <v>2691.5404737357899</v>
      </c>
      <c r="DE41" s="233">
        <f t="shared" si="51"/>
        <v>2697.0846064253406</v>
      </c>
      <c r="DF41" s="233">
        <f t="shared" si="52"/>
        <v>2702.6401591204899</v>
      </c>
      <c r="DG41" s="233">
        <f t="shared" si="52"/>
        <v>2708.2071553445803</v>
      </c>
      <c r="DH41" s="233">
        <f t="shared" si="52"/>
        <v>2713.7856186694066</v>
      </c>
      <c r="DI41" s="233">
        <f t="shared" si="52"/>
        <v>2719.3755727153193</v>
      </c>
      <c r="DJ41" s="233">
        <f t="shared" si="52"/>
        <v>2724.9770411513227</v>
      </c>
      <c r="DK41" s="233">
        <f t="shared" si="52"/>
        <v>2730.5900476951751</v>
      </c>
      <c r="DL41" s="233">
        <f t="shared" si="52"/>
        <v>2736.2146161134892</v>
      </c>
      <c r="DM41" s="233">
        <f t="shared" si="52"/>
        <v>2741.8507702218335</v>
      </c>
      <c r="DN41" s="233">
        <f t="shared" si="52"/>
        <v>2747.4985338848328</v>
      </c>
      <c r="DO41" s="233">
        <f t="shared" si="52"/>
        <v>2753.1579310162683</v>
      </c>
      <c r="DP41" s="233">
        <f t="shared" si="53"/>
        <v>2758.8289855791809</v>
      </c>
      <c r="DQ41" s="233">
        <f t="shared" si="53"/>
        <v>2764.51172158597</v>
      </c>
      <c r="DR41" s="233">
        <f t="shared" si="53"/>
        <v>2770.2061630984986</v>
      </c>
      <c r="DS41" s="233">
        <f t="shared" si="53"/>
        <v>2775.9123342281905</v>
      </c>
      <c r="DT41" s="233">
        <f t="shared" si="53"/>
        <v>2781.6302591361377</v>
      </c>
      <c r="DU41" s="233">
        <f t="shared" si="53"/>
        <v>2787.3599620331984</v>
      </c>
      <c r="DV41" s="233">
        <f t="shared" si="53"/>
        <v>2793.1014671801022</v>
      </c>
      <c r="DW41" s="233">
        <f t="shared" si="53"/>
        <v>2798.8547988875507</v>
      </c>
      <c r="DX41" s="233">
        <f t="shared" si="53"/>
        <v>2804.6199815163222</v>
      </c>
      <c r="DY41" s="233">
        <f t="shared" si="53"/>
        <v>2810.3970394773755</v>
      </c>
      <c r="DZ41" s="233">
        <f t="shared" si="54"/>
        <v>2816.1859972319498</v>
      </c>
      <c r="EA41" s="233">
        <f t="shared" si="54"/>
        <v>2821.9868792916714</v>
      </c>
      <c r="EB41" s="233">
        <f t="shared" si="54"/>
        <v>2827.7997102186569</v>
      </c>
      <c r="EC41" s="233">
        <f t="shared" si="54"/>
        <v>2833.624514625616</v>
      </c>
      <c r="ED41" s="233">
        <f t="shared" si="54"/>
        <v>2839.4613171759574</v>
      </c>
      <c r="EE41" s="233">
        <f t="shared" si="54"/>
        <v>2845.3101425838918</v>
      </c>
      <c r="EF41" s="233">
        <f t="shared" si="54"/>
        <v>2851.1710156145377</v>
      </c>
      <c r="EG41" s="233">
        <f t="shared" si="54"/>
        <v>2857.0439610840253</v>
      </c>
      <c r="EH41" s="233">
        <f t="shared" si="54"/>
        <v>2862.9290038596014</v>
      </c>
      <c r="EI41" s="233">
        <f t="shared" si="54"/>
        <v>2868.8261688597363</v>
      </c>
      <c r="EJ41" s="233">
        <f t="shared" si="54"/>
        <v>2874.7354810542274</v>
      </c>
      <c r="EK41" s="233">
        <f t="shared" si="54"/>
        <v>2880.6569654643067</v>
      </c>
    </row>
    <row r="42" spans="2:141" x14ac:dyDescent="0.45">
      <c r="B42" s="230">
        <f>Assumptions!B79</f>
        <v>34</v>
      </c>
      <c r="C42" s="230" t="str">
        <f>Assumptions!C79</f>
        <v>Fair Market</v>
      </c>
      <c r="D42" s="439">
        <f>Assumptions!D79</f>
        <v>0</v>
      </c>
      <c r="E42" s="22">
        <f>Assumptions!G79</f>
        <v>13</v>
      </c>
      <c r="F42" s="22">
        <f>IF(D42=1,E42+SUM(Assumptions!$G$142:$G$143),'Rent Roll Model'!E42)</f>
        <v>13</v>
      </c>
      <c r="G42" s="233">
        <f>Assumptions!I79</f>
        <v>1344.1</v>
      </c>
      <c r="H42" s="233">
        <f>Assumptions!J79</f>
        <v>1344.1</v>
      </c>
      <c r="J42" s="233">
        <f t="shared" si="42"/>
        <v>1344.1</v>
      </c>
      <c r="K42" s="233">
        <f t="shared" si="42"/>
        <v>1346.8686259302956</v>
      </c>
      <c r="L42" s="233">
        <f t="shared" si="42"/>
        <v>1349.6429547767</v>
      </c>
      <c r="M42" s="233">
        <f t="shared" si="42"/>
        <v>1352.4229982862869</v>
      </c>
      <c r="N42" s="233">
        <f t="shared" si="42"/>
        <v>1355.2087682303263</v>
      </c>
      <c r="O42" s="233">
        <f t="shared" si="42"/>
        <v>1358.0002764043361</v>
      </c>
      <c r="P42" s="233">
        <f t="shared" si="42"/>
        <v>1360.7975346281301</v>
      </c>
      <c r="Q42" s="233">
        <f t="shared" si="42"/>
        <v>1363.6005547458697</v>
      </c>
      <c r="R42" s="233">
        <f t="shared" si="42"/>
        <v>1366.4093486261129</v>
      </c>
      <c r="S42" s="233">
        <f t="shared" si="42"/>
        <v>1369.2239281618654</v>
      </c>
      <c r="T42" s="233">
        <f t="shared" si="43"/>
        <v>1372.0443052706296</v>
      </c>
      <c r="U42" s="233">
        <f t="shared" si="43"/>
        <v>1374.8704918944572</v>
      </c>
      <c r="V42" s="233">
        <f t="shared" si="43"/>
        <v>1377.7024999999981</v>
      </c>
      <c r="W42" s="233">
        <f t="shared" si="43"/>
        <v>1380.5403415785511</v>
      </c>
      <c r="X42" s="233">
        <f t="shared" si="43"/>
        <v>1383.3840286461159</v>
      </c>
      <c r="Y42" s="233">
        <f t="shared" si="43"/>
        <v>1386.2335732434424</v>
      </c>
      <c r="Z42" s="233">
        <f t="shared" si="43"/>
        <v>1389.0889874360828</v>
      </c>
      <c r="AA42" s="233">
        <f t="shared" si="43"/>
        <v>1391.9502833144429</v>
      </c>
      <c r="AB42" s="233">
        <f t="shared" si="43"/>
        <v>1394.8174729938319</v>
      </c>
      <c r="AC42" s="233">
        <f t="shared" si="43"/>
        <v>1397.6905686145149</v>
      </c>
      <c r="AD42" s="233">
        <f t="shared" si="44"/>
        <v>1400.5695823417639</v>
      </c>
      <c r="AE42" s="233">
        <f t="shared" si="44"/>
        <v>1403.4545263659102</v>
      </c>
      <c r="AF42" s="233">
        <f t="shared" si="44"/>
        <v>1406.3454129023937</v>
      </c>
      <c r="AG42" s="233">
        <f t="shared" si="44"/>
        <v>1409.242254191817</v>
      </c>
      <c r="AH42" s="233">
        <f t="shared" si="44"/>
        <v>1412.1450624999961</v>
      </c>
      <c r="AI42" s="233">
        <f t="shared" si="44"/>
        <v>1415.0538501180131</v>
      </c>
      <c r="AJ42" s="233">
        <f t="shared" si="44"/>
        <v>1417.9686293622665</v>
      </c>
      <c r="AK42" s="233">
        <f t="shared" si="44"/>
        <v>1420.889412574526</v>
      </c>
      <c r="AL42" s="233">
        <f t="shared" si="44"/>
        <v>1423.8162121219825</v>
      </c>
      <c r="AM42" s="233">
        <f t="shared" si="44"/>
        <v>1426.7490403973015</v>
      </c>
      <c r="AN42" s="233">
        <f t="shared" si="45"/>
        <v>1429.6879098186751</v>
      </c>
      <c r="AO42" s="233">
        <f t="shared" si="45"/>
        <v>1432.6328328298753</v>
      </c>
      <c r="AP42" s="233">
        <f t="shared" si="45"/>
        <v>1435.5838219003058</v>
      </c>
      <c r="AQ42" s="233">
        <f t="shared" si="45"/>
        <v>1438.5408895250555</v>
      </c>
      <c r="AR42" s="233">
        <f t="shared" si="45"/>
        <v>1441.504048224951</v>
      </c>
      <c r="AS42" s="233">
        <f t="shared" si="45"/>
        <v>1444.4733105466098</v>
      </c>
      <c r="AT42" s="233">
        <f t="shared" si="45"/>
        <v>1447.4486890624937</v>
      </c>
      <c r="AU42" s="233">
        <f t="shared" si="45"/>
        <v>1450.4301963709611</v>
      </c>
      <c r="AV42" s="233">
        <f t="shared" si="45"/>
        <v>1453.4178450963209</v>
      </c>
      <c r="AW42" s="233">
        <f t="shared" si="45"/>
        <v>1456.411647888887</v>
      </c>
      <c r="AX42" s="233">
        <f t="shared" si="46"/>
        <v>1459.41161742503</v>
      </c>
      <c r="AY42" s="233">
        <f t="shared" si="46"/>
        <v>1462.417766407232</v>
      </c>
      <c r="AZ42" s="233">
        <f t="shared" si="46"/>
        <v>1465.4301075641399</v>
      </c>
      <c r="BA42" s="233">
        <f t="shared" si="46"/>
        <v>1468.4486536506201</v>
      </c>
      <c r="BB42" s="233">
        <f t="shared" si="46"/>
        <v>1471.4734174478115</v>
      </c>
      <c r="BC42" s="233">
        <f t="shared" si="46"/>
        <v>1474.5044117631801</v>
      </c>
      <c r="BD42" s="233">
        <f t="shared" si="46"/>
        <v>1477.5416494305732</v>
      </c>
      <c r="BE42" s="233">
        <f t="shared" si="46"/>
        <v>1480.5851433102735</v>
      </c>
      <c r="BF42" s="233">
        <f t="shared" si="46"/>
        <v>1483.6349062890542</v>
      </c>
      <c r="BG42" s="233">
        <f t="shared" si="46"/>
        <v>1486.6909512802333</v>
      </c>
      <c r="BH42" s="233">
        <f t="shared" si="47"/>
        <v>1489.7532912237273</v>
      </c>
      <c r="BI42" s="233">
        <f t="shared" si="47"/>
        <v>1492.8219390861077</v>
      </c>
      <c r="BJ42" s="233">
        <f t="shared" si="47"/>
        <v>1495.8969078606542</v>
      </c>
      <c r="BK42" s="233">
        <f t="shared" si="47"/>
        <v>1498.9782105674115</v>
      </c>
      <c r="BL42" s="233">
        <f t="shared" si="47"/>
        <v>1502.0658602532419</v>
      </c>
      <c r="BM42" s="233">
        <f t="shared" si="47"/>
        <v>1505.1598699918843</v>
      </c>
      <c r="BN42" s="233">
        <f t="shared" si="47"/>
        <v>1508.2602528840052</v>
      </c>
      <c r="BO42" s="233">
        <f t="shared" si="47"/>
        <v>1511.3670220572581</v>
      </c>
      <c r="BP42" s="233">
        <f t="shared" si="47"/>
        <v>1514.4801906663358</v>
      </c>
      <c r="BQ42" s="233">
        <f t="shared" si="47"/>
        <v>1517.5997718930289</v>
      </c>
      <c r="BR42" s="233">
        <f t="shared" si="48"/>
        <v>1520.7257789462792</v>
      </c>
      <c r="BS42" s="233">
        <f t="shared" si="48"/>
        <v>1523.8582250622378</v>
      </c>
      <c r="BT42" s="233">
        <f t="shared" si="48"/>
        <v>1526.9971235043192</v>
      </c>
      <c r="BU42" s="233">
        <f t="shared" si="48"/>
        <v>1530.1424875632588</v>
      </c>
      <c r="BV42" s="233">
        <f t="shared" si="48"/>
        <v>1533.2943305571691</v>
      </c>
      <c r="BW42" s="233">
        <f t="shared" si="48"/>
        <v>1536.4526658315949</v>
      </c>
      <c r="BX42" s="233">
        <f t="shared" si="48"/>
        <v>1539.6175067595716</v>
      </c>
      <c r="BY42" s="233">
        <f t="shared" si="48"/>
        <v>1542.7888667416798</v>
      </c>
      <c r="BZ42" s="233">
        <f t="shared" si="48"/>
        <v>1545.9667592061037</v>
      </c>
      <c r="CA42" s="233">
        <f t="shared" si="48"/>
        <v>1549.1511976086877</v>
      </c>
      <c r="CB42" s="233">
        <f t="shared" si="49"/>
        <v>1552.3421954329924</v>
      </c>
      <c r="CC42" s="233">
        <f t="shared" si="49"/>
        <v>1555.5397661903523</v>
      </c>
      <c r="CD42" s="233">
        <f t="shared" si="49"/>
        <v>1558.7439234199339</v>
      </c>
      <c r="CE42" s="233">
        <f t="shared" si="49"/>
        <v>1561.9546806887913</v>
      </c>
      <c r="CF42" s="233">
        <f t="shared" si="49"/>
        <v>1565.1720515919246</v>
      </c>
      <c r="CG42" s="233">
        <f t="shared" si="49"/>
        <v>1568.3960497523378</v>
      </c>
      <c r="CH42" s="233">
        <f t="shared" si="49"/>
        <v>1571.6266888210957</v>
      </c>
      <c r="CI42" s="233">
        <f t="shared" si="49"/>
        <v>1574.8639824773823</v>
      </c>
      <c r="CJ42" s="233">
        <f t="shared" si="49"/>
        <v>1578.1079444285581</v>
      </c>
      <c r="CK42" s="233">
        <f t="shared" si="49"/>
        <v>1581.358588410219</v>
      </c>
      <c r="CL42" s="233">
        <f t="shared" si="50"/>
        <v>1584.6159281862538</v>
      </c>
      <c r="CM42" s="233">
        <f t="shared" si="50"/>
        <v>1587.8799775489024</v>
      </c>
      <c r="CN42" s="233">
        <f t="shared" si="50"/>
        <v>1591.1507503188147</v>
      </c>
      <c r="CO42" s="233">
        <f t="shared" si="50"/>
        <v>1594.4282603451088</v>
      </c>
      <c r="CP42" s="233">
        <f t="shared" si="50"/>
        <v>1597.71252150543</v>
      </c>
      <c r="CQ42" s="233">
        <f t="shared" si="50"/>
        <v>1601.0035477060087</v>
      </c>
      <c r="CR42" s="233">
        <f t="shared" si="50"/>
        <v>1604.3013528817203</v>
      </c>
      <c r="CS42" s="233">
        <f t="shared" si="50"/>
        <v>1607.605950996144</v>
      </c>
      <c r="CT42" s="233">
        <f t="shared" si="50"/>
        <v>1610.9173560416209</v>
      </c>
      <c r="CU42" s="233">
        <f t="shared" si="50"/>
        <v>1614.2355820393145</v>
      </c>
      <c r="CV42" s="233">
        <f t="shared" si="51"/>
        <v>1617.56064303927</v>
      </c>
      <c r="CW42" s="233">
        <f t="shared" si="51"/>
        <v>1620.8925531204725</v>
      </c>
      <c r="CX42" s="233">
        <f t="shared" si="51"/>
        <v>1624.231326390908</v>
      </c>
      <c r="CY42" s="233">
        <f t="shared" si="51"/>
        <v>1627.5769769876229</v>
      </c>
      <c r="CZ42" s="233">
        <f t="shared" si="51"/>
        <v>1630.929519076783</v>
      </c>
      <c r="DA42" s="233">
        <f t="shared" si="51"/>
        <v>1634.2889668537343</v>
      </c>
      <c r="DB42" s="233">
        <f t="shared" si="51"/>
        <v>1637.6553345430636</v>
      </c>
      <c r="DC42" s="233">
        <f t="shared" si="51"/>
        <v>1641.0286363986568</v>
      </c>
      <c r="DD42" s="233">
        <f t="shared" si="51"/>
        <v>1644.4088867037613</v>
      </c>
      <c r="DE42" s="233">
        <f t="shared" si="51"/>
        <v>1647.7960997710454</v>
      </c>
      <c r="DF42" s="233">
        <f t="shared" si="52"/>
        <v>1651.1902899426593</v>
      </c>
      <c r="DG42" s="233">
        <f t="shared" si="52"/>
        <v>1654.5914715902954</v>
      </c>
      <c r="DH42" s="233">
        <f t="shared" si="52"/>
        <v>1657.9996591152496</v>
      </c>
      <c r="DI42" s="233">
        <f t="shared" si="52"/>
        <v>1661.4148669484821</v>
      </c>
      <c r="DJ42" s="233">
        <f t="shared" si="52"/>
        <v>1664.8371095506786</v>
      </c>
      <c r="DK42" s="233">
        <f t="shared" si="52"/>
        <v>1668.2664014123111</v>
      </c>
      <c r="DL42" s="233">
        <f t="shared" si="52"/>
        <v>1671.7027570537002</v>
      </c>
      <c r="DM42" s="233">
        <f t="shared" si="52"/>
        <v>1675.1461910250755</v>
      </c>
      <c r="DN42" s="233">
        <f t="shared" si="52"/>
        <v>1678.5967179066379</v>
      </c>
      <c r="DO42" s="233">
        <f t="shared" si="52"/>
        <v>1682.054352308621</v>
      </c>
      <c r="DP42" s="233">
        <f t="shared" si="53"/>
        <v>1685.519108871353</v>
      </c>
      <c r="DQ42" s="233">
        <f t="shared" si="53"/>
        <v>1688.9910022653191</v>
      </c>
      <c r="DR42" s="233">
        <f t="shared" si="53"/>
        <v>1692.4700471912233</v>
      </c>
      <c r="DS42" s="233">
        <f t="shared" si="53"/>
        <v>1695.9562583800503</v>
      </c>
      <c r="DT42" s="233">
        <f t="shared" si="53"/>
        <v>1699.4496505931284</v>
      </c>
      <c r="DU42" s="233">
        <f t="shared" si="53"/>
        <v>1702.9502386221918</v>
      </c>
      <c r="DV42" s="233">
        <f t="shared" si="53"/>
        <v>1706.4580372894432</v>
      </c>
      <c r="DW42" s="233">
        <f t="shared" si="53"/>
        <v>1709.9730614476166</v>
      </c>
      <c r="DX42" s="233">
        <f t="shared" si="53"/>
        <v>1713.4953259800404</v>
      </c>
      <c r="DY42" s="233">
        <f t="shared" si="53"/>
        <v>1717.0248458007002</v>
      </c>
      <c r="DZ42" s="233">
        <f t="shared" si="54"/>
        <v>1720.5616358543016</v>
      </c>
      <c r="EA42" s="233">
        <f t="shared" si="54"/>
        <v>1724.1057111163341</v>
      </c>
      <c r="EB42" s="233">
        <f t="shared" si="54"/>
        <v>1727.6570865931346</v>
      </c>
      <c r="EC42" s="233">
        <f t="shared" si="54"/>
        <v>1731.2157773219501</v>
      </c>
      <c r="ED42" s="233">
        <f t="shared" si="54"/>
        <v>1734.7817983710017</v>
      </c>
      <c r="EE42" s="233">
        <f t="shared" si="54"/>
        <v>1738.3551648395494</v>
      </c>
      <c r="EF42" s="233">
        <f t="shared" si="54"/>
        <v>1741.9358918579546</v>
      </c>
      <c r="EG42" s="233">
        <f t="shared" si="54"/>
        <v>1745.5239945877445</v>
      </c>
      <c r="EH42" s="233">
        <f t="shared" si="54"/>
        <v>1749.1194882216773</v>
      </c>
      <c r="EI42" s="233">
        <f t="shared" si="54"/>
        <v>1752.7223879838052</v>
      </c>
      <c r="EJ42" s="233">
        <f t="shared" si="54"/>
        <v>1756.3327091295396</v>
      </c>
      <c r="EK42" s="233">
        <f t="shared" si="54"/>
        <v>1759.9504669457156</v>
      </c>
    </row>
    <row r="43" spans="2:141" x14ac:dyDescent="0.45">
      <c r="B43" s="230">
        <f>Assumptions!B80</f>
        <v>35</v>
      </c>
      <c r="C43" s="230" t="str">
        <f>Assumptions!C80</f>
        <v>Fair Market</v>
      </c>
      <c r="D43" s="439">
        <f>Assumptions!D80</f>
        <v>1</v>
      </c>
      <c r="E43" s="22">
        <f>Assumptions!G80</f>
        <v>13</v>
      </c>
      <c r="F43" s="22">
        <f>IF(D43=1,E43+SUM(Assumptions!$G$142:$G$143),'Rent Roll Model'!E43)</f>
        <v>17</v>
      </c>
      <c r="G43" s="233">
        <f>Assumptions!I80</f>
        <v>1800</v>
      </c>
      <c r="H43" s="233">
        <f>Assumptions!J80</f>
        <v>2200</v>
      </c>
      <c r="J43" s="233">
        <f t="shared" si="42"/>
        <v>1800</v>
      </c>
      <c r="K43" s="233">
        <f t="shared" si="42"/>
        <v>1803.7077052857169</v>
      </c>
      <c r="L43" s="233">
        <f t="shared" si="42"/>
        <v>1807.4230478372592</v>
      </c>
      <c r="M43" s="233">
        <f t="shared" si="42"/>
        <v>1811.1460433861441</v>
      </c>
      <c r="N43" s="233">
        <f t="shared" si="42"/>
        <v>1814.8767076962931</v>
      </c>
      <c r="O43" s="233">
        <f t="shared" si="42"/>
        <v>1818.6150565640987</v>
      </c>
      <c r="P43" s="233">
        <f t="shared" si="42"/>
        <v>1822.3611058184913</v>
      </c>
      <c r="Q43" s="233">
        <f t="shared" si="42"/>
        <v>1826.1148713210071</v>
      </c>
      <c r="R43" s="233">
        <f t="shared" si="42"/>
        <v>1829.8763689658533</v>
      </c>
      <c r="S43" s="233">
        <f t="shared" si="42"/>
        <v>1833.6456146799776</v>
      </c>
      <c r="T43" s="233">
        <f t="shared" si="43"/>
        <v>1837.4226244231334</v>
      </c>
      <c r="U43" s="233">
        <f t="shared" si="43"/>
        <v>1841.2074141879498</v>
      </c>
      <c r="V43" s="233">
        <f t="shared" si="43"/>
        <v>0</v>
      </c>
      <c r="W43" s="233">
        <f t="shared" si="43"/>
        <v>0</v>
      </c>
      <c r="X43" s="233">
        <f t="shared" si="43"/>
        <v>0</v>
      </c>
      <c r="Y43" s="233">
        <f t="shared" si="43"/>
        <v>0</v>
      </c>
      <c r="Z43" s="233">
        <f t="shared" si="43"/>
        <v>2273.637208808409</v>
      </c>
      <c r="AA43" s="233">
        <f t="shared" si="43"/>
        <v>2278.3205291955765</v>
      </c>
      <c r="AB43" s="233">
        <f t="shared" si="43"/>
        <v>2283.0134964559406</v>
      </c>
      <c r="AC43" s="233">
        <f t="shared" si="43"/>
        <v>2287.7161304604811</v>
      </c>
      <c r="AD43" s="233">
        <f t="shared" si="44"/>
        <v>2292.4284511211076</v>
      </c>
      <c r="AE43" s="233">
        <f t="shared" si="44"/>
        <v>2297.1504783907467</v>
      </c>
      <c r="AF43" s="233">
        <f t="shared" si="44"/>
        <v>2301.8822322634223</v>
      </c>
      <c r="AG43" s="233">
        <f t="shared" si="44"/>
        <v>2306.6237327743456</v>
      </c>
      <c r="AH43" s="233">
        <f t="shared" si="44"/>
        <v>2311.3749999999941</v>
      </c>
      <c r="AI43" s="233">
        <f t="shared" si="44"/>
        <v>2316.1360540582018</v>
      </c>
      <c r="AJ43" s="233">
        <f t="shared" si="44"/>
        <v>2320.9069151082408</v>
      </c>
      <c r="AK43" s="233">
        <f t="shared" si="44"/>
        <v>2325.6876033509097</v>
      </c>
      <c r="AL43" s="233">
        <f t="shared" si="44"/>
        <v>2330.4781390286153</v>
      </c>
      <c r="AM43" s="233">
        <f t="shared" si="44"/>
        <v>2335.2785424254621</v>
      </c>
      <c r="AN43" s="233">
        <f t="shared" si="45"/>
        <v>2340.0888338673353</v>
      </c>
      <c r="AO43" s="233">
        <f t="shared" si="45"/>
        <v>2344.9090337219891</v>
      </c>
      <c r="AP43" s="233">
        <f t="shared" si="45"/>
        <v>2349.7391623991321</v>
      </c>
      <c r="AQ43" s="233">
        <f t="shared" si="45"/>
        <v>2354.5792403505111</v>
      </c>
      <c r="AR43" s="233">
        <f t="shared" si="45"/>
        <v>2359.4292880700041</v>
      </c>
      <c r="AS43" s="233">
        <f t="shared" si="45"/>
        <v>2364.2893260936999</v>
      </c>
      <c r="AT43" s="233">
        <f t="shared" si="45"/>
        <v>2369.1593749999902</v>
      </c>
      <c r="AU43" s="233">
        <f t="shared" si="45"/>
        <v>2374.0394554096529</v>
      </c>
      <c r="AV43" s="233">
        <f t="shared" si="45"/>
        <v>2378.9295879859433</v>
      </c>
      <c r="AW43" s="233">
        <f t="shared" si="45"/>
        <v>2383.8297934346788</v>
      </c>
      <c r="AX43" s="233">
        <f t="shared" si="46"/>
        <v>2388.7400925043271</v>
      </c>
      <c r="AY43" s="233">
        <f t="shared" si="46"/>
        <v>2393.6605059860949</v>
      </c>
      <c r="AZ43" s="233">
        <f t="shared" si="46"/>
        <v>2398.5910547140156</v>
      </c>
      <c r="BA43" s="233">
        <f t="shared" si="46"/>
        <v>2403.5317595650358</v>
      </c>
      <c r="BB43" s="233">
        <f t="shared" si="46"/>
        <v>2408.4826414591071</v>
      </c>
      <c r="BC43" s="233">
        <f t="shared" si="46"/>
        <v>2413.4437213592714</v>
      </c>
      <c r="BD43" s="233">
        <f t="shared" si="46"/>
        <v>2418.4150202717515</v>
      </c>
      <c r="BE43" s="233">
        <f t="shared" si="46"/>
        <v>2423.3965592460399</v>
      </c>
      <c r="BF43" s="233">
        <f t="shared" si="46"/>
        <v>2428.388359374987</v>
      </c>
      <c r="BG43" s="233">
        <f t="shared" si="46"/>
        <v>2433.3904417948911</v>
      </c>
      <c r="BH43" s="233">
        <f t="shared" si="47"/>
        <v>2438.4028276855893</v>
      </c>
      <c r="BI43" s="233">
        <f t="shared" si="47"/>
        <v>2443.4255382705433</v>
      </c>
      <c r="BJ43" s="233">
        <f t="shared" si="47"/>
        <v>2448.4585948169329</v>
      </c>
      <c r="BK43" s="233">
        <f t="shared" si="47"/>
        <v>2453.5020186357451</v>
      </c>
      <c r="BL43" s="233">
        <f t="shared" si="47"/>
        <v>2458.5558310818633</v>
      </c>
      <c r="BM43" s="233">
        <f t="shared" si="47"/>
        <v>2463.6200535541593</v>
      </c>
      <c r="BN43" s="233">
        <f t="shared" si="47"/>
        <v>2468.694707495582</v>
      </c>
      <c r="BO43" s="233">
        <f t="shared" si="47"/>
        <v>2473.7798143932505</v>
      </c>
      <c r="BP43" s="233">
        <f t="shared" si="47"/>
        <v>2478.8753957785425</v>
      </c>
      <c r="BQ43" s="233">
        <f t="shared" si="47"/>
        <v>2483.9814732271884</v>
      </c>
      <c r="BR43" s="233">
        <f t="shared" si="48"/>
        <v>2489.0980683593589</v>
      </c>
      <c r="BS43" s="233">
        <f t="shared" si="48"/>
        <v>2494.2252028397611</v>
      </c>
      <c r="BT43" s="233">
        <f t="shared" si="48"/>
        <v>2499.3628983777267</v>
      </c>
      <c r="BU43" s="233">
        <f t="shared" si="48"/>
        <v>2504.5111767273042</v>
      </c>
      <c r="BV43" s="233">
        <f t="shared" si="48"/>
        <v>2509.6700596873538</v>
      </c>
      <c r="BW43" s="233">
        <f t="shared" si="48"/>
        <v>2514.8395691016362</v>
      </c>
      <c r="BX43" s="233">
        <f t="shared" si="48"/>
        <v>2520.0197268589077</v>
      </c>
      <c r="BY43" s="233">
        <f t="shared" si="48"/>
        <v>2525.2105548930108</v>
      </c>
      <c r="BZ43" s="233">
        <f t="shared" si="48"/>
        <v>2530.4120751829691</v>
      </c>
      <c r="CA43" s="233">
        <f t="shared" si="48"/>
        <v>2535.6243097530787</v>
      </c>
      <c r="CB43" s="233">
        <f t="shared" si="49"/>
        <v>2540.8472806730028</v>
      </c>
      <c r="CC43" s="233">
        <f t="shared" si="49"/>
        <v>2546.0810100578642</v>
      </c>
      <c r="CD43" s="233">
        <f t="shared" si="49"/>
        <v>2551.3255200683393</v>
      </c>
      <c r="CE43" s="233">
        <f t="shared" si="49"/>
        <v>2556.5808329107513</v>
      </c>
      <c r="CF43" s="233">
        <f t="shared" si="49"/>
        <v>2561.8469708371658</v>
      </c>
      <c r="CG43" s="233">
        <f t="shared" si="49"/>
        <v>2567.1239561454831</v>
      </c>
      <c r="CH43" s="233">
        <f t="shared" si="49"/>
        <v>2572.4118111795333</v>
      </c>
      <c r="CI43" s="233">
        <f t="shared" si="49"/>
        <v>2577.7105583291727</v>
      </c>
      <c r="CJ43" s="233">
        <f t="shared" si="49"/>
        <v>2583.0202200303756</v>
      </c>
      <c r="CK43" s="233">
        <f t="shared" si="49"/>
        <v>2588.3408187653313</v>
      </c>
      <c r="CL43" s="233">
        <f t="shared" si="50"/>
        <v>2593.672377062539</v>
      </c>
      <c r="CM43" s="233">
        <f t="shared" si="50"/>
        <v>2599.0149174969015</v>
      </c>
      <c r="CN43" s="233">
        <f t="shared" si="50"/>
        <v>2604.3684626898239</v>
      </c>
      <c r="CO43" s="233">
        <f t="shared" si="50"/>
        <v>2609.7330353093071</v>
      </c>
      <c r="CP43" s="233">
        <f t="shared" si="50"/>
        <v>2615.1086580700439</v>
      </c>
      <c r="CQ43" s="233">
        <f t="shared" si="50"/>
        <v>2620.4953537335164</v>
      </c>
      <c r="CR43" s="233">
        <f t="shared" si="50"/>
        <v>2625.8931451080912</v>
      </c>
      <c r="CS43" s="233">
        <f t="shared" si="50"/>
        <v>2631.302055049116</v>
      </c>
      <c r="CT43" s="233">
        <f t="shared" si="50"/>
        <v>2636.7221064590181</v>
      </c>
      <c r="CU43" s="233">
        <f t="shared" si="50"/>
        <v>2642.1533222873986</v>
      </c>
      <c r="CV43" s="233">
        <f t="shared" si="51"/>
        <v>2647.5957255311318</v>
      </c>
      <c r="CW43" s="233">
        <f t="shared" si="51"/>
        <v>2653.0493392344615</v>
      </c>
      <c r="CX43" s="233">
        <f t="shared" si="51"/>
        <v>2658.5141864890988</v>
      </c>
      <c r="CY43" s="233">
        <f t="shared" si="51"/>
        <v>2663.9902904343207</v>
      </c>
      <c r="CZ43" s="233">
        <f t="shared" si="51"/>
        <v>2669.4776742570662</v>
      </c>
      <c r="DA43" s="233">
        <f t="shared" si="51"/>
        <v>2674.9763611920362</v>
      </c>
      <c r="DB43" s="233">
        <f t="shared" si="51"/>
        <v>2680.4863745217917</v>
      </c>
      <c r="DC43" s="233">
        <f t="shared" si="51"/>
        <v>2686.007737576851</v>
      </c>
      <c r="DD43" s="233">
        <f t="shared" si="51"/>
        <v>2691.5404737357899</v>
      </c>
      <c r="DE43" s="233">
        <f t="shared" si="51"/>
        <v>2697.0846064253406</v>
      </c>
      <c r="DF43" s="233">
        <f t="shared" si="52"/>
        <v>2702.6401591204899</v>
      </c>
      <c r="DG43" s="233">
        <f t="shared" si="52"/>
        <v>2708.2071553445803</v>
      </c>
      <c r="DH43" s="233">
        <f t="shared" si="52"/>
        <v>2713.7856186694066</v>
      </c>
      <c r="DI43" s="233">
        <f t="shared" si="52"/>
        <v>2719.3755727153193</v>
      </c>
      <c r="DJ43" s="233">
        <f t="shared" si="52"/>
        <v>2724.9770411513227</v>
      </c>
      <c r="DK43" s="233">
        <f t="shared" si="52"/>
        <v>2730.5900476951751</v>
      </c>
      <c r="DL43" s="233">
        <f t="shared" si="52"/>
        <v>2736.2146161134892</v>
      </c>
      <c r="DM43" s="233">
        <f t="shared" si="52"/>
        <v>2741.8507702218335</v>
      </c>
      <c r="DN43" s="233">
        <f t="shared" si="52"/>
        <v>2747.4985338848328</v>
      </c>
      <c r="DO43" s="233">
        <f t="shared" si="52"/>
        <v>2753.1579310162683</v>
      </c>
      <c r="DP43" s="233">
        <f t="shared" si="53"/>
        <v>2758.8289855791809</v>
      </c>
      <c r="DQ43" s="233">
        <f t="shared" si="53"/>
        <v>2764.51172158597</v>
      </c>
      <c r="DR43" s="233">
        <f t="shared" si="53"/>
        <v>2770.2061630984986</v>
      </c>
      <c r="DS43" s="233">
        <f t="shared" si="53"/>
        <v>2775.9123342281905</v>
      </c>
      <c r="DT43" s="233">
        <f t="shared" si="53"/>
        <v>2781.6302591361377</v>
      </c>
      <c r="DU43" s="233">
        <f t="shared" si="53"/>
        <v>2787.3599620331984</v>
      </c>
      <c r="DV43" s="233">
        <f t="shared" si="53"/>
        <v>2793.1014671801022</v>
      </c>
      <c r="DW43" s="233">
        <f t="shared" si="53"/>
        <v>2798.8547988875507</v>
      </c>
      <c r="DX43" s="233">
        <f t="shared" si="53"/>
        <v>2804.6199815163222</v>
      </c>
      <c r="DY43" s="233">
        <f t="shared" si="53"/>
        <v>2810.3970394773755</v>
      </c>
      <c r="DZ43" s="233">
        <f t="shared" si="54"/>
        <v>2816.1859972319498</v>
      </c>
      <c r="EA43" s="233">
        <f t="shared" si="54"/>
        <v>2821.9868792916714</v>
      </c>
      <c r="EB43" s="233">
        <f t="shared" si="54"/>
        <v>2827.7997102186569</v>
      </c>
      <c r="EC43" s="233">
        <f t="shared" si="54"/>
        <v>2833.624514625616</v>
      </c>
      <c r="ED43" s="233">
        <f t="shared" si="54"/>
        <v>2839.4613171759574</v>
      </c>
      <c r="EE43" s="233">
        <f t="shared" si="54"/>
        <v>2845.3101425838918</v>
      </c>
      <c r="EF43" s="233">
        <f t="shared" si="54"/>
        <v>2851.1710156145377</v>
      </c>
      <c r="EG43" s="233">
        <f t="shared" si="54"/>
        <v>2857.0439610840253</v>
      </c>
      <c r="EH43" s="233">
        <f t="shared" si="54"/>
        <v>2862.9290038596014</v>
      </c>
      <c r="EI43" s="233">
        <f t="shared" si="54"/>
        <v>2868.8261688597363</v>
      </c>
      <c r="EJ43" s="233">
        <f t="shared" si="54"/>
        <v>2874.7354810542274</v>
      </c>
      <c r="EK43" s="233">
        <f t="shared" si="54"/>
        <v>2880.6569654643067</v>
      </c>
    </row>
    <row r="44" spans="2:141" x14ac:dyDescent="0.45">
      <c r="B44" s="230">
        <f>Assumptions!B81</f>
        <v>36</v>
      </c>
      <c r="C44" s="230" t="str">
        <f>Assumptions!C81</f>
        <v>Fair Market</v>
      </c>
      <c r="D44" s="439">
        <f>Assumptions!D81</f>
        <v>1</v>
      </c>
      <c r="E44" s="22">
        <f>Assumptions!G81</f>
        <v>13</v>
      </c>
      <c r="F44" s="22">
        <f>IF(D44=1,E44+SUM(Assumptions!$G$142:$G$143),'Rent Roll Model'!E44)</f>
        <v>17</v>
      </c>
      <c r="G44" s="233">
        <f>Assumptions!I81</f>
        <v>1417.5</v>
      </c>
      <c r="H44" s="233">
        <f>Assumptions!J81</f>
        <v>2200</v>
      </c>
      <c r="J44" s="233">
        <f t="shared" si="42"/>
        <v>1417.5</v>
      </c>
      <c r="K44" s="233">
        <f t="shared" si="42"/>
        <v>1420.4198179125021</v>
      </c>
      <c r="L44" s="233">
        <f t="shared" si="42"/>
        <v>1423.3456501718417</v>
      </c>
      <c r="M44" s="233">
        <f t="shared" si="42"/>
        <v>1426.2775091665885</v>
      </c>
      <c r="N44" s="233">
        <f t="shared" si="42"/>
        <v>1429.2154073108309</v>
      </c>
      <c r="O44" s="233">
        <f t="shared" si="42"/>
        <v>1432.1593570442276</v>
      </c>
      <c r="P44" s="233">
        <f t="shared" si="42"/>
        <v>1435.109370832062</v>
      </c>
      <c r="Q44" s="233">
        <f t="shared" si="42"/>
        <v>1438.0654611652931</v>
      </c>
      <c r="R44" s="233">
        <f t="shared" si="42"/>
        <v>1441.0276405606096</v>
      </c>
      <c r="S44" s="233">
        <f t="shared" si="42"/>
        <v>1443.9959215604822</v>
      </c>
      <c r="T44" s="233">
        <f t="shared" si="43"/>
        <v>1446.9703167332175</v>
      </c>
      <c r="U44" s="233">
        <f t="shared" si="43"/>
        <v>1449.9508386730104</v>
      </c>
      <c r="V44" s="233">
        <f t="shared" si="43"/>
        <v>0</v>
      </c>
      <c r="W44" s="233">
        <f t="shared" si="43"/>
        <v>0</v>
      </c>
      <c r="X44" s="233">
        <f t="shared" si="43"/>
        <v>0</v>
      </c>
      <c r="Y44" s="233">
        <f t="shared" si="43"/>
        <v>0</v>
      </c>
      <c r="Z44" s="233">
        <f t="shared" si="43"/>
        <v>2273.637208808409</v>
      </c>
      <c r="AA44" s="233">
        <f t="shared" si="43"/>
        <v>2278.3205291955765</v>
      </c>
      <c r="AB44" s="233">
        <f t="shared" si="43"/>
        <v>2283.0134964559406</v>
      </c>
      <c r="AC44" s="233">
        <f t="shared" si="43"/>
        <v>2287.7161304604811</v>
      </c>
      <c r="AD44" s="233">
        <f t="shared" si="44"/>
        <v>2292.4284511211076</v>
      </c>
      <c r="AE44" s="233">
        <f t="shared" si="44"/>
        <v>2297.1504783907467</v>
      </c>
      <c r="AF44" s="233">
        <f t="shared" si="44"/>
        <v>2301.8822322634223</v>
      </c>
      <c r="AG44" s="233">
        <f t="shared" si="44"/>
        <v>2306.6237327743456</v>
      </c>
      <c r="AH44" s="233">
        <f t="shared" si="44"/>
        <v>2311.3749999999941</v>
      </c>
      <c r="AI44" s="233">
        <f t="shared" si="44"/>
        <v>2316.1360540582018</v>
      </c>
      <c r="AJ44" s="233">
        <f t="shared" si="44"/>
        <v>2320.9069151082408</v>
      </c>
      <c r="AK44" s="233">
        <f t="shared" si="44"/>
        <v>2325.6876033509097</v>
      </c>
      <c r="AL44" s="233">
        <f t="shared" si="44"/>
        <v>2330.4781390286153</v>
      </c>
      <c r="AM44" s="233">
        <f t="shared" si="44"/>
        <v>2335.2785424254621</v>
      </c>
      <c r="AN44" s="233">
        <f t="shared" si="45"/>
        <v>2340.0888338673353</v>
      </c>
      <c r="AO44" s="233">
        <f t="shared" si="45"/>
        <v>2344.9090337219891</v>
      </c>
      <c r="AP44" s="233">
        <f t="shared" si="45"/>
        <v>2349.7391623991321</v>
      </c>
      <c r="AQ44" s="233">
        <f t="shared" si="45"/>
        <v>2354.5792403505111</v>
      </c>
      <c r="AR44" s="233">
        <f t="shared" si="45"/>
        <v>2359.4292880700041</v>
      </c>
      <c r="AS44" s="233">
        <f t="shared" si="45"/>
        <v>2364.2893260936999</v>
      </c>
      <c r="AT44" s="233">
        <f t="shared" si="45"/>
        <v>2369.1593749999902</v>
      </c>
      <c r="AU44" s="233">
        <f t="shared" si="45"/>
        <v>2374.0394554096529</v>
      </c>
      <c r="AV44" s="233">
        <f t="shared" si="45"/>
        <v>2378.9295879859433</v>
      </c>
      <c r="AW44" s="233">
        <f t="shared" si="45"/>
        <v>2383.8297934346788</v>
      </c>
      <c r="AX44" s="233">
        <f t="shared" si="46"/>
        <v>2388.7400925043271</v>
      </c>
      <c r="AY44" s="233">
        <f t="shared" si="46"/>
        <v>2393.6605059860949</v>
      </c>
      <c r="AZ44" s="233">
        <f t="shared" si="46"/>
        <v>2398.5910547140156</v>
      </c>
      <c r="BA44" s="233">
        <f t="shared" si="46"/>
        <v>2403.5317595650358</v>
      </c>
      <c r="BB44" s="233">
        <f t="shared" si="46"/>
        <v>2408.4826414591071</v>
      </c>
      <c r="BC44" s="233">
        <f t="shared" si="46"/>
        <v>2413.4437213592714</v>
      </c>
      <c r="BD44" s="233">
        <f t="shared" si="46"/>
        <v>2418.4150202717515</v>
      </c>
      <c r="BE44" s="233">
        <f t="shared" si="46"/>
        <v>2423.3965592460399</v>
      </c>
      <c r="BF44" s="233">
        <f t="shared" si="46"/>
        <v>2428.388359374987</v>
      </c>
      <c r="BG44" s="233">
        <f t="shared" si="46"/>
        <v>2433.3904417948911</v>
      </c>
      <c r="BH44" s="233">
        <f t="shared" si="47"/>
        <v>2438.4028276855893</v>
      </c>
      <c r="BI44" s="233">
        <f t="shared" si="47"/>
        <v>2443.4255382705433</v>
      </c>
      <c r="BJ44" s="233">
        <f t="shared" si="47"/>
        <v>2448.4585948169329</v>
      </c>
      <c r="BK44" s="233">
        <f t="shared" si="47"/>
        <v>2453.5020186357451</v>
      </c>
      <c r="BL44" s="233">
        <f t="shared" si="47"/>
        <v>2458.5558310818633</v>
      </c>
      <c r="BM44" s="233">
        <f t="shared" si="47"/>
        <v>2463.6200535541593</v>
      </c>
      <c r="BN44" s="233">
        <f t="shared" si="47"/>
        <v>2468.694707495582</v>
      </c>
      <c r="BO44" s="233">
        <f t="shared" si="47"/>
        <v>2473.7798143932505</v>
      </c>
      <c r="BP44" s="233">
        <f t="shared" si="47"/>
        <v>2478.8753957785425</v>
      </c>
      <c r="BQ44" s="233">
        <f t="shared" si="47"/>
        <v>2483.9814732271884</v>
      </c>
      <c r="BR44" s="233">
        <f t="shared" si="48"/>
        <v>2489.0980683593589</v>
      </c>
      <c r="BS44" s="233">
        <f t="shared" si="48"/>
        <v>2494.2252028397611</v>
      </c>
      <c r="BT44" s="233">
        <f t="shared" si="48"/>
        <v>2499.3628983777267</v>
      </c>
      <c r="BU44" s="233">
        <f t="shared" si="48"/>
        <v>2504.5111767273042</v>
      </c>
      <c r="BV44" s="233">
        <f t="shared" si="48"/>
        <v>2509.6700596873538</v>
      </c>
      <c r="BW44" s="233">
        <f t="shared" si="48"/>
        <v>2514.8395691016362</v>
      </c>
      <c r="BX44" s="233">
        <f t="shared" si="48"/>
        <v>2520.0197268589077</v>
      </c>
      <c r="BY44" s="233">
        <f t="shared" si="48"/>
        <v>2525.2105548930108</v>
      </c>
      <c r="BZ44" s="233">
        <f t="shared" si="48"/>
        <v>2530.4120751829691</v>
      </c>
      <c r="CA44" s="233">
        <f t="shared" si="48"/>
        <v>2535.6243097530787</v>
      </c>
      <c r="CB44" s="233">
        <f t="shared" si="49"/>
        <v>2540.8472806730028</v>
      </c>
      <c r="CC44" s="233">
        <f t="shared" si="49"/>
        <v>2546.0810100578642</v>
      </c>
      <c r="CD44" s="233">
        <f t="shared" si="49"/>
        <v>2551.3255200683393</v>
      </c>
      <c r="CE44" s="233">
        <f t="shared" si="49"/>
        <v>2556.5808329107513</v>
      </c>
      <c r="CF44" s="233">
        <f t="shared" si="49"/>
        <v>2561.8469708371658</v>
      </c>
      <c r="CG44" s="233">
        <f t="shared" si="49"/>
        <v>2567.1239561454831</v>
      </c>
      <c r="CH44" s="233">
        <f t="shared" si="49"/>
        <v>2572.4118111795333</v>
      </c>
      <c r="CI44" s="233">
        <f t="shared" si="49"/>
        <v>2577.7105583291727</v>
      </c>
      <c r="CJ44" s="233">
        <f t="shared" si="49"/>
        <v>2583.0202200303756</v>
      </c>
      <c r="CK44" s="233">
        <f t="shared" si="49"/>
        <v>2588.3408187653313</v>
      </c>
      <c r="CL44" s="233">
        <f t="shared" si="50"/>
        <v>2593.672377062539</v>
      </c>
      <c r="CM44" s="233">
        <f t="shared" si="50"/>
        <v>2599.0149174969015</v>
      </c>
      <c r="CN44" s="233">
        <f t="shared" si="50"/>
        <v>2604.3684626898239</v>
      </c>
      <c r="CO44" s="233">
        <f t="shared" si="50"/>
        <v>2609.7330353093071</v>
      </c>
      <c r="CP44" s="233">
        <f t="shared" si="50"/>
        <v>2615.1086580700439</v>
      </c>
      <c r="CQ44" s="233">
        <f t="shared" si="50"/>
        <v>2620.4953537335164</v>
      </c>
      <c r="CR44" s="233">
        <f t="shared" si="50"/>
        <v>2625.8931451080912</v>
      </c>
      <c r="CS44" s="233">
        <f t="shared" si="50"/>
        <v>2631.302055049116</v>
      </c>
      <c r="CT44" s="233">
        <f t="shared" si="50"/>
        <v>2636.7221064590181</v>
      </c>
      <c r="CU44" s="233">
        <f t="shared" si="50"/>
        <v>2642.1533222873986</v>
      </c>
      <c r="CV44" s="233">
        <f t="shared" si="51"/>
        <v>2647.5957255311318</v>
      </c>
      <c r="CW44" s="233">
        <f t="shared" si="51"/>
        <v>2653.0493392344615</v>
      </c>
      <c r="CX44" s="233">
        <f t="shared" si="51"/>
        <v>2658.5141864890988</v>
      </c>
      <c r="CY44" s="233">
        <f t="shared" si="51"/>
        <v>2663.9902904343207</v>
      </c>
      <c r="CZ44" s="233">
        <f t="shared" si="51"/>
        <v>2669.4776742570662</v>
      </c>
      <c r="DA44" s="233">
        <f t="shared" si="51"/>
        <v>2674.9763611920362</v>
      </c>
      <c r="DB44" s="233">
        <f t="shared" si="51"/>
        <v>2680.4863745217917</v>
      </c>
      <c r="DC44" s="233">
        <f t="shared" si="51"/>
        <v>2686.007737576851</v>
      </c>
      <c r="DD44" s="233">
        <f t="shared" si="51"/>
        <v>2691.5404737357899</v>
      </c>
      <c r="DE44" s="233">
        <f t="shared" si="51"/>
        <v>2697.0846064253406</v>
      </c>
      <c r="DF44" s="233">
        <f t="shared" si="52"/>
        <v>2702.6401591204899</v>
      </c>
      <c r="DG44" s="233">
        <f t="shared" si="52"/>
        <v>2708.2071553445803</v>
      </c>
      <c r="DH44" s="233">
        <f t="shared" si="52"/>
        <v>2713.7856186694066</v>
      </c>
      <c r="DI44" s="233">
        <f t="shared" si="52"/>
        <v>2719.3755727153193</v>
      </c>
      <c r="DJ44" s="233">
        <f t="shared" si="52"/>
        <v>2724.9770411513227</v>
      </c>
      <c r="DK44" s="233">
        <f t="shared" si="52"/>
        <v>2730.5900476951751</v>
      </c>
      <c r="DL44" s="233">
        <f t="shared" si="52"/>
        <v>2736.2146161134892</v>
      </c>
      <c r="DM44" s="233">
        <f t="shared" si="52"/>
        <v>2741.8507702218335</v>
      </c>
      <c r="DN44" s="233">
        <f t="shared" si="52"/>
        <v>2747.4985338848328</v>
      </c>
      <c r="DO44" s="233">
        <f t="shared" si="52"/>
        <v>2753.1579310162683</v>
      </c>
      <c r="DP44" s="233">
        <f t="shared" si="53"/>
        <v>2758.8289855791809</v>
      </c>
      <c r="DQ44" s="233">
        <f t="shared" si="53"/>
        <v>2764.51172158597</v>
      </c>
      <c r="DR44" s="233">
        <f t="shared" si="53"/>
        <v>2770.2061630984986</v>
      </c>
      <c r="DS44" s="233">
        <f t="shared" si="53"/>
        <v>2775.9123342281905</v>
      </c>
      <c r="DT44" s="233">
        <f t="shared" si="53"/>
        <v>2781.6302591361377</v>
      </c>
      <c r="DU44" s="233">
        <f t="shared" si="53"/>
        <v>2787.3599620331984</v>
      </c>
      <c r="DV44" s="233">
        <f t="shared" si="53"/>
        <v>2793.1014671801022</v>
      </c>
      <c r="DW44" s="233">
        <f t="shared" si="53"/>
        <v>2798.8547988875507</v>
      </c>
      <c r="DX44" s="233">
        <f t="shared" si="53"/>
        <v>2804.6199815163222</v>
      </c>
      <c r="DY44" s="233">
        <f t="shared" si="53"/>
        <v>2810.3970394773755</v>
      </c>
      <c r="DZ44" s="233">
        <f t="shared" si="54"/>
        <v>2816.1859972319498</v>
      </c>
      <c r="EA44" s="233">
        <f t="shared" si="54"/>
        <v>2821.9868792916714</v>
      </c>
      <c r="EB44" s="233">
        <f t="shared" si="54"/>
        <v>2827.7997102186569</v>
      </c>
      <c r="EC44" s="233">
        <f t="shared" si="54"/>
        <v>2833.624514625616</v>
      </c>
      <c r="ED44" s="233">
        <f t="shared" si="54"/>
        <v>2839.4613171759574</v>
      </c>
      <c r="EE44" s="233">
        <f t="shared" si="54"/>
        <v>2845.3101425838918</v>
      </c>
      <c r="EF44" s="233">
        <f t="shared" si="54"/>
        <v>2851.1710156145377</v>
      </c>
      <c r="EG44" s="233">
        <f t="shared" si="54"/>
        <v>2857.0439610840253</v>
      </c>
      <c r="EH44" s="233">
        <f t="shared" si="54"/>
        <v>2862.9290038596014</v>
      </c>
      <c r="EI44" s="233">
        <f t="shared" si="54"/>
        <v>2868.8261688597363</v>
      </c>
      <c r="EJ44" s="233">
        <f t="shared" si="54"/>
        <v>2874.7354810542274</v>
      </c>
      <c r="EK44" s="233">
        <f t="shared" si="54"/>
        <v>2880.6569654643067</v>
      </c>
    </row>
    <row r="45" spans="2:141" x14ac:dyDescent="0.45">
      <c r="B45" s="230">
        <f>Assumptions!B82</f>
        <v>37</v>
      </c>
      <c r="C45" s="230" t="str">
        <f>Assumptions!C82</f>
        <v>Fair Market</v>
      </c>
      <c r="D45" s="439">
        <f>Assumptions!D82</f>
        <v>1</v>
      </c>
      <c r="E45" s="22">
        <f>Assumptions!G82</f>
        <v>14</v>
      </c>
      <c r="F45" s="22">
        <f>IF(D45=1,E45+SUM(Assumptions!$G$142:$G$143),'Rent Roll Model'!E45)</f>
        <v>18</v>
      </c>
      <c r="G45" s="233">
        <f>Assumptions!I82</f>
        <v>1601.25</v>
      </c>
      <c r="H45" s="233">
        <f>Assumptions!J82</f>
        <v>2200</v>
      </c>
      <c r="J45" s="233">
        <f t="shared" si="42"/>
        <v>1601.25</v>
      </c>
      <c r="K45" s="233">
        <f t="shared" si="42"/>
        <v>1604.5483128270857</v>
      </c>
      <c r="L45" s="233">
        <f t="shared" si="42"/>
        <v>1607.8534196385619</v>
      </c>
      <c r="M45" s="233">
        <f t="shared" si="42"/>
        <v>1611.1653344289241</v>
      </c>
      <c r="N45" s="233">
        <f t="shared" si="42"/>
        <v>1614.4840712214941</v>
      </c>
      <c r="O45" s="233">
        <f t="shared" si="42"/>
        <v>1617.8096440684794</v>
      </c>
      <c r="P45" s="233">
        <f t="shared" si="42"/>
        <v>1621.1420670510329</v>
      </c>
      <c r="Q45" s="233">
        <f t="shared" si="42"/>
        <v>1624.4813542793124</v>
      </c>
      <c r="R45" s="233">
        <f t="shared" si="42"/>
        <v>1627.8275198925403</v>
      </c>
      <c r="S45" s="233">
        <f t="shared" si="42"/>
        <v>1631.1805780590632</v>
      </c>
      <c r="T45" s="233">
        <f t="shared" si="43"/>
        <v>1634.5405429764123</v>
      </c>
      <c r="U45" s="233">
        <f t="shared" si="43"/>
        <v>1637.9074288713637</v>
      </c>
      <c r="V45" s="233">
        <f t="shared" si="43"/>
        <v>1641.2812499999977</v>
      </c>
      <c r="W45" s="233">
        <f t="shared" si="43"/>
        <v>0</v>
      </c>
      <c r="X45" s="233">
        <f t="shared" si="43"/>
        <v>0</v>
      </c>
      <c r="Y45" s="233">
        <f t="shared" si="43"/>
        <v>0</v>
      </c>
      <c r="Z45" s="233">
        <f t="shared" si="43"/>
        <v>0</v>
      </c>
      <c r="AA45" s="233">
        <f t="shared" si="43"/>
        <v>2278.3205291955765</v>
      </c>
      <c r="AB45" s="233">
        <f t="shared" si="43"/>
        <v>2283.0134964559406</v>
      </c>
      <c r="AC45" s="233">
        <f t="shared" si="43"/>
        <v>2287.7161304604811</v>
      </c>
      <c r="AD45" s="233">
        <f t="shared" si="44"/>
        <v>2292.4284511211076</v>
      </c>
      <c r="AE45" s="233">
        <f t="shared" si="44"/>
        <v>2297.1504783907467</v>
      </c>
      <c r="AF45" s="233">
        <f t="shared" si="44"/>
        <v>2301.8822322634223</v>
      </c>
      <c r="AG45" s="233">
        <f t="shared" si="44"/>
        <v>2306.6237327743456</v>
      </c>
      <c r="AH45" s="233">
        <f t="shared" si="44"/>
        <v>2311.3749999999941</v>
      </c>
      <c r="AI45" s="233">
        <f t="shared" si="44"/>
        <v>2316.1360540582018</v>
      </c>
      <c r="AJ45" s="233">
        <f t="shared" si="44"/>
        <v>2320.9069151082408</v>
      </c>
      <c r="AK45" s="233">
        <f t="shared" si="44"/>
        <v>2325.6876033509097</v>
      </c>
      <c r="AL45" s="233">
        <f t="shared" si="44"/>
        <v>2330.4781390286153</v>
      </c>
      <c r="AM45" s="233">
        <f t="shared" si="44"/>
        <v>2335.2785424254621</v>
      </c>
      <c r="AN45" s="233">
        <f t="shared" si="45"/>
        <v>2340.0888338673353</v>
      </c>
      <c r="AO45" s="233">
        <f t="shared" si="45"/>
        <v>2344.9090337219891</v>
      </c>
      <c r="AP45" s="233">
        <f t="shared" si="45"/>
        <v>2349.7391623991321</v>
      </c>
      <c r="AQ45" s="233">
        <f t="shared" si="45"/>
        <v>2354.5792403505111</v>
      </c>
      <c r="AR45" s="233">
        <f t="shared" si="45"/>
        <v>2359.4292880700041</v>
      </c>
      <c r="AS45" s="233">
        <f t="shared" si="45"/>
        <v>2364.2893260936999</v>
      </c>
      <c r="AT45" s="233">
        <f t="shared" si="45"/>
        <v>2369.1593749999902</v>
      </c>
      <c r="AU45" s="233">
        <f t="shared" si="45"/>
        <v>2374.0394554096529</v>
      </c>
      <c r="AV45" s="233">
        <f t="shared" si="45"/>
        <v>2378.9295879859433</v>
      </c>
      <c r="AW45" s="233">
        <f t="shared" si="45"/>
        <v>2383.8297934346788</v>
      </c>
      <c r="AX45" s="233">
        <f t="shared" si="46"/>
        <v>2388.7400925043271</v>
      </c>
      <c r="AY45" s="233">
        <f t="shared" si="46"/>
        <v>2393.6605059860949</v>
      </c>
      <c r="AZ45" s="233">
        <f t="shared" si="46"/>
        <v>2398.5910547140156</v>
      </c>
      <c r="BA45" s="233">
        <f t="shared" si="46"/>
        <v>2403.5317595650358</v>
      </c>
      <c r="BB45" s="233">
        <f t="shared" si="46"/>
        <v>2408.4826414591071</v>
      </c>
      <c r="BC45" s="233">
        <f t="shared" si="46"/>
        <v>2413.4437213592714</v>
      </c>
      <c r="BD45" s="233">
        <f t="shared" si="46"/>
        <v>2418.4150202717515</v>
      </c>
      <c r="BE45" s="233">
        <f t="shared" si="46"/>
        <v>2423.3965592460399</v>
      </c>
      <c r="BF45" s="233">
        <f t="shared" si="46"/>
        <v>2428.388359374987</v>
      </c>
      <c r="BG45" s="233">
        <f t="shared" si="46"/>
        <v>2433.3904417948911</v>
      </c>
      <c r="BH45" s="233">
        <f t="shared" si="47"/>
        <v>2438.4028276855893</v>
      </c>
      <c r="BI45" s="233">
        <f t="shared" si="47"/>
        <v>2443.4255382705433</v>
      </c>
      <c r="BJ45" s="233">
        <f t="shared" si="47"/>
        <v>2448.4585948169329</v>
      </c>
      <c r="BK45" s="233">
        <f t="shared" si="47"/>
        <v>2453.5020186357451</v>
      </c>
      <c r="BL45" s="233">
        <f t="shared" si="47"/>
        <v>2458.5558310818633</v>
      </c>
      <c r="BM45" s="233">
        <f t="shared" si="47"/>
        <v>2463.6200535541593</v>
      </c>
      <c r="BN45" s="233">
        <f t="shared" si="47"/>
        <v>2468.694707495582</v>
      </c>
      <c r="BO45" s="233">
        <f t="shared" si="47"/>
        <v>2473.7798143932505</v>
      </c>
      <c r="BP45" s="233">
        <f t="shared" si="47"/>
        <v>2478.8753957785425</v>
      </c>
      <c r="BQ45" s="233">
        <f t="shared" si="47"/>
        <v>2483.9814732271884</v>
      </c>
      <c r="BR45" s="233">
        <f t="shared" si="48"/>
        <v>2489.0980683593589</v>
      </c>
      <c r="BS45" s="233">
        <f t="shared" si="48"/>
        <v>2494.2252028397611</v>
      </c>
      <c r="BT45" s="233">
        <f t="shared" si="48"/>
        <v>2499.3628983777267</v>
      </c>
      <c r="BU45" s="233">
        <f t="shared" si="48"/>
        <v>2504.5111767273042</v>
      </c>
      <c r="BV45" s="233">
        <f t="shared" si="48"/>
        <v>2509.6700596873538</v>
      </c>
      <c r="BW45" s="233">
        <f t="shared" si="48"/>
        <v>2514.8395691016362</v>
      </c>
      <c r="BX45" s="233">
        <f t="shared" si="48"/>
        <v>2520.0197268589077</v>
      </c>
      <c r="BY45" s="233">
        <f t="shared" si="48"/>
        <v>2525.2105548930108</v>
      </c>
      <c r="BZ45" s="233">
        <f t="shared" si="48"/>
        <v>2530.4120751829691</v>
      </c>
      <c r="CA45" s="233">
        <f t="shared" si="48"/>
        <v>2535.6243097530787</v>
      </c>
      <c r="CB45" s="233">
        <f t="shared" si="49"/>
        <v>2540.8472806730028</v>
      </c>
      <c r="CC45" s="233">
        <f t="shared" si="49"/>
        <v>2546.0810100578642</v>
      </c>
      <c r="CD45" s="233">
        <f t="shared" si="49"/>
        <v>2551.3255200683393</v>
      </c>
      <c r="CE45" s="233">
        <f t="shared" si="49"/>
        <v>2556.5808329107513</v>
      </c>
      <c r="CF45" s="233">
        <f t="shared" si="49"/>
        <v>2561.8469708371658</v>
      </c>
      <c r="CG45" s="233">
        <f t="shared" si="49"/>
        <v>2567.1239561454831</v>
      </c>
      <c r="CH45" s="233">
        <f t="shared" si="49"/>
        <v>2572.4118111795333</v>
      </c>
      <c r="CI45" s="233">
        <f t="shared" si="49"/>
        <v>2577.7105583291727</v>
      </c>
      <c r="CJ45" s="233">
        <f t="shared" si="49"/>
        <v>2583.0202200303756</v>
      </c>
      <c r="CK45" s="233">
        <f t="shared" si="49"/>
        <v>2588.3408187653313</v>
      </c>
      <c r="CL45" s="233">
        <f t="shared" si="50"/>
        <v>2593.672377062539</v>
      </c>
      <c r="CM45" s="233">
        <f t="shared" si="50"/>
        <v>2599.0149174969015</v>
      </c>
      <c r="CN45" s="233">
        <f t="shared" si="50"/>
        <v>2604.3684626898239</v>
      </c>
      <c r="CO45" s="233">
        <f t="shared" si="50"/>
        <v>2609.7330353093071</v>
      </c>
      <c r="CP45" s="233">
        <f t="shared" si="50"/>
        <v>2615.1086580700439</v>
      </c>
      <c r="CQ45" s="233">
        <f t="shared" si="50"/>
        <v>2620.4953537335164</v>
      </c>
      <c r="CR45" s="233">
        <f t="shared" si="50"/>
        <v>2625.8931451080912</v>
      </c>
      <c r="CS45" s="233">
        <f t="shared" si="50"/>
        <v>2631.302055049116</v>
      </c>
      <c r="CT45" s="233">
        <f t="shared" si="50"/>
        <v>2636.7221064590181</v>
      </c>
      <c r="CU45" s="233">
        <f t="shared" si="50"/>
        <v>2642.1533222873986</v>
      </c>
      <c r="CV45" s="233">
        <f t="shared" si="51"/>
        <v>2647.5957255311318</v>
      </c>
      <c r="CW45" s="233">
        <f t="shared" si="51"/>
        <v>2653.0493392344615</v>
      </c>
      <c r="CX45" s="233">
        <f t="shared" si="51"/>
        <v>2658.5141864890988</v>
      </c>
      <c r="CY45" s="233">
        <f t="shared" si="51"/>
        <v>2663.9902904343207</v>
      </c>
      <c r="CZ45" s="233">
        <f t="shared" si="51"/>
        <v>2669.4776742570662</v>
      </c>
      <c r="DA45" s="233">
        <f t="shared" si="51"/>
        <v>2674.9763611920362</v>
      </c>
      <c r="DB45" s="233">
        <f t="shared" si="51"/>
        <v>2680.4863745217917</v>
      </c>
      <c r="DC45" s="233">
        <f t="shared" si="51"/>
        <v>2686.007737576851</v>
      </c>
      <c r="DD45" s="233">
        <f t="shared" si="51"/>
        <v>2691.5404737357899</v>
      </c>
      <c r="DE45" s="233">
        <f t="shared" si="51"/>
        <v>2697.0846064253406</v>
      </c>
      <c r="DF45" s="233">
        <f t="shared" si="52"/>
        <v>2702.6401591204899</v>
      </c>
      <c r="DG45" s="233">
        <f t="shared" si="52"/>
        <v>2708.2071553445803</v>
      </c>
      <c r="DH45" s="233">
        <f t="shared" si="52"/>
        <v>2713.7856186694066</v>
      </c>
      <c r="DI45" s="233">
        <f t="shared" si="52"/>
        <v>2719.3755727153193</v>
      </c>
      <c r="DJ45" s="233">
        <f t="shared" si="52"/>
        <v>2724.9770411513227</v>
      </c>
      <c r="DK45" s="233">
        <f t="shared" si="52"/>
        <v>2730.5900476951751</v>
      </c>
      <c r="DL45" s="233">
        <f t="shared" si="52"/>
        <v>2736.2146161134892</v>
      </c>
      <c r="DM45" s="233">
        <f t="shared" si="52"/>
        <v>2741.8507702218335</v>
      </c>
      <c r="DN45" s="233">
        <f t="shared" si="52"/>
        <v>2747.4985338848328</v>
      </c>
      <c r="DO45" s="233">
        <f t="shared" si="52"/>
        <v>2753.1579310162683</v>
      </c>
      <c r="DP45" s="233">
        <f t="shared" si="53"/>
        <v>2758.8289855791809</v>
      </c>
      <c r="DQ45" s="233">
        <f t="shared" si="53"/>
        <v>2764.51172158597</v>
      </c>
      <c r="DR45" s="233">
        <f t="shared" si="53"/>
        <v>2770.2061630984986</v>
      </c>
      <c r="DS45" s="233">
        <f t="shared" si="53"/>
        <v>2775.9123342281905</v>
      </c>
      <c r="DT45" s="233">
        <f t="shared" si="53"/>
        <v>2781.6302591361377</v>
      </c>
      <c r="DU45" s="233">
        <f t="shared" si="53"/>
        <v>2787.3599620331984</v>
      </c>
      <c r="DV45" s="233">
        <f t="shared" si="53"/>
        <v>2793.1014671801022</v>
      </c>
      <c r="DW45" s="233">
        <f t="shared" si="53"/>
        <v>2798.8547988875507</v>
      </c>
      <c r="DX45" s="233">
        <f t="shared" si="53"/>
        <v>2804.6199815163222</v>
      </c>
      <c r="DY45" s="233">
        <f t="shared" si="53"/>
        <v>2810.3970394773755</v>
      </c>
      <c r="DZ45" s="233">
        <f t="shared" si="54"/>
        <v>2816.1859972319498</v>
      </c>
      <c r="EA45" s="233">
        <f t="shared" si="54"/>
        <v>2821.9868792916714</v>
      </c>
      <c r="EB45" s="233">
        <f t="shared" si="54"/>
        <v>2827.7997102186569</v>
      </c>
      <c r="EC45" s="233">
        <f t="shared" si="54"/>
        <v>2833.624514625616</v>
      </c>
      <c r="ED45" s="233">
        <f t="shared" si="54"/>
        <v>2839.4613171759574</v>
      </c>
      <c r="EE45" s="233">
        <f t="shared" si="54"/>
        <v>2845.3101425838918</v>
      </c>
      <c r="EF45" s="233">
        <f t="shared" si="54"/>
        <v>2851.1710156145377</v>
      </c>
      <c r="EG45" s="233">
        <f t="shared" si="54"/>
        <v>2857.0439610840253</v>
      </c>
      <c r="EH45" s="233">
        <f t="shared" si="54"/>
        <v>2862.9290038596014</v>
      </c>
      <c r="EI45" s="233">
        <f t="shared" si="54"/>
        <v>2868.8261688597363</v>
      </c>
      <c r="EJ45" s="233">
        <f t="shared" si="54"/>
        <v>2874.7354810542274</v>
      </c>
      <c r="EK45" s="233">
        <f t="shared" si="54"/>
        <v>2880.6569654643067</v>
      </c>
    </row>
    <row r="46" spans="2:141" x14ac:dyDescent="0.45">
      <c r="B46" s="230">
        <f>Assumptions!B83</f>
        <v>38</v>
      </c>
      <c r="C46" s="230" t="str">
        <f>Assumptions!C83</f>
        <v>Fair Market</v>
      </c>
      <c r="D46" s="439">
        <f>Assumptions!D83</f>
        <v>1</v>
      </c>
      <c r="E46" s="22">
        <f>Assumptions!G83</f>
        <v>14</v>
      </c>
      <c r="F46" s="22">
        <f>IF(D46=1,E46+SUM(Assumptions!$G$142:$G$143),'Rent Roll Model'!E46)</f>
        <v>18</v>
      </c>
      <c r="G46" s="233">
        <f>Assumptions!I83</f>
        <v>1700</v>
      </c>
      <c r="H46" s="233">
        <f>Assumptions!J83</f>
        <v>2200</v>
      </c>
      <c r="J46" s="233">
        <f t="shared" si="42"/>
        <v>1700</v>
      </c>
      <c r="K46" s="233">
        <f t="shared" si="42"/>
        <v>1703.5017216587325</v>
      </c>
      <c r="L46" s="233">
        <f t="shared" si="42"/>
        <v>1707.0106562907449</v>
      </c>
      <c r="M46" s="233">
        <f t="shared" si="42"/>
        <v>1710.5268187535805</v>
      </c>
      <c r="N46" s="233">
        <f t="shared" si="42"/>
        <v>1714.050223935388</v>
      </c>
      <c r="O46" s="233">
        <f t="shared" si="42"/>
        <v>1717.580886754982</v>
      </c>
      <c r="P46" s="233">
        <f t="shared" si="42"/>
        <v>1721.1188221619086</v>
      </c>
      <c r="Q46" s="233">
        <f t="shared" si="42"/>
        <v>1724.6640451365065</v>
      </c>
      <c r="R46" s="233">
        <f t="shared" si="42"/>
        <v>1728.2165706899725</v>
      </c>
      <c r="S46" s="233">
        <f t="shared" si="42"/>
        <v>1731.7764138644231</v>
      </c>
      <c r="T46" s="233">
        <f t="shared" si="43"/>
        <v>1735.3435897329593</v>
      </c>
      <c r="U46" s="233">
        <f t="shared" si="43"/>
        <v>1738.9181133997304</v>
      </c>
      <c r="V46" s="233">
        <f t="shared" si="43"/>
        <v>1742.4999999999975</v>
      </c>
      <c r="W46" s="233">
        <f t="shared" si="43"/>
        <v>0</v>
      </c>
      <c r="X46" s="233">
        <f t="shared" si="43"/>
        <v>0</v>
      </c>
      <c r="Y46" s="233">
        <f t="shared" si="43"/>
        <v>0</v>
      </c>
      <c r="Z46" s="233">
        <f t="shared" si="43"/>
        <v>0</v>
      </c>
      <c r="AA46" s="233">
        <f t="shared" si="43"/>
        <v>2278.3205291955765</v>
      </c>
      <c r="AB46" s="233">
        <f t="shared" si="43"/>
        <v>2283.0134964559406</v>
      </c>
      <c r="AC46" s="233">
        <f t="shared" si="43"/>
        <v>2287.7161304604811</v>
      </c>
      <c r="AD46" s="233">
        <f t="shared" si="44"/>
        <v>2292.4284511211076</v>
      </c>
      <c r="AE46" s="233">
        <f t="shared" si="44"/>
        <v>2297.1504783907467</v>
      </c>
      <c r="AF46" s="233">
        <f t="shared" si="44"/>
        <v>2301.8822322634223</v>
      </c>
      <c r="AG46" s="233">
        <f t="shared" si="44"/>
        <v>2306.6237327743456</v>
      </c>
      <c r="AH46" s="233">
        <f t="shared" si="44"/>
        <v>2311.3749999999941</v>
      </c>
      <c r="AI46" s="233">
        <f t="shared" si="44"/>
        <v>2316.1360540582018</v>
      </c>
      <c r="AJ46" s="233">
        <f t="shared" si="44"/>
        <v>2320.9069151082408</v>
      </c>
      <c r="AK46" s="233">
        <f t="shared" si="44"/>
        <v>2325.6876033509097</v>
      </c>
      <c r="AL46" s="233">
        <f t="shared" si="44"/>
        <v>2330.4781390286153</v>
      </c>
      <c r="AM46" s="233">
        <f t="shared" si="44"/>
        <v>2335.2785424254621</v>
      </c>
      <c r="AN46" s="233">
        <f t="shared" si="45"/>
        <v>2340.0888338673353</v>
      </c>
      <c r="AO46" s="233">
        <f t="shared" si="45"/>
        <v>2344.9090337219891</v>
      </c>
      <c r="AP46" s="233">
        <f t="shared" si="45"/>
        <v>2349.7391623991321</v>
      </c>
      <c r="AQ46" s="233">
        <f t="shared" si="45"/>
        <v>2354.5792403505111</v>
      </c>
      <c r="AR46" s="233">
        <f t="shared" si="45"/>
        <v>2359.4292880700041</v>
      </c>
      <c r="AS46" s="233">
        <f t="shared" si="45"/>
        <v>2364.2893260936999</v>
      </c>
      <c r="AT46" s="233">
        <f t="shared" si="45"/>
        <v>2369.1593749999902</v>
      </c>
      <c r="AU46" s="233">
        <f t="shared" si="45"/>
        <v>2374.0394554096529</v>
      </c>
      <c r="AV46" s="233">
        <f t="shared" si="45"/>
        <v>2378.9295879859433</v>
      </c>
      <c r="AW46" s="233">
        <f t="shared" si="45"/>
        <v>2383.8297934346788</v>
      </c>
      <c r="AX46" s="233">
        <f t="shared" si="46"/>
        <v>2388.7400925043271</v>
      </c>
      <c r="AY46" s="233">
        <f t="shared" si="46"/>
        <v>2393.6605059860949</v>
      </c>
      <c r="AZ46" s="233">
        <f t="shared" si="46"/>
        <v>2398.5910547140156</v>
      </c>
      <c r="BA46" s="233">
        <f t="shared" si="46"/>
        <v>2403.5317595650358</v>
      </c>
      <c r="BB46" s="233">
        <f t="shared" si="46"/>
        <v>2408.4826414591071</v>
      </c>
      <c r="BC46" s="233">
        <f t="shared" si="46"/>
        <v>2413.4437213592714</v>
      </c>
      <c r="BD46" s="233">
        <f t="shared" si="46"/>
        <v>2418.4150202717515</v>
      </c>
      <c r="BE46" s="233">
        <f t="shared" si="46"/>
        <v>2423.3965592460399</v>
      </c>
      <c r="BF46" s="233">
        <f t="shared" si="46"/>
        <v>2428.388359374987</v>
      </c>
      <c r="BG46" s="233">
        <f t="shared" si="46"/>
        <v>2433.3904417948911</v>
      </c>
      <c r="BH46" s="233">
        <f t="shared" si="47"/>
        <v>2438.4028276855893</v>
      </c>
      <c r="BI46" s="233">
        <f t="shared" si="47"/>
        <v>2443.4255382705433</v>
      </c>
      <c r="BJ46" s="233">
        <f t="shared" si="47"/>
        <v>2448.4585948169329</v>
      </c>
      <c r="BK46" s="233">
        <f t="shared" si="47"/>
        <v>2453.5020186357451</v>
      </c>
      <c r="BL46" s="233">
        <f t="shared" si="47"/>
        <v>2458.5558310818633</v>
      </c>
      <c r="BM46" s="233">
        <f t="shared" si="47"/>
        <v>2463.6200535541593</v>
      </c>
      <c r="BN46" s="233">
        <f t="shared" si="47"/>
        <v>2468.694707495582</v>
      </c>
      <c r="BO46" s="233">
        <f t="shared" si="47"/>
        <v>2473.7798143932505</v>
      </c>
      <c r="BP46" s="233">
        <f t="shared" si="47"/>
        <v>2478.8753957785425</v>
      </c>
      <c r="BQ46" s="233">
        <f t="shared" si="47"/>
        <v>2483.9814732271884</v>
      </c>
      <c r="BR46" s="233">
        <f t="shared" si="48"/>
        <v>2489.0980683593589</v>
      </c>
      <c r="BS46" s="233">
        <f t="shared" si="48"/>
        <v>2494.2252028397611</v>
      </c>
      <c r="BT46" s="233">
        <f t="shared" si="48"/>
        <v>2499.3628983777267</v>
      </c>
      <c r="BU46" s="233">
        <f t="shared" si="48"/>
        <v>2504.5111767273042</v>
      </c>
      <c r="BV46" s="233">
        <f t="shared" si="48"/>
        <v>2509.6700596873538</v>
      </c>
      <c r="BW46" s="233">
        <f t="shared" si="48"/>
        <v>2514.8395691016362</v>
      </c>
      <c r="BX46" s="233">
        <f t="shared" si="48"/>
        <v>2520.0197268589077</v>
      </c>
      <c r="BY46" s="233">
        <f t="shared" si="48"/>
        <v>2525.2105548930108</v>
      </c>
      <c r="BZ46" s="233">
        <f t="shared" si="48"/>
        <v>2530.4120751829691</v>
      </c>
      <c r="CA46" s="233">
        <f t="shared" si="48"/>
        <v>2535.6243097530787</v>
      </c>
      <c r="CB46" s="233">
        <f t="shared" si="49"/>
        <v>2540.8472806730028</v>
      </c>
      <c r="CC46" s="233">
        <f t="shared" si="49"/>
        <v>2546.0810100578642</v>
      </c>
      <c r="CD46" s="233">
        <f t="shared" si="49"/>
        <v>2551.3255200683393</v>
      </c>
      <c r="CE46" s="233">
        <f t="shared" si="49"/>
        <v>2556.5808329107513</v>
      </c>
      <c r="CF46" s="233">
        <f t="shared" si="49"/>
        <v>2561.8469708371658</v>
      </c>
      <c r="CG46" s="233">
        <f t="shared" si="49"/>
        <v>2567.1239561454831</v>
      </c>
      <c r="CH46" s="233">
        <f t="shared" si="49"/>
        <v>2572.4118111795333</v>
      </c>
      <c r="CI46" s="233">
        <f t="shared" si="49"/>
        <v>2577.7105583291727</v>
      </c>
      <c r="CJ46" s="233">
        <f t="shared" si="49"/>
        <v>2583.0202200303756</v>
      </c>
      <c r="CK46" s="233">
        <f t="shared" si="49"/>
        <v>2588.3408187653313</v>
      </c>
      <c r="CL46" s="233">
        <f t="shared" si="50"/>
        <v>2593.672377062539</v>
      </c>
      <c r="CM46" s="233">
        <f t="shared" si="50"/>
        <v>2599.0149174969015</v>
      </c>
      <c r="CN46" s="233">
        <f t="shared" si="50"/>
        <v>2604.3684626898239</v>
      </c>
      <c r="CO46" s="233">
        <f t="shared" si="50"/>
        <v>2609.7330353093071</v>
      </c>
      <c r="CP46" s="233">
        <f t="shared" si="50"/>
        <v>2615.1086580700439</v>
      </c>
      <c r="CQ46" s="233">
        <f t="shared" si="50"/>
        <v>2620.4953537335164</v>
      </c>
      <c r="CR46" s="233">
        <f t="shared" si="50"/>
        <v>2625.8931451080912</v>
      </c>
      <c r="CS46" s="233">
        <f t="shared" si="50"/>
        <v>2631.302055049116</v>
      </c>
      <c r="CT46" s="233">
        <f t="shared" si="50"/>
        <v>2636.7221064590181</v>
      </c>
      <c r="CU46" s="233">
        <f t="shared" si="50"/>
        <v>2642.1533222873986</v>
      </c>
      <c r="CV46" s="233">
        <f t="shared" si="51"/>
        <v>2647.5957255311318</v>
      </c>
      <c r="CW46" s="233">
        <f t="shared" si="51"/>
        <v>2653.0493392344615</v>
      </c>
      <c r="CX46" s="233">
        <f t="shared" si="51"/>
        <v>2658.5141864890988</v>
      </c>
      <c r="CY46" s="233">
        <f t="shared" si="51"/>
        <v>2663.9902904343207</v>
      </c>
      <c r="CZ46" s="233">
        <f t="shared" si="51"/>
        <v>2669.4776742570662</v>
      </c>
      <c r="DA46" s="233">
        <f t="shared" si="51"/>
        <v>2674.9763611920362</v>
      </c>
      <c r="DB46" s="233">
        <f t="shared" si="51"/>
        <v>2680.4863745217917</v>
      </c>
      <c r="DC46" s="233">
        <f t="shared" si="51"/>
        <v>2686.007737576851</v>
      </c>
      <c r="DD46" s="233">
        <f t="shared" si="51"/>
        <v>2691.5404737357899</v>
      </c>
      <c r="DE46" s="233">
        <f t="shared" si="51"/>
        <v>2697.0846064253406</v>
      </c>
      <c r="DF46" s="233">
        <f t="shared" si="52"/>
        <v>2702.6401591204899</v>
      </c>
      <c r="DG46" s="233">
        <f t="shared" si="52"/>
        <v>2708.2071553445803</v>
      </c>
      <c r="DH46" s="233">
        <f t="shared" si="52"/>
        <v>2713.7856186694066</v>
      </c>
      <c r="DI46" s="233">
        <f t="shared" si="52"/>
        <v>2719.3755727153193</v>
      </c>
      <c r="DJ46" s="233">
        <f t="shared" si="52"/>
        <v>2724.9770411513227</v>
      </c>
      <c r="DK46" s="233">
        <f t="shared" si="52"/>
        <v>2730.5900476951751</v>
      </c>
      <c r="DL46" s="233">
        <f t="shared" si="52"/>
        <v>2736.2146161134892</v>
      </c>
      <c r="DM46" s="233">
        <f t="shared" si="52"/>
        <v>2741.8507702218335</v>
      </c>
      <c r="DN46" s="233">
        <f t="shared" si="52"/>
        <v>2747.4985338848328</v>
      </c>
      <c r="DO46" s="233">
        <f t="shared" si="52"/>
        <v>2753.1579310162683</v>
      </c>
      <c r="DP46" s="233">
        <f t="shared" si="53"/>
        <v>2758.8289855791809</v>
      </c>
      <c r="DQ46" s="233">
        <f t="shared" si="53"/>
        <v>2764.51172158597</v>
      </c>
      <c r="DR46" s="233">
        <f t="shared" si="53"/>
        <v>2770.2061630984986</v>
      </c>
      <c r="DS46" s="233">
        <f t="shared" si="53"/>
        <v>2775.9123342281905</v>
      </c>
      <c r="DT46" s="233">
        <f t="shared" si="53"/>
        <v>2781.6302591361377</v>
      </c>
      <c r="DU46" s="233">
        <f t="shared" si="53"/>
        <v>2787.3599620331984</v>
      </c>
      <c r="DV46" s="233">
        <f t="shared" si="53"/>
        <v>2793.1014671801022</v>
      </c>
      <c r="DW46" s="233">
        <f t="shared" si="53"/>
        <v>2798.8547988875507</v>
      </c>
      <c r="DX46" s="233">
        <f t="shared" si="53"/>
        <v>2804.6199815163222</v>
      </c>
      <c r="DY46" s="233">
        <f t="shared" si="53"/>
        <v>2810.3970394773755</v>
      </c>
      <c r="DZ46" s="233">
        <f t="shared" si="54"/>
        <v>2816.1859972319498</v>
      </c>
      <c r="EA46" s="233">
        <f t="shared" si="54"/>
        <v>2821.9868792916714</v>
      </c>
      <c r="EB46" s="233">
        <f t="shared" si="54"/>
        <v>2827.7997102186569</v>
      </c>
      <c r="EC46" s="233">
        <f t="shared" si="54"/>
        <v>2833.624514625616</v>
      </c>
      <c r="ED46" s="233">
        <f t="shared" si="54"/>
        <v>2839.4613171759574</v>
      </c>
      <c r="EE46" s="233">
        <f t="shared" si="54"/>
        <v>2845.3101425838918</v>
      </c>
      <c r="EF46" s="233">
        <f t="shared" si="54"/>
        <v>2851.1710156145377</v>
      </c>
      <c r="EG46" s="233">
        <f t="shared" si="54"/>
        <v>2857.0439610840253</v>
      </c>
      <c r="EH46" s="233">
        <f t="shared" si="54"/>
        <v>2862.9290038596014</v>
      </c>
      <c r="EI46" s="233">
        <f t="shared" si="54"/>
        <v>2868.8261688597363</v>
      </c>
      <c r="EJ46" s="233">
        <f t="shared" si="54"/>
        <v>2874.7354810542274</v>
      </c>
      <c r="EK46" s="233">
        <f t="shared" si="54"/>
        <v>2880.6569654643067</v>
      </c>
    </row>
    <row r="47" spans="2:141" x14ac:dyDescent="0.45">
      <c r="B47" s="230">
        <f>Assumptions!B84</f>
        <v>39</v>
      </c>
      <c r="C47" s="230" t="str">
        <f>Assumptions!C84</f>
        <v>Fair Market</v>
      </c>
      <c r="D47" s="439">
        <f>Assumptions!D84</f>
        <v>0</v>
      </c>
      <c r="E47" s="22">
        <f>Assumptions!G84</f>
        <v>14</v>
      </c>
      <c r="F47" s="22">
        <f>IF(D47=1,E47+SUM(Assumptions!$G$142:$G$143),'Rent Roll Model'!E47)</f>
        <v>14</v>
      </c>
      <c r="G47" s="233">
        <f>Assumptions!I84</f>
        <v>1391.25</v>
      </c>
      <c r="H47" s="233">
        <f>Assumptions!J84</f>
        <v>1391.25</v>
      </c>
      <c r="J47" s="233">
        <f t="shared" si="42"/>
        <v>1391.25</v>
      </c>
      <c r="K47" s="233">
        <f t="shared" si="42"/>
        <v>1394.1157472104187</v>
      </c>
      <c r="L47" s="233">
        <f t="shared" si="42"/>
        <v>1396.9873973908816</v>
      </c>
      <c r="M47" s="233">
        <f t="shared" si="42"/>
        <v>1399.8649627005407</v>
      </c>
      <c r="N47" s="233">
        <f t="shared" si="42"/>
        <v>1402.7484553235931</v>
      </c>
      <c r="O47" s="233">
        <f t="shared" si="42"/>
        <v>1405.6378874693346</v>
      </c>
      <c r="P47" s="233">
        <f t="shared" si="42"/>
        <v>1408.5332713722089</v>
      </c>
      <c r="Q47" s="233">
        <f t="shared" si="42"/>
        <v>1411.4346192918617</v>
      </c>
      <c r="R47" s="233">
        <f t="shared" si="42"/>
        <v>1414.3419435131909</v>
      </c>
      <c r="S47" s="233">
        <f t="shared" si="42"/>
        <v>1417.2552563463994</v>
      </c>
      <c r="T47" s="233">
        <f t="shared" si="43"/>
        <v>1420.1745701270468</v>
      </c>
      <c r="U47" s="233">
        <f t="shared" si="43"/>
        <v>1423.0998972161028</v>
      </c>
      <c r="V47" s="233">
        <f t="shared" si="43"/>
        <v>1426.031249999998</v>
      </c>
      <c r="W47" s="233">
        <f t="shared" si="43"/>
        <v>1428.9686408906773</v>
      </c>
      <c r="X47" s="233">
        <f t="shared" si="43"/>
        <v>1431.9120823256519</v>
      </c>
      <c r="Y47" s="233">
        <f t="shared" si="43"/>
        <v>1434.8615867680523</v>
      </c>
      <c r="Z47" s="233">
        <f t="shared" si="43"/>
        <v>1437.8171667066813</v>
      </c>
      <c r="AA47" s="233">
        <f t="shared" si="43"/>
        <v>1440.7788346560662</v>
      </c>
      <c r="AB47" s="233">
        <f t="shared" si="43"/>
        <v>1443.7466031565125</v>
      </c>
      <c r="AC47" s="233">
        <f t="shared" si="43"/>
        <v>1446.7204847741566</v>
      </c>
      <c r="AD47" s="233">
        <f t="shared" si="44"/>
        <v>1449.7004921010187</v>
      </c>
      <c r="AE47" s="233">
        <f t="shared" si="44"/>
        <v>1452.6866377550573</v>
      </c>
      <c r="AF47" s="233">
        <f t="shared" si="44"/>
        <v>1455.6789343802211</v>
      </c>
      <c r="AG47" s="233">
        <f t="shared" si="44"/>
        <v>1458.6773946465037</v>
      </c>
      <c r="AH47" s="233">
        <f t="shared" si="44"/>
        <v>1461.6820312499963</v>
      </c>
      <c r="AI47" s="233">
        <f t="shared" si="44"/>
        <v>1464.6928569129423</v>
      </c>
      <c r="AJ47" s="233">
        <f t="shared" si="44"/>
        <v>1467.7098843837909</v>
      </c>
      <c r="AK47" s="233">
        <f t="shared" si="44"/>
        <v>1470.7331264372513</v>
      </c>
      <c r="AL47" s="233">
        <f t="shared" si="44"/>
        <v>1473.7625958743458</v>
      </c>
      <c r="AM47" s="233">
        <f t="shared" si="44"/>
        <v>1476.7983055224654</v>
      </c>
      <c r="AN47" s="233">
        <f t="shared" si="45"/>
        <v>1479.8402682354229</v>
      </c>
      <c r="AO47" s="233">
        <f t="shared" si="45"/>
        <v>1482.8884968935081</v>
      </c>
      <c r="AP47" s="233">
        <f t="shared" si="45"/>
        <v>1485.9430044035419</v>
      </c>
      <c r="AQ47" s="233">
        <f t="shared" si="45"/>
        <v>1489.0038036989313</v>
      </c>
      <c r="AR47" s="233">
        <f t="shared" si="45"/>
        <v>1492.0709077397241</v>
      </c>
      <c r="AS47" s="233">
        <f t="shared" si="45"/>
        <v>1495.1443295126637</v>
      </c>
      <c r="AT47" s="233">
        <f t="shared" si="45"/>
        <v>1498.2240820312436</v>
      </c>
      <c r="AU47" s="233">
        <f t="shared" si="45"/>
        <v>1501.3101783357633</v>
      </c>
      <c r="AV47" s="233">
        <f t="shared" si="45"/>
        <v>1504.4026314933833</v>
      </c>
      <c r="AW47" s="233">
        <f t="shared" si="45"/>
        <v>1507.5014545981803</v>
      </c>
      <c r="AX47" s="233">
        <f t="shared" si="46"/>
        <v>1510.6066607712023</v>
      </c>
      <c r="AY47" s="233">
        <f t="shared" si="46"/>
        <v>1513.7182631605249</v>
      </c>
      <c r="AZ47" s="233">
        <f t="shared" si="46"/>
        <v>1516.8362749413063</v>
      </c>
      <c r="BA47" s="233">
        <f t="shared" si="46"/>
        <v>1519.9607093158436</v>
      </c>
      <c r="BB47" s="233">
        <f t="shared" si="46"/>
        <v>1523.0915795136284</v>
      </c>
      <c r="BC47" s="233">
        <f t="shared" si="46"/>
        <v>1526.2288987914028</v>
      </c>
      <c r="BD47" s="233">
        <f t="shared" si="46"/>
        <v>1529.3726804332157</v>
      </c>
      <c r="BE47" s="233">
        <f t="shared" si="46"/>
        <v>1532.5229377504786</v>
      </c>
      <c r="BF47" s="233">
        <f t="shared" si="46"/>
        <v>1535.679684082023</v>
      </c>
      <c r="BG47" s="233">
        <f t="shared" si="46"/>
        <v>1538.8429327941558</v>
      </c>
      <c r="BH47" s="233">
        <f t="shared" si="47"/>
        <v>1542.0126972807163</v>
      </c>
      <c r="BI47" s="233">
        <f t="shared" si="47"/>
        <v>1545.1889909631332</v>
      </c>
      <c r="BJ47" s="233">
        <f t="shared" si="47"/>
        <v>1548.371827290481</v>
      </c>
      <c r="BK47" s="233">
        <f t="shared" si="47"/>
        <v>1551.5612197395367</v>
      </c>
      <c r="BL47" s="233">
        <f t="shared" si="47"/>
        <v>1554.7571818148374</v>
      </c>
      <c r="BM47" s="233">
        <f t="shared" si="47"/>
        <v>1557.9597270487384</v>
      </c>
      <c r="BN47" s="233">
        <f t="shared" si="47"/>
        <v>1561.1688690014676</v>
      </c>
      <c r="BO47" s="233">
        <f t="shared" si="47"/>
        <v>1564.3846212611863</v>
      </c>
      <c r="BP47" s="233">
        <f t="shared" si="47"/>
        <v>1567.6069974440443</v>
      </c>
      <c r="BQ47" s="233">
        <f t="shared" si="47"/>
        <v>1570.8360111942388</v>
      </c>
      <c r="BR47" s="233">
        <f t="shared" si="48"/>
        <v>1574.071676184072</v>
      </c>
      <c r="BS47" s="233">
        <f t="shared" si="48"/>
        <v>1577.3140061140082</v>
      </c>
      <c r="BT47" s="233">
        <f t="shared" si="48"/>
        <v>1580.5630147127329</v>
      </c>
      <c r="BU47" s="233">
        <f t="shared" si="48"/>
        <v>1583.8187157372101</v>
      </c>
      <c r="BV47" s="233">
        <f t="shared" si="48"/>
        <v>1587.0811229727415</v>
      </c>
      <c r="BW47" s="233">
        <f t="shared" si="48"/>
        <v>1590.3502502330234</v>
      </c>
      <c r="BX47" s="233">
        <f t="shared" si="48"/>
        <v>1593.6261113602068</v>
      </c>
      <c r="BY47" s="233">
        <f t="shared" si="48"/>
        <v>1596.9087202249552</v>
      </c>
      <c r="BZ47" s="233">
        <f t="shared" si="48"/>
        <v>1600.1980907265024</v>
      </c>
      <c r="CA47" s="233">
        <f t="shared" si="48"/>
        <v>1603.494236792714</v>
      </c>
      <c r="CB47" s="233">
        <f t="shared" si="49"/>
        <v>1606.7971723801434</v>
      </c>
      <c r="CC47" s="233">
        <f t="shared" si="49"/>
        <v>1610.1069114740926</v>
      </c>
      <c r="CD47" s="233">
        <f t="shared" si="49"/>
        <v>1613.4234680886714</v>
      </c>
      <c r="CE47" s="233">
        <f t="shared" si="49"/>
        <v>1616.7468562668557</v>
      </c>
      <c r="CF47" s="233">
        <f t="shared" si="49"/>
        <v>1620.0770900805487</v>
      </c>
      <c r="CG47" s="233">
        <f t="shared" si="49"/>
        <v>1623.4141836306378</v>
      </c>
      <c r="CH47" s="233">
        <f t="shared" si="49"/>
        <v>1626.7581510470573</v>
      </c>
      <c r="CI47" s="233">
        <f t="shared" si="49"/>
        <v>1630.1090064888463</v>
      </c>
      <c r="CJ47" s="233">
        <f t="shared" si="49"/>
        <v>1633.4667641442093</v>
      </c>
      <c r="CK47" s="233">
        <f t="shared" si="49"/>
        <v>1636.8314382305759</v>
      </c>
      <c r="CL47" s="233">
        <f t="shared" si="50"/>
        <v>1640.2030429946624</v>
      </c>
      <c r="CM47" s="233">
        <f t="shared" si="50"/>
        <v>1643.5815927125293</v>
      </c>
      <c r="CN47" s="233">
        <f t="shared" si="50"/>
        <v>1646.9671016896443</v>
      </c>
      <c r="CO47" s="233">
        <f t="shared" si="50"/>
        <v>1650.3595842609425</v>
      </c>
      <c r="CP47" s="233">
        <f t="shared" si="50"/>
        <v>1653.7590547908858</v>
      </c>
      <c r="CQ47" s="233">
        <f t="shared" si="50"/>
        <v>1657.1655276735248</v>
      </c>
      <c r="CR47" s="233">
        <f t="shared" si="50"/>
        <v>1660.5790173325597</v>
      </c>
      <c r="CS47" s="233">
        <f t="shared" si="50"/>
        <v>1663.9995382214013</v>
      </c>
      <c r="CT47" s="233">
        <f t="shared" si="50"/>
        <v>1667.4271048232313</v>
      </c>
      <c r="CU47" s="233">
        <f t="shared" si="50"/>
        <v>1670.8617316510649</v>
      </c>
      <c r="CV47" s="233">
        <f t="shared" si="51"/>
        <v>1674.3034332478123</v>
      </c>
      <c r="CW47" s="233">
        <f t="shared" si="51"/>
        <v>1677.7522241863385</v>
      </c>
      <c r="CX47" s="233">
        <f t="shared" si="51"/>
        <v>1681.2081190695267</v>
      </c>
      <c r="CY47" s="233">
        <f t="shared" si="51"/>
        <v>1684.6711325303402</v>
      </c>
      <c r="CZ47" s="233">
        <f t="shared" si="51"/>
        <v>1688.1412792318833</v>
      </c>
      <c r="DA47" s="233">
        <f t="shared" si="51"/>
        <v>1691.618573867464</v>
      </c>
      <c r="DB47" s="233">
        <f t="shared" si="51"/>
        <v>1695.1030311606557</v>
      </c>
      <c r="DC47" s="233">
        <f t="shared" si="51"/>
        <v>1698.5946658653609</v>
      </c>
      <c r="DD47" s="233">
        <f t="shared" si="51"/>
        <v>1702.0934927658716</v>
      </c>
      <c r="DE47" s="233">
        <f t="shared" si="51"/>
        <v>1705.5995266769339</v>
      </c>
      <c r="DF47" s="233">
        <f t="shared" si="52"/>
        <v>1709.1127824438099</v>
      </c>
      <c r="DG47" s="233">
        <f t="shared" si="52"/>
        <v>1712.6332749423395</v>
      </c>
      <c r="DH47" s="233">
        <f t="shared" si="52"/>
        <v>1716.1610190790054</v>
      </c>
      <c r="DI47" s="233">
        <f t="shared" si="52"/>
        <v>1719.6960297909945</v>
      </c>
      <c r="DJ47" s="233">
        <f t="shared" si="52"/>
        <v>1723.2383220462627</v>
      </c>
      <c r="DK47" s="233">
        <f t="shared" si="52"/>
        <v>1726.7879108435964</v>
      </c>
      <c r="DL47" s="233">
        <f t="shared" si="52"/>
        <v>1730.344811212678</v>
      </c>
      <c r="DM47" s="233">
        <f t="shared" si="52"/>
        <v>1733.909038214148</v>
      </c>
      <c r="DN47" s="233">
        <f t="shared" si="52"/>
        <v>1737.4806069396698</v>
      </c>
      <c r="DO47" s="233">
        <f t="shared" si="52"/>
        <v>1741.0595325119923</v>
      </c>
      <c r="DP47" s="233">
        <f t="shared" si="53"/>
        <v>1744.6458300850159</v>
      </c>
      <c r="DQ47" s="233">
        <f t="shared" si="53"/>
        <v>1748.239514843855</v>
      </c>
      <c r="DR47" s="233">
        <f t="shared" si="53"/>
        <v>1751.8406020049026</v>
      </c>
      <c r="DS47" s="233">
        <f t="shared" si="53"/>
        <v>1755.4491068158954</v>
      </c>
      <c r="DT47" s="233">
        <f t="shared" si="53"/>
        <v>1759.0650445559779</v>
      </c>
      <c r="DU47" s="233">
        <f t="shared" si="53"/>
        <v>1762.6884305357669</v>
      </c>
      <c r="DV47" s="233">
        <f t="shared" si="53"/>
        <v>1766.3192800974168</v>
      </c>
      <c r="DW47" s="233">
        <f t="shared" si="53"/>
        <v>1769.957608614684</v>
      </c>
      <c r="DX47" s="233">
        <f t="shared" si="53"/>
        <v>1773.6034314929925</v>
      </c>
      <c r="DY47" s="233">
        <f t="shared" si="53"/>
        <v>1777.2567641694993</v>
      </c>
      <c r="DZ47" s="233">
        <f t="shared" si="54"/>
        <v>1780.9176221131593</v>
      </c>
      <c r="EA47" s="233">
        <f t="shared" si="54"/>
        <v>1784.58602082479</v>
      </c>
      <c r="EB47" s="233">
        <f t="shared" si="54"/>
        <v>1788.2619758371391</v>
      </c>
      <c r="EC47" s="233">
        <f t="shared" si="54"/>
        <v>1791.9455027149493</v>
      </c>
      <c r="ED47" s="233">
        <f t="shared" si="54"/>
        <v>1795.636617055023</v>
      </c>
      <c r="EE47" s="233">
        <f t="shared" si="54"/>
        <v>1799.3353344862908</v>
      </c>
      <c r="EF47" s="233">
        <f t="shared" si="54"/>
        <v>1803.0416706698754</v>
      </c>
      <c r="EG47" s="233">
        <f t="shared" si="54"/>
        <v>1806.7556412991592</v>
      </c>
      <c r="EH47" s="233">
        <f t="shared" si="54"/>
        <v>1810.4772620998501</v>
      </c>
      <c r="EI47" s="233">
        <f t="shared" si="54"/>
        <v>1814.2065488300491</v>
      </c>
      <c r="EJ47" s="233">
        <f t="shared" si="54"/>
        <v>1817.9435172803155</v>
      </c>
      <c r="EK47" s="233">
        <f t="shared" si="54"/>
        <v>1821.6881832737349</v>
      </c>
    </row>
    <row r="48" spans="2:141" x14ac:dyDescent="0.45">
      <c r="B48" s="230">
        <f>Assumptions!B85</f>
        <v>40</v>
      </c>
      <c r="C48" s="230" t="str">
        <f>Assumptions!C85</f>
        <v>Fair Market</v>
      </c>
      <c r="D48" s="439">
        <f>Assumptions!D85</f>
        <v>0</v>
      </c>
      <c r="E48" s="22">
        <f>Assumptions!G85</f>
        <v>15</v>
      </c>
      <c r="F48" s="22">
        <f>IF(D48=1,E48+SUM(Assumptions!$G$142:$G$143),'Rent Roll Model'!E48)</f>
        <v>15</v>
      </c>
      <c r="G48" s="233">
        <f>Assumptions!I85</f>
        <v>2500</v>
      </c>
      <c r="H48" s="233">
        <f>Assumptions!J85</f>
        <v>2500</v>
      </c>
      <c r="J48" s="233">
        <f t="shared" si="42"/>
        <v>2500</v>
      </c>
      <c r="K48" s="233">
        <f t="shared" si="42"/>
        <v>2505.1495906746068</v>
      </c>
      <c r="L48" s="233">
        <f t="shared" si="42"/>
        <v>2510.3097886628602</v>
      </c>
      <c r="M48" s="233">
        <f t="shared" si="42"/>
        <v>2515.4806158140891</v>
      </c>
      <c r="N48" s="233">
        <f t="shared" si="42"/>
        <v>2520.6620940226294</v>
      </c>
      <c r="O48" s="233">
        <f t="shared" si="42"/>
        <v>2525.8542452279148</v>
      </c>
      <c r="P48" s="233">
        <f t="shared" si="42"/>
        <v>2531.0570914145715</v>
      </c>
      <c r="Q48" s="233">
        <f t="shared" si="42"/>
        <v>2536.2706546125096</v>
      </c>
      <c r="R48" s="233">
        <f t="shared" si="42"/>
        <v>2541.4949568970187</v>
      </c>
      <c r="S48" s="233">
        <f t="shared" si="42"/>
        <v>2546.7300203888576</v>
      </c>
      <c r="T48" s="233">
        <f t="shared" si="43"/>
        <v>2551.9758672543517</v>
      </c>
      <c r="U48" s="233">
        <f t="shared" si="43"/>
        <v>2557.2325197054856</v>
      </c>
      <c r="V48" s="233">
        <f t="shared" si="43"/>
        <v>2562.4999999999964</v>
      </c>
      <c r="W48" s="233">
        <f t="shared" si="43"/>
        <v>2567.7783304414688</v>
      </c>
      <c r="X48" s="233">
        <f t="shared" si="43"/>
        <v>2573.0675333794284</v>
      </c>
      <c r="Y48" s="233">
        <f t="shared" si="43"/>
        <v>2578.3676312094385</v>
      </c>
      <c r="Z48" s="233">
        <f t="shared" si="43"/>
        <v>2583.6786463731919</v>
      </c>
      <c r="AA48" s="233">
        <f t="shared" si="43"/>
        <v>2589.0006013586099</v>
      </c>
      <c r="AB48" s="233">
        <f t="shared" si="43"/>
        <v>2594.3335186999329</v>
      </c>
      <c r="AC48" s="233">
        <f t="shared" si="43"/>
        <v>2599.6774209778196</v>
      </c>
      <c r="AD48" s="233">
        <f t="shared" si="44"/>
        <v>2605.0323308194406</v>
      </c>
      <c r="AE48" s="233">
        <f t="shared" si="44"/>
        <v>2610.3982708985759</v>
      </c>
      <c r="AF48" s="233">
        <f t="shared" si="44"/>
        <v>2615.7752639357072</v>
      </c>
      <c r="AG48" s="233">
        <f t="shared" si="44"/>
        <v>2621.16333269812</v>
      </c>
      <c r="AH48" s="233">
        <f t="shared" si="44"/>
        <v>2626.5624999999932</v>
      </c>
      <c r="AI48" s="233">
        <f t="shared" si="44"/>
        <v>2631.9727887025019</v>
      </c>
      <c r="AJ48" s="233">
        <f t="shared" si="44"/>
        <v>2637.3942217139102</v>
      </c>
      <c r="AK48" s="233">
        <f t="shared" si="44"/>
        <v>2642.82682198967</v>
      </c>
      <c r="AL48" s="233">
        <f t="shared" si="44"/>
        <v>2648.2706125325171</v>
      </c>
      <c r="AM48" s="233">
        <f t="shared" si="44"/>
        <v>2653.7256163925704</v>
      </c>
      <c r="AN48" s="233">
        <f t="shared" si="45"/>
        <v>2659.1918566674267</v>
      </c>
      <c r="AO48" s="233">
        <f t="shared" si="45"/>
        <v>2664.6693565022606</v>
      </c>
      <c r="AP48" s="233">
        <f t="shared" si="45"/>
        <v>2670.1581390899228</v>
      </c>
      <c r="AQ48" s="233">
        <f t="shared" si="45"/>
        <v>2675.6582276710355</v>
      </c>
      <c r="AR48" s="233">
        <f t="shared" si="45"/>
        <v>2681.1696455340957</v>
      </c>
      <c r="AS48" s="233">
        <f t="shared" si="45"/>
        <v>2686.6924160155681</v>
      </c>
      <c r="AT48" s="233">
        <f t="shared" si="45"/>
        <v>2692.2265624999886</v>
      </c>
      <c r="AU48" s="233">
        <f t="shared" si="45"/>
        <v>2697.7721084200602</v>
      </c>
      <c r="AV48" s="233">
        <f t="shared" si="45"/>
        <v>2703.3290772567539</v>
      </c>
      <c r="AW48" s="233">
        <f t="shared" si="45"/>
        <v>2708.8974925394077</v>
      </c>
      <c r="AX48" s="233">
        <f t="shared" si="46"/>
        <v>2714.4773778458266</v>
      </c>
      <c r="AY48" s="233">
        <f t="shared" si="46"/>
        <v>2720.0687568023809</v>
      </c>
      <c r="AZ48" s="233">
        <f t="shared" si="46"/>
        <v>2725.6716530841086</v>
      </c>
      <c r="BA48" s="233">
        <f t="shared" si="46"/>
        <v>2731.2860904148133</v>
      </c>
      <c r="BB48" s="233">
        <f t="shared" si="46"/>
        <v>2736.9120925671668</v>
      </c>
      <c r="BC48" s="233">
        <f t="shared" si="46"/>
        <v>2742.5496833628081</v>
      </c>
      <c r="BD48" s="233">
        <f t="shared" si="46"/>
        <v>2748.198886672445</v>
      </c>
      <c r="BE48" s="233">
        <f t="shared" si="46"/>
        <v>2753.8597264159544</v>
      </c>
      <c r="BF48" s="233">
        <f t="shared" si="46"/>
        <v>2759.532226562485</v>
      </c>
      <c r="BG48" s="233">
        <f t="shared" si="46"/>
        <v>2765.2164111305583</v>
      </c>
      <c r="BH48" s="233">
        <f t="shared" si="47"/>
        <v>2770.9123041881694</v>
      </c>
      <c r="BI48" s="233">
        <f t="shared" si="47"/>
        <v>2776.61992985289</v>
      </c>
      <c r="BJ48" s="233">
        <f t="shared" si="47"/>
        <v>2782.3393122919692</v>
      </c>
      <c r="BK48" s="233">
        <f t="shared" si="47"/>
        <v>2788.070475722438</v>
      </c>
      <c r="BL48" s="233">
        <f t="shared" si="47"/>
        <v>2793.8134444112084</v>
      </c>
      <c r="BM48" s="233">
        <f t="shared" si="47"/>
        <v>2799.568242675181</v>
      </c>
      <c r="BN48" s="233">
        <f t="shared" si="47"/>
        <v>2805.3348948813432</v>
      </c>
      <c r="BO48" s="233">
        <f t="shared" si="47"/>
        <v>2811.1134254468757</v>
      </c>
      <c r="BP48" s="233">
        <f t="shared" si="47"/>
        <v>2816.9038588392532</v>
      </c>
      <c r="BQ48" s="233">
        <f t="shared" si="47"/>
        <v>2822.7062195763501</v>
      </c>
      <c r="BR48" s="233">
        <f t="shared" si="48"/>
        <v>2828.5205322265442</v>
      </c>
      <c r="BS48" s="233">
        <f t="shared" si="48"/>
        <v>2834.3468214088198</v>
      </c>
      <c r="BT48" s="233">
        <f t="shared" si="48"/>
        <v>2840.1851117928713</v>
      </c>
      <c r="BU48" s="233">
        <f t="shared" si="48"/>
        <v>2846.0354280992096</v>
      </c>
      <c r="BV48" s="233">
        <f t="shared" si="48"/>
        <v>2851.8977950992657</v>
      </c>
      <c r="BW48" s="233">
        <f t="shared" si="48"/>
        <v>2857.7722376154957</v>
      </c>
      <c r="BX48" s="233">
        <f t="shared" si="48"/>
        <v>2863.6587805214858</v>
      </c>
      <c r="BY48" s="233">
        <f t="shared" si="48"/>
        <v>2869.5574487420577</v>
      </c>
      <c r="BZ48" s="233">
        <f t="shared" si="48"/>
        <v>2875.4682672533736</v>
      </c>
      <c r="CA48" s="233">
        <f t="shared" si="48"/>
        <v>2881.3912610830439</v>
      </c>
      <c r="CB48" s="233">
        <f t="shared" si="49"/>
        <v>2887.3264553102308</v>
      </c>
      <c r="CC48" s="233">
        <f t="shared" si="49"/>
        <v>2893.273875065755</v>
      </c>
      <c r="CD48" s="233">
        <f t="shared" si="49"/>
        <v>2899.2335455322036</v>
      </c>
      <c r="CE48" s="233">
        <f t="shared" si="49"/>
        <v>2905.2054919440357</v>
      </c>
      <c r="CF48" s="233">
        <f t="shared" si="49"/>
        <v>2911.1897395876886</v>
      </c>
      <c r="CG48" s="233">
        <f t="shared" si="49"/>
        <v>2917.1863138016852</v>
      </c>
      <c r="CH48" s="233">
        <f t="shared" si="49"/>
        <v>2923.1952399767424</v>
      </c>
      <c r="CI48" s="233">
        <f t="shared" si="49"/>
        <v>2929.2165435558782</v>
      </c>
      <c r="CJ48" s="233">
        <f t="shared" si="49"/>
        <v>2935.2502500345181</v>
      </c>
      <c r="CK48" s="233">
        <f t="shared" si="49"/>
        <v>2941.296384960604</v>
      </c>
      <c r="CL48" s="233">
        <f t="shared" si="50"/>
        <v>2947.3549739347031</v>
      </c>
      <c r="CM48" s="233">
        <f t="shared" si="50"/>
        <v>2953.4260426101155</v>
      </c>
      <c r="CN48" s="233">
        <f t="shared" si="50"/>
        <v>2959.509616692982</v>
      </c>
      <c r="CO48" s="233">
        <f t="shared" si="50"/>
        <v>2965.6057219423942</v>
      </c>
      <c r="CP48" s="233">
        <f t="shared" si="50"/>
        <v>2971.7143841705047</v>
      </c>
      <c r="CQ48" s="233">
        <f t="shared" si="50"/>
        <v>2977.8356292426324</v>
      </c>
      <c r="CR48" s="233">
        <f t="shared" si="50"/>
        <v>2983.969483077376</v>
      </c>
      <c r="CS48" s="233">
        <f t="shared" si="50"/>
        <v>2990.1159716467228</v>
      </c>
      <c r="CT48" s="233">
        <f t="shared" si="50"/>
        <v>2996.2751209761568</v>
      </c>
      <c r="CU48" s="233">
        <f t="shared" si="50"/>
        <v>3002.4469571447707</v>
      </c>
      <c r="CV48" s="233">
        <f t="shared" si="51"/>
        <v>3008.6315062853769</v>
      </c>
      <c r="CW48" s="233">
        <f t="shared" si="51"/>
        <v>3014.8287945846155</v>
      </c>
      <c r="CX48" s="233">
        <f t="shared" si="51"/>
        <v>3021.0388482830667</v>
      </c>
      <c r="CY48" s="233">
        <f t="shared" si="51"/>
        <v>3027.2616936753643</v>
      </c>
      <c r="CZ48" s="233">
        <f t="shared" si="51"/>
        <v>3033.4973571103023</v>
      </c>
      <c r="DA48" s="233">
        <f t="shared" si="51"/>
        <v>3039.7458649909504</v>
      </c>
      <c r="DB48" s="233">
        <f t="shared" si="51"/>
        <v>3046.0072437747631</v>
      </c>
      <c r="DC48" s="233">
        <f t="shared" si="51"/>
        <v>3052.2815199736942</v>
      </c>
      <c r="DD48" s="233">
        <f t="shared" si="51"/>
        <v>3058.5687201543064</v>
      </c>
      <c r="DE48" s="233">
        <f t="shared" si="51"/>
        <v>3064.8688709378866</v>
      </c>
      <c r="DF48" s="233">
        <f t="shared" si="52"/>
        <v>3071.181999000557</v>
      </c>
      <c r="DG48" s="233">
        <f t="shared" si="52"/>
        <v>3077.5081310733867</v>
      </c>
      <c r="DH48" s="233">
        <f t="shared" si="52"/>
        <v>3083.8472939425078</v>
      </c>
      <c r="DI48" s="233">
        <f t="shared" si="52"/>
        <v>3090.1995144492266</v>
      </c>
      <c r="DJ48" s="233">
        <f t="shared" si="52"/>
        <v>3096.5648194901396</v>
      </c>
      <c r="DK48" s="233">
        <f t="shared" si="52"/>
        <v>3102.9432360172441</v>
      </c>
      <c r="DL48" s="233">
        <f t="shared" si="52"/>
        <v>3109.3347910380558</v>
      </c>
      <c r="DM48" s="233">
        <f t="shared" si="52"/>
        <v>3115.7395116157199</v>
      </c>
      <c r="DN48" s="233">
        <f t="shared" si="52"/>
        <v>3122.1574248691281</v>
      </c>
      <c r="DO48" s="233">
        <f t="shared" si="52"/>
        <v>3128.588557973032</v>
      </c>
      <c r="DP48" s="233">
        <f t="shared" si="53"/>
        <v>3135.0329381581601</v>
      </c>
      <c r="DQ48" s="233">
        <f t="shared" si="53"/>
        <v>3141.4905927113296</v>
      </c>
      <c r="DR48" s="233">
        <f t="shared" si="53"/>
        <v>3147.9615489755665</v>
      </c>
      <c r="DS48" s="233">
        <f t="shared" si="53"/>
        <v>3154.4458343502165</v>
      </c>
      <c r="DT48" s="233">
        <f t="shared" si="53"/>
        <v>3160.9434762910655</v>
      </c>
      <c r="DU48" s="233">
        <f t="shared" si="53"/>
        <v>3167.4545023104529</v>
      </c>
      <c r="DV48" s="233">
        <f t="shared" si="53"/>
        <v>3173.9789399773886</v>
      </c>
      <c r="DW48" s="233">
        <f t="shared" si="53"/>
        <v>3180.5168169176713</v>
      </c>
      <c r="DX48" s="233">
        <f t="shared" si="53"/>
        <v>3187.0681608140026</v>
      </c>
      <c r="DY48" s="233">
        <f t="shared" si="53"/>
        <v>3193.6329994061084</v>
      </c>
      <c r="DZ48" s="233">
        <f t="shared" si="54"/>
        <v>3200.2113604908523</v>
      </c>
      <c r="EA48" s="233">
        <f t="shared" si="54"/>
        <v>3206.8032719223538</v>
      </c>
      <c r="EB48" s="233">
        <f t="shared" si="54"/>
        <v>3213.4087616121101</v>
      </c>
      <c r="EC48" s="233">
        <f t="shared" si="54"/>
        <v>3220.027857529109</v>
      </c>
      <c r="ED48" s="233">
        <f t="shared" si="54"/>
        <v>3226.6605876999515</v>
      </c>
      <c r="EE48" s="233">
        <f t="shared" si="54"/>
        <v>3233.3069802089681</v>
      </c>
      <c r="EF48" s="233">
        <f t="shared" si="54"/>
        <v>3239.9670631983386</v>
      </c>
      <c r="EG48" s="233">
        <f t="shared" si="54"/>
        <v>3246.6408648682104</v>
      </c>
      <c r="EH48" s="233">
        <f t="shared" si="54"/>
        <v>3253.3284134768196</v>
      </c>
      <c r="EI48" s="233">
        <f t="shared" si="54"/>
        <v>3260.0297373406097</v>
      </c>
      <c r="EJ48" s="233">
        <f t="shared" si="54"/>
        <v>3266.7448648343493</v>
      </c>
      <c r="EK48" s="233">
        <f t="shared" si="54"/>
        <v>3273.4738243912575</v>
      </c>
    </row>
    <row r="49" spans="2:141" x14ac:dyDescent="0.45">
      <c r="B49" s="230">
        <f>Assumptions!B86</f>
        <v>41</v>
      </c>
      <c r="C49" s="230" t="str">
        <f>Assumptions!C86</f>
        <v>Fair Market</v>
      </c>
      <c r="D49" s="439">
        <f>Assumptions!D86</f>
        <v>1</v>
      </c>
      <c r="E49" s="22">
        <f>Assumptions!G86</f>
        <v>15</v>
      </c>
      <c r="F49" s="22">
        <f>IF(D49=1,E49+SUM(Assumptions!$G$142:$G$143),'Rent Roll Model'!E49)</f>
        <v>19</v>
      </c>
      <c r="G49" s="233">
        <f>Assumptions!I86</f>
        <v>2194.5</v>
      </c>
      <c r="H49" s="233">
        <f>Assumptions!J86</f>
        <v>2600</v>
      </c>
      <c r="J49" s="233">
        <f t="shared" ref="J49:S58" si="55">IFERROR(IF($D49=0,$G49,IF(J$8&lt;$E49,$G49,IF(J$8&gt;=$F49,$H49,0)))*INDEX(J$3:J$5,MATCH($C49,$B$3:$B$5,0)),0)</f>
        <v>2194.5</v>
      </c>
      <c r="K49" s="233">
        <f t="shared" si="55"/>
        <v>2199.0203106941699</v>
      </c>
      <c r="L49" s="233">
        <f t="shared" si="55"/>
        <v>2203.5499324882585</v>
      </c>
      <c r="M49" s="233">
        <f t="shared" si="55"/>
        <v>2208.0888845616073</v>
      </c>
      <c r="N49" s="233">
        <f t="shared" si="55"/>
        <v>2212.637186133064</v>
      </c>
      <c r="O49" s="233">
        <f t="shared" si="55"/>
        <v>2217.1948564610634</v>
      </c>
      <c r="P49" s="233">
        <f t="shared" si="55"/>
        <v>2221.7619148437107</v>
      </c>
      <c r="Q49" s="233">
        <f t="shared" si="55"/>
        <v>2226.3383806188608</v>
      </c>
      <c r="R49" s="233">
        <f t="shared" si="55"/>
        <v>2230.924273164203</v>
      </c>
      <c r="S49" s="233">
        <f t="shared" si="55"/>
        <v>2235.5196118973395</v>
      </c>
      <c r="T49" s="233">
        <f t="shared" ref="T49:AC58" si="56">IFERROR(IF($D49=0,$G49,IF(T$8&lt;$E49,$G49,IF(T$8&gt;=$F49,$H49,0)))*INDEX(T$3:T$5,MATCH($C49,$B$3:$B$5,0)),0)</f>
        <v>2240.1244162758699</v>
      </c>
      <c r="U49" s="233">
        <f t="shared" si="56"/>
        <v>2244.7387057974752</v>
      </c>
      <c r="V49" s="233">
        <f t="shared" si="56"/>
        <v>2249.362499999997</v>
      </c>
      <c r="W49" s="233">
        <f t="shared" si="56"/>
        <v>2253.9958184615211</v>
      </c>
      <c r="X49" s="233">
        <f t="shared" si="56"/>
        <v>0</v>
      </c>
      <c r="Y49" s="233">
        <f t="shared" si="56"/>
        <v>0</v>
      </c>
      <c r="Z49" s="233">
        <f t="shared" si="56"/>
        <v>0</v>
      </c>
      <c r="AA49" s="233">
        <f t="shared" si="56"/>
        <v>0</v>
      </c>
      <c r="AB49" s="233">
        <f t="shared" si="56"/>
        <v>2698.1068594479302</v>
      </c>
      <c r="AC49" s="233">
        <f t="shared" si="56"/>
        <v>2703.6645178169324</v>
      </c>
      <c r="AD49" s="233">
        <f t="shared" ref="AD49:AM58" si="57">IFERROR(IF($D49=0,$G49,IF(AD$8&lt;$E49,$G49,IF(AD$8&gt;=$F49,$H49,0)))*INDEX(AD$3:AD$5,MATCH($C49,$B$3:$B$5,0)),0)</f>
        <v>2709.2336240522181</v>
      </c>
      <c r="AE49" s="233">
        <f t="shared" si="57"/>
        <v>2714.8142017345185</v>
      </c>
      <c r="AF49" s="233">
        <f t="shared" si="57"/>
        <v>2720.4062744931357</v>
      </c>
      <c r="AG49" s="233">
        <f t="shared" si="57"/>
        <v>2726.0098660060448</v>
      </c>
      <c r="AH49" s="233">
        <f t="shared" si="57"/>
        <v>2731.6249999999927</v>
      </c>
      <c r="AI49" s="233">
        <f t="shared" si="57"/>
        <v>2737.251700250602</v>
      </c>
      <c r="AJ49" s="233">
        <f t="shared" si="57"/>
        <v>2742.8899905824665</v>
      </c>
      <c r="AK49" s="233">
        <f t="shared" si="57"/>
        <v>2748.5398948692568</v>
      </c>
      <c r="AL49" s="233">
        <f t="shared" si="57"/>
        <v>2754.2014370338179</v>
      </c>
      <c r="AM49" s="233">
        <f t="shared" si="57"/>
        <v>2759.8746410482731</v>
      </c>
      <c r="AN49" s="233">
        <f t="shared" ref="AN49:AW58" si="58">IFERROR(IF($D49=0,$G49,IF(AN$8&lt;$E49,$G49,IF(AN$8&gt;=$F49,$H49,0)))*INDEX(AN$3:AN$5,MATCH($C49,$B$3:$B$5,0)),0)</f>
        <v>2765.5595309341238</v>
      </c>
      <c r="AO49" s="233">
        <f t="shared" si="58"/>
        <v>2771.2561307623509</v>
      </c>
      <c r="AP49" s="233">
        <f t="shared" si="58"/>
        <v>2776.9644646535194</v>
      </c>
      <c r="AQ49" s="233">
        <f t="shared" si="58"/>
        <v>2782.6845567778769</v>
      </c>
      <c r="AR49" s="233">
        <f t="shared" si="58"/>
        <v>2788.4164313554593</v>
      </c>
      <c r="AS49" s="233">
        <f t="shared" si="58"/>
        <v>2794.1601126561909</v>
      </c>
      <c r="AT49" s="233">
        <f t="shared" si="58"/>
        <v>2799.9156249999883</v>
      </c>
      <c r="AU49" s="233">
        <f t="shared" si="58"/>
        <v>2805.6829927568624</v>
      </c>
      <c r="AV49" s="233">
        <f t="shared" si="58"/>
        <v>2811.4622403470239</v>
      </c>
      <c r="AW49" s="233">
        <f t="shared" si="58"/>
        <v>2817.2533922409839</v>
      </c>
      <c r="AX49" s="233">
        <f t="shared" ref="AX49:BG58" si="59">IFERROR(IF($D49=0,$G49,IF(AX$8&lt;$E49,$G49,IF(AX$8&gt;=$F49,$H49,0)))*INDEX(AX$3:AX$5,MATCH($C49,$B$3:$B$5,0)),0)</f>
        <v>2823.0564729596595</v>
      </c>
      <c r="AY49" s="233">
        <f t="shared" si="59"/>
        <v>2828.8715070744761</v>
      </c>
      <c r="AZ49" s="233">
        <f t="shared" si="59"/>
        <v>2834.6985192074731</v>
      </c>
      <c r="BA49" s="233">
        <f t="shared" si="59"/>
        <v>2840.5375340314058</v>
      </c>
      <c r="BB49" s="233">
        <f t="shared" si="59"/>
        <v>2846.3885762698537</v>
      </c>
      <c r="BC49" s="233">
        <f t="shared" si="59"/>
        <v>2852.2516706973206</v>
      </c>
      <c r="BD49" s="233">
        <f t="shared" si="59"/>
        <v>2858.1268421393429</v>
      </c>
      <c r="BE49" s="233">
        <f t="shared" si="59"/>
        <v>2864.0141154725925</v>
      </c>
      <c r="BF49" s="233">
        <f t="shared" si="59"/>
        <v>2869.9135156249845</v>
      </c>
      <c r="BG49" s="233">
        <f t="shared" si="59"/>
        <v>2875.8250675757804</v>
      </c>
      <c r="BH49" s="233">
        <f t="shared" ref="BH49:BQ58" si="60">IFERROR(IF($D49=0,$G49,IF(BH$8&lt;$E49,$G49,IF(BH$8&gt;=$F49,$H49,0)))*INDEX(BH$3:BH$5,MATCH($C49,$B$3:$B$5,0)),0)</f>
        <v>2881.7487963556964</v>
      </c>
      <c r="BI49" s="233">
        <f t="shared" si="60"/>
        <v>2887.6847270470053</v>
      </c>
      <c r="BJ49" s="233">
        <f t="shared" si="60"/>
        <v>2893.632884783648</v>
      </c>
      <c r="BK49" s="233">
        <f t="shared" si="60"/>
        <v>2899.5932947513352</v>
      </c>
      <c r="BL49" s="233">
        <f t="shared" si="60"/>
        <v>2905.5659821876566</v>
      </c>
      <c r="BM49" s="233">
        <f t="shared" si="60"/>
        <v>2911.5509723821883</v>
      </c>
      <c r="BN49" s="233">
        <f t="shared" si="60"/>
        <v>2917.5482906765969</v>
      </c>
      <c r="BO49" s="233">
        <f t="shared" si="60"/>
        <v>2923.5579624647507</v>
      </c>
      <c r="BP49" s="233">
        <f t="shared" si="60"/>
        <v>2929.5800131928231</v>
      </c>
      <c r="BQ49" s="233">
        <f t="shared" si="60"/>
        <v>2935.6144683594043</v>
      </c>
      <c r="BR49" s="233">
        <f t="shared" ref="BR49:CA58" si="61">IFERROR(IF($D49=0,$G49,IF(BR$8&lt;$E49,$G49,IF(BR$8&gt;=$F49,$H49,0)))*INDEX(BR$3:BR$5,MATCH($C49,$B$3:$B$5,0)),0)</f>
        <v>2941.6613535156062</v>
      </c>
      <c r="BS49" s="233">
        <f t="shared" si="61"/>
        <v>2947.7206942651724</v>
      </c>
      <c r="BT49" s="233">
        <f t="shared" si="61"/>
        <v>2953.7925162645861</v>
      </c>
      <c r="BU49" s="233">
        <f t="shared" si="61"/>
        <v>2959.876845223178</v>
      </c>
      <c r="BV49" s="233">
        <f t="shared" si="61"/>
        <v>2965.9737069032362</v>
      </c>
      <c r="BW49" s="233">
        <f t="shared" si="61"/>
        <v>2972.0831271201155</v>
      </c>
      <c r="BX49" s="233">
        <f t="shared" si="61"/>
        <v>2978.2051317423452</v>
      </c>
      <c r="BY49" s="233">
        <f t="shared" si="61"/>
        <v>2984.3397466917399</v>
      </c>
      <c r="BZ49" s="233">
        <f t="shared" si="61"/>
        <v>2990.4869979435089</v>
      </c>
      <c r="CA49" s="233">
        <f t="shared" si="61"/>
        <v>2996.6469115263658</v>
      </c>
      <c r="CB49" s="233">
        <f t="shared" ref="CB49:CK58" si="62">IFERROR(IF($D49=0,$G49,IF(CB$8&lt;$E49,$G49,IF(CB$8&gt;=$F49,$H49,0)))*INDEX(CB$3:CB$5,MATCH($C49,$B$3:$B$5,0)),0)</f>
        <v>3002.8195135226401</v>
      </c>
      <c r="CC49" s="233">
        <f t="shared" si="62"/>
        <v>3009.0048300683852</v>
      </c>
      <c r="CD49" s="233">
        <f t="shared" si="62"/>
        <v>3015.2028873534919</v>
      </c>
      <c r="CE49" s="233">
        <f t="shared" si="62"/>
        <v>3021.4137116217971</v>
      </c>
      <c r="CF49" s="233">
        <f t="shared" si="62"/>
        <v>3027.6373291711961</v>
      </c>
      <c r="CG49" s="233">
        <f t="shared" si="62"/>
        <v>3033.8737663537527</v>
      </c>
      <c r="CH49" s="233">
        <f t="shared" si="62"/>
        <v>3040.1230495758123</v>
      </c>
      <c r="CI49" s="233">
        <f t="shared" si="62"/>
        <v>3046.3852052981133</v>
      </c>
      <c r="CJ49" s="233">
        <f t="shared" si="62"/>
        <v>3052.6602600358988</v>
      </c>
      <c r="CK49" s="233">
        <f t="shared" si="62"/>
        <v>3058.9482403590282</v>
      </c>
      <c r="CL49" s="233">
        <f t="shared" ref="CL49:CU58" si="63">IFERROR(IF($D49=0,$G49,IF(CL$8&lt;$E49,$G49,IF(CL$8&gt;=$F49,$H49,0)))*INDEX(CL$3:CL$5,MATCH($C49,$B$3:$B$5,0)),0)</f>
        <v>3065.2491728920913</v>
      </c>
      <c r="CM49" s="233">
        <f t="shared" si="63"/>
        <v>3071.56308431452</v>
      </c>
      <c r="CN49" s="233">
        <f t="shared" si="63"/>
        <v>3077.8900013607013</v>
      </c>
      <c r="CO49" s="233">
        <f t="shared" si="63"/>
        <v>3084.2299508200899</v>
      </c>
      <c r="CP49" s="233">
        <f t="shared" si="63"/>
        <v>3090.5829595373248</v>
      </c>
      <c r="CQ49" s="233">
        <f t="shared" si="63"/>
        <v>3096.9490544123373</v>
      </c>
      <c r="CR49" s="233">
        <f t="shared" si="63"/>
        <v>3103.328262400471</v>
      </c>
      <c r="CS49" s="233">
        <f t="shared" si="63"/>
        <v>3109.720610512592</v>
      </c>
      <c r="CT49" s="233">
        <f t="shared" si="63"/>
        <v>3116.1261258152031</v>
      </c>
      <c r="CU49" s="233">
        <f t="shared" si="63"/>
        <v>3122.5448354305618</v>
      </c>
      <c r="CV49" s="233">
        <f t="shared" ref="CV49:DE58" si="64">IFERROR(IF($D49=0,$G49,IF(CV$8&lt;$E49,$G49,IF(CV$8&gt;=$F49,$H49,0)))*INDEX(CV$3:CV$5,MATCH($C49,$B$3:$B$5,0)),0)</f>
        <v>3128.9767665367922</v>
      </c>
      <c r="CW49" s="233">
        <f t="shared" si="64"/>
        <v>3135.4219463679997</v>
      </c>
      <c r="CX49" s="233">
        <f t="shared" si="64"/>
        <v>3141.8804022143895</v>
      </c>
      <c r="CY49" s="233">
        <f t="shared" si="64"/>
        <v>3148.3521614223791</v>
      </c>
      <c r="CZ49" s="233">
        <f t="shared" si="64"/>
        <v>3154.8372513947147</v>
      </c>
      <c r="DA49" s="233">
        <f t="shared" si="64"/>
        <v>3161.3356995905883</v>
      </c>
      <c r="DB49" s="233">
        <f t="shared" si="64"/>
        <v>3167.8475335257535</v>
      </c>
      <c r="DC49" s="233">
        <f t="shared" si="64"/>
        <v>3174.3727807726418</v>
      </c>
      <c r="DD49" s="233">
        <f t="shared" si="64"/>
        <v>3180.9114689604789</v>
      </c>
      <c r="DE49" s="233">
        <f t="shared" si="64"/>
        <v>3187.4636257754023</v>
      </c>
      <c r="DF49" s="233">
        <f t="shared" ref="DF49:DO58" si="65">IFERROR(IF($D49=0,$G49,IF(DF$8&lt;$E49,$G49,IF(DF$8&gt;=$F49,$H49,0)))*INDEX(DF$3:DF$5,MATCH($C49,$B$3:$B$5,0)),0)</f>
        <v>3194.0292789605792</v>
      </c>
      <c r="DG49" s="233">
        <f t="shared" si="65"/>
        <v>3200.6084563163217</v>
      </c>
      <c r="DH49" s="233">
        <f t="shared" si="65"/>
        <v>3207.201185700208</v>
      </c>
      <c r="DI49" s="233">
        <f t="shared" si="65"/>
        <v>3213.8074950271957</v>
      </c>
      <c r="DJ49" s="233">
        <f t="shared" si="65"/>
        <v>3220.4274122697452</v>
      </c>
      <c r="DK49" s="233">
        <f t="shared" si="65"/>
        <v>3227.0609654579339</v>
      </c>
      <c r="DL49" s="233">
        <f t="shared" si="65"/>
        <v>3233.7081826795779</v>
      </c>
      <c r="DM49" s="233">
        <f t="shared" si="65"/>
        <v>3240.3690920803488</v>
      </c>
      <c r="DN49" s="233">
        <f t="shared" si="65"/>
        <v>3247.0437218638931</v>
      </c>
      <c r="DO49" s="233">
        <f t="shared" si="65"/>
        <v>3253.7321002919534</v>
      </c>
      <c r="DP49" s="233">
        <f t="shared" ref="DP49:DY58" si="66">IFERROR(IF($D49=0,$G49,IF(DP$8&lt;$E49,$G49,IF(DP$8&gt;=$F49,$H49,0)))*INDEX(DP$3:DP$5,MATCH($C49,$B$3:$B$5,0)),0)</f>
        <v>3260.4342556844863</v>
      </c>
      <c r="DQ49" s="233">
        <f t="shared" si="66"/>
        <v>3267.1502164197827</v>
      </c>
      <c r="DR49" s="233">
        <f t="shared" si="66"/>
        <v>3273.8800109345889</v>
      </c>
      <c r="DS49" s="233">
        <f t="shared" si="66"/>
        <v>3280.623667724225</v>
      </c>
      <c r="DT49" s="233">
        <f t="shared" si="66"/>
        <v>3287.3812153427079</v>
      </c>
      <c r="DU49" s="233">
        <f t="shared" si="66"/>
        <v>3294.1526824028711</v>
      </c>
      <c r="DV49" s="233">
        <f t="shared" si="66"/>
        <v>3300.9380975764843</v>
      </c>
      <c r="DW49" s="233">
        <f t="shared" si="66"/>
        <v>3307.7374895943781</v>
      </c>
      <c r="DX49" s="233">
        <f t="shared" si="66"/>
        <v>3314.550887246563</v>
      </c>
      <c r="DY49" s="233">
        <f t="shared" si="66"/>
        <v>3321.3783193823529</v>
      </c>
      <c r="DZ49" s="233">
        <f t="shared" ref="DZ49:EK58" si="67">IFERROR(IF($D49=0,$G49,IF(DZ$8&lt;$E49,$G49,IF(DZ$8&gt;=$F49,$H49,0)))*INDEX(DZ$3:DZ$5,MATCH($C49,$B$3:$B$5,0)),0)</f>
        <v>3328.2198149104861</v>
      </c>
      <c r="EA49" s="233">
        <f t="shared" si="67"/>
        <v>3335.075402799248</v>
      </c>
      <c r="EB49" s="233">
        <f t="shared" si="67"/>
        <v>3341.9451120765943</v>
      </c>
      <c r="EC49" s="233">
        <f t="shared" si="67"/>
        <v>3348.8289718302735</v>
      </c>
      <c r="ED49" s="233">
        <f t="shared" si="67"/>
        <v>3355.7270112079495</v>
      </c>
      <c r="EE49" s="233">
        <f t="shared" si="67"/>
        <v>3362.6392594173267</v>
      </c>
      <c r="EF49" s="233">
        <f t="shared" si="67"/>
        <v>3369.5657457262719</v>
      </c>
      <c r="EG49" s="233">
        <f t="shared" si="67"/>
        <v>3376.5064994629388</v>
      </c>
      <c r="EH49" s="233">
        <f t="shared" si="67"/>
        <v>3383.4615500158925</v>
      </c>
      <c r="EI49" s="233">
        <f t="shared" si="67"/>
        <v>3390.430926834234</v>
      </c>
      <c r="EJ49" s="233">
        <f t="shared" si="67"/>
        <v>3397.4146594277236</v>
      </c>
      <c r="EK49" s="233">
        <f t="shared" si="67"/>
        <v>3404.4127773669079</v>
      </c>
    </row>
    <row r="50" spans="2:141" x14ac:dyDescent="0.45">
      <c r="B50" s="230">
        <f>Assumptions!B87</f>
        <v>42</v>
      </c>
      <c r="C50" s="230" t="str">
        <f>Assumptions!C87</f>
        <v>Fair Market</v>
      </c>
      <c r="D50" s="439">
        <f>Assumptions!D87</f>
        <v>1</v>
      </c>
      <c r="E50" s="22">
        <f>Assumptions!G87</f>
        <v>15</v>
      </c>
      <c r="F50" s="22">
        <f>IF(D50=1,E50+SUM(Assumptions!$G$142:$G$143),'Rent Roll Model'!E50)</f>
        <v>19</v>
      </c>
      <c r="G50" s="233">
        <f>Assumptions!I87</f>
        <v>1724.25</v>
      </c>
      <c r="H50" s="233">
        <f>Assumptions!J87</f>
        <v>2200</v>
      </c>
      <c r="J50" s="233">
        <f t="shared" si="55"/>
        <v>1724.25</v>
      </c>
      <c r="K50" s="233">
        <f t="shared" si="55"/>
        <v>1727.8016726882763</v>
      </c>
      <c r="L50" s="233">
        <f t="shared" si="55"/>
        <v>1731.3606612407746</v>
      </c>
      <c r="M50" s="233">
        <f t="shared" si="55"/>
        <v>1734.9269807269773</v>
      </c>
      <c r="N50" s="233">
        <f t="shared" si="55"/>
        <v>1738.5006462474075</v>
      </c>
      <c r="O50" s="233">
        <f t="shared" si="55"/>
        <v>1742.0816729336927</v>
      </c>
      <c r="P50" s="233">
        <f t="shared" si="55"/>
        <v>1745.6700759486298</v>
      </c>
      <c r="Q50" s="233">
        <f t="shared" si="55"/>
        <v>1749.2658704862479</v>
      </c>
      <c r="R50" s="233">
        <f t="shared" si="55"/>
        <v>1752.8690717718737</v>
      </c>
      <c r="S50" s="233">
        <f t="shared" si="55"/>
        <v>1756.4796950621951</v>
      </c>
      <c r="T50" s="233">
        <f t="shared" si="56"/>
        <v>1760.0977556453265</v>
      </c>
      <c r="U50" s="233">
        <f t="shared" si="56"/>
        <v>1763.7232688408735</v>
      </c>
      <c r="V50" s="233">
        <f t="shared" si="56"/>
        <v>1767.3562499999975</v>
      </c>
      <c r="W50" s="233">
        <f t="shared" si="56"/>
        <v>1770.9967145054809</v>
      </c>
      <c r="X50" s="233">
        <f t="shared" si="56"/>
        <v>0</v>
      </c>
      <c r="Y50" s="233">
        <f t="shared" si="56"/>
        <v>0</v>
      </c>
      <c r="Z50" s="233">
        <f t="shared" si="56"/>
        <v>0</v>
      </c>
      <c r="AA50" s="233">
        <f t="shared" si="56"/>
        <v>0</v>
      </c>
      <c r="AB50" s="233">
        <f t="shared" si="56"/>
        <v>2283.0134964559406</v>
      </c>
      <c r="AC50" s="233">
        <f t="shared" si="56"/>
        <v>2287.7161304604811</v>
      </c>
      <c r="AD50" s="233">
        <f t="shared" si="57"/>
        <v>2292.4284511211076</v>
      </c>
      <c r="AE50" s="233">
        <f t="shared" si="57"/>
        <v>2297.1504783907467</v>
      </c>
      <c r="AF50" s="233">
        <f t="shared" si="57"/>
        <v>2301.8822322634223</v>
      </c>
      <c r="AG50" s="233">
        <f t="shared" si="57"/>
        <v>2306.6237327743456</v>
      </c>
      <c r="AH50" s="233">
        <f t="shared" si="57"/>
        <v>2311.3749999999941</v>
      </c>
      <c r="AI50" s="233">
        <f t="shared" si="57"/>
        <v>2316.1360540582018</v>
      </c>
      <c r="AJ50" s="233">
        <f t="shared" si="57"/>
        <v>2320.9069151082408</v>
      </c>
      <c r="AK50" s="233">
        <f t="shared" si="57"/>
        <v>2325.6876033509097</v>
      </c>
      <c r="AL50" s="233">
        <f t="shared" si="57"/>
        <v>2330.4781390286153</v>
      </c>
      <c r="AM50" s="233">
        <f t="shared" si="57"/>
        <v>2335.2785424254621</v>
      </c>
      <c r="AN50" s="233">
        <f t="shared" si="58"/>
        <v>2340.0888338673353</v>
      </c>
      <c r="AO50" s="233">
        <f t="shared" si="58"/>
        <v>2344.9090337219891</v>
      </c>
      <c r="AP50" s="233">
        <f t="shared" si="58"/>
        <v>2349.7391623991321</v>
      </c>
      <c r="AQ50" s="233">
        <f t="shared" si="58"/>
        <v>2354.5792403505111</v>
      </c>
      <c r="AR50" s="233">
        <f t="shared" si="58"/>
        <v>2359.4292880700041</v>
      </c>
      <c r="AS50" s="233">
        <f t="shared" si="58"/>
        <v>2364.2893260936999</v>
      </c>
      <c r="AT50" s="233">
        <f t="shared" si="58"/>
        <v>2369.1593749999902</v>
      </c>
      <c r="AU50" s="233">
        <f t="shared" si="58"/>
        <v>2374.0394554096529</v>
      </c>
      <c r="AV50" s="233">
        <f t="shared" si="58"/>
        <v>2378.9295879859433</v>
      </c>
      <c r="AW50" s="233">
        <f t="shared" si="58"/>
        <v>2383.8297934346788</v>
      </c>
      <c r="AX50" s="233">
        <f t="shared" si="59"/>
        <v>2388.7400925043271</v>
      </c>
      <c r="AY50" s="233">
        <f t="shared" si="59"/>
        <v>2393.6605059860949</v>
      </c>
      <c r="AZ50" s="233">
        <f t="shared" si="59"/>
        <v>2398.5910547140156</v>
      </c>
      <c r="BA50" s="233">
        <f t="shared" si="59"/>
        <v>2403.5317595650358</v>
      </c>
      <c r="BB50" s="233">
        <f t="shared" si="59"/>
        <v>2408.4826414591071</v>
      </c>
      <c r="BC50" s="233">
        <f t="shared" si="59"/>
        <v>2413.4437213592714</v>
      </c>
      <c r="BD50" s="233">
        <f t="shared" si="59"/>
        <v>2418.4150202717515</v>
      </c>
      <c r="BE50" s="233">
        <f t="shared" si="59"/>
        <v>2423.3965592460399</v>
      </c>
      <c r="BF50" s="233">
        <f t="shared" si="59"/>
        <v>2428.388359374987</v>
      </c>
      <c r="BG50" s="233">
        <f t="shared" si="59"/>
        <v>2433.3904417948911</v>
      </c>
      <c r="BH50" s="233">
        <f t="shared" si="60"/>
        <v>2438.4028276855893</v>
      </c>
      <c r="BI50" s="233">
        <f t="shared" si="60"/>
        <v>2443.4255382705433</v>
      </c>
      <c r="BJ50" s="233">
        <f t="shared" si="60"/>
        <v>2448.4585948169329</v>
      </c>
      <c r="BK50" s="233">
        <f t="shared" si="60"/>
        <v>2453.5020186357451</v>
      </c>
      <c r="BL50" s="233">
        <f t="shared" si="60"/>
        <v>2458.5558310818633</v>
      </c>
      <c r="BM50" s="233">
        <f t="shared" si="60"/>
        <v>2463.6200535541593</v>
      </c>
      <c r="BN50" s="233">
        <f t="shared" si="60"/>
        <v>2468.694707495582</v>
      </c>
      <c r="BO50" s="233">
        <f t="shared" si="60"/>
        <v>2473.7798143932505</v>
      </c>
      <c r="BP50" s="233">
        <f t="shared" si="60"/>
        <v>2478.8753957785425</v>
      </c>
      <c r="BQ50" s="233">
        <f t="shared" si="60"/>
        <v>2483.9814732271884</v>
      </c>
      <c r="BR50" s="233">
        <f t="shared" si="61"/>
        <v>2489.0980683593589</v>
      </c>
      <c r="BS50" s="233">
        <f t="shared" si="61"/>
        <v>2494.2252028397611</v>
      </c>
      <c r="BT50" s="233">
        <f t="shared" si="61"/>
        <v>2499.3628983777267</v>
      </c>
      <c r="BU50" s="233">
        <f t="shared" si="61"/>
        <v>2504.5111767273042</v>
      </c>
      <c r="BV50" s="233">
        <f t="shared" si="61"/>
        <v>2509.6700596873538</v>
      </c>
      <c r="BW50" s="233">
        <f t="shared" si="61"/>
        <v>2514.8395691016362</v>
      </c>
      <c r="BX50" s="233">
        <f t="shared" si="61"/>
        <v>2520.0197268589077</v>
      </c>
      <c r="BY50" s="233">
        <f t="shared" si="61"/>
        <v>2525.2105548930108</v>
      </c>
      <c r="BZ50" s="233">
        <f t="shared" si="61"/>
        <v>2530.4120751829691</v>
      </c>
      <c r="CA50" s="233">
        <f t="shared" si="61"/>
        <v>2535.6243097530787</v>
      </c>
      <c r="CB50" s="233">
        <f t="shared" si="62"/>
        <v>2540.8472806730028</v>
      </c>
      <c r="CC50" s="233">
        <f t="shared" si="62"/>
        <v>2546.0810100578642</v>
      </c>
      <c r="CD50" s="233">
        <f t="shared" si="62"/>
        <v>2551.3255200683393</v>
      </c>
      <c r="CE50" s="233">
        <f t="shared" si="62"/>
        <v>2556.5808329107513</v>
      </c>
      <c r="CF50" s="233">
        <f t="shared" si="62"/>
        <v>2561.8469708371658</v>
      </c>
      <c r="CG50" s="233">
        <f t="shared" si="62"/>
        <v>2567.1239561454831</v>
      </c>
      <c r="CH50" s="233">
        <f t="shared" si="62"/>
        <v>2572.4118111795333</v>
      </c>
      <c r="CI50" s="233">
        <f t="shared" si="62"/>
        <v>2577.7105583291727</v>
      </c>
      <c r="CJ50" s="233">
        <f t="shared" si="62"/>
        <v>2583.0202200303756</v>
      </c>
      <c r="CK50" s="233">
        <f t="shared" si="62"/>
        <v>2588.3408187653313</v>
      </c>
      <c r="CL50" s="233">
        <f t="shared" si="63"/>
        <v>2593.672377062539</v>
      </c>
      <c r="CM50" s="233">
        <f t="shared" si="63"/>
        <v>2599.0149174969015</v>
      </c>
      <c r="CN50" s="233">
        <f t="shared" si="63"/>
        <v>2604.3684626898239</v>
      </c>
      <c r="CO50" s="233">
        <f t="shared" si="63"/>
        <v>2609.7330353093071</v>
      </c>
      <c r="CP50" s="233">
        <f t="shared" si="63"/>
        <v>2615.1086580700439</v>
      </c>
      <c r="CQ50" s="233">
        <f t="shared" si="63"/>
        <v>2620.4953537335164</v>
      </c>
      <c r="CR50" s="233">
        <f t="shared" si="63"/>
        <v>2625.8931451080912</v>
      </c>
      <c r="CS50" s="233">
        <f t="shared" si="63"/>
        <v>2631.302055049116</v>
      </c>
      <c r="CT50" s="233">
        <f t="shared" si="63"/>
        <v>2636.7221064590181</v>
      </c>
      <c r="CU50" s="233">
        <f t="shared" si="63"/>
        <v>2642.1533222873986</v>
      </c>
      <c r="CV50" s="233">
        <f t="shared" si="64"/>
        <v>2647.5957255311318</v>
      </c>
      <c r="CW50" s="233">
        <f t="shared" si="64"/>
        <v>2653.0493392344615</v>
      </c>
      <c r="CX50" s="233">
        <f t="shared" si="64"/>
        <v>2658.5141864890988</v>
      </c>
      <c r="CY50" s="233">
        <f t="shared" si="64"/>
        <v>2663.9902904343207</v>
      </c>
      <c r="CZ50" s="233">
        <f t="shared" si="64"/>
        <v>2669.4776742570662</v>
      </c>
      <c r="DA50" s="233">
        <f t="shared" si="64"/>
        <v>2674.9763611920362</v>
      </c>
      <c r="DB50" s="233">
        <f t="shared" si="64"/>
        <v>2680.4863745217917</v>
      </c>
      <c r="DC50" s="233">
        <f t="shared" si="64"/>
        <v>2686.007737576851</v>
      </c>
      <c r="DD50" s="233">
        <f t="shared" si="64"/>
        <v>2691.5404737357899</v>
      </c>
      <c r="DE50" s="233">
        <f t="shared" si="64"/>
        <v>2697.0846064253406</v>
      </c>
      <c r="DF50" s="233">
        <f t="shared" si="65"/>
        <v>2702.6401591204899</v>
      </c>
      <c r="DG50" s="233">
        <f t="shared" si="65"/>
        <v>2708.2071553445803</v>
      </c>
      <c r="DH50" s="233">
        <f t="shared" si="65"/>
        <v>2713.7856186694066</v>
      </c>
      <c r="DI50" s="233">
        <f t="shared" si="65"/>
        <v>2719.3755727153193</v>
      </c>
      <c r="DJ50" s="233">
        <f t="shared" si="65"/>
        <v>2724.9770411513227</v>
      </c>
      <c r="DK50" s="233">
        <f t="shared" si="65"/>
        <v>2730.5900476951751</v>
      </c>
      <c r="DL50" s="233">
        <f t="shared" si="65"/>
        <v>2736.2146161134892</v>
      </c>
      <c r="DM50" s="233">
        <f t="shared" si="65"/>
        <v>2741.8507702218335</v>
      </c>
      <c r="DN50" s="233">
        <f t="shared" si="65"/>
        <v>2747.4985338848328</v>
      </c>
      <c r="DO50" s="233">
        <f t="shared" si="65"/>
        <v>2753.1579310162683</v>
      </c>
      <c r="DP50" s="233">
        <f t="shared" si="66"/>
        <v>2758.8289855791809</v>
      </c>
      <c r="DQ50" s="233">
        <f t="shared" si="66"/>
        <v>2764.51172158597</v>
      </c>
      <c r="DR50" s="233">
        <f t="shared" si="66"/>
        <v>2770.2061630984986</v>
      </c>
      <c r="DS50" s="233">
        <f t="shared" si="66"/>
        <v>2775.9123342281905</v>
      </c>
      <c r="DT50" s="233">
        <f t="shared" si="66"/>
        <v>2781.6302591361377</v>
      </c>
      <c r="DU50" s="233">
        <f t="shared" si="66"/>
        <v>2787.3599620331984</v>
      </c>
      <c r="DV50" s="233">
        <f t="shared" si="66"/>
        <v>2793.1014671801022</v>
      </c>
      <c r="DW50" s="233">
        <f t="shared" si="66"/>
        <v>2798.8547988875507</v>
      </c>
      <c r="DX50" s="233">
        <f t="shared" si="66"/>
        <v>2804.6199815163222</v>
      </c>
      <c r="DY50" s="233">
        <f t="shared" si="66"/>
        <v>2810.3970394773755</v>
      </c>
      <c r="DZ50" s="233">
        <f t="shared" si="67"/>
        <v>2816.1859972319498</v>
      </c>
      <c r="EA50" s="233">
        <f t="shared" si="67"/>
        <v>2821.9868792916714</v>
      </c>
      <c r="EB50" s="233">
        <f t="shared" si="67"/>
        <v>2827.7997102186569</v>
      </c>
      <c r="EC50" s="233">
        <f t="shared" si="67"/>
        <v>2833.624514625616</v>
      </c>
      <c r="ED50" s="233">
        <f t="shared" si="67"/>
        <v>2839.4613171759574</v>
      </c>
      <c r="EE50" s="233">
        <f t="shared" si="67"/>
        <v>2845.3101425838918</v>
      </c>
      <c r="EF50" s="233">
        <f t="shared" si="67"/>
        <v>2851.1710156145377</v>
      </c>
      <c r="EG50" s="233">
        <f t="shared" si="67"/>
        <v>2857.0439610840253</v>
      </c>
      <c r="EH50" s="233">
        <f t="shared" si="67"/>
        <v>2862.9290038596014</v>
      </c>
      <c r="EI50" s="233">
        <f t="shared" si="67"/>
        <v>2868.8261688597363</v>
      </c>
      <c r="EJ50" s="233">
        <f t="shared" si="67"/>
        <v>2874.7354810542274</v>
      </c>
      <c r="EK50" s="233">
        <f t="shared" si="67"/>
        <v>2880.6569654643067</v>
      </c>
    </row>
    <row r="51" spans="2:141" x14ac:dyDescent="0.45">
      <c r="B51" s="230">
        <f>Assumptions!B88</f>
        <v>43</v>
      </c>
      <c r="C51" s="230" t="str">
        <f>Assumptions!C88</f>
        <v>Fair Market</v>
      </c>
      <c r="D51" s="439">
        <f>Assumptions!D88</f>
        <v>2</v>
      </c>
      <c r="E51" s="22">
        <f>Assumptions!G88</f>
        <v>16</v>
      </c>
      <c r="F51" s="22">
        <f>IF(D51=1,E51+SUM(Assumptions!$G$142:$G$143),'Rent Roll Model'!E51)</f>
        <v>16</v>
      </c>
      <c r="G51" s="233">
        <f>Assumptions!I88</f>
        <v>1755.6</v>
      </c>
      <c r="H51" s="233">
        <f>Assumptions!J88</f>
        <v>2200</v>
      </c>
      <c r="J51" s="233">
        <f t="shared" si="55"/>
        <v>1755.6</v>
      </c>
      <c r="K51" s="233">
        <f t="shared" si="55"/>
        <v>1759.2162485553358</v>
      </c>
      <c r="L51" s="233">
        <f t="shared" si="55"/>
        <v>1762.8399459906068</v>
      </c>
      <c r="M51" s="233">
        <f t="shared" si="55"/>
        <v>1766.4711076492858</v>
      </c>
      <c r="N51" s="233">
        <f t="shared" si="55"/>
        <v>1770.1097489064512</v>
      </c>
      <c r="O51" s="233">
        <f t="shared" si="55"/>
        <v>1773.7558851688507</v>
      </c>
      <c r="P51" s="233">
        <f t="shared" si="55"/>
        <v>1777.4095318749685</v>
      </c>
      <c r="Q51" s="233">
        <f t="shared" si="55"/>
        <v>1781.0707044950886</v>
      </c>
      <c r="R51" s="233">
        <f t="shared" si="55"/>
        <v>1784.7394185313622</v>
      </c>
      <c r="S51" s="233">
        <f t="shared" si="55"/>
        <v>1788.4156895178712</v>
      </c>
      <c r="T51" s="233">
        <f t="shared" si="56"/>
        <v>1792.0995330206961</v>
      </c>
      <c r="U51" s="233">
        <f t="shared" si="56"/>
        <v>1795.7909646379801</v>
      </c>
      <c r="V51" s="233">
        <f t="shared" si="56"/>
        <v>1799.4899999999975</v>
      </c>
      <c r="W51" s="233">
        <f t="shared" si="56"/>
        <v>1803.1966547692168</v>
      </c>
      <c r="X51" s="233">
        <f t="shared" si="56"/>
        <v>1806.9109446403697</v>
      </c>
      <c r="Y51" s="233">
        <f t="shared" si="56"/>
        <v>2268.9635154643056</v>
      </c>
      <c r="Z51" s="233">
        <f t="shared" si="56"/>
        <v>2273.637208808409</v>
      </c>
      <c r="AA51" s="233">
        <f t="shared" si="56"/>
        <v>2278.3205291955765</v>
      </c>
      <c r="AB51" s="233">
        <f t="shared" si="56"/>
        <v>2283.0134964559406</v>
      </c>
      <c r="AC51" s="233">
        <f t="shared" si="56"/>
        <v>2287.7161304604811</v>
      </c>
      <c r="AD51" s="233">
        <f t="shared" si="57"/>
        <v>2292.4284511211076</v>
      </c>
      <c r="AE51" s="233">
        <f t="shared" si="57"/>
        <v>2297.1504783907467</v>
      </c>
      <c r="AF51" s="233">
        <f t="shared" si="57"/>
        <v>2301.8822322634223</v>
      </c>
      <c r="AG51" s="233">
        <f t="shared" si="57"/>
        <v>2306.6237327743456</v>
      </c>
      <c r="AH51" s="233">
        <f t="shared" si="57"/>
        <v>2311.3749999999941</v>
      </c>
      <c r="AI51" s="233">
        <f t="shared" si="57"/>
        <v>2316.1360540582018</v>
      </c>
      <c r="AJ51" s="233">
        <f t="shared" si="57"/>
        <v>2320.9069151082408</v>
      </c>
      <c r="AK51" s="233">
        <f t="shared" si="57"/>
        <v>2325.6876033509097</v>
      </c>
      <c r="AL51" s="233">
        <f t="shared" si="57"/>
        <v>2330.4781390286153</v>
      </c>
      <c r="AM51" s="233">
        <f t="shared" si="57"/>
        <v>2335.2785424254621</v>
      </c>
      <c r="AN51" s="233">
        <f t="shared" si="58"/>
        <v>2340.0888338673353</v>
      </c>
      <c r="AO51" s="233">
        <f t="shared" si="58"/>
        <v>2344.9090337219891</v>
      </c>
      <c r="AP51" s="233">
        <f t="shared" si="58"/>
        <v>2349.7391623991321</v>
      </c>
      <c r="AQ51" s="233">
        <f t="shared" si="58"/>
        <v>2354.5792403505111</v>
      </c>
      <c r="AR51" s="233">
        <f t="shared" si="58"/>
        <v>2359.4292880700041</v>
      </c>
      <c r="AS51" s="233">
        <f t="shared" si="58"/>
        <v>2364.2893260936999</v>
      </c>
      <c r="AT51" s="233">
        <f t="shared" si="58"/>
        <v>2369.1593749999902</v>
      </c>
      <c r="AU51" s="233">
        <f t="shared" si="58"/>
        <v>2374.0394554096529</v>
      </c>
      <c r="AV51" s="233">
        <f t="shared" si="58"/>
        <v>2378.9295879859433</v>
      </c>
      <c r="AW51" s="233">
        <f t="shared" si="58"/>
        <v>2383.8297934346788</v>
      </c>
      <c r="AX51" s="233">
        <f t="shared" si="59"/>
        <v>2388.7400925043271</v>
      </c>
      <c r="AY51" s="233">
        <f t="shared" si="59"/>
        <v>2393.6605059860949</v>
      </c>
      <c r="AZ51" s="233">
        <f t="shared" si="59"/>
        <v>2398.5910547140156</v>
      </c>
      <c r="BA51" s="233">
        <f t="shared" si="59"/>
        <v>2403.5317595650358</v>
      </c>
      <c r="BB51" s="233">
        <f t="shared" si="59"/>
        <v>2408.4826414591071</v>
      </c>
      <c r="BC51" s="233">
        <f t="shared" si="59"/>
        <v>2413.4437213592714</v>
      </c>
      <c r="BD51" s="233">
        <f t="shared" si="59"/>
        <v>2418.4150202717515</v>
      </c>
      <c r="BE51" s="233">
        <f t="shared" si="59"/>
        <v>2423.3965592460399</v>
      </c>
      <c r="BF51" s="233">
        <f t="shared" si="59"/>
        <v>2428.388359374987</v>
      </c>
      <c r="BG51" s="233">
        <f t="shared" si="59"/>
        <v>2433.3904417948911</v>
      </c>
      <c r="BH51" s="233">
        <f t="shared" si="60"/>
        <v>2438.4028276855893</v>
      </c>
      <c r="BI51" s="233">
        <f t="shared" si="60"/>
        <v>2443.4255382705433</v>
      </c>
      <c r="BJ51" s="233">
        <f t="shared" si="60"/>
        <v>2448.4585948169329</v>
      </c>
      <c r="BK51" s="233">
        <f t="shared" si="60"/>
        <v>2453.5020186357451</v>
      </c>
      <c r="BL51" s="233">
        <f t="shared" si="60"/>
        <v>2458.5558310818633</v>
      </c>
      <c r="BM51" s="233">
        <f t="shared" si="60"/>
        <v>2463.6200535541593</v>
      </c>
      <c r="BN51" s="233">
        <f t="shared" si="60"/>
        <v>2468.694707495582</v>
      </c>
      <c r="BO51" s="233">
        <f t="shared" si="60"/>
        <v>2473.7798143932505</v>
      </c>
      <c r="BP51" s="233">
        <f t="shared" si="60"/>
        <v>2478.8753957785425</v>
      </c>
      <c r="BQ51" s="233">
        <f t="shared" si="60"/>
        <v>2483.9814732271884</v>
      </c>
      <c r="BR51" s="233">
        <f t="shared" si="61"/>
        <v>2489.0980683593589</v>
      </c>
      <c r="BS51" s="233">
        <f t="shared" si="61"/>
        <v>2494.2252028397611</v>
      </c>
      <c r="BT51" s="233">
        <f t="shared" si="61"/>
        <v>2499.3628983777267</v>
      </c>
      <c r="BU51" s="233">
        <f t="shared" si="61"/>
        <v>2504.5111767273042</v>
      </c>
      <c r="BV51" s="233">
        <f t="shared" si="61"/>
        <v>2509.6700596873538</v>
      </c>
      <c r="BW51" s="233">
        <f t="shared" si="61"/>
        <v>2514.8395691016362</v>
      </c>
      <c r="BX51" s="233">
        <f t="shared" si="61"/>
        <v>2520.0197268589077</v>
      </c>
      <c r="BY51" s="233">
        <f t="shared" si="61"/>
        <v>2525.2105548930108</v>
      </c>
      <c r="BZ51" s="233">
        <f t="shared" si="61"/>
        <v>2530.4120751829691</v>
      </c>
      <c r="CA51" s="233">
        <f t="shared" si="61"/>
        <v>2535.6243097530787</v>
      </c>
      <c r="CB51" s="233">
        <f t="shared" si="62"/>
        <v>2540.8472806730028</v>
      </c>
      <c r="CC51" s="233">
        <f t="shared" si="62"/>
        <v>2546.0810100578642</v>
      </c>
      <c r="CD51" s="233">
        <f t="shared" si="62"/>
        <v>2551.3255200683393</v>
      </c>
      <c r="CE51" s="233">
        <f t="shared" si="62"/>
        <v>2556.5808329107513</v>
      </c>
      <c r="CF51" s="233">
        <f t="shared" si="62"/>
        <v>2561.8469708371658</v>
      </c>
      <c r="CG51" s="233">
        <f t="shared" si="62"/>
        <v>2567.1239561454831</v>
      </c>
      <c r="CH51" s="233">
        <f t="shared" si="62"/>
        <v>2572.4118111795333</v>
      </c>
      <c r="CI51" s="233">
        <f t="shared" si="62"/>
        <v>2577.7105583291727</v>
      </c>
      <c r="CJ51" s="233">
        <f t="shared" si="62"/>
        <v>2583.0202200303756</v>
      </c>
      <c r="CK51" s="233">
        <f t="shared" si="62"/>
        <v>2588.3408187653313</v>
      </c>
      <c r="CL51" s="233">
        <f t="shared" si="63"/>
        <v>2593.672377062539</v>
      </c>
      <c r="CM51" s="233">
        <f t="shared" si="63"/>
        <v>2599.0149174969015</v>
      </c>
      <c r="CN51" s="233">
        <f t="shared" si="63"/>
        <v>2604.3684626898239</v>
      </c>
      <c r="CO51" s="233">
        <f t="shared" si="63"/>
        <v>2609.7330353093071</v>
      </c>
      <c r="CP51" s="233">
        <f t="shared" si="63"/>
        <v>2615.1086580700439</v>
      </c>
      <c r="CQ51" s="233">
        <f t="shared" si="63"/>
        <v>2620.4953537335164</v>
      </c>
      <c r="CR51" s="233">
        <f t="shared" si="63"/>
        <v>2625.8931451080912</v>
      </c>
      <c r="CS51" s="233">
        <f t="shared" si="63"/>
        <v>2631.302055049116</v>
      </c>
      <c r="CT51" s="233">
        <f t="shared" si="63"/>
        <v>2636.7221064590181</v>
      </c>
      <c r="CU51" s="233">
        <f t="shared" si="63"/>
        <v>2642.1533222873986</v>
      </c>
      <c r="CV51" s="233">
        <f t="shared" si="64"/>
        <v>2647.5957255311318</v>
      </c>
      <c r="CW51" s="233">
        <f t="shared" si="64"/>
        <v>2653.0493392344615</v>
      </c>
      <c r="CX51" s="233">
        <f t="shared" si="64"/>
        <v>2658.5141864890988</v>
      </c>
      <c r="CY51" s="233">
        <f t="shared" si="64"/>
        <v>2663.9902904343207</v>
      </c>
      <c r="CZ51" s="233">
        <f t="shared" si="64"/>
        <v>2669.4776742570662</v>
      </c>
      <c r="DA51" s="233">
        <f t="shared" si="64"/>
        <v>2674.9763611920362</v>
      </c>
      <c r="DB51" s="233">
        <f t="shared" si="64"/>
        <v>2680.4863745217917</v>
      </c>
      <c r="DC51" s="233">
        <f t="shared" si="64"/>
        <v>2686.007737576851</v>
      </c>
      <c r="DD51" s="233">
        <f t="shared" si="64"/>
        <v>2691.5404737357899</v>
      </c>
      <c r="DE51" s="233">
        <f t="shared" si="64"/>
        <v>2697.0846064253406</v>
      </c>
      <c r="DF51" s="233">
        <f t="shared" si="65"/>
        <v>2702.6401591204899</v>
      </c>
      <c r="DG51" s="233">
        <f t="shared" si="65"/>
        <v>2708.2071553445803</v>
      </c>
      <c r="DH51" s="233">
        <f t="shared" si="65"/>
        <v>2713.7856186694066</v>
      </c>
      <c r="DI51" s="233">
        <f t="shared" si="65"/>
        <v>2719.3755727153193</v>
      </c>
      <c r="DJ51" s="233">
        <f t="shared" si="65"/>
        <v>2724.9770411513227</v>
      </c>
      <c r="DK51" s="233">
        <f t="shared" si="65"/>
        <v>2730.5900476951751</v>
      </c>
      <c r="DL51" s="233">
        <f t="shared" si="65"/>
        <v>2736.2146161134892</v>
      </c>
      <c r="DM51" s="233">
        <f t="shared" si="65"/>
        <v>2741.8507702218335</v>
      </c>
      <c r="DN51" s="233">
        <f t="shared" si="65"/>
        <v>2747.4985338848328</v>
      </c>
      <c r="DO51" s="233">
        <f t="shared" si="65"/>
        <v>2753.1579310162683</v>
      </c>
      <c r="DP51" s="233">
        <f t="shared" si="66"/>
        <v>2758.8289855791809</v>
      </c>
      <c r="DQ51" s="233">
        <f t="shared" si="66"/>
        <v>2764.51172158597</v>
      </c>
      <c r="DR51" s="233">
        <f t="shared" si="66"/>
        <v>2770.2061630984986</v>
      </c>
      <c r="DS51" s="233">
        <f t="shared" si="66"/>
        <v>2775.9123342281905</v>
      </c>
      <c r="DT51" s="233">
        <f t="shared" si="66"/>
        <v>2781.6302591361377</v>
      </c>
      <c r="DU51" s="233">
        <f t="shared" si="66"/>
        <v>2787.3599620331984</v>
      </c>
      <c r="DV51" s="233">
        <f t="shared" si="66"/>
        <v>2793.1014671801022</v>
      </c>
      <c r="DW51" s="233">
        <f t="shared" si="66"/>
        <v>2798.8547988875507</v>
      </c>
      <c r="DX51" s="233">
        <f t="shared" si="66"/>
        <v>2804.6199815163222</v>
      </c>
      <c r="DY51" s="233">
        <f t="shared" si="66"/>
        <v>2810.3970394773755</v>
      </c>
      <c r="DZ51" s="233">
        <f t="shared" si="67"/>
        <v>2816.1859972319498</v>
      </c>
      <c r="EA51" s="233">
        <f t="shared" si="67"/>
        <v>2821.9868792916714</v>
      </c>
      <c r="EB51" s="233">
        <f t="shared" si="67"/>
        <v>2827.7997102186569</v>
      </c>
      <c r="EC51" s="233">
        <f t="shared" si="67"/>
        <v>2833.624514625616</v>
      </c>
      <c r="ED51" s="233">
        <f t="shared" si="67"/>
        <v>2839.4613171759574</v>
      </c>
      <c r="EE51" s="233">
        <f t="shared" si="67"/>
        <v>2845.3101425838918</v>
      </c>
      <c r="EF51" s="233">
        <f t="shared" si="67"/>
        <v>2851.1710156145377</v>
      </c>
      <c r="EG51" s="233">
        <f t="shared" si="67"/>
        <v>2857.0439610840253</v>
      </c>
      <c r="EH51" s="233">
        <f t="shared" si="67"/>
        <v>2862.9290038596014</v>
      </c>
      <c r="EI51" s="233">
        <f t="shared" si="67"/>
        <v>2868.8261688597363</v>
      </c>
      <c r="EJ51" s="233">
        <f t="shared" si="67"/>
        <v>2874.7354810542274</v>
      </c>
      <c r="EK51" s="233">
        <f t="shared" si="67"/>
        <v>2880.6569654643067</v>
      </c>
    </row>
    <row r="52" spans="2:141" x14ac:dyDescent="0.45">
      <c r="B52" s="230">
        <f>Assumptions!B89</f>
        <v>44</v>
      </c>
      <c r="C52" s="230" t="str">
        <f>Assumptions!C89</f>
        <v>Fair Market</v>
      </c>
      <c r="D52" s="439">
        <f>Assumptions!D89</f>
        <v>1</v>
      </c>
      <c r="E52" s="22">
        <f>Assumptions!G89</f>
        <v>16</v>
      </c>
      <c r="F52" s="22">
        <f>IF(D52=1,E52+SUM(Assumptions!$G$142:$G$143),'Rent Roll Model'!E52)</f>
        <v>20</v>
      </c>
      <c r="G52" s="233">
        <f>Assumptions!I89</f>
        <v>1417.5</v>
      </c>
      <c r="H52" s="233">
        <f>Assumptions!J89</f>
        <v>2200</v>
      </c>
      <c r="J52" s="233">
        <f t="shared" si="55"/>
        <v>1417.5</v>
      </c>
      <c r="K52" s="233">
        <f t="shared" si="55"/>
        <v>1420.4198179125021</v>
      </c>
      <c r="L52" s="233">
        <f t="shared" si="55"/>
        <v>1423.3456501718417</v>
      </c>
      <c r="M52" s="233">
        <f t="shared" si="55"/>
        <v>1426.2775091665885</v>
      </c>
      <c r="N52" s="233">
        <f t="shared" si="55"/>
        <v>1429.2154073108309</v>
      </c>
      <c r="O52" s="233">
        <f t="shared" si="55"/>
        <v>1432.1593570442276</v>
      </c>
      <c r="P52" s="233">
        <f t="shared" si="55"/>
        <v>1435.109370832062</v>
      </c>
      <c r="Q52" s="233">
        <f t="shared" si="55"/>
        <v>1438.0654611652931</v>
      </c>
      <c r="R52" s="233">
        <f t="shared" si="55"/>
        <v>1441.0276405606096</v>
      </c>
      <c r="S52" s="233">
        <f t="shared" si="55"/>
        <v>1443.9959215604822</v>
      </c>
      <c r="T52" s="233">
        <f t="shared" si="56"/>
        <v>1446.9703167332175</v>
      </c>
      <c r="U52" s="233">
        <f t="shared" si="56"/>
        <v>1449.9508386730104</v>
      </c>
      <c r="V52" s="233">
        <f t="shared" si="56"/>
        <v>1452.937499999998</v>
      </c>
      <c r="W52" s="233">
        <f t="shared" si="56"/>
        <v>1455.9303133603128</v>
      </c>
      <c r="X52" s="233">
        <f t="shared" si="56"/>
        <v>1458.9292914261359</v>
      </c>
      <c r="Y52" s="233">
        <f t="shared" si="56"/>
        <v>0</v>
      </c>
      <c r="Z52" s="233">
        <f t="shared" si="56"/>
        <v>0</v>
      </c>
      <c r="AA52" s="233">
        <f t="shared" si="56"/>
        <v>0</v>
      </c>
      <c r="AB52" s="233">
        <f t="shared" si="56"/>
        <v>0</v>
      </c>
      <c r="AC52" s="233">
        <f t="shared" si="56"/>
        <v>2287.7161304604811</v>
      </c>
      <c r="AD52" s="233">
        <f t="shared" si="57"/>
        <v>2292.4284511211076</v>
      </c>
      <c r="AE52" s="233">
        <f t="shared" si="57"/>
        <v>2297.1504783907467</v>
      </c>
      <c r="AF52" s="233">
        <f t="shared" si="57"/>
        <v>2301.8822322634223</v>
      </c>
      <c r="AG52" s="233">
        <f t="shared" si="57"/>
        <v>2306.6237327743456</v>
      </c>
      <c r="AH52" s="233">
        <f t="shared" si="57"/>
        <v>2311.3749999999941</v>
      </c>
      <c r="AI52" s="233">
        <f t="shared" si="57"/>
        <v>2316.1360540582018</v>
      </c>
      <c r="AJ52" s="233">
        <f t="shared" si="57"/>
        <v>2320.9069151082408</v>
      </c>
      <c r="AK52" s="233">
        <f t="shared" si="57"/>
        <v>2325.6876033509097</v>
      </c>
      <c r="AL52" s="233">
        <f t="shared" si="57"/>
        <v>2330.4781390286153</v>
      </c>
      <c r="AM52" s="233">
        <f t="shared" si="57"/>
        <v>2335.2785424254621</v>
      </c>
      <c r="AN52" s="233">
        <f t="shared" si="58"/>
        <v>2340.0888338673353</v>
      </c>
      <c r="AO52" s="233">
        <f t="shared" si="58"/>
        <v>2344.9090337219891</v>
      </c>
      <c r="AP52" s="233">
        <f t="shared" si="58"/>
        <v>2349.7391623991321</v>
      </c>
      <c r="AQ52" s="233">
        <f t="shared" si="58"/>
        <v>2354.5792403505111</v>
      </c>
      <c r="AR52" s="233">
        <f t="shared" si="58"/>
        <v>2359.4292880700041</v>
      </c>
      <c r="AS52" s="233">
        <f t="shared" si="58"/>
        <v>2364.2893260936999</v>
      </c>
      <c r="AT52" s="233">
        <f t="shared" si="58"/>
        <v>2369.1593749999902</v>
      </c>
      <c r="AU52" s="233">
        <f t="shared" si="58"/>
        <v>2374.0394554096529</v>
      </c>
      <c r="AV52" s="233">
        <f t="shared" si="58"/>
        <v>2378.9295879859433</v>
      </c>
      <c r="AW52" s="233">
        <f t="shared" si="58"/>
        <v>2383.8297934346788</v>
      </c>
      <c r="AX52" s="233">
        <f t="shared" si="59"/>
        <v>2388.7400925043271</v>
      </c>
      <c r="AY52" s="233">
        <f t="shared" si="59"/>
        <v>2393.6605059860949</v>
      </c>
      <c r="AZ52" s="233">
        <f t="shared" si="59"/>
        <v>2398.5910547140156</v>
      </c>
      <c r="BA52" s="233">
        <f t="shared" si="59"/>
        <v>2403.5317595650358</v>
      </c>
      <c r="BB52" s="233">
        <f t="shared" si="59"/>
        <v>2408.4826414591071</v>
      </c>
      <c r="BC52" s="233">
        <f t="shared" si="59"/>
        <v>2413.4437213592714</v>
      </c>
      <c r="BD52" s="233">
        <f t="shared" si="59"/>
        <v>2418.4150202717515</v>
      </c>
      <c r="BE52" s="233">
        <f t="shared" si="59"/>
        <v>2423.3965592460399</v>
      </c>
      <c r="BF52" s="233">
        <f t="shared" si="59"/>
        <v>2428.388359374987</v>
      </c>
      <c r="BG52" s="233">
        <f t="shared" si="59"/>
        <v>2433.3904417948911</v>
      </c>
      <c r="BH52" s="233">
        <f t="shared" si="60"/>
        <v>2438.4028276855893</v>
      </c>
      <c r="BI52" s="233">
        <f t="shared" si="60"/>
        <v>2443.4255382705433</v>
      </c>
      <c r="BJ52" s="233">
        <f t="shared" si="60"/>
        <v>2448.4585948169329</v>
      </c>
      <c r="BK52" s="233">
        <f t="shared" si="60"/>
        <v>2453.5020186357451</v>
      </c>
      <c r="BL52" s="233">
        <f t="shared" si="60"/>
        <v>2458.5558310818633</v>
      </c>
      <c r="BM52" s="233">
        <f t="shared" si="60"/>
        <v>2463.6200535541593</v>
      </c>
      <c r="BN52" s="233">
        <f t="shared" si="60"/>
        <v>2468.694707495582</v>
      </c>
      <c r="BO52" s="233">
        <f t="shared" si="60"/>
        <v>2473.7798143932505</v>
      </c>
      <c r="BP52" s="233">
        <f t="shared" si="60"/>
        <v>2478.8753957785425</v>
      </c>
      <c r="BQ52" s="233">
        <f t="shared" si="60"/>
        <v>2483.9814732271884</v>
      </c>
      <c r="BR52" s="233">
        <f t="shared" si="61"/>
        <v>2489.0980683593589</v>
      </c>
      <c r="BS52" s="233">
        <f t="shared" si="61"/>
        <v>2494.2252028397611</v>
      </c>
      <c r="BT52" s="233">
        <f t="shared" si="61"/>
        <v>2499.3628983777267</v>
      </c>
      <c r="BU52" s="233">
        <f t="shared" si="61"/>
        <v>2504.5111767273042</v>
      </c>
      <c r="BV52" s="233">
        <f t="shared" si="61"/>
        <v>2509.6700596873538</v>
      </c>
      <c r="BW52" s="233">
        <f t="shared" si="61"/>
        <v>2514.8395691016362</v>
      </c>
      <c r="BX52" s="233">
        <f t="shared" si="61"/>
        <v>2520.0197268589077</v>
      </c>
      <c r="BY52" s="233">
        <f t="shared" si="61"/>
        <v>2525.2105548930108</v>
      </c>
      <c r="BZ52" s="233">
        <f t="shared" si="61"/>
        <v>2530.4120751829691</v>
      </c>
      <c r="CA52" s="233">
        <f t="shared" si="61"/>
        <v>2535.6243097530787</v>
      </c>
      <c r="CB52" s="233">
        <f t="shared" si="62"/>
        <v>2540.8472806730028</v>
      </c>
      <c r="CC52" s="233">
        <f t="shared" si="62"/>
        <v>2546.0810100578642</v>
      </c>
      <c r="CD52" s="233">
        <f t="shared" si="62"/>
        <v>2551.3255200683393</v>
      </c>
      <c r="CE52" s="233">
        <f t="shared" si="62"/>
        <v>2556.5808329107513</v>
      </c>
      <c r="CF52" s="233">
        <f t="shared" si="62"/>
        <v>2561.8469708371658</v>
      </c>
      <c r="CG52" s="233">
        <f t="shared" si="62"/>
        <v>2567.1239561454831</v>
      </c>
      <c r="CH52" s="233">
        <f t="shared" si="62"/>
        <v>2572.4118111795333</v>
      </c>
      <c r="CI52" s="233">
        <f t="shared" si="62"/>
        <v>2577.7105583291727</v>
      </c>
      <c r="CJ52" s="233">
        <f t="shared" si="62"/>
        <v>2583.0202200303756</v>
      </c>
      <c r="CK52" s="233">
        <f t="shared" si="62"/>
        <v>2588.3408187653313</v>
      </c>
      <c r="CL52" s="233">
        <f t="shared" si="63"/>
        <v>2593.672377062539</v>
      </c>
      <c r="CM52" s="233">
        <f t="shared" si="63"/>
        <v>2599.0149174969015</v>
      </c>
      <c r="CN52" s="233">
        <f t="shared" si="63"/>
        <v>2604.3684626898239</v>
      </c>
      <c r="CO52" s="233">
        <f t="shared" si="63"/>
        <v>2609.7330353093071</v>
      </c>
      <c r="CP52" s="233">
        <f t="shared" si="63"/>
        <v>2615.1086580700439</v>
      </c>
      <c r="CQ52" s="233">
        <f t="shared" si="63"/>
        <v>2620.4953537335164</v>
      </c>
      <c r="CR52" s="233">
        <f t="shared" si="63"/>
        <v>2625.8931451080912</v>
      </c>
      <c r="CS52" s="233">
        <f t="shared" si="63"/>
        <v>2631.302055049116</v>
      </c>
      <c r="CT52" s="233">
        <f t="shared" si="63"/>
        <v>2636.7221064590181</v>
      </c>
      <c r="CU52" s="233">
        <f t="shared" si="63"/>
        <v>2642.1533222873986</v>
      </c>
      <c r="CV52" s="233">
        <f t="shared" si="64"/>
        <v>2647.5957255311318</v>
      </c>
      <c r="CW52" s="233">
        <f t="shared" si="64"/>
        <v>2653.0493392344615</v>
      </c>
      <c r="CX52" s="233">
        <f t="shared" si="64"/>
        <v>2658.5141864890988</v>
      </c>
      <c r="CY52" s="233">
        <f t="shared" si="64"/>
        <v>2663.9902904343207</v>
      </c>
      <c r="CZ52" s="233">
        <f t="shared" si="64"/>
        <v>2669.4776742570662</v>
      </c>
      <c r="DA52" s="233">
        <f t="shared" si="64"/>
        <v>2674.9763611920362</v>
      </c>
      <c r="DB52" s="233">
        <f t="shared" si="64"/>
        <v>2680.4863745217917</v>
      </c>
      <c r="DC52" s="233">
        <f t="shared" si="64"/>
        <v>2686.007737576851</v>
      </c>
      <c r="DD52" s="233">
        <f t="shared" si="64"/>
        <v>2691.5404737357899</v>
      </c>
      <c r="DE52" s="233">
        <f t="shared" si="64"/>
        <v>2697.0846064253406</v>
      </c>
      <c r="DF52" s="233">
        <f t="shared" si="65"/>
        <v>2702.6401591204899</v>
      </c>
      <c r="DG52" s="233">
        <f t="shared" si="65"/>
        <v>2708.2071553445803</v>
      </c>
      <c r="DH52" s="233">
        <f t="shared" si="65"/>
        <v>2713.7856186694066</v>
      </c>
      <c r="DI52" s="233">
        <f t="shared" si="65"/>
        <v>2719.3755727153193</v>
      </c>
      <c r="DJ52" s="233">
        <f t="shared" si="65"/>
        <v>2724.9770411513227</v>
      </c>
      <c r="DK52" s="233">
        <f t="shared" si="65"/>
        <v>2730.5900476951751</v>
      </c>
      <c r="DL52" s="233">
        <f t="shared" si="65"/>
        <v>2736.2146161134892</v>
      </c>
      <c r="DM52" s="233">
        <f t="shared" si="65"/>
        <v>2741.8507702218335</v>
      </c>
      <c r="DN52" s="233">
        <f t="shared" si="65"/>
        <v>2747.4985338848328</v>
      </c>
      <c r="DO52" s="233">
        <f t="shared" si="65"/>
        <v>2753.1579310162683</v>
      </c>
      <c r="DP52" s="233">
        <f t="shared" si="66"/>
        <v>2758.8289855791809</v>
      </c>
      <c r="DQ52" s="233">
        <f t="shared" si="66"/>
        <v>2764.51172158597</v>
      </c>
      <c r="DR52" s="233">
        <f t="shared" si="66"/>
        <v>2770.2061630984986</v>
      </c>
      <c r="DS52" s="233">
        <f t="shared" si="66"/>
        <v>2775.9123342281905</v>
      </c>
      <c r="DT52" s="233">
        <f t="shared" si="66"/>
        <v>2781.6302591361377</v>
      </c>
      <c r="DU52" s="233">
        <f t="shared" si="66"/>
        <v>2787.3599620331984</v>
      </c>
      <c r="DV52" s="233">
        <f t="shared" si="66"/>
        <v>2793.1014671801022</v>
      </c>
      <c r="DW52" s="233">
        <f t="shared" si="66"/>
        <v>2798.8547988875507</v>
      </c>
      <c r="DX52" s="233">
        <f t="shared" si="66"/>
        <v>2804.6199815163222</v>
      </c>
      <c r="DY52" s="233">
        <f t="shared" si="66"/>
        <v>2810.3970394773755</v>
      </c>
      <c r="DZ52" s="233">
        <f t="shared" si="67"/>
        <v>2816.1859972319498</v>
      </c>
      <c r="EA52" s="233">
        <f t="shared" si="67"/>
        <v>2821.9868792916714</v>
      </c>
      <c r="EB52" s="233">
        <f t="shared" si="67"/>
        <v>2827.7997102186569</v>
      </c>
      <c r="EC52" s="233">
        <f t="shared" si="67"/>
        <v>2833.624514625616</v>
      </c>
      <c r="ED52" s="233">
        <f t="shared" si="67"/>
        <v>2839.4613171759574</v>
      </c>
      <c r="EE52" s="233">
        <f t="shared" si="67"/>
        <v>2845.3101425838918</v>
      </c>
      <c r="EF52" s="233">
        <f t="shared" si="67"/>
        <v>2851.1710156145377</v>
      </c>
      <c r="EG52" s="233">
        <f t="shared" si="67"/>
        <v>2857.0439610840253</v>
      </c>
      <c r="EH52" s="233">
        <f t="shared" si="67"/>
        <v>2862.9290038596014</v>
      </c>
      <c r="EI52" s="233">
        <f t="shared" si="67"/>
        <v>2868.8261688597363</v>
      </c>
      <c r="EJ52" s="233">
        <f t="shared" si="67"/>
        <v>2874.7354810542274</v>
      </c>
      <c r="EK52" s="233">
        <f t="shared" si="67"/>
        <v>2880.6569654643067</v>
      </c>
    </row>
    <row r="53" spans="2:141" x14ac:dyDescent="0.45">
      <c r="B53" s="230">
        <f>Assumptions!B90</f>
        <v>45</v>
      </c>
      <c r="C53" s="230" t="str">
        <f>Assumptions!C90</f>
        <v>Fair Market</v>
      </c>
      <c r="D53" s="439">
        <f>Assumptions!D90</f>
        <v>1</v>
      </c>
      <c r="E53" s="22">
        <f>Assumptions!G90</f>
        <v>16</v>
      </c>
      <c r="F53" s="22">
        <f>IF(D53=1,E53+SUM(Assumptions!$G$142:$G$143),'Rent Roll Model'!E53)</f>
        <v>20</v>
      </c>
      <c r="G53" s="233">
        <f>Assumptions!I90</f>
        <v>1601.25</v>
      </c>
      <c r="H53" s="233">
        <f>Assumptions!J90</f>
        <v>2200</v>
      </c>
      <c r="J53" s="233">
        <f t="shared" si="55"/>
        <v>1601.25</v>
      </c>
      <c r="K53" s="233">
        <f t="shared" si="55"/>
        <v>1604.5483128270857</v>
      </c>
      <c r="L53" s="233">
        <f t="shared" si="55"/>
        <v>1607.8534196385619</v>
      </c>
      <c r="M53" s="233">
        <f t="shared" si="55"/>
        <v>1611.1653344289241</v>
      </c>
      <c r="N53" s="233">
        <f t="shared" si="55"/>
        <v>1614.4840712214941</v>
      </c>
      <c r="O53" s="233">
        <f t="shared" si="55"/>
        <v>1617.8096440684794</v>
      </c>
      <c r="P53" s="233">
        <f t="shared" si="55"/>
        <v>1621.1420670510329</v>
      </c>
      <c r="Q53" s="233">
        <f t="shared" si="55"/>
        <v>1624.4813542793124</v>
      </c>
      <c r="R53" s="233">
        <f t="shared" si="55"/>
        <v>1627.8275198925403</v>
      </c>
      <c r="S53" s="233">
        <f t="shared" si="55"/>
        <v>1631.1805780590632</v>
      </c>
      <c r="T53" s="233">
        <f t="shared" si="56"/>
        <v>1634.5405429764123</v>
      </c>
      <c r="U53" s="233">
        <f t="shared" si="56"/>
        <v>1637.9074288713637</v>
      </c>
      <c r="V53" s="233">
        <f t="shared" si="56"/>
        <v>1641.2812499999977</v>
      </c>
      <c r="W53" s="233">
        <f t="shared" si="56"/>
        <v>1644.6620206477608</v>
      </c>
      <c r="X53" s="233">
        <f t="shared" si="56"/>
        <v>1648.0497551295239</v>
      </c>
      <c r="Y53" s="233">
        <f t="shared" si="56"/>
        <v>0</v>
      </c>
      <c r="Z53" s="233">
        <f t="shared" si="56"/>
        <v>0</v>
      </c>
      <c r="AA53" s="233">
        <f t="shared" si="56"/>
        <v>0</v>
      </c>
      <c r="AB53" s="233">
        <f t="shared" si="56"/>
        <v>0</v>
      </c>
      <c r="AC53" s="233">
        <f t="shared" si="56"/>
        <v>2287.7161304604811</v>
      </c>
      <c r="AD53" s="233">
        <f t="shared" si="57"/>
        <v>2292.4284511211076</v>
      </c>
      <c r="AE53" s="233">
        <f t="shared" si="57"/>
        <v>2297.1504783907467</v>
      </c>
      <c r="AF53" s="233">
        <f t="shared" si="57"/>
        <v>2301.8822322634223</v>
      </c>
      <c r="AG53" s="233">
        <f t="shared" si="57"/>
        <v>2306.6237327743456</v>
      </c>
      <c r="AH53" s="233">
        <f t="shared" si="57"/>
        <v>2311.3749999999941</v>
      </c>
      <c r="AI53" s="233">
        <f t="shared" si="57"/>
        <v>2316.1360540582018</v>
      </c>
      <c r="AJ53" s="233">
        <f t="shared" si="57"/>
        <v>2320.9069151082408</v>
      </c>
      <c r="AK53" s="233">
        <f t="shared" si="57"/>
        <v>2325.6876033509097</v>
      </c>
      <c r="AL53" s="233">
        <f t="shared" si="57"/>
        <v>2330.4781390286153</v>
      </c>
      <c r="AM53" s="233">
        <f t="shared" si="57"/>
        <v>2335.2785424254621</v>
      </c>
      <c r="AN53" s="233">
        <f t="shared" si="58"/>
        <v>2340.0888338673353</v>
      </c>
      <c r="AO53" s="233">
        <f t="shared" si="58"/>
        <v>2344.9090337219891</v>
      </c>
      <c r="AP53" s="233">
        <f t="shared" si="58"/>
        <v>2349.7391623991321</v>
      </c>
      <c r="AQ53" s="233">
        <f t="shared" si="58"/>
        <v>2354.5792403505111</v>
      </c>
      <c r="AR53" s="233">
        <f t="shared" si="58"/>
        <v>2359.4292880700041</v>
      </c>
      <c r="AS53" s="233">
        <f t="shared" si="58"/>
        <v>2364.2893260936999</v>
      </c>
      <c r="AT53" s="233">
        <f t="shared" si="58"/>
        <v>2369.1593749999902</v>
      </c>
      <c r="AU53" s="233">
        <f t="shared" si="58"/>
        <v>2374.0394554096529</v>
      </c>
      <c r="AV53" s="233">
        <f t="shared" si="58"/>
        <v>2378.9295879859433</v>
      </c>
      <c r="AW53" s="233">
        <f t="shared" si="58"/>
        <v>2383.8297934346788</v>
      </c>
      <c r="AX53" s="233">
        <f t="shared" si="59"/>
        <v>2388.7400925043271</v>
      </c>
      <c r="AY53" s="233">
        <f t="shared" si="59"/>
        <v>2393.6605059860949</v>
      </c>
      <c r="AZ53" s="233">
        <f t="shared" si="59"/>
        <v>2398.5910547140156</v>
      </c>
      <c r="BA53" s="233">
        <f t="shared" si="59"/>
        <v>2403.5317595650358</v>
      </c>
      <c r="BB53" s="233">
        <f t="shared" si="59"/>
        <v>2408.4826414591071</v>
      </c>
      <c r="BC53" s="233">
        <f t="shared" si="59"/>
        <v>2413.4437213592714</v>
      </c>
      <c r="BD53" s="233">
        <f t="shared" si="59"/>
        <v>2418.4150202717515</v>
      </c>
      <c r="BE53" s="233">
        <f t="shared" si="59"/>
        <v>2423.3965592460399</v>
      </c>
      <c r="BF53" s="233">
        <f t="shared" si="59"/>
        <v>2428.388359374987</v>
      </c>
      <c r="BG53" s="233">
        <f t="shared" si="59"/>
        <v>2433.3904417948911</v>
      </c>
      <c r="BH53" s="233">
        <f t="shared" si="60"/>
        <v>2438.4028276855893</v>
      </c>
      <c r="BI53" s="233">
        <f t="shared" si="60"/>
        <v>2443.4255382705433</v>
      </c>
      <c r="BJ53" s="233">
        <f t="shared" si="60"/>
        <v>2448.4585948169329</v>
      </c>
      <c r="BK53" s="233">
        <f t="shared" si="60"/>
        <v>2453.5020186357451</v>
      </c>
      <c r="BL53" s="233">
        <f t="shared" si="60"/>
        <v>2458.5558310818633</v>
      </c>
      <c r="BM53" s="233">
        <f t="shared" si="60"/>
        <v>2463.6200535541593</v>
      </c>
      <c r="BN53" s="233">
        <f t="shared" si="60"/>
        <v>2468.694707495582</v>
      </c>
      <c r="BO53" s="233">
        <f t="shared" si="60"/>
        <v>2473.7798143932505</v>
      </c>
      <c r="BP53" s="233">
        <f t="shared" si="60"/>
        <v>2478.8753957785425</v>
      </c>
      <c r="BQ53" s="233">
        <f t="shared" si="60"/>
        <v>2483.9814732271884</v>
      </c>
      <c r="BR53" s="233">
        <f t="shared" si="61"/>
        <v>2489.0980683593589</v>
      </c>
      <c r="BS53" s="233">
        <f t="shared" si="61"/>
        <v>2494.2252028397611</v>
      </c>
      <c r="BT53" s="233">
        <f t="shared" si="61"/>
        <v>2499.3628983777267</v>
      </c>
      <c r="BU53" s="233">
        <f t="shared" si="61"/>
        <v>2504.5111767273042</v>
      </c>
      <c r="BV53" s="233">
        <f t="shared" si="61"/>
        <v>2509.6700596873538</v>
      </c>
      <c r="BW53" s="233">
        <f t="shared" si="61"/>
        <v>2514.8395691016362</v>
      </c>
      <c r="BX53" s="233">
        <f t="shared" si="61"/>
        <v>2520.0197268589077</v>
      </c>
      <c r="BY53" s="233">
        <f t="shared" si="61"/>
        <v>2525.2105548930108</v>
      </c>
      <c r="BZ53" s="233">
        <f t="shared" si="61"/>
        <v>2530.4120751829691</v>
      </c>
      <c r="CA53" s="233">
        <f t="shared" si="61"/>
        <v>2535.6243097530787</v>
      </c>
      <c r="CB53" s="233">
        <f t="shared" si="62"/>
        <v>2540.8472806730028</v>
      </c>
      <c r="CC53" s="233">
        <f t="shared" si="62"/>
        <v>2546.0810100578642</v>
      </c>
      <c r="CD53" s="233">
        <f t="shared" si="62"/>
        <v>2551.3255200683393</v>
      </c>
      <c r="CE53" s="233">
        <f t="shared" si="62"/>
        <v>2556.5808329107513</v>
      </c>
      <c r="CF53" s="233">
        <f t="shared" si="62"/>
        <v>2561.8469708371658</v>
      </c>
      <c r="CG53" s="233">
        <f t="shared" si="62"/>
        <v>2567.1239561454831</v>
      </c>
      <c r="CH53" s="233">
        <f t="shared" si="62"/>
        <v>2572.4118111795333</v>
      </c>
      <c r="CI53" s="233">
        <f t="shared" si="62"/>
        <v>2577.7105583291727</v>
      </c>
      <c r="CJ53" s="233">
        <f t="shared" si="62"/>
        <v>2583.0202200303756</v>
      </c>
      <c r="CK53" s="233">
        <f t="shared" si="62"/>
        <v>2588.3408187653313</v>
      </c>
      <c r="CL53" s="233">
        <f t="shared" si="63"/>
        <v>2593.672377062539</v>
      </c>
      <c r="CM53" s="233">
        <f t="shared" si="63"/>
        <v>2599.0149174969015</v>
      </c>
      <c r="CN53" s="233">
        <f t="shared" si="63"/>
        <v>2604.3684626898239</v>
      </c>
      <c r="CO53" s="233">
        <f t="shared" si="63"/>
        <v>2609.7330353093071</v>
      </c>
      <c r="CP53" s="233">
        <f t="shared" si="63"/>
        <v>2615.1086580700439</v>
      </c>
      <c r="CQ53" s="233">
        <f t="shared" si="63"/>
        <v>2620.4953537335164</v>
      </c>
      <c r="CR53" s="233">
        <f t="shared" si="63"/>
        <v>2625.8931451080912</v>
      </c>
      <c r="CS53" s="233">
        <f t="shared" si="63"/>
        <v>2631.302055049116</v>
      </c>
      <c r="CT53" s="233">
        <f t="shared" si="63"/>
        <v>2636.7221064590181</v>
      </c>
      <c r="CU53" s="233">
        <f t="shared" si="63"/>
        <v>2642.1533222873986</v>
      </c>
      <c r="CV53" s="233">
        <f t="shared" si="64"/>
        <v>2647.5957255311318</v>
      </c>
      <c r="CW53" s="233">
        <f t="shared" si="64"/>
        <v>2653.0493392344615</v>
      </c>
      <c r="CX53" s="233">
        <f t="shared" si="64"/>
        <v>2658.5141864890988</v>
      </c>
      <c r="CY53" s="233">
        <f t="shared" si="64"/>
        <v>2663.9902904343207</v>
      </c>
      <c r="CZ53" s="233">
        <f t="shared" si="64"/>
        <v>2669.4776742570662</v>
      </c>
      <c r="DA53" s="233">
        <f t="shared" si="64"/>
        <v>2674.9763611920362</v>
      </c>
      <c r="DB53" s="233">
        <f t="shared" si="64"/>
        <v>2680.4863745217917</v>
      </c>
      <c r="DC53" s="233">
        <f t="shared" si="64"/>
        <v>2686.007737576851</v>
      </c>
      <c r="DD53" s="233">
        <f t="shared" si="64"/>
        <v>2691.5404737357899</v>
      </c>
      <c r="DE53" s="233">
        <f t="shared" si="64"/>
        <v>2697.0846064253406</v>
      </c>
      <c r="DF53" s="233">
        <f t="shared" si="65"/>
        <v>2702.6401591204899</v>
      </c>
      <c r="DG53" s="233">
        <f t="shared" si="65"/>
        <v>2708.2071553445803</v>
      </c>
      <c r="DH53" s="233">
        <f t="shared" si="65"/>
        <v>2713.7856186694066</v>
      </c>
      <c r="DI53" s="233">
        <f t="shared" si="65"/>
        <v>2719.3755727153193</v>
      </c>
      <c r="DJ53" s="233">
        <f t="shared" si="65"/>
        <v>2724.9770411513227</v>
      </c>
      <c r="DK53" s="233">
        <f t="shared" si="65"/>
        <v>2730.5900476951751</v>
      </c>
      <c r="DL53" s="233">
        <f t="shared" si="65"/>
        <v>2736.2146161134892</v>
      </c>
      <c r="DM53" s="233">
        <f t="shared" si="65"/>
        <v>2741.8507702218335</v>
      </c>
      <c r="DN53" s="233">
        <f t="shared" si="65"/>
        <v>2747.4985338848328</v>
      </c>
      <c r="DO53" s="233">
        <f t="shared" si="65"/>
        <v>2753.1579310162683</v>
      </c>
      <c r="DP53" s="233">
        <f t="shared" si="66"/>
        <v>2758.8289855791809</v>
      </c>
      <c r="DQ53" s="233">
        <f t="shared" si="66"/>
        <v>2764.51172158597</v>
      </c>
      <c r="DR53" s="233">
        <f t="shared" si="66"/>
        <v>2770.2061630984986</v>
      </c>
      <c r="DS53" s="233">
        <f t="shared" si="66"/>
        <v>2775.9123342281905</v>
      </c>
      <c r="DT53" s="233">
        <f t="shared" si="66"/>
        <v>2781.6302591361377</v>
      </c>
      <c r="DU53" s="233">
        <f t="shared" si="66"/>
        <v>2787.3599620331984</v>
      </c>
      <c r="DV53" s="233">
        <f t="shared" si="66"/>
        <v>2793.1014671801022</v>
      </c>
      <c r="DW53" s="233">
        <f t="shared" si="66"/>
        <v>2798.8547988875507</v>
      </c>
      <c r="DX53" s="233">
        <f t="shared" si="66"/>
        <v>2804.6199815163222</v>
      </c>
      <c r="DY53" s="233">
        <f t="shared" si="66"/>
        <v>2810.3970394773755</v>
      </c>
      <c r="DZ53" s="233">
        <f t="shared" si="67"/>
        <v>2816.1859972319498</v>
      </c>
      <c r="EA53" s="233">
        <f t="shared" si="67"/>
        <v>2821.9868792916714</v>
      </c>
      <c r="EB53" s="233">
        <f t="shared" si="67"/>
        <v>2827.7997102186569</v>
      </c>
      <c r="EC53" s="233">
        <f t="shared" si="67"/>
        <v>2833.624514625616</v>
      </c>
      <c r="ED53" s="233">
        <f t="shared" si="67"/>
        <v>2839.4613171759574</v>
      </c>
      <c r="EE53" s="233">
        <f t="shared" si="67"/>
        <v>2845.3101425838918</v>
      </c>
      <c r="EF53" s="233">
        <f t="shared" si="67"/>
        <v>2851.1710156145377</v>
      </c>
      <c r="EG53" s="233">
        <f t="shared" si="67"/>
        <v>2857.0439610840253</v>
      </c>
      <c r="EH53" s="233">
        <f t="shared" si="67"/>
        <v>2862.9290038596014</v>
      </c>
      <c r="EI53" s="233">
        <f t="shared" si="67"/>
        <v>2868.8261688597363</v>
      </c>
      <c r="EJ53" s="233">
        <f t="shared" si="67"/>
        <v>2874.7354810542274</v>
      </c>
      <c r="EK53" s="233">
        <f t="shared" si="67"/>
        <v>2880.6569654643067</v>
      </c>
    </row>
    <row r="54" spans="2:141" x14ac:dyDescent="0.45">
      <c r="B54" s="230">
        <f>Assumptions!B91</f>
        <v>46</v>
      </c>
      <c r="C54" s="230" t="str">
        <f>Assumptions!C91</f>
        <v>Fair Market</v>
      </c>
      <c r="D54" s="439">
        <f>Assumptions!D91</f>
        <v>1</v>
      </c>
      <c r="E54" s="22">
        <f>Assumptions!G91</f>
        <v>17</v>
      </c>
      <c r="F54" s="22">
        <f>IF(D54=1,E54+SUM(Assumptions!$G$142:$G$143),'Rent Roll Model'!E54)</f>
        <v>21</v>
      </c>
      <c r="G54" s="233">
        <f>Assumptions!I91</f>
        <v>1732.5</v>
      </c>
      <c r="H54" s="233">
        <f>Assumptions!J91</f>
        <v>2200</v>
      </c>
      <c r="J54" s="233">
        <f t="shared" si="55"/>
        <v>1732.5</v>
      </c>
      <c r="K54" s="233">
        <f t="shared" si="55"/>
        <v>1736.0686663375025</v>
      </c>
      <c r="L54" s="233">
        <f t="shared" si="55"/>
        <v>1739.6446835433619</v>
      </c>
      <c r="M54" s="233">
        <f t="shared" si="55"/>
        <v>1743.2280667591638</v>
      </c>
      <c r="N54" s="233">
        <f t="shared" si="55"/>
        <v>1746.8188311576821</v>
      </c>
      <c r="O54" s="233">
        <f t="shared" si="55"/>
        <v>1750.4169919429451</v>
      </c>
      <c r="P54" s="233">
        <f t="shared" si="55"/>
        <v>1754.0225643502979</v>
      </c>
      <c r="Q54" s="233">
        <f t="shared" si="55"/>
        <v>1757.6355636464691</v>
      </c>
      <c r="R54" s="233">
        <f t="shared" si="55"/>
        <v>1761.2560051296339</v>
      </c>
      <c r="S54" s="233">
        <f t="shared" si="55"/>
        <v>1764.8839041294784</v>
      </c>
      <c r="T54" s="233">
        <f t="shared" si="56"/>
        <v>1768.5192760072659</v>
      </c>
      <c r="U54" s="233">
        <f t="shared" si="56"/>
        <v>1772.1621361559016</v>
      </c>
      <c r="V54" s="233">
        <f t="shared" si="56"/>
        <v>1775.8124999999975</v>
      </c>
      <c r="W54" s="233">
        <f t="shared" si="56"/>
        <v>1779.4703829959378</v>
      </c>
      <c r="X54" s="233">
        <f t="shared" si="56"/>
        <v>1783.1358006319438</v>
      </c>
      <c r="Y54" s="233">
        <f t="shared" si="56"/>
        <v>1786.8087684281409</v>
      </c>
      <c r="Z54" s="233">
        <f t="shared" si="56"/>
        <v>0</v>
      </c>
      <c r="AA54" s="233">
        <f t="shared" si="56"/>
        <v>0</v>
      </c>
      <c r="AB54" s="233">
        <f t="shared" si="56"/>
        <v>0</v>
      </c>
      <c r="AC54" s="233">
        <f t="shared" si="56"/>
        <v>0</v>
      </c>
      <c r="AD54" s="233">
        <f t="shared" si="57"/>
        <v>2292.4284511211076</v>
      </c>
      <c r="AE54" s="233">
        <f t="shared" si="57"/>
        <v>2297.1504783907467</v>
      </c>
      <c r="AF54" s="233">
        <f t="shared" si="57"/>
        <v>2301.8822322634223</v>
      </c>
      <c r="AG54" s="233">
        <f t="shared" si="57"/>
        <v>2306.6237327743456</v>
      </c>
      <c r="AH54" s="233">
        <f t="shared" si="57"/>
        <v>2311.3749999999941</v>
      </c>
      <c r="AI54" s="233">
        <f t="shared" si="57"/>
        <v>2316.1360540582018</v>
      </c>
      <c r="AJ54" s="233">
        <f t="shared" si="57"/>
        <v>2320.9069151082408</v>
      </c>
      <c r="AK54" s="233">
        <f t="shared" si="57"/>
        <v>2325.6876033509097</v>
      </c>
      <c r="AL54" s="233">
        <f t="shared" si="57"/>
        <v>2330.4781390286153</v>
      </c>
      <c r="AM54" s="233">
        <f t="shared" si="57"/>
        <v>2335.2785424254621</v>
      </c>
      <c r="AN54" s="233">
        <f t="shared" si="58"/>
        <v>2340.0888338673353</v>
      </c>
      <c r="AO54" s="233">
        <f t="shared" si="58"/>
        <v>2344.9090337219891</v>
      </c>
      <c r="AP54" s="233">
        <f t="shared" si="58"/>
        <v>2349.7391623991321</v>
      </c>
      <c r="AQ54" s="233">
        <f t="shared" si="58"/>
        <v>2354.5792403505111</v>
      </c>
      <c r="AR54" s="233">
        <f t="shared" si="58"/>
        <v>2359.4292880700041</v>
      </c>
      <c r="AS54" s="233">
        <f t="shared" si="58"/>
        <v>2364.2893260936999</v>
      </c>
      <c r="AT54" s="233">
        <f t="shared" si="58"/>
        <v>2369.1593749999902</v>
      </c>
      <c r="AU54" s="233">
        <f t="shared" si="58"/>
        <v>2374.0394554096529</v>
      </c>
      <c r="AV54" s="233">
        <f t="shared" si="58"/>
        <v>2378.9295879859433</v>
      </c>
      <c r="AW54" s="233">
        <f t="shared" si="58"/>
        <v>2383.8297934346788</v>
      </c>
      <c r="AX54" s="233">
        <f t="shared" si="59"/>
        <v>2388.7400925043271</v>
      </c>
      <c r="AY54" s="233">
        <f t="shared" si="59"/>
        <v>2393.6605059860949</v>
      </c>
      <c r="AZ54" s="233">
        <f t="shared" si="59"/>
        <v>2398.5910547140156</v>
      </c>
      <c r="BA54" s="233">
        <f t="shared" si="59"/>
        <v>2403.5317595650358</v>
      </c>
      <c r="BB54" s="233">
        <f t="shared" si="59"/>
        <v>2408.4826414591071</v>
      </c>
      <c r="BC54" s="233">
        <f t="shared" si="59"/>
        <v>2413.4437213592714</v>
      </c>
      <c r="BD54" s="233">
        <f t="shared" si="59"/>
        <v>2418.4150202717515</v>
      </c>
      <c r="BE54" s="233">
        <f t="shared" si="59"/>
        <v>2423.3965592460399</v>
      </c>
      <c r="BF54" s="233">
        <f t="shared" si="59"/>
        <v>2428.388359374987</v>
      </c>
      <c r="BG54" s="233">
        <f t="shared" si="59"/>
        <v>2433.3904417948911</v>
      </c>
      <c r="BH54" s="233">
        <f t="shared" si="60"/>
        <v>2438.4028276855893</v>
      </c>
      <c r="BI54" s="233">
        <f t="shared" si="60"/>
        <v>2443.4255382705433</v>
      </c>
      <c r="BJ54" s="233">
        <f t="shared" si="60"/>
        <v>2448.4585948169329</v>
      </c>
      <c r="BK54" s="233">
        <f t="shared" si="60"/>
        <v>2453.5020186357451</v>
      </c>
      <c r="BL54" s="233">
        <f t="shared" si="60"/>
        <v>2458.5558310818633</v>
      </c>
      <c r="BM54" s="233">
        <f t="shared" si="60"/>
        <v>2463.6200535541593</v>
      </c>
      <c r="BN54" s="233">
        <f t="shared" si="60"/>
        <v>2468.694707495582</v>
      </c>
      <c r="BO54" s="233">
        <f t="shared" si="60"/>
        <v>2473.7798143932505</v>
      </c>
      <c r="BP54" s="233">
        <f t="shared" si="60"/>
        <v>2478.8753957785425</v>
      </c>
      <c r="BQ54" s="233">
        <f t="shared" si="60"/>
        <v>2483.9814732271884</v>
      </c>
      <c r="BR54" s="233">
        <f t="shared" si="61"/>
        <v>2489.0980683593589</v>
      </c>
      <c r="BS54" s="233">
        <f t="shared" si="61"/>
        <v>2494.2252028397611</v>
      </c>
      <c r="BT54" s="233">
        <f t="shared" si="61"/>
        <v>2499.3628983777267</v>
      </c>
      <c r="BU54" s="233">
        <f t="shared" si="61"/>
        <v>2504.5111767273042</v>
      </c>
      <c r="BV54" s="233">
        <f t="shared" si="61"/>
        <v>2509.6700596873538</v>
      </c>
      <c r="BW54" s="233">
        <f t="shared" si="61"/>
        <v>2514.8395691016362</v>
      </c>
      <c r="BX54" s="233">
        <f t="shared" si="61"/>
        <v>2520.0197268589077</v>
      </c>
      <c r="BY54" s="233">
        <f t="shared" si="61"/>
        <v>2525.2105548930108</v>
      </c>
      <c r="BZ54" s="233">
        <f t="shared" si="61"/>
        <v>2530.4120751829691</v>
      </c>
      <c r="CA54" s="233">
        <f t="shared" si="61"/>
        <v>2535.6243097530787</v>
      </c>
      <c r="CB54" s="233">
        <f t="shared" si="62"/>
        <v>2540.8472806730028</v>
      </c>
      <c r="CC54" s="233">
        <f t="shared" si="62"/>
        <v>2546.0810100578642</v>
      </c>
      <c r="CD54" s="233">
        <f t="shared" si="62"/>
        <v>2551.3255200683393</v>
      </c>
      <c r="CE54" s="233">
        <f t="shared" si="62"/>
        <v>2556.5808329107513</v>
      </c>
      <c r="CF54" s="233">
        <f t="shared" si="62"/>
        <v>2561.8469708371658</v>
      </c>
      <c r="CG54" s="233">
        <f t="shared" si="62"/>
        <v>2567.1239561454831</v>
      </c>
      <c r="CH54" s="233">
        <f t="shared" si="62"/>
        <v>2572.4118111795333</v>
      </c>
      <c r="CI54" s="233">
        <f t="shared" si="62"/>
        <v>2577.7105583291727</v>
      </c>
      <c r="CJ54" s="233">
        <f t="shared" si="62"/>
        <v>2583.0202200303756</v>
      </c>
      <c r="CK54" s="233">
        <f t="shared" si="62"/>
        <v>2588.3408187653313</v>
      </c>
      <c r="CL54" s="233">
        <f t="shared" si="63"/>
        <v>2593.672377062539</v>
      </c>
      <c r="CM54" s="233">
        <f t="shared" si="63"/>
        <v>2599.0149174969015</v>
      </c>
      <c r="CN54" s="233">
        <f t="shared" si="63"/>
        <v>2604.3684626898239</v>
      </c>
      <c r="CO54" s="233">
        <f t="shared" si="63"/>
        <v>2609.7330353093071</v>
      </c>
      <c r="CP54" s="233">
        <f t="shared" si="63"/>
        <v>2615.1086580700439</v>
      </c>
      <c r="CQ54" s="233">
        <f t="shared" si="63"/>
        <v>2620.4953537335164</v>
      </c>
      <c r="CR54" s="233">
        <f t="shared" si="63"/>
        <v>2625.8931451080912</v>
      </c>
      <c r="CS54" s="233">
        <f t="shared" si="63"/>
        <v>2631.302055049116</v>
      </c>
      <c r="CT54" s="233">
        <f t="shared" si="63"/>
        <v>2636.7221064590181</v>
      </c>
      <c r="CU54" s="233">
        <f t="shared" si="63"/>
        <v>2642.1533222873986</v>
      </c>
      <c r="CV54" s="233">
        <f t="shared" si="64"/>
        <v>2647.5957255311318</v>
      </c>
      <c r="CW54" s="233">
        <f t="shared" si="64"/>
        <v>2653.0493392344615</v>
      </c>
      <c r="CX54" s="233">
        <f t="shared" si="64"/>
        <v>2658.5141864890988</v>
      </c>
      <c r="CY54" s="233">
        <f t="shared" si="64"/>
        <v>2663.9902904343207</v>
      </c>
      <c r="CZ54" s="233">
        <f t="shared" si="64"/>
        <v>2669.4776742570662</v>
      </c>
      <c r="DA54" s="233">
        <f t="shared" si="64"/>
        <v>2674.9763611920362</v>
      </c>
      <c r="DB54" s="233">
        <f t="shared" si="64"/>
        <v>2680.4863745217917</v>
      </c>
      <c r="DC54" s="233">
        <f t="shared" si="64"/>
        <v>2686.007737576851</v>
      </c>
      <c r="DD54" s="233">
        <f t="shared" si="64"/>
        <v>2691.5404737357899</v>
      </c>
      <c r="DE54" s="233">
        <f t="shared" si="64"/>
        <v>2697.0846064253406</v>
      </c>
      <c r="DF54" s="233">
        <f t="shared" si="65"/>
        <v>2702.6401591204899</v>
      </c>
      <c r="DG54" s="233">
        <f t="shared" si="65"/>
        <v>2708.2071553445803</v>
      </c>
      <c r="DH54" s="233">
        <f t="shared" si="65"/>
        <v>2713.7856186694066</v>
      </c>
      <c r="DI54" s="233">
        <f t="shared" si="65"/>
        <v>2719.3755727153193</v>
      </c>
      <c r="DJ54" s="233">
        <f t="shared" si="65"/>
        <v>2724.9770411513227</v>
      </c>
      <c r="DK54" s="233">
        <f t="shared" si="65"/>
        <v>2730.5900476951751</v>
      </c>
      <c r="DL54" s="233">
        <f t="shared" si="65"/>
        <v>2736.2146161134892</v>
      </c>
      <c r="DM54" s="233">
        <f t="shared" si="65"/>
        <v>2741.8507702218335</v>
      </c>
      <c r="DN54" s="233">
        <f t="shared" si="65"/>
        <v>2747.4985338848328</v>
      </c>
      <c r="DO54" s="233">
        <f t="shared" si="65"/>
        <v>2753.1579310162683</v>
      </c>
      <c r="DP54" s="233">
        <f t="shared" si="66"/>
        <v>2758.8289855791809</v>
      </c>
      <c r="DQ54" s="233">
        <f t="shared" si="66"/>
        <v>2764.51172158597</v>
      </c>
      <c r="DR54" s="233">
        <f t="shared" si="66"/>
        <v>2770.2061630984986</v>
      </c>
      <c r="DS54" s="233">
        <f t="shared" si="66"/>
        <v>2775.9123342281905</v>
      </c>
      <c r="DT54" s="233">
        <f t="shared" si="66"/>
        <v>2781.6302591361377</v>
      </c>
      <c r="DU54" s="233">
        <f t="shared" si="66"/>
        <v>2787.3599620331984</v>
      </c>
      <c r="DV54" s="233">
        <f t="shared" si="66"/>
        <v>2793.1014671801022</v>
      </c>
      <c r="DW54" s="233">
        <f t="shared" si="66"/>
        <v>2798.8547988875507</v>
      </c>
      <c r="DX54" s="233">
        <f t="shared" si="66"/>
        <v>2804.6199815163222</v>
      </c>
      <c r="DY54" s="233">
        <f t="shared" si="66"/>
        <v>2810.3970394773755</v>
      </c>
      <c r="DZ54" s="233">
        <f t="shared" si="67"/>
        <v>2816.1859972319498</v>
      </c>
      <c r="EA54" s="233">
        <f t="shared" si="67"/>
        <v>2821.9868792916714</v>
      </c>
      <c r="EB54" s="233">
        <f t="shared" si="67"/>
        <v>2827.7997102186569</v>
      </c>
      <c r="EC54" s="233">
        <f t="shared" si="67"/>
        <v>2833.624514625616</v>
      </c>
      <c r="ED54" s="233">
        <f t="shared" si="67"/>
        <v>2839.4613171759574</v>
      </c>
      <c r="EE54" s="233">
        <f t="shared" si="67"/>
        <v>2845.3101425838918</v>
      </c>
      <c r="EF54" s="233">
        <f t="shared" si="67"/>
        <v>2851.1710156145377</v>
      </c>
      <c r="EG54" s="233">
        <f t="shared" si="67"/>
        <v>2857.0439610840253</v>
      </c>
      <c r="EH54" s="233">
        <f t="shared" si="67"/>
        <v>2862.9290038596014</v>
      </c>
      <c r="EI54" s="233">
        <f t="shared" si="67"/>
        <v>2868.8261688597363</v>
      </c>
      <c r="EJ54" s="233">
        <f t="shared" si="67"/>
        <v>2874.7354810542274</v>
      </c>
      <c r="EK54" s="233">
        <f t="shared" si="67"/>
        <v>2880.6569654643067</v>
      </c>
    </row>
    <row r="55" spans="2:141" x14ac:dyDescent="0.45">
      <c r="B55" s="230">
        <f>Assumptions!B92</f>
        <v>47</v>
      </c>
      <c r="C55" s="230" t="str">
        <f>Assumptions!C92</f>
        <v>Fair Market</v>
      </c>
      <c r="D55" s="439">
        <f>Assumptions!D92</f>
        <v>1</v>
      </c>
      <c r="E55" s="22">
        <f>Assumptions!G92</f>
        <v>17</v>
      </c>
      <c r="F55" s="22">
        <f>IF(D55=1,E55+SUM(Assumptions!$G$142:$G$143),'Rent Roll Model'!E55)</f>
        <v>21</v>
      </c>
      <c r="G55" s="233">
        <f>Assumptions!I92</f>
        <v>1443.75</v>
      </c>
      <c r="H55" s="233">
        <f>Assumptions!J92</f>
        <v>2200</v>
      </c>
      <c r="J55" s="233">
        <f t="shared" si="55"/>
        <v>1443.75</v>
      </c>
      <c r="K55" s="233">
        <f t="shared" si="55"/>
        <v>1446.7238886145853</v>
      </c>
      <c r="L55" s="233">
        <f t="shared" si="55"/>
        <v>1449.7039029528016</v>
      </c>
      <c r="M55" s="233">
        <f t="shared" si="55"/>
        <v>1452.6900556326364</v>
      </c>
      <c r="N55" s="233">
        <f t="shared" si="55"/>
        <v>1455.6823592980684</v>
      </c>
      <c r="O55" s="233">
        <f t="shared" si="55"/>
        <v>1458.6808266191208</v>
      </c>
      <c r="P55" s="233">
        <f t="shared" si="55"/>
        <v>1461.685470291915</v>
      </c>
      <c r="Q55" s="233">
        <f t="shared" si="55"/>
        <v>1464.6963030387244</v>
      </c>
      <c r="R55" s="233">
        <f t="shared" si="55"/>
        <v>1467.7133376080283</v>
      </c>
      <c r="S55" s="233">
        <f t="shared" si="55"/>
        <v>1470.7365867745652</v>
      </c>
      <c r="T55" s="233">
        <f t="shared" si="56"/>
        <v>1473.7660633393882</v>
      </c>
      <c r="U55" s="233">
        <f t="shared" si="56"/>
        <v>1476.8017801299179</v>
      </c>
      <c r="V55" s="233">
        <f t="shared" si="56"/>
        <v>1479.843749999998</v>
      </c>
      <c r="W55" s="233">
        <f t="shared" si="56"/>
        <v>1482.8919858299482</v>
      </c>
      <c r="X55" s="233">
        <f t="shared" si="56"/>
        <v>1485.94650052662</v>
      </c>
      <c r="Y55" s="233">
        <f t="shared" si="56"/>
        <v>1489.0073070234507</v>
      </c>
      <c r="Z55" s="233">
        <f t="shared" si="56"/>
        <v>0</v>
      </c>
      <c r="AA55" s="233">
        <f t="shared" si="56"/>
        <v>0</v>
      </c>
      <c r="AB55" s="233">
        <f t="shared" si="56"/>
        <v>0</v>
      </c>
      <c r="AC55" s="233">
        <f t="shared" si="56"/>
        <v>0</v>
      </c>
      <c r="AD55" s="233">
        <f t="shared" si="57"/>
        <v>2292.4284511211076</v>
      </c>
      <c r="AE55" s="233">
        <f t="shared" si="57"/>
        <v>2297.1504783907467</v>
      </c>
      <c r="AF55" s="233">
        <f t="shared" si="57"/>
        <v>2301.8822322634223</v>
      </c>
      <c r="AG55" s="233">
        <f t="shared" si="57"/>
        <v>2306.6237327743456</v>
      </c>
      <c r="AH55" s="233">
        <f t="shared" si="57"/>
        <v>2311.3749999999941</v>
      </c>
      <c r="AI55" s="233">
        <f t="shared" si="57"/>
        <v>2316.1360540582018</v>
      </c>
      <c r="AJ55" s="233">
        <f t="shared" si="57"/>
        <v>2320.9069151082408</v>
      </c>
      <c r="AK55" s="233">
        <f t="shared" si="57"/>
        <v>2325.6876033509097</v>
      </c>
      <c r="AL55" s="233">
        <f t="shared" si="57"/>
        <v>2330.4781390286153</v>
      </c>
      <c r="AM55" s="233">
        <f t="shared" si="57"/>
        <v>2335.2785424254621</v>
      </c>
      <c r="AN55" s="233">
        <f t="shared" si="58"/>
        <v>2340.0888338673353</v>
      </c>
      <c r="AO55" s="233">
        <f t="shared" si="58"/>
        <v>2344.9090337219891</v>
      </c>
      <c r="AP55" s="233">
        <f t="shared" si="58"/>
        <v>2349.7391623991321</v>
      </c>
      <c r="AQ55" s="233">
        <f t="shared" si="58"/>
        <v>2354.5792403505111</v>
      </c>
      <c r="AR55" s="233">
        <f t="shared" si="58"/>
        <v>2359.4292880700041</v>
      </c>
      <c r="AS55" s="233">
        <f t="shared" si="58"/>
        <v>2364.2893260936999</v>
      </c>
      <c r="AT55" s="233">
        <f t="shared" si="58"/>
        <v>2369.1593749999902</v>
      </c>
      <c r="AU55" s="233">
        <f t="shared" si="58"/>
        <v>2374.0394554096529</v>
      </c>
      <c r="AV55" s="233">
        <f t="shared" si="58"/>
        <v>2378.9295879859433</v>
      </c>
      <c r="AW55" s="233">
        <f t="shared" si="58"/>
        <v>2383.8297934346788</v>
      </c>
      <c r="AX55" s="233">
        <f t="shared" si="59"/>
        <v>2388.7400925043271</v>
      </c>
      <c r="AY55" s="233">
        <f t="shared" si="59"/>
        <v>2393.6605059860949</v>
      </c>
      <c r="AZ55" s="233">
        <f t="shared" si="59"/>
        <v>2398.5910547140156</v>
      </c>
      <c r="BA55" s="233">
        <f t="shared" si="59"/>
        <v>2403.5317595650358</v>
      </c>
      <c r="BB55" s="233">
        <f t="shared" si="59"/>
        <v>2408.4826414591071</v>
      </c>
      <c r="BC55" s="233">
        <f t="shared" si="59"/>
        <v>2413.4437213592714</v>
      </c>
      <c r="BD55" s="233">
        <f t="shared" si="59"/>
        <v>2418.4150202717515</v>
      </c>
      <c r="BE55" s="233">
        <f t="shared" si="59"/>
        <v>2423.3965592460399</v>
      </c>
      <c r="BF55" s="233">
        <f t="shared" si="59"/>
        <v>2428.388359374987</v>
      </c>
      <c r="BG55" s="233">
        <f t="shared" si="59"/>
        <v>2433.3904417948911</v>
      </c>
      <c r="BH55" s="233">
        <f t="shared" si="60"/>
        <v>2438.4028276855893</v>
      </c>
      <c r="BI55" s="233">
        <f t="shared" si="60"/>
        <v>2443.4255382705433</v>
      </c>
      <c r="BJ55" s="233">
        <f t="shared" si="60"/>
        <v>2448.4585948169329</v>
      </c>
      <c r="BK55" s="233">
        <f t="shared" si="60"/>
        <v>2453.5020186357451</v>
      </c>
      <c r="BL55" s="233">
        <f t="shared" si="60"/>
        <v>2458.5558310818633</v>
      </c>
      <c r="BM55" s="233">
        <f t="shared" si="60"/>
        <v>2463.6200535541593</v>
      </c>
      <c r="BN55" s="233">
        <f t="shared" si="60"/>
        <v>2468.694707495582</v>
      </c>
      <c r="BO55" s="233">
        <f t="shared" si="60"/>
        <v>2473.7798143932505</v>
      </c>
      <c r="BP55" s="233">
        <f t="shared" si="60"/>
        <v>2478.8753957785425</v>
      </c>
      <c r="BQ55" s="233">
        <f t="shared" si="60"/>
        <v>2483.9814732271884</v>
      </c>
      <c r="BR55" s="233">
        <f t="shared" si="61"/>
        <v>2489.0980683593589</v>
      </c>
      <c r="BS55" s="233">
        <f t="shared" si="61"/>
        <v>2494.2252028397611</v>
      </c>
      <c r="BT55" s="233">
        <f t="shared" si="61"/>
        <v>2499.3628983777267</v>
      </c>
      <c r="BU55" s="233">
        <f t="shared" si="61"/>
        <v>2504.5111767273042</v>
      </c>
      <c r="BV55" s="233">
        <f t="shared" si="61"/>
        <v>2509.6700596873538</v>
      </c>
      <c r="BW55" s="233">
        <f t="shared" si="61"/>
        <v>2514.8395691016362</v>
      </c>
      <c r="BX55" s="233">
        <f t="shared" si="61"/>
        <v>2520.0197268589077</v>
      </c>
      <c r="BY55" s="233">
        <f t="shared" si="61"/>
        <v>2525.2105548930108</v>
      </c>
      <c r="BZ55" s="233">
        <f t="shared" si="61"/>
        <v>2530.4120751829691</v>
      </c>
      <c r="CA55" s="233">
        <f t="shared" si="61"/>
        <v>2535.6243097530787</v>
      </c>
      <c r="CB55" s="233">
        <f t="shared" si="62"/>
        <v>2540.8472806730028</v>
      </c>
      <c r="CC55" s="233">
        <f t="shared" si="62"/>
        <v>2546.0810100578642</v>
      </c>
      <c r="CD55" s="233">
        <f t="shared" si="62"/>
        <v>2551.3255200683393</v>
      </c>
      <c r="CE55" s="233">
        <f t="shared" si="62"/>
        <v>2556.5808329107513</v>
      </c>
      <c r="CF55" s="233">
        <f t="shared" si="62"/>
        <v>2561.8469708371658</v>
      </c>
      <c r="CG55" s="233">
        <f t="shared" si="62"/>
        <v>2567.1239561454831</v>
      </c>
      <c r="CH55" s="233">
        <f t="shared" si="62"/>
        <v>2572.4118111795333</v>
      </c>
      <c r="CI55" s="233">
        <f t="shared" si="62"/>
        <v>2577.7105583291727</v>
      </c>
      <c r="CJ55" s="233">
        <f t="shared" si="62"/>
        <v>2583.0202200303756</v>
      </c>
      <c r="CK55" s="233">
        <f t="shared" si="62"/>
        <v>2588.3408187653313</v>
      </c>
      <c r="CL55" s="233">
        <f t="shared" si="63"/>
        <v>2593.672377062539</v>
      </c>
      <c r="CM55" s="233">
        <f t="shared" si="63"/>
        <v>2599.0149174969015</v>
      </c>
      <c r="CN55" s="233">
        <f t="shared" si="63"/>
        <v>2604.3684626898239</v>
      </c>
      <c r="CO55" s="233">
        <f t="shared" si="63"/>
        <v>2609.7330353093071</v>
      </c>
      <c r="CP55" s="233">
        <f t="shared" si="63"/>
        <v>2615.1086580700439</v>
      </c>
      <c r="CQ55" s="233">
        <f t="shared" si="63"/>
        <v>2620.4953537335164</v>
      </c>
      <c r="CR55" s="233">
        <f t="shared" si="63"/>
        <v>2625.8931451080912</v>
      </c>
      <c r="CS55" s="233">
        <f t="shared" si="63"/>
        <v>2631.302055049116</v>
      </c>
      <c r="CT55" s="233">
        <f t="shared" si="63"/>
        <v>2636.7221064590181</v>
      </c>
      <c r="CU55" s="233">
        <f t="shared" si="63"/>
        <v>2642.1533222873986</v>
      </c>
      <c r="CV55" s="233">
        <f t="shared" si="64"/>
        <v>2647.5957255311318</v>
      </c>
      <c r="CW55" s="233">
        <f t="shared" si="64"/>
        <v>2653.0493392344615</v>
      </c>
      <c r="CX55" s="233">
        <f t="shared" si="64"/>
        <v>2658.5141864890988</v>
      </c>
      <c r="CY55" s="233">
        <f t="shared" si="64"/>
        <v>2663.9902904343207</v>
      </c>
      <c r="CZ55" s="233">
        <f t="shared" si="64"/>
        <v>2669.4776742570662</v>
      </c>
      <c r="DA55" s="233">
        <f t="shared" si="64"/>
        <v>2674.9763611920362</v>
      </c>
      <c r="DB55" s="233">
        <f t="shared" si="64"/>
        <v>2680.4863745217917</v>
      </c>
      <c r="DC55" s="233">
        <f t="shared" si="64"/>
        <v>2686.007737576851</v>
      </c>
      <c r="DD55" s="233">
        <f t="shared" si="64"/>
        <v>2691.5404737357899</v>
      </c>
      <c r="DE55" s="233">
        <f t="shared" si="64"/>
        <v>2697.0846064253406</v>
      </c>
      <c r="DF55" s="233">
        <f t="shared" si="65"/>
        <v>2702.6401591204899</v>
      </c>
      <c r="DG55" s="233">
        <f t="shared" si="65"/>
        <v>2708.2071553445803</v>
      </c>
      <c r="DH55" s="233">
        <f t="shared" si="65"/>
        <v>2713.7856186694066</v>
      </c>
      <c r="DI55" s="233">
        <f t="shared" si="65"/>
        <v>2719.3755727153193</v>
      </c>
      <c r="DJ55" s="233">
        <f t="shared" si="65"/>
        <v>2724.9770411513227</v>
      </c>
      <c r="DK55" s="233">
        <f t="shared" si="65"/>
        <v>2730.5900476951751</v>
      </c>
      <c r="DL55" s="233">
        <f t="shared" si="65"/>
        <v>2736.2146161134892</v>
      </c>
      <c r="DM55" s="233">
        <f t="shared" si="65"/>
        <v>2741.8507702218335</v>
      </c>
      <c r="DN55" s="233">
        <f t="shared" si="65"/>
        <v>2747.4985338848328</v>
      </c>
      <c r="DO55" s="233">
        <f t="shared" si="65"/>
        <v>2753.1579310162683</v>
      </c>
      <c r="DP55" s="233">
        <f t="shared" si="66"/>
        <v>2758.8289855791809</v>
      </c>
      <c r="DQ55" s="233">
        <f t="shared" si="66"/>
        <v>2764.51172158597</v>
      </c>
      <c r="DR55" s="233">
        <f t="shared" si="66"/>
        <v>2770.2061630984986</v>
      </c>
      <c r="DS55" s="233">
        <f t="shared" si="66"/>
        <v>2775.9123342281905</v>
      </c>
      <c r="DT55" s="233">
        <f t="shared" si="66"/>
        <v>2781.6302591361377</v>
      </c>
      <c r="DU55" s="233">
        <f t="shared" si="66"/>
        <v>2787.3599620331984</v>
      </c>
      <c r="DV55" s="233">
        <f t="shared" si="66"/>
        <v>2793.1014671801022</v>
      </c>
      <c r="DW55" s="233">
        <f t="shared" si="66"/>
        <v>2798.8547988875507</v>
      </c>
      <c r="DX55" s="233">
        <f t="shared" si="66"/>
        <v>2804.6199815163222</v>
      </c>
      <c r="DY55" s="233">
        <f t="shared" si="66"/>
        <v>2810.3970394773755</v>
      </c>
      <c r="DZ55" s="233">
        <f t="shared" si="67"/>
        <v>2816.1859972319498</v>
      </c>
      <c r="EA55" s="233">
        <f t="shared" si="67"/>
        <v>2821.9868792916714</v>
      </c>
      <c r="EB55" s="233">
        <f t="shared" si="67"/>
        <v>2827.7997102186569</v>
      </c>
      <c r="EC55" s="233">
        <f t="shared" si="67"/>
        <v>2833.624514625616</v>
      </c>
      <c r="ED55" s="233">
        <f t="shared" si="67"/>
        <v>2839.4613171759574</v>
      </c>
      <c r="EE55" s="233">
        <f t="shared" si="67"/>
        <v>2845.3101425838918</v>
      </c>
      <c r="EF55" s="233">
        <f t="shared" si="67"/>
        <v>2851.1710156145377</v>
      </c>
      <c r="EG55" s="233">
        <f t="shared" si="67"/>
        <v>2857.0439610840253</v>
      </c>
      <c r="EH55" s="233">
        <f t="shared" si="67"/>
        <v>2862.9290038596014</v>
      </c>
      <c r="EI55" s="233">
        <f t="shared" si="67"/>
        <v>2868.8261688597363</v>
      </c>
      <c r="EJ55" s="233">
        <f t="shared" si="67"/>
        <v>2874.7354810542274</v>
      </c>
      <c r="EK55" s="233">
        <f t="shared" si="67"/>
        <v>2880.6569654643067</v>
      </c>
    </row>
    <row r="56" spans="2:141" x14ac:dyDescent="0.45">
      <c r="B56" s="230">
        <f>Assumptions!B93</f>
        <v>48</v>
      </c>
      <c r="C56" s="230" t="str">
        <f>Assumptions!C93</f>
        <v>Fair Market</v>
      </c>
      <c r="D56" s="439">
        <f>Assumptions!D93</f>
        <v>1</v>
      </c>
      <c r="E56" s="22">
        <f>Assumptions!G93</f>
        <v>17</v>
      </c>
      <c r="F56" s="22">
        <f>IF(D56=1,E56+SUM(Assumptions!$G$142:$G$143),'Rent Roll Model'!E56)</f>
        <v>21</v>
      </c>
      <c r="G56" s="233">
        <f>Assumptions!I93</f>
        <v>1417.5</v>
      </c>
      <c r="H56" s="233">
        <f>Assumptions!J93</f>
        <v>2200</v>
      </c>
      <c r="J56" s="233">
        <f t="shared" si="55"/>
        <v>1417.5</v>
      </c>
      <c r="K56" s="233">
        <f t="shared" si="55"/>
        <v>1420.4198179125021</v>
      </c>
      <c r="L56" s="233">
        <f t="shared" si="55"/>
        <v>1423.3456501718417</v>
      </c>
      <c r="M56" s="233">
        <f t="shared" si="55"/>
        <v>1426.2775091665885</v>
      </c>
      <c r="N56" s="233">
        <f t="shared" si="55"/>
        <v>1429.2154073108309</v>
      </c>
      <c r="O56" s="233">
        <f t="shared" si="55"/>
        <v>1432.1593570442276</v>
      </c>
      <c r="P56" s="233">
        <f t="shared" si="55"/>
        <v>1435.109370832062</v>
      </c>
      <c r="Q56" s="233">
        <f t="shared" si="55"/>
        <v>1438.0654611652931</v>
      </c>
      <c r="R56" s="233">
        <f t="shared" si="55"/>
        <v>1441.0276405606096</v>
      </c>
      <c r="S56" s="233">
        <f t="shared" si="55"/>
        <v>1443.9959215604822</v>
      </c>
      <c r="T56" s="233">
        <f t="shared" si="56"/>
        <v>1446.9703167332175</v>
      </c>
      <c r="U56" s="233">
        <f t="shared" si="56"/>
        <v>1449.9508386730104</v>
      </c>
      <c r="V56" s="233">
        <f t="shared" si="56"/>
        <v>1452.937499999998</v>
      </c>
      <c r="W56" s="233">
        <f t="shared" si="56"/>
        <v>1455.9303133603128</v>
      </c>
      <c r="X56" s="233">
        <f t="shared" si="56"/>
        <v>1458.9292914261359</v>
      </c>
      <c r="Y56" s="233">
        <f t="shared" si="56"/>
        <v>1461.9344468957515</v>
      </c>
      <c r="Z56" s="233">
        <f t="shared" si="56"/>
        <v>0</v>
      </c>
      <c r="AA56" s="233">
        <f t="shared" si="56"/>
        <v>0</v>
      </c>
      <c r="AB56" s="233">
        <f t="shared" si="56"/>
        <v>0</v>
      </c>
      <c r="AC56" s="233">
        <f t="shared" si="56"/>
        <v>0</v>
      </c>
      <c r="AD56" s="233">
        <f t="shared" si="57"/>
        <v>2292.4284511211076</v>
      </c>
      <c r="AE56" s="233">
        <f t="shared" si="57"/>
        <v>2297.1504783907467</v>
      </c>
      <c r="AF56" s="233">
        <f t="shared" si="57"/>
        <v>2301.8822322634223</v>
      </c>
      <c r="AG56" s="233">
        <f t="shared" si="57"/>
        <v>2306.6237327743456</v>
      </c>
      <c r="AH56" s="233">
        <f t="shared" si="57"/>
        <v>2311.3749999999941</v>
      </c>
      <c r="AI56" s="233">
        <f t="shared" si="57"/>
        <v>2316.1360540582018</v>
      </c>
      <c r="AJ56" s="233">
        <f t="shared" si="57"/>
        <v>2320.9069151082408</v>
      </c>
      <c r="AK56" s="233">
        <f t="shared" si="57"/>
        <v>2325.6876033509097</v>
      </c>
      <c r="AL56" s="233">
        <f t="shared" si="57"/>
        <v>2330.4781390286153</v>
      </c>
      <c r="AM56" s="233">
        <f t="shared" si="57"/>
        <v>2335.2785424254621</v>
      </c>
      <c r="AN56" s="233">
        <f t="shared" si="58"/>
        <v>2340.0888338673353</v>
      </c>
      <c r="AO56" s="233">
        <f t="shared" si="58"/>
        <v>2344.9090337219891</v>
      </c>
      <c r="AP56" s="233">
        <f t="shared" si="58"/>
        <v>2349.7391623991321</v>
      </c>
      <c r="AQ56" s="233">
        <f t="shared" si="58"/>
        <v>2354.5792403505111</v>
      </c>
      <c r="AR56" s="233">
        <f t="shared" si="58"/>
        <v>2359.4292880700041</v>
      </c>
      <c r="AS56" s="233">
        <f t="shared" si="58"/>
        <v>2364.2893260936999</v>
      </c>
      <c r="AT56" s="233">
        <f t="shared" si="58"/>
        <v>2369.1593749999902</v>
      </c>
      <c r="AU56" s="233">
        <f t="shared" si="58"/>
        <v>2374.0394554096529</v>
      </c>
      <c r="AV56" s="233">
        <f t="shared" si="58"/>
        <v>2378.9295879859433</v>
      </c>
      <c r="AW56" s="233">
        <f t="shared" si="58"/>
        <v>2383.8297934346788</v>
      </c>
      <c r="AX56" s="233">
        <f t="shared" si="59"/>
        <v>2388.7400925043271</v>
      </c>
      <c r="AY56" s="233">
        <f t="shared" si="59"/>
        <v>2393.6605059860949</v>
      </c>
      <c r="AZ56" s="233">
        <f t="shared" si="59"/>
        <v>2398.5910547140156</v>
      </c>
      <c r="BA56" s="233">
        <f t="shared" si="59"/>
        <v>2403.5317595650358</v>
      </c>
      <c r="BB56" s="233">
        <f t="shared" si="59"/>
        <v>2408.4826414591071</v>
      </c>
      <c r="BC56" s="233">
        <f t="shared" si="59"/>
        <v>2413.4437213592714</v>
      </c>
      <c r="BD56" s="233">
        <f t="shared" si="59"/>
        <v>2418.4150202717515</v>
      </c>
      <c r="BE56" s="233">
        <f t="shared" si="59"/>
        <v>2423.3965592460399</v>
      </c>
      <c r="BF56" s="233">
        <f t="shared" si="59"/>
        <v>2428.388359374987</v>
      </c>
      <c r="BG56" s="233">
        <f t="shared" si="59"/>
        <v>2433.3904417948911</v>
      </c>
      <c r="BH56" s="233">
        <f t="shared" si="60"/>
        <v>2438.4028276855893</v>
      </c>
      <c r="BI56" s="233">
        <f t="shared" si="60"/>
        <v>2443.4255382705433</v>
      </c>
      <c r="BJ56" s="233">
        <f t="shared" si="60"/>
        <v>2448.4585948169329</v>
      </c>
      <c r="BK56" s="233">
        <f t="shared" si="60"/>
        <v>2453.5020186357451</v>
      </c>
      <c r="BL56" s="233">
        <f t="shared" si="60"/>
        <v>2458.5558310818633</v>
      </c>
      <c r="BM56" s="233">
        <f t="shared" si="60"/>
        <v>2463.6200535541593</v>
      </c>
      <c r="BN56" s="233">
        <f t="shared" si="60"/>
        <v>2468.694707495582</v>
      </c>
      <c r="BO56" s="233">
        <f t="shared" si="60"/>
        <v>2473.7798143932505</v>
      </c>
      <c r="BP56" s="233">
        <f t="shared" si="60"/>
        <v>2478.8753957785425</v>
      </c>
      <c r="BQ56" s="233">
        <f t="shared" si="60"/>
        <v>2483.9814732271884</v>
      </c>
      <c r="BR56" s="233">
        <f t="shared" si="61"/>
        <v>2489.0980683593589</v>
      </c>
      <c r="BS56" s="233">
        <f t="shared" si="61"/>
        <v>2494.2252028397611</v>
      </c>
      <c r="BT56" s="233">
        <f t="shared" si="61"/>
        <v>2499.3628983777267</v>
      </c>
      <c r="BU56" s="233">
        <f t="shared" si="61"/>
        <v>2504.5111767273042</v>
      </c>
      <c r="BV56" s="233">
        <f t="shared" si="61"/>
        <v>2509.6700596873538</v>
      </c>
      <c r="BW56" s="233">
        <f t="shared" si="61"/>
        <v>2514.8395691016362</v>
      </c>
      <c r="BX56" s="233">
        <f t="shared" si="61"/>
        <v>2520.0197268589077</v>
      </c>
      <c r="BY56" s="233">
        <f t="shared" si="61"/>
        <v>2525.2105548930108</v>
      </c>
      <c r="BZ56" s="233">
        <f t="shared" si="61"/>
        <v>2530.4120751829691</v>
      </c>
      <c r="CA56" s="233">
        <f t="shared" si="61"/>
        <v>2535.6243097530787</v>
      </c>
      <c r="CB56" s="233">
        <f t="shared" si="62"/>
        <v>2540.8472806730028</v>
      </c>
      <c r="CC56" s="233">
        <f t="shared" si="62"/>
        <v>2546.0810100578642</v>
      </c>
      <c r="CD56" s="233">
        <f t="shared" si="62"/>
        <v>2551.3255200683393</v>
      </c>
      <c r="CE56" s="233">
        <f t="shared" si="62"/>
        <v>2556.5808329107513</v>
      </c>
      <c r="CF56" s="233">
        <f t="shared" si="62"/>
        <v>2561.8469708371658</v>
      </c>
      <c r="CG56" s="233">
        <f t="shared" si="62"/>
        <v>2567.1239561454831</v>
      </c>
      <c r="CH56" s="233">
        <f t="shared" si="62"/>
        <v>2572.4118111795333</v>
      </c>
      <c r="CI56" s="233">
        <f t="shared" si="62"/>
        <v>2577.7105583291727</v>
      </c>
      <c r="CJ56" s="233">
        <f t="shared" si="62"/>
        <v>2583.0202200303756</v>
      </c>
      <c r="CK56" s="233">
        <f t="shared" si="62"/>
        <v>2588.3408187653313</v>
      </c>
      <c r="CL56" s="233">
        <f t="shared" si="63"/>
        <v>2593.672377062539</v>
      </c>
      <c r="CM56" s="233">
        <f t="shared" si="63"/>
        <v>2599.0149174969015</v>
      </c>
      <c r="CN56" s="233">
        <f t="shared" si="63"/>
        <v>2604.3684626898239</v>
      </c>
      <c r="CO56" s="233">
        <f t="shared" si="63"/>
        <v>2609.7330353093071</v>
      </c>
      <c r="CP56" s="233">
        <f t="shared" si="63"/>
        <v>2615.1086580700439</v>
      </c>
      <c r="CQ56" s="233">
        <f t="shared" si="63"/>
        <v>2620.4953537335164</v>
      </c>
      <c r="CR56" s="233">
        <f t="shared" si="63"/>
        <v>2625.8931451080912</v>
      </c>
      <c r="CS56" s="233">
        <f t="shared" si="63"/>
        <v>2631.302055049116</v>
      </c>
      <c r="CT56" s="233">
        <f t="shared" si="63"/>
        <v>2636.7221064590181</v>
      </c>
      <c r="CU56" s="233">
        <f t="shared" si="63"/>
        <v>2642.1533222873986</v>
      </c>
      <c r="CV56" s="233">
        <f t="shared" si="64"/>
        <v>2647.5957255311318</v>
      </c>
      <c r="CW56" s="233">
        <f t="shared" si="64"/>
        <v>2653.0493392344615</v>
      </c>
      <c r="CX56" s="233">
        <f t="shared" si="64"/>
        <v>2658.5141864890988</v>
      </c>
      <c r="CY56" s="233">
        <f t="shared" si="64"/>
        <v>2663.9902904343207</v>
      </c>
      <c r="CZ56" s="233">
        <f t="shared" si="64"/>
        <v>2669.4776742570662</v>
      </c>
      <c r="DA56" s="233">
        <f t="shared" si="64"/>
        <v>2674.9763611920362</v>
      </c>
      <c r="DB56" s="233">
        <f t="shared" si="64"/>
        <v>2680.4863745217917</v>
      </c>
      <c r="DC56" s="233">
        <f t="shared" si="64"/>
        <v>2686.007737576851</v>
      </c>
      <c r="DD56" s="233">
        <f t="shared" si="64"/>
        <v>2691.5404737357899</v>
      </c>
      <c r="DE56" s="233">
        <f t="shared" si="64"/>
        <v>2697.0846064253406</v>
      </c>
      <c r="DF56" s="233">
        <f t="shared" si="65"/>
        <v>2702.6401591204899</v>
      </c>
      <c r="DG56" s="233">
        <f t="shared" si="65"/>
        <v>2708.2071553445803</v>
      </c>
      <c r="DH56" s="233">
        <f t="shared" si="65"/>
        <v>2713.7856186694066</v>
      </c>
      <c r="DI56" s="233">
        <f t="shared" si="65"/>
        <v>2719.3755727153193</v>
      </c>
      <c r="DJ56" s="233">
        <f t="shared" si="65"/>
        <v>2724.9770411513227</v>
      </c>
      <c r="DK56" s="233">
        <f t="shared" si="65"/>
        <v>2730.5900476951751</v>
      </c>
      <c r="DL56" s="233">
        <f t="shared" si="65"/>
        <v>2736.2146161134892</v>
      </c>
      <c r="DM56" s="233">
        <f t="shared" si="65"/>
        <v>2741.8507702218335</v>
      </c>
      <c r="DN56" s="233">
        <f t="shared" si="65"/>
        <v>2747.4985338848328</v>
      </c>
      <c r="DO56" s="233">
        <f t="shared" si="65"/>
        <v>2753.1579310162683</v>
      </c>
      <c r="DP56" s="233">
        <f t="shared" si="66"/>
        <v>2758.8289855791809</v>
      </c>
      <c r="DQ56" s="233">
        <f t="shared" si="66"/>
        <v>2764.51172158597</v>
      </c>
      <c r="DR56" s="233">
        <f t="shared" si="66"/>
        <v>2770.2061630984986</v>
      </c>
      <c r="DS56" s="233">
        <f t="shared" si="66"/>
        <v>2775.9123342281905</v>
      </c>
      <c r="DT56" s="233">
        <f t="shared" si="66"/>
        <v>2781.6302591361377</v>
      </c>
      <c r="DU56" s="233">
        <f t="shared" si="66"/>
        <v>2787.3599620331984</v>
      </c>
      <c r="DV56" s="233">
        <f t="shared" si="66"/>
        <v>2793.1014671801022</v>
      </c>
      <c r="DW56" s="233">
        <f t="shared" si="66"/>
        <v>2798.8547988875507</v>
      </c>
      <c r="DX56" s="233">
        <f t="shared" si="66"/>
        <v>2804.6199815163222</v>
      </c>
      <c r="DY56" s="233">
        <f t="shared" si="66"/>
        <v>2810.3970394773755</v>
      </c>
      <c r="DZ56" s="233">
        <f t="shared" si="67"/>
        <v>2816.1859972319498</v>
      </c>
      <c r="EA56" s="233">
        <f t="shared" si="67"/>
        <v>2821.9868792916714</v>
      </c>
      <c r="EB56" s="233">
        <f t="shared" si="67"/>
        <v>2827.7997102186569</v>
      </c>
      <c r="EC56" s="233">
        <f t="shared" si="67"/>
        <v>2833.624514625616</v>
      </c>
      <c r="ED56" s="233">
        <f t="shared" si="67"/>
        <v>2839.4613171759574</v>
      </c>
      <c r="EE56" s="233">
        <f t="shared" si="67"/>
        <v>2845.3101425838918</v>
      </c>
      <c r="EF56" s="233">
        <f t="shared" si="67"/>
        <v>2851.1710156145377</v>
      </c>
      <c r="EG56" s="233">
        <f t="shared" si="67"/>
        <v>2857.0439610840253</v>
      </c>
      <c r="EH56" s="233">
        <f t="shared" si="67"/>
        <v>2862.9290038596014</v>
      </c>
      <c r="EI56" s="233">
        <f t="shared" si="67"/>
        <v>2868.8261688597363</v>
      </c>
      <c r="EJ56" s="233">
        <f t="shared" si="67"/>
        <v>2874.7354810542274</v>
      </c>
      <c r="EK56" s="233">
        <f t="shared" si="67"/>
        <v>2880.6569654643067</v>
      </c>
    </row>
    <row r="57" spans="2:141" x14ac:dyDescent="0.45">
      <c r="B57" s="230">
        <f>Assumptions!B94</f>
        <v>49</v>
      </c>
      <c r="C57" s="230" t="str">
        <f>Assumptions!C94</f>
        <v>Fair Market</v>
      </c>
      <c r="D57" s="439">
        <f>Assumptions!D94</f>
        <v>1</v>
      </c>
      <c r="E57" s="22">
        <f>Assumptions!G94</f>
        <v>18</v>
      </c>
      <c r="F57" s="22">
        <f>IF(D57=1,E57+SUM(Assumptions!$G$142:$G$143),'Rent Roll Model'!E57)</f>
        <v>22</v>
      </c>
      <c r="G57" s="233">
        <f>Assumptions!I94</f>
        <v>1700</v>
      </c>
      <c r="H57" s="233">
        <f>Assumptions!J94</f>
        <v>2200</v>
      </c>
      <c r="J57" s="233">
        <f t="shared" si="55"/>
        <v>1700</v>
      </c>
      <c r="K57" s="233">
        <f t="shared" si="55"/>
        <v>1703.5017216587325</v>
      </c>
      <c r="L57" s="233">
        <f t="shared" si="55"/>
        <v>1707.0106562907449</v>
      </c>
      <c r="M57" s="233">
        <f t="shared" si="55"/>
        <v>1710.5268187535805</v>
      </c>
      <c r="N57" s="233">
        <f t="shared" si="55"/>
        <v>1714.050223935388</v>
      </c>
      <c r="O57" s="233">
        <f t="shared" si="55"/>
        <v>1717.580886754982</v>
      </c>
      <c r="P57" s="233">
        <f t="shared" si="55"/>
        <v>1721.1188221619086</v>
      </c>
      <c r="Q57" s="233">
        <f t="shared" si="55"/>
        <v>1724.6640451365065</v>
      </c>
      <c r="R57" s="233">
        <f t="shared" si="55"/>
        <v>1728.2165706899725</v>
      </c>
      <c r="S57" s="233">
        <f t="shared" si="55"/>
        <v>1731.7764138644231</v>
      </c>
      <c r="T57" s="233">
        <f t="shared" si="56"/>
        <v>1735.3435897329593</v>
      </c>
      <c r="U57" s="233">
        <f t="shared" si="56"/>
        <v>1738.9181133997304</v>
      </c>
      <c r="V57" s="233">
        <f t="shared" si="56"/>
        <v>1742.4999999999975</v>
      </c>
      <c r="W57" s="233">
        <f t="shared" si="56"/>
        <v>1746.0892647001988</v>
      </c>
      <c r="X57" s="233">
        <f t="shared" si="56"/>
        <v>1749.6859226980114</v>
      </c>
      <c r="Y57" s="233">
        <f t="shared" si="56"/>
        <v>1753.2899892224182</v>
      </c>
      <c r="Z57" s="233">
        <f t="shared" si="56"/>
        <v>1756.9014795337705</v>
      </c>
      <c r="AA57" s="233">
        <f t="shared" si="56"/>
        <v>0</v>
      </c>
      <c r="AB57" s="233">
        <f t="shared" si="56"/>
        <v>0</v>
      </c>
      <c r="AC57" s="233">
        <f t="shared" si="56"/>
        <v>0</v>
      </c>
      <c r="AD57" s="233">
        <f t="shared" si="57"/>
        <v>0</v>
      </c>
      <c r="AE57" s="233">
        <f t="shared" si="57"/>
        <v>2297.1504783907467</v>
      </c>
      <c r="AF57" s="233">
        <f t="shared" si="57"/>
        <v>2301.8822322634223</v>
      </c>
      <c r="AG57" s="233">
        <f t="shared" si="57"/>
        <v>2306.6237327743456</v>
      </c>
      <c r="AH57" s="233">
        <f t="shared" si="57"/>
        <v>2311.3749999999941</v>
      </c>
      <c r="AI57" s="233">
        <f t="shared" si="57"/>
        <v>2316.1360540582018</v>
      </c>
      <c r="AJ57" s="233">
        <f t="shared" si="57"/>
        <v>2320.9069151082408</v>
      </c>
      <c r="AK57" s="233">
        <f t="shared" si="57"/>
        <v>2325.6876033509097</v>
      </c>
      <c r="AL57" s="233">
        <f t="shared" si="57"/>
        <v>2330.4781390286153</v>
      </c>
      <c r="AM57" s="233">
        <f t="shared" si="57"/>
        <v>2335.2785424254621</v>
      </c>
      <c r="AN57" s="233">
        <f t="shared" si="58"/>
        <v>2340.0888338673353</v>
      </c>
      <c r="AO57" s="233">
        <f t="shared" si="58"/>
        <v>2344.9090337219891</v>
      </c>
      <c r="AP57" s="233">
        <f t="shared" si="58"/>
        <v>2349.7391623991321</v>
      </c>
      <c r="AQ57" s="233">
        <f t="shared" si="58"/>
        <v>2354.5792403505111</v>
      </c>
      <c r="AR57" s="233">
        <f t="shared" si="58"/>
        <v>2359.4292880700041</v>
      </c>
      <c r="AS57" s="233">
        <f t="shared" si="58"/>
        <v>2364.2893260936999</v>
      </c>
      <c r="AT57" s="233">
        <f t="shared" si="58"/>
        <v>2369.1593749999902</v>
      </c>
      <c r="AU57" s="233">
        <f t="shared" si="58"/>
        <v>2374.0394554096529</v>
      </c>
      <c r="AV57" s="233">
        <f t="shared" si="58"/>
        <v>2378.9295879859433</v>
      </c>
      <c r="AW57" s="233">
        <f t="shared" si="58"/>
        <v>2383.8297934346788</v>
      </c>
      <c r="AX57" s="233">
        <f t="shared" si="59"/>
        <v>2388.7400925043271</v>
      </c>
      <c r="AY57" s="233">
        <f t="shared" si="59"/>
        <v>2393.6605059860949</v>
      </c>
      <c r="AZ57" s="233">
        <f t="shared" si="59"/>
        <v>2398.5910547140156</v>
      </c>
      <c r="BA57" s="233">
        <f t="shared" si="59"/>
        <v>2403.5317595650358</v>
      </c>
      <c r="BB57" s="233">
        <f t="shared" si="59"/>
        <v>2408.4826414591071</v>
      </c>
      <c r="BC57" s="233">
        <f t="shared" si="59"/>
        <v>2413.4437213592714</v>
      </c>
      <c r="BD57" s="233">
        <f t="shared" si="59"/>
        <v>2418.4150202717515</v>
      </c>
      <c r="BE57" s="233">
        <f t="shared" si="59"/>
        <v>2423.3965592460399</v>
      </c>
      <c r="BF57" s="233">
        <f t="shared" si="59"/>
        <v>2428.388359374987</v>
      </c>
      <c r="BG57" s="233">
        <f t="shared" si="59"/>
        <v>2433.3904417948911</v>
      </c>
      <c r="BH57" s="233">
        <f t="shared" si="60"/>
        <v>2438.4028276855893</v>
      </c>
      <c r="BI57" s="233">
        <f t="shared" si="60"/>
        <v>2443.4255382705433</v>
      </c>
      <c r="BJ57" s="233">
        <f t="shared" si="60"/>
        <v>2448.4585948169329</v>
      </c>
      <c r="BK57" s="233">
        <f t="shared" si="60"/>
        <v>2453.5020186357451</v>
      </c>
      <c r="BL57" s="233">
        <f t="shared" si="60"/>
        <v>2458.5558310818633</v>
      </c>
      <c r="BM57" s="233">
        <f t="shared" si="60"/>
        <v>2463.6200535541593</v>
      </c>
      <c r="BN57" s="233">
        <f t="shared" si="60"/>
        <v>2468.694707495582</v>
      </c>
      <c r="BO57" s="233">
        <f t="shared" si="60"/>
        <v>2473.7798143932505</v>
      </c>
      <c r="BP57" s="233">
        <f t="shared" si="60"/>
        <v>2478.8753957785425</v>
      </c>
      <c r="BQ57" s="233">
        <f t="shared" si="60"/>
        <v>2483.9814732271884</v>
      </c>
      <c r="BR57" s="233">
        <f t="shared" si="61"/>
        <v>2489.0980683593589</v>
      </c>
      <c r="BS57" s="233">
        <f t="shared" si="61"/>
        <v>2494.2252028397611</v>
      </c>
      <c r="BT57" s="233">
        <f t="shared" si="61"/>
        <v>2499.3628983777267</v>
      </c>
      <c r="BU57" s="233">
        <f t="shared" si="61"/>
        <v>2504.5111767273042</v>
      </c>
      <c r="BV57" s="233">
        <f t="shared" si="61"/>
        <v>2509.6700596873538</v>
      </c>
      <c r="BW57" s="233">
        <f t="shared" si="61"/>
        <v>2514.8395691016362</v>
      </c>
      <c r="BX57" s="233">
        <f t="shared" si="61"/>
        <v>2520.0197268589077</v>
      </c>
      <c r="BY57" s="233">
        <f t="shared" si="61"/>
        <v>2525.2105548930108</v>
      </c>
      <c r="BZ57" s="233">
        <f t="shared" si="61"/>
        <v>2530.4120751829691</v>
      </c>
      <c r="CA57" s="233">
        <f t="shared" si="61"/>
        <v>2535.6243097530787</v>
      </c>
      <c r="CB57" s="233">
        <f t="shared" si="62"/>
        <v>2540.8472806730028</v>
      </c>
      <c r="CC57" s="233">
        <f t="shared" si="62"/>
        <v>2546.0810100578642</v>
      </c>
      <c r="CD57" s="233">
        <f t="shared" si="62"/>
        <v>2551.3255200683393</v>
      </c>
      <c r="CE57" s="233">
        <f t="shared" si="62"/>
        <v>2556.5808329107513</v>
      </c>
      <c r="CF57" s="233">
        <f t="shared" si="62"/>
        <v>2561.8469708371658</v>
      </c>
      <c r="CG57" s="233">
        <f t="shared" si="62"/>
        <v>2567.1239561454831</v>
      </c>
      <c r="CH57" s="233">
        <f t="shared" si="62"/>
        <v>2572.4118111795333</v>
      </c>
      <c r="CI57" s="233">
        <f t="shared" si="62"/>
        <v>2577.7105583291727</v>
      </c>
      <c r="CJ57" s="233">
        <f t="shared" si="62"/>
        <v>2583.0202200303756</v>
      </c>
      <c r="CK57" s="233">
        <f t="shared" si="62"/>
        <v>2588.3408187653313</v>
      </c>
      <c r="CL57" s="233">
        <f t="shared" si="63"/>
        <v>2593.672377062539</v>
      </c>
      <c r="CM57" s="233">
        <f t="shared" si="63"/>
        <v>2599.0149174969015</v>
      </c>
      <c r="CN57" s="233">
        <f t="shared" si="63"/>
        <v>2604.3684626898239</v>
      </c>
      <c r="CO57" s="233">
        <f t="shared" si="63"/>
        <v>2609.7330353093071</v>
      </c>
      <c r="CP57" s="233">
        <f t="shared" si="63"/>
        <v>2615.1086580700439</v>
      </c>
      <c r="CQ57" s="233">
        <f t="shared" si="63"/>
        <v>2620.4953537335164</v>
      </c>
      <c r="CR57" s="233">
        <f t="shared" si="63"/>
        <v>2625.8931451080912</v>
      </c>
      <c r="CS57" s="233">
        <f t="shared" si="63"/>
        <v>2631.302055049116</v>
      </c>
      <c r="CT57" s="233">
        <f t="shared" si="63"/>
        <v>2636.7221064590181</v>
      </c>
      <c r="CU57" s="233">
        <f t="shared" si="63"/>
        <v>2642.1533222873986</v>
      </c>
      <c r="CV57" s="233">
        <f t="shared" si="64"/>
        <v>2647.5957255311318</v>
      </c>
      <c r="CW57" s="233">
        <f t="shared" si="64"/>
        <v>2653.0493392344615</v>
      </c>
      <c r="CX57" s="233">
        <f t="shared" si="64"/>
        <v>2658.5141864890988</v>
      </c>
      <c r="CY57" s="233">
        <f t="shared" si="64"/>
        <v>2663.9902904343207</v>
      </c>
      <c r="CZ57" s="233">
        <f t="shared" si="64"/>
        <v>2669.4776742570662</v>
      </c>
      <c r="DA57" s="233">
        <f t="shared" si="64"/>
        <v>2674.9763611920362</v>
      </c>
      <c r="DB57" s="233">
        <f t="shared" si="64"/>
        <v>2680.4863745217917</v>
      </c>
      <c r="DC57" s="233">
        <f t="shared" si="64"/>
        <v>2686.007737576851</v>
      </c>
      <c r="DD57" s="233">
        <f t="shared" si="64"/>
        <v>2691.5404737357899</v>
      </c>
      <c r="DE57" s="233">
        <f t="shared" si="64"/>
        <v>2697.0846064253406</v>
      </c>
      <c r="DF57" s="233">
        <f t="shared" si="65"/>
        <v>2702.6401591204899</v>
      </c>
      <c r="DG57" s="233">
        <f t="shared" si="65"/>
        <v>2708.2071553445803</v>
      </c>
      <c r="DH57" s="233">
        <f t="shared" si="65"/>
        <v>2713.7856186694066</v>
      </c>
      <c r="DI57" s="233">
        <f t="shared" si="65"/>
        <v>2719.3755727153193</v>
      </c>
      <c r="DJ57" s="233">
        <f t="shared" si="65"/>
        <v>2724.9770411513227</v>
      </c>
      <c r="DK57" s="233">
        <f t="shared" si="65"/>
        <v>2730.5900476951751</v>
      </c>
      <c r="DL57" s="233">
        <f t="shared" si="65"/>
        <v>2736.2146161134892</v>
      </c>
      <c r="DM57" s="233">
        <f t="shared" si="65"/>
        <v>2741.8507702218335</v>
      </c>
      <c r="DN57" s="233">
        <f t="shared" si="65"/>
        <v>2747.4985338848328</v>
      </c>
      <c r="DO57" s="233">
        <f t="shared" si="65"/>
        <v>2753.1579310162683</v>
      </c>
      <c r="DP57" s="233">
        <f t="shared" si="66"/>
        <v>2758.8289855791809</v>
      </c>
      <c r="DQ57" s="233">
        <f t="shared" si="66"/>
        <v>2764.51172158597</v>
      </c>
      <c r="DR57" s="233">
        <f t="shared" si="66"/>
        <v>2770.2061630984986</v>
      </c>
      <c r="DS57" s="233">
        <f t="shared" si="66"/>
        <v>2775.9123342281905</v>
      </c>
      <c r="DT57" s="233">
        <f t="shared" si="66"/>
        <v>2781.6302591361377</v>
      </c>
      <c r="DU57" s="233">
        <f t="shared" si="66"/>
        <v>2787.3599620331984</v>
      </c>
      <c r="DV57" s="233">
        <f t="shared" si="66"/>
        <v>2793.1014671801022</v>
      </c>
      <c r="DW57" s="233">
        <f t="shared" si="66"/>
        <v>2798.8547988875507</v>
      </c>
      <c r="DX57" s="233">
        <f t="shared" si="66"/>
        <v>2804.6199815163222</v>
      </c>
      <c r="DY57" s="233">
        <f t="shared" si="66"/>
        <v>2810.3970394773755</v>
      </c>
      <c r="DZ57" s="233">
        <f t="shared" si="67"/>
        <v>2816.1859972319498</v>
      </c>
      <c r="EA57" s="233">
        <f t="shared" si="67"/>
        <v>2821.9868792916714</v>
      </c>
      <c r="EB57" s="233">
        <f t="shared" si="67"/>
        <v>2827.7997102186569</v>
      </c>
      <c r="EC57" s="233">
        <f t="shared" si="67"/>
        <v>2833.624514625616</v>
      </c>
      <c r="ED57" s="233">
        <f t="shared" si="67"/>
        <v>2839.4613171759574</v>
      </c>
      <c r="EE57" s="233">
        <f t="shared" si="67"/>
        <v>2845.3101425838918</v>
      </c>
      <c r="EF57" s="233">
        <f t="shared" si="67"/>
        <v>2851.1710156145377</v>
      </c>
      <c r="EG57" s="233">
        <f t="shared" si="67"/>
        <v>2857.0439610840253</v>
      </c>
      <c r="EH57" s="233">
        <f t="shared" si="67"/>
        <v>2862.9290038596014</v>
      </c>
      <c r="EI57" s="233">
        <f t="shared" si="67"/>
        <v>2868.8261688597363</v>
      </c>
      <c r="EJ57" s="233">
        <f t="shared" si="67"/>
        <v>2874.7354810542274</v>
      </c>
      <c r="EK57" s="233">
        <f t="shared" si="67"/>
        <v>2880.6569654643067</v>
      </c>
    </row>
    <row r="58" spans="2:141" x14ac:dyDescent="0.45">
      <c r="B58" s="230">
        <f>Assumptions!B95</f>
        <v>50</v>
      </c>
      <c r="C58" s="230" t="str">
        <f>Assumptions!C95</f>
        <v>Fair Market</v>
      </c>
      <c r="D58" s="439">
        <f>Assumptions!D95</f>
        <v>1</v>
      </c>
      <c r="E58" s="22">
        <f>Assumptions!G95</f>
        <v>18</v>
      </c>
      <c r="F58" s="22">
        <f>IF(D58=1,E58+SUM(Assumptions!$G$142:$G$143),'Rent Roll Model'!E58)</f>
        <v>22</v>
      </c>
      <c r="G58" s="233">
        <f>Assumptions!I95</f>
        <v>1819.13</v>
      </c>
      <c r="H58" s="233">
        <f>Assumptions!J95</f>
        <v>2200</v>
      </c>
      <c r="J58" s="233">
        <f t="shared" si="55"/>
        <v>1819.13</v>
      </c>
      <c r="K58" s="233">
        <f t="shared" si="55"/>
        <v>1822.8771099535591</v>
      </c>
      <c r="L58" s="233">
        <f t="shared" si="55"/>
        <v>1826.6319383401076</v>
      </c>
      <c r="M58" s="233">
        <f t="shared" si="55"/>
        <v>1830.3945010583536</v>
      </c>
      <c r="N58" s="233">
        <f t="shared" si="55"/>
        <v>1834.1648140397544</v>
      </c>
      <c r="O58" s="233">
        <f t="shared" si="55"/>
        <v>1837.9428932485828</v>
      </c>
      <c r="P58" s="233">
        <f t="shared" si="55"/>
        <v>1841.7287546819957</v>
      </c>
      <c r="Q58" s="233">
        <f t="shared" si="55"/>
        <v>1845.5224143701021</v>
      </c>
      <c r="R58" s="233">
        <f t="shared" si="55"/>
        <v>1849.3238883760293</v>
      </c>
      <c r="S58" s="233">
        <f t="shared" si="55"/>
        <v>1853.1331927959932</v>
      </c>
      <c r="T58" s="233">
        <f t="shared" si="56"/>
        <v>1856.9503437593637</v>
      </c>
      <c r="U58" s="233">
        <f t="shared" si="56"/>
        <v>1860.7753574287362</v>
      </c>
      <c r="V58" s="233">
        <f t="shared" si="56"/>
        <v>1864.6082499999975</v>
      </c>
      <c r="W58" s="233">
        <f t="shared" si="56"/>
        <v>1868.4490377023956</v>
      </c>
      <c r="X58" s="233">
        <f t="shared" si="56"/>
        <v>1872.297736798608</v>
      </c>
      <c r="Y58" s="233">
        <f t="shared" si="56"/>
        <v>1876.1543635848104</v>
      </c>
      <c r="Z58" s="233">
        <f t="shared" si="56"/>
        <v>1880.0189343907459</v>
      </c>
      <c r="AA58" s="233">
        <f t="shared" si="56"/>
        <v>0</v>
      </c>
      <c r="AB58" s="233">
        <f t="shared" si="56"/>
        <v>0</v>
      </c>
      <c r="AC58" s="233">
        <f t="shared" si="56"/>
        <v>0</v>
      </c>
      <c r="AD58" s="233">
        <f t="shared" si="57"/>
        <v>0</v>
      </c>
      <c r="AE58" s="233">
        <f t="shared" si="57"/>
        <v>2297.1504783907467</v>
      </c>
      <c r="AF58" s="233">
        <f t="shared" si="57"/>
        <v>2301.8822322634223</v>
      </c>
      <c r="AG58" s="233">
        <f t="shared" si="57"/>
        <v>2306.6237327743456</v>
      </c>
      <c r="AH58" s="233">
        <f t="shared" si="57"/>
        <v>2311.3749999999941</v>
      </c>
      <c r="AI58" s="233">
        <f t="shared" si="57"/>
        <v>2316.1360540582018</v>
      </c>
      <c r="AJ58" s="233">
        <f t="shared" si="57"/>
        <v>2320.9069151082408</v>
      </c>
      <c r="AK58" s="233">
        <f t="shared" si="57"/>
        <v>2325.6876033509097</v>
      </c>
      <c r="AL58" s="233">
        <f t="shared" si="57"/>
        <v>2330.4781390286153</v>
      </c>
      <c r="AM58" s="233">
        <f t="shared" si="57"/>
        <v>2335.2785424254621</v>
      </c>
      <c r="AN58" s="233">
        <f t="shared" si="58"/>
        <v>2340.0888338673353</v>
      </c>
      <c r="AO58" s="233">
        <f t="shared" si="58"/>
        <v>2344.9090337219891</v>
      </c>
      <c r="AP58" s="233">
        <f t="shared" si="58"/>
        <v>2349.7391623991321</v>
      </c>
      <c r="AQ58" s="233">
        <f t="shared" si="58"/>
        <v>2354.5792403505111</v>
      </c>
      <c r="AR58" s="233">
        <f t="shared" si="58"/>
        <v>2359.4292880700041</v>
      </c>
      <c r="AS58" s="233">
        <f t="shared" si="58"/>
        <v>2364.2893260936999</v>
      </c>
      <c r="AT58" s="233">
        <f t="shared" si="58"/>
        <v>2369.1593749999902</v>
      </c>
      <c r="AU58" s="233">
        <f t="shared" si="58"/>
        <v>2374.0394554096529</v>
      </c>
      <c r="AV58" s="233">
        <f t="shared" si="58"/>
        <v>2378.9295879859433</v>
      </c>
      <c r="AW58" s="233">
        <f t="shared" si="58"/>
        <v>2383.8297934346788</v>
      </c>
      <c r="AX58" s="233">
        <f t="shared" si="59"/>
        <v>2388.7400925043271</v>
      </c>
      <c r="AY58" s="233">
        <f t="shared" si="59"/>
        <v>2393.6605059860949</v>
      </c>
      <c r="AZ58" s="233">
        <f t="shared" si="59"/>
        <v>2398.5910547140156</v>
      </c>
      <c r="BA58" s="233">
        <f t="shared" si="59"/>
        <v>2403.5317595650358</v>
      </c>
      <c r="BB58" s="233">
        <f t="shared" si="59"/>
        <v>2408.4826414591071</v>
      </c>
      <c r="BC58" s="233">
        <f t="shared" si="59"/>
        <v>2413.4437213592714</v>
      </c>
      <c r="BD58" s="233">
        <f t="shared" si="59"/>
        <v>2418.4150202717515</v>
      </c>
      <c r="BE58" s="233">
        <f t="shared" si="59"/>
        <v>2423.3965592460399</v>
      </c>
      <c r="BF58" s="233">
        <f t="shared" si="59"/>
        <v>2428.388359374987</v>
      </c>
      <c r="BG58" s="233">
        <f t="shared" si="59"/>
        <v>2433.3904417948911</v>
      </c>
      <c r="BH58" s="233">
        <f t="shared" si="60"/>
        <v>2438.4028276855893</v>
      </c>
      <c r="BI58" s="233">
        <f t="shared" si="60"/>
        <v>2443.4255382705433</v>
      </c>
      <c r="BJ58" s="233">
        <f t="shared" si="60"/>
        <v>2448.4585948169329</v>
      </c>
      <c r="BK58" s="233">
        <f t="shared" si="60"/>
        <v>2453.5020186357451</v>
      </c>
      <c r="BL58" s="233">
        <f t="shared" si="60"/>
        <v>2458.5558310818633</v>
      </c>
      <c r="BM58" s="233">
        <f t="shared" si="60"/>
        <v>2463.6200535541593</v>
      </c>
      <c r="BN58" s="233">
        <f t="shared" si="60"/>
        <v>2468.694707495582</v>
      </c>
      <c r="BO58" s="233">
        <f t="shared" si="60"/>
        <v>2473.7798143932505</v>
      </c>
      <c r="BP58" s="233">
        <f t="shared" si="60"/>
        <v>2478.8753957785425</v>
      </c>
      <c r="BQ58" s="233">
        <f t="shared" si="60"/>
        <v>2483.9814732271884</v>
      </c>
      <c r="BR58" s="233">
        <f t="shared" si="61"/>
        <v>2489.0980683593589</v>
      </c>
      <c r="BS58" s="233">
        <f t="shared" si="61"/>
        <v>2494.2252028397611</v>
      </c>
      <c r="BT58" s="233">
        <f t="shared" si="61"/>
        <v>2499.3628983777267</v>
      </c>
      <c r="BU58" s="233">
        <f t="shared" si="61"/>
        <v>2504.5111767273042</v>
      </c>
      <c r="BV58" s="233">
        <f t="shared" si="61"/>
        <v>2509.6700596873538</v>
      </c>
      <c r="BW58" s="233">
        <f t="shared" si="61"/>
        <v>2514.8395691016362</v>
      </c>
      <c r="BX58" s="233">
        <f t="shared" si="61"/>
        <v>2520.0197268589077</v>
      </c>
      <c r="BY58" s="233">
        <f t="shared" si="61"/>
        <v>2525.2105548930108</v>
      </c>
      <c r="BZ58" s="233">
        <f t="shared" si="61"/>
        <v>2530.4120751829691</v>
      </c>
      <c r="CA58" s="233">
        <f t="shared" si="61"/>
        <v>2535.6243097530787</v>
      </c>
      <c r="CB58" s="233">
        <f t="shared" si="62"/>
        <v>2540.8472806730028</v>
      </c>
      <c r="CC58" s="233">
        <f t="shared" si="62"/>
        <v>2546.0810100578642</v>
      </c>
      <c r="CD58" s="233">
        <f t="shared" si="62"/>
        <v>2551.3255200683393</v>
      </c>
      <c r="CE58" s="233">
        <f t="shared" si="62"/>
        <v>2556.5808329107513</v>
      </c>
      <c r="CF58" s="233">
        <f t="shared" si="62"/>
        <v>2561.8469708371658</v>
      </c>
      <c r="CG58" s="233">
        <f t="shared" si="62"/>
        <v>2567.1239561454831</v>
      </c>
      <c r="CH58" s="233">
        <f t="shared" si="62"/>
        <v>2572.4118111795333</v>
      </c>
      <c r="CI58" s="233">
        <f t="shared" si="62"/>
        <v>2577.7105583291727</v>
      </c>
      <c r="CJ58" s="233">
        <f t="shared" si="62"/>
        <v>2583.0202200303756</v>
      </c>
      <c r="CK58" s="233">
        <f t="shared" si="62"/>
        <v>2588.3408187653313</v>
      </c>
      <c r="CL58" s="233">
        <f t="shared" si="63"/>
        <v>2593.672377062539</v>
      </c>
      <c r="CM58" s="233">
        <f t="shared" si="63"/>
        <v>2599.0149174969015</v>
      </c>
      <c r="CN58" s="233">
        <f t="shared" si="63"/>
        <v>2604.3684626898239</v>
      </c>
      <c r="CO58" s="233">
        <f t="shared" si="63"/>
        <v>2609.7330353093071</v>
      </c>
      <c r="CP58" s="233">
        <f t="shared" si="63"/>
        <v>2615.1086580700439</v>
      </c>
      <c r="CQ58" s="233">
        <f t="shared" si="63"/>
        <v>2620.4953537335164</v>
      </c>
      <c r="CR58" s="233">
        <f t="shared" si="63"/>
        <v>2625.8931451080912</v>
      </c>
      <c r="CS58" s="233">
        <f t="shared" si="63"/>
        <v>2631.302055049116</v>
      </c>
      <c r="CT58" s="233">
        <f t="shared" si="63"/>
        <v>2636.7221064590181</v>
      </c>
      <c r="CU58" s="233">
        <f t="shared" si="63"/>
        <v>2642.1533222873986</v>
      </c>
      <c r="CV58" s="233">
        <f t="shared" si="64"/>
        <v>2647.5957255311318</v>
      </c>
      <c r="CW58" s="233">
        <f t="shared" si="64"/>
        <v>2653.0493392344615</v>
      </c>
      <c r="CX58" s="233">
        <f t="shared" si="64"/>
        <v>2658.5141864890988</v>
      </c>
      <c r="CY58" s="233">
        <f t="shared" si="64"/>
        <v>2663.9902904343207</v>
      </c>
      <c r="CZ58" s="233">
        <f t="shared" si="64"/>
        <v>2669.4776742570662</v>
      </c>
      <c r="DA58" s="233">
        <f t="shared" si="64"/>
        <v>2674.9763611920362</v>
      </c>
      <c r="DB58" s="233">
        <f t="shared" si="64"/>
        <v>2680.4863745217917</v>
      </c>
      <c r="DC58" s="233">
        <f t="shared" si="64"/>
        <v>2686.007737576851</v>
      </c>
      <c r="DD58" s="233">
        <f t="shared" si="64"/>
        <v>2691.5404737357899</v>
      </c>
      <c r="DE58" s="233">
        <f t="shared" si="64"/>
        <v>2697.0846064253406</v>
      </c>
      <c r="DF58" s="233">
        <f t="shared" si="65"/>
        <v>2702.6401591204899</v>
      </c>
      <c r="DG58" s="233">
        <f t="shared" si="65"/>
        <v>2708.2071553445803</v>
      </c>
      <c r="DH58" s="233">
        <f t="shared" si="65"/>
        <v>2713.7856186694066</v>
      </c>
      <c r="DI58" s="233">
        <f t="shared" si="65"/>
        <v>2719.3755727153193</v>
      </c>
      <c r="DJ58" s="233">
        <f t="shared" si="65"/>
        <v>2724.9770411513227</v>
      </c>
      <c r="DK58" s="233">
        <f t="shared" si="65"/>
        <v>2730.5900476951751</v>
      </c>
      <c r="DL58" s="233">
        <f t="shared" si="65"/>
        <v>2736.2146161134892</v>
      </c>
      <c r="DM58" s="233">
        <f t="shared" si="65"/>
        <v>2741.8507702218335</v>
      </c>
      <c r="DN58" s="233">
        <f t="shared" si="65"/>
        <v>2747.4985338848328</v>
      </c>
      <c r="DO58" s="233">
        <f t="shared" si="65"/>
        <v>2753.1579310162683</v>
      </c>
      <c r="DP58" s="233">
        <f t="shared" si="66"/>
        <v>2758.8289855791809</v>
      </c>
      <c r="DQ58" s="233">
        <f t="shared" si="66"/>
        <v>2764.51172158597</v>
      </c>
      <c r="DR58" s="233">
        <f t="shared" si="66"/>
        <v>2770.2061630984986</v>
      </c>
      <c r="DS58" s="233">
        <f t="shared" si="66"/>
        <v>2775.9123342281905</v>
      </c>
      <c r="DT58" s="233">
        <f t="shared" si="66"/>
        <v>2781.6302591361377</v>
      </c>
      <c r="DU58" s="233">
        <f t="shared" si="66"/>
        <v>2787.3599620331984</v>
      </c>
      <c r="DV58" s="233">
        <f t="shared" si="66"/>
        <v>2793.1014671801022</v>
      </c>
      <c r="DW58" s="233">
        <f t="shared" si="66"/>
        <v>2798.8547988875507</v>
      </c>
      <c r="DX58" s="233">
        <f t="shared" si="66"/>
        <v>2804.6199815163222</v>
      </c>
      <c r="DY58" s="233">
        <f t="shared" si="66"/>
        <v>2810.3970394773755</v>
      </c>
      <c r="DZ58" s="233">
        <f t="shared" si="67"/>
        <v>2816.1859972319498</v>
      </c>
      <c r="EA58" s="233">
        <f t="shared" si="67"/>
        <v>2821.9868792916714</v>
      </c>
      <c r="EB58" s="233">
        <f t="shared" si="67"/>
        <v>2827.7997102186569</v>
      </c>
      <c r="EC58" s="233">
        <f t="shared" si="67"/>
        <v>2833.624514625616</v>
      </c>
      <c r="ED58" s="233">
        <f t="shared" si="67"/>
        <v>2839.4613171759574</v>
      </c>
      <c r="EE58" s="233">
        <f t="shared" si="67"/>
        <v>2845.3101425838918</v>
      </c>
      <c r="EF58" s="233">
        <f t="shared" si="67"/>
        <v>2851.1710156145377</v>
      </c>
      <c r="EG58" s="233">
        <f t="shared" si="67"/>
        <v>2857.0439610840253</v>
      </c>
      <c r="EH58" s="233">
        <f t="shared" si="67"/>
        <v>2862.9290038596014</v>
      </c>
      <c r="EI58" s="233">
        <f t="shared" si="67"/>
        <v>2868.8261688597363</v>
      </c>
      <c r="EJ58" s="233">
        <f t="shared" si="67"/>
        <v>2874.7354810542274</v>
      </c>
      <c r="EK58" s="233">
        <f t="shared" si="67"/>
        <v>2880.6569654643067</v>
      </c>
    </row>
    <row r="59" spans="2:141" x14ac:dyDescent="0.45">
      <c r="B59" s="230">
        <f>Assumptions!B96</f>
        <v>51</v>
      </c>
      <c r="C59" s="230" t="str">
        <f>Assumptions!C96</f>
        <v>Fair Market</v>
      </c>
      <c r="D59" s="439">
        <f>Assumptions!D96</f>
        <v>1</v>
      </c>
      <c r="E59" s="22">
        <f>Assumptions!G96</f>
        <v>18</v>
      </c>
      <c r="F59" s="22">
        <f>IF(D59=1,E59+SUM(Assumptions!$G$142:$G$143),'Rent Roll Model'!E59)</f>
        <v>22</v>
      </c>
      <c r="G59" s="233">
        <f>Assumptions!I96</f>
        <v>1481.9</v>
      </c>
      <c r="H59" s="233">
        <f>Assumptions!J96</f>
        <v>2200</v>
      </c>
      <c r="J59" s="233">
        <f t="shared" ref="J59:S68" si="68">IFERROR(IF($D59=0,$G59,IF(J$8&lt;$E59,$G59,IF(J$8&gt;=$F59,$H59,0)))*INDEX(J$3:J$5,MATCH($C59,$B$3:$B$5,0)),0)</f>
        <v>1481.9</v>
      </c>
      <c r="K59" s="233">
        <f t="shared" si="68"/>
        <v>1484.9524713682802</v>
      </c>
      <c r="L59" s="233">
        <f t="shared" si="68"/>
        <v>1488.011230327797</v>
      </c>
      <c r="M59" s="233">
        <f t="shared" si="68"/>
        <v>1491.0762898299595</v>
      </c>
      <c r="N59" s="233">
        <f t="shared" si="68"/>
        <v>1494.1476628528537</v>
      </c>
      <c r="O59" s="233">
        <f t="shared" si="68"/>
        <v>1497.2253624012988</v>
      </c>
      <c r="P59" s="233">
        <f t="shared" si="68"/>
        <v>1500.3094015069014</v>
      </c>
      <c r="Q59" s="233">
        <f t="shared" si="68"/>
        <v>1503.3997932281113</v>
      </c>
      <c r="R59" s="233">
        <f t="shared" si="68"/>
        <v>1506.4965506502767</v>
      </c>
      <c r="S59" s="233">
        <f t="shared" si="68"/>
        <v>1509.5996868856994</v>
      </c>
      <c r="T59" s="233">
        <f t="shared" ref="T59:AC68" si="69">IFERROR(IF($D59=0,$G59,IF(T$8&lt;$E59,$G59,IF(T$8&gt;=$F59,$H59,0)))*INDEX(T$3:T$5,MATCH($C59,$B$3:$B$5,0)),0)</f>
        <v>1512.7092150736896</v>
      </c>
      <c r="U59" s="233">
        <f t="shared" si="69"/>
        <v>1515.8251483806239</v>
      </c>
      <c r="V59" s="233">
        <f t="shared" si="69"/>
        <v>1518.9474999999979</v>
      </c>
      <c r="W59" s="233">
        <f t="shared" si="69"/>
        <v>1522.0762831524851</v>
      </c>
      <c r="X59" s="233">
        <f t="shared" si="69"/>
        <v>1525.21151108599</v>
      </c>
      <c r="Y59" s="233">
        <f t="shared" si="69"/>
        <v>1528.3531970757067</v>
      </c>
      <c r="Z59" s="233">
        <f t="shared" si="69"/>
        <v>1531.5013544241733</v>
      </c>
      <c r="AA59" s="233">
        <f t="shared" si="69"/>
        <v>0</v>
      </c>
      <c r="AB59" s="233">
        <f t="shared" si="69"/>
        <v>0</v>
      </c>
      <c r="AC59" s="233">
        <f t="shared" si="69"/>
        <v>0</v>
      </c>
      <c r="AD59" s="233">
        <f t="shared" ref="AD59:AM68" si="70">IFERROR(IF($D59=0,$G59,IF(AD$8&lt;$E59,$G59,IF(AD$8&gt;=$F59,$H59,0)))*INDEX(AD$3:AD$5,MATCH($C59,$B$3:$B$5,0)),0)</f>
        <v>0</v>
      </c>
      <c r="AE59" s="233">
        <f t="shared" si="70"/>
        <v>2297.1504783907467</v>
      </c>
      <c r="AF59" s="233">
        <f t="shared" si="70"/>
        <v>2301.8822322634223</v>
      </c>
      <c r="AG59" s="233">
        <f t="shared" si="70"/>
        <v>2306.6237327743456</v>
      </c>
      <c r="AH59" s="233">
        <f t="shared" si="70"/>
        <v>2311.3749999999941</v>
      </c>
      <c r="AI59" s="233">
        <f t="shared" si="70"/>
        <v>2316.1360540582018</v>
      </c>
      <c r="AJ59" s="233">
        <f t="shared" si="70"/>
        <v>2320.9069151082408</v>
      </c>
      <c r="AK59" s="233">
        <f t="shared" si="70"/>
        <v>2325.6876033509097</v>
      </c>
      <c r="AL59" s="233">
        <f t="shared" si="70"/>
        <v>2330.4781390286153</v>
      </c>
      <c r="AM59" s="233">
        <f t="shared" si="70"/>
        <v>2335.2785424254621</v>
      </c>
      <c r="AN59" s="233">
        <f t="shared" ref="AN59:AW68" si="71">IFERROR(IF($D59=0,$G59,IF(AN$8&lt;$E59,$G59,IF(AN$8&gt;=$F59,$H59,0)))*INDEX(AN$3:AN$5,MATCH($C59,$B$3:$B$5,0)),0)</f>
        <v>2340.0888338673353</v>
      </c>
      <c r="AO59" s="233">
        <f t="shared" si="71"/>
        <v>2344.9090337219891</v>
      </c>
      <c r="AP59" s="233">
        <f t="shared" si="71"/>
        <v>2349.7391623991321</v>
      </c>
      <c r="AQ59" s="233">
        <f t="shared" si="71"/>
        <v>2354.5792403505111</v>
      </c>
      <c r="AR59" s="233">
        <f t="shared" si="71"/>
        <v>2359.4292880700041</v>
      </c>
      <c r="AS59" s="233">
        <f t="shared" si="71"/>
        <v>2364.2893260936999</v>
      </c>
      <c r="AT59" s="233">
        <f t="shared" si="71"/>
        <v>2369.1593749999902</v>
      </c>
      <c r="AU59" s="233">
        <f t="shared" si="71"/>
        <v>2374.0394554096529</v>
      </c>
      <c r="AV59" s="233">
        <f t="shared" si="71"/>
        <v>2378.9295879859433</v>
      </c>
      <c r="AW59" s="233">
        <f t="shared" si="71"/>
        <v>2383.8297934346788</v>
      </c>
      <c r="AX59" s="233">
        <f t="shared" ref="AX59:BG68" si="72">IFERROR(IF($D59=0,$G59,IF(AX$8&lt;$E59,$G59,IF(AX$8&gt;=$F59,$H59,0)))*INDEX(AX$3:AX$5,MATCH($C59,$B$3:$B$5,0)),0)</f>
        <v>2388.7400925043271</v>
      </c>
      <c r="AY59" s="233">
        <f t="shared" si="72"/>
        <v>2393.6605059860949</v>
      </c>
      <c r="AZ59" s="233">
        <f t="shared" si="72"/>
        <v>2398.5910547140156</v>
      </c>
      <c r="BA59" s="233">
        <f t="shared" si="72"/>
        <v>2403.5317595650358</v>
      </c>
      <c r="BB59" s="233">
        <f t="shared" si="72"/>
        <v>2408.4826414591071</v>
      </c>
      <c r="BC59" s="233">
        <f t="shared" si="72"/>
        <v>2413.4437213592714</v>
      </c>
      <c r="BD59" s="233">
        <f t="shared" si="72"/>
        <v>2418.4150202717515</v>
      </c>
      <c r="BE59" s="233">
        <f t="shared" si="72"/>
        <v>2423.3965592460399</v>
      </c>
      <c r="BF59" s="233">
        <f t="shared" si="72"/>
        <v>2428.388359374987</v>
      </c>
      <c r="BG59" s="233">
        <f t="shared" si="72"/>
        <v>2433.3904417948911</v>
      </c>
      <c r="BH59" s="233">
        <f t="shared" ref="BH59:BQ68" si="73">IFERROR(IF($D59=0,$G59,IF(BH$8&lt;$E59,$G59,IF(BH$8&gt;=$F59,$H59,0)))*INDEX(BH$3:BH$5,MATCH($C59,$B$3:$B$5,0)),0)</f>
        <v>2438.4028276855893</v>
      </c>
      <c r="BI59" s="233">
        <f t="shared" si="73"/>
        <v>2443.4255382705433</v>
      </c>
      <c r="BJ59" s="233">
        <f t="shared" si="73"/>
        <v>2448.4585948169329</v>
      </c>
      <c r="BK59" s="233">
        <f t="shared" si="73"/>
        <v>2453.5020186357451</v>
      </c>
      <c r="BL59" s="233">
        <f t="shared" si="73"/>
        <v>2458.5558310818633</v>
      </c>
      <c r="BM59" s="233">
        <f t="shared" si="73"/>
        <v>2463.6200535541593</v>
      </c>
      <c r="BN59" s="233">
        <f t="shared" si="73"/>
        <v>2468.694707495582</v>
      </c>
      <c r="BO59" s="233">
        <f t="shared" si="73"/>
        <v>2473.7798143932505</v>
      </c>
      <c r="BP59" s="233">
        <f t="shared" si="73"/>
        <v>2478.8753957785425</v>
      </c>
      <c r="BQ59" s="233">
        <f t="shared" si="73"/>
        <v>2483.9814732271884</v>
      </c>
      <c r="BR59" s="233">
        <f t="shared" ref="BR59:CA68" si="74">IFERROR(IF($D59=0,$G59,IF(BR$8&lt;$E59,$G59,IF(BR$8&gt;=$F59,$H59,0)))*INDEX(BR$3:BR$5,MATCH($C59,$B$3:$B$5,0)),0)</f>
        <v>2489.0980683593589</v>
      </c>
      <c r="BS59" s="233">
        <f t="shared" si="74"/>
        <v>2494.2252028397611</v>
      </c>
      <c r="BT59" s="233">
        <f t="shared" si="74"/>
        <v>2499.3628983777267</v>
      </c>
      <c r="BU59" s="233">
        <f t="shared" si="74"/>
        <v>2504.5111767273042</v>
      </c>
      <c r="BV59" s="233">
        <f t="shared" si="74"/>
        <v>2509.6700596873538</v>
      </c>
      <c r="BW59" s="233">
        <f t="shared" si="74"/>
        <v>2514.8395691016362</v>
      </c>
      <c r="BX59" s="233">
        <f t="shared" si="74"/>
        <v>2520.0197268589077</v>
      </c>
      <c r="BY59" s="233">
        <f t="shared" si="74"/>
        <v>2525.2105548930108</v>
      </c>
      <c r="BZ59" s="233">
        <f t="shared" si="74"/>
        <v>2530.4120751829691</v>
      </c>
      <c r="CA59" s="233">
        <f t="shared" si="74"/>
        <v>2535.6243097530787</v>
      </c>
      <c r="CB59" s="233">
        <f t="shared" ref="CB59:CK68" si="75">IFERROR(IF($D59=0,$G59,IF(CB$8&lt;$E59,$G59,IF(CB$8&gt;=$F59,$H59,0)))*INDEX(CB$3:CB$5,MATCH($C59,$B$3:$B$5,0)),0)</f>
        <v>2540.8472806730028</v>
      </c>
      <c r="CC59" s="233">
        <f t="shared" si="75"/>
        <v>2546.0810100578642</v>
      </c>
      <c r="CD59" s="233">
        <f t="shared" si="75"/>
        <v>2551.3255200683393</v>
      </c>
      <c r="CE59" s="233">
        <f t="shared" si="75"/>
        <v>2556.5808329107513</v>
      </c>
      <c r="CF59" s="233">
        <f t="shared" si="75"/>
        <v>2561.8469708371658</v>
      </c>
      <c r="CG59" s="233">
        <f t="shared" si="75"/>
        <v>2567.1239561454831</v>
      </c>
      <c r="CH59" s="233">
        <f t="shared" si="75"/>
        <v>2572.4118111795333</v>
      </c>
      <c r="CI59" s="233">
        <f t="shared" si="75"/>
        <v>2577.7105583291727</v>
      </c>
      <c r="CJ59" s="233">
        <f t="shared" si="75"/>
        <v>2583.0202200303756</v>
      </c>
      <c r="CK59" s="233">
        <f t="shared" si="75"/>
        <v>2588.3408187653313</v>
      </c>
      <c r="CL59" s="233">
        <f t="shared" ref="CL59:CU68" si="76">IFERROR(IF($D59=0,$G59,IF(CL$8&lt;$E59,$G59,IF(CL$8&gt;=$F59,$H59,0)))*INDEX(CL$3:CL$5,MATCH($C59,$B$3:$B$5,0)),0)</f>
        <v>2593.672377062539</v>
      </c>
      <c r="CM59" s="233">
        <f t="shared" si="76"/>
        <v>2599.0149174969015</v>
      </c>
      <c r="CN59" s="233">
        <f t="shared" si="76"/>
        <v>2604.3684626898239</v>
      </c>
      <c r="CO59" s="233">
        <f t="shared" si="76"/>
        <v>2609.7330353093071</v>
      </c>
      <c r="CP59" s="233">
        <f t="shared" si="76"/>
        <v>2615.1086580700439</v>
      </c>
      <c r="CQ59" s="233">
        <f t="shared" si="76"/>
        <v>2620.4953537335164</v>
      </c>
      <c r="CR59" s="233">
        <f t="shared" si="76"/>
        <v>2625.8931451080912</v>
      </c>
      <c r="CS59" s="233">
        <f t="shared" si="76"/>
        <v>2631.302055049116</v>
      </c>
      <c r="CT59" s="233">
        <f t="shared" si="76"/>
        <v>2636.7221064590181</v>
      </c>
      <c r="CU59" s="233">
        <f t="shared" si="76"/>
        <v>2642.1533222873986</v>
      </c>
      <c r="CV59" s="233">
        <f t="shared" ref="CV59:DE68" si="77">IFERROR(IF($D59=0,$G59,IF(CV$8&lt;$E59,$G59,IF(CV$8&gt;=$F59,$H59,0)))*INDEX(CV$3:CV$5,MATCH($C59,$B$3:$B$5,0)),0)</f>
        <v>2647.5957255311318</v>
      </c>
      <c r="CW59" s="233">
        <f t="shared" si="77"/>
        <v>2653.0493392344615</v>
      </c>
      <c r="CX59" s="233">
        <f t="shared" si="77"/>
        <v>2658.5141864890988</v>
      </c>
      <c r="CY59" s="233">
        <f t="shared" si="77"/>
        <v>2663.9902904343207</v>
      </c>
      <c r="CZ59" s="233">
        <f t="shared" si="77"/>
        <v>2669.4776742570662</v>
      </c>
      <c r="DA59" s="233">
        <f t="shared" si="77"/>
        <v>2674.9763611920362</v>
      </c>
      <c r="DB59" s="233">
        <f t="shared" si="77"/>
        <v>2680.4863745217917</v>
      </c>
      <c r="DC59" s="233">
        <f t="shared" si="77"/>
        <v>2686.007737576851</v>
      </c>
      <c r="DD59" s="233">
        <f t="shared" si="77"/>
        <v>2691.5404737357899</v>
      </c>
      <c r="DE59" s="233">
        <f t="shared" si="77"/>
        <v>2697.0846064253406</v>
      </c>
      <c r="DF59" s="233">
        <f t="shared" ref="DF59:DO68" si="78">IFERROR(IF($D59=0,$G59,IF(DF$8&lt;$E59,$G59,IF(DF$8&gt;=$F59,$H59,0)))*INDEX(DF$3:DF$5,MATCH($C59,$B$3:$B$5,0)),0)</f>
        <v>2702.6401591204899</v>
      </c>
      <c r="DG59" s="233">
        <f t="shared" si="78"/>
        <v>2708.2071553445803</v>
      </c>
      <c r="DH59" s="233">
        <f t="shared" si="78"/>
        <v>2713.7856186694066</v>
      </c>
      <c r="DI59" s="233">
        <f t="shared" si="78"/>
        <v>2719.3755727153193</v>
      </c>
      <c r="DJ59" s="233">
        <f t="shared" si="78"/>
        <v>2724.9770411513227</v>
      </c>
      <c r="DK59" s="233">
        <f t="shared" si="78"/>
        <v>2730.5900476951751</v>
      </c>
      <c r="DL59" s="233">
        <f t="shared" si="78"/>
        <v>2736.2146161134892</v>
      </c>
      <c r="DM59" s="233">
        <f t="shared" si="78"/>
        <v>2741.8507702218335</v>
      </c>
      <c r="DN59" s="233">
        <f t="shared" si="78"/>
        <v>2747.4985338848328</v>
      </c>
      <c r="DO59" s="233">
        <f t="shared" si="78"/>
        <v>2753.1579310162683</v>
      </c>
      <c r="DP59" s="233">
        <f t="shared" ref="DP59:DY68" si="79">IFERROR(IF($D59=0,$G59,IF(DP$8&lt;$E59,$G59,IF(DP$8&gt;=$F59,$H59,0)))*INDEX(DP$3:DP$5,MATCH($C59,$B$3:$B$5,0)),0)</f>
        <v>2758.8289855791809</v>
      </c>
      <c r="DQ59" s="233">
        <f t="shared" si="79"/>
        <v>2764.51172158597</v>
      </c>
      <c r="DR59" s="233">
        <f t="shared" si="79"/>
        <v>2770.2061630984986</v>
      </c>
      <c r="DS59" s="233">
        <f t="shared" si="79"/>
        <v>2775.9123342281905</v>
      </c>
      <c r="DT59" s="233">
        <f t="shared" si="79"/>
        <v>2781.6302591361377</v>
      </c>
      <c r="DU59" s="233">
        <f t="shared" si="79"/>
        <v>2787.3599620331984</v>
      </c>
      <c r="DV59" s="233">
        <f t="shared" si="79"/>
        <v>2793.1014671801022</v>
      </c>
      <c r="DW59" s="233">
        <f t="shared" si="79"/>
        <v>2798.8547988875507</v>
      </c>
      <c r="DX59" s="233">
        <f t="shared" si="79"/>
        <v>2804.6199815163222</v>
      </c>
      <c r="DY59" s="233">
        <f t="shared" si="79"/>
        <v>2810.3970394773755</v>
      </c>
      <c r="DZ59" s="233">
        <f t="shared" ref="DZ59:EK68" si="80">IFERROR(IF($D59=0,$G59,IF(DZ$8&lt;$E59,$G59,IF(DZ$8&gt;=$F59,$H59,0)))*INDEX(DZ$3:DZ$5,MATCH($C59,$B$3:$B$5,0)),0)</f>
        <v>2816.1859972319498</v>
      </c>
      <c r="EA59" s="233">
        <f t="shared" si="80"/>
        <v>2821.9868792916714</v>
      </c>
      <c r="EB59" s="233">
        <f t="shared" si="80"/>
        <v>2827.7997102186569</v>
      </c>
      <c r="EC59" s="233">
        <f t="shared" si="80"/>
        <v>2833.624514625616</v>
      </c>
      <c r="ED59" s="233">
        <f t="shared" si="80"/>
        <v>2839.4613171759574</v>
      </c>
      <c r="EE59" s="233">
        <f t="shared" si="80"/>
        <v>2845.3101425838918</v>
      </c>
      <c r="EF59" s="233">
        <f t="shared" si="80"/>
        <v>2851.1710156145377</v>
      </c>
      <c r="EG59" s="233">
        <f t="shared" si="80"/>
        <v>2857.0439610840253</v>
      </c>
      <c r="EH59" s="233">
        <f t="shared" si="80"/>
        <v>2862.9290038596014</v>
      </c>
      <c r="EI59" s="233">
        <f t="shared" si="80"/>
        <v>2868.8261688597363</v>
      </c>
      <c r="EJ59" s="233">
        <f t="shared" si="80"/>
        <v>2874.7354810542274</v>
      </c>
      <c r="EK59" s="233">
        <f t="shared" si="80"/>
        <v>2880.6569654643067</v>
      </c>
    </row>
    <row r="60" spans="2:141" x14ac:dyDescent="0.45">
      <c r="B60" s="230">
        <f>Assumptions!B97</f>
        <v>52</v>
      </c>
      <c r="C60" s="230" t="str">
        <f>Assumptions!C97</f>
        <v>Fair Market</v>
      </c>
      <c r="D60" s="439">
        <f>Assumptions!D97</f>
        <v>1</v>
      </c>
      <c r="E60" s="22">
        <f>Assumptions!G97</f>
        <v>19</v>
      </c>
      <c r="F60" s="22">
        <f>IF(D60=1,E60+SUM(Assumptions!$G$142:$G$143),'Rent Roll Model'!E60)</f>
        <v>23</v>
      </c>
      <c r="G60" s="233">
        <f>Assumptions!I97</f>
        <v>1680</v>
      </c>
      <c r="H60" s="233">
        <f>Assumptions!J97</f>
        <v>2200</v>
      </c>
      <c r="J60" s="233">
        <f t="shared" si="68"/>
        <v>1680</v>
      </c>
      <c r="K60" s="233">
        <f t="shared" si="68"/>
        <v>1683.4605249333358</v>
      </c>
      <c r="L60" s="233">
        <f t="shared" si="68"/>
        <v>1686.9281779814419</v>
      </c>
      <c r="M60" s="233">
        <f t="shared" si="68"/>
        <v>1690.4029738270679</v>
      </c>
      <c r="N60" s="233">
        <f t="shared" si="68"/>
        <v>1693.8849271832069</v>
      </c>
      <c r="O60" s="233">
        <f t="shared" si="68"/>
        <v>1697.3740527931589</v>
      </c>
      <c r="P60" s="233">
        <f t="shared" si="68"/>
        <v>1700.8703654305918</v>
      </c>
      <c r="Q60" s="233">
        <f t="shared" si="68"/>
        <v>1704.3738798996064</v>
      </c>
      <c r="R60" s="233">
        <f t="shared" si="68"/>
        <v>1707.8846110347965</v>
      </c>
      <c r="S60" s="233">
        <f t="shared" si="68"/>
        <v>1711.4025737013123</v>
      </c>
      <c r="T60" s="233">
        <f t="shared" si="69"/>
        <v>1714.9277827949245</v>
      </c>
      <c r="U60" s="233">
        <f t="shared" si="69"/>
        <v>1718.4602532420863</v>
      </c>
      <c r="V60" s="233">
        <f t="shared" si="69"/>
        <v>1721.9999999999977</v>
      </c>
      <c r="W60" s="233">
        <f t="shared" si="69"/>
        <v>1725.5470380566669</v>
      </c>
      <c r="X60" s="233">
        <f t="shared" si="69"/>
        <v>1729.1013824309759</v>
      </c>
      <c r="Y60" s="233">
        <f t="shared" si="69"/>
        <v>1732.6630481727425</v>
      </c>
      <c r="Z60" s="233">
        <f t="shared" si="69"/>
        <v>1736.232050362785</v>
      </c>
      <c r="AA60" s="233">
        <f t="shared" si="69"/>
        <v>1739.8084041129857</v>
      </c>
      <c r="AB60" s="233">
        <f t="shared" si="69"/>
        <v>0</v>
      </c>
      <c r="AC60" s="233">
        <f t="shared" si="69"/>
        <v>0</v>
      </c>
      <c r="AD60" s="233">
        <f t="shared" si="70"/>
        <v>0</v>
      </c>
      <c r="AE60" s="233">
        <f t="shared" si="70"/>
        <v>0</v>
      </c>
      <c r="AF60" s="233">
        <f t="shared" si="70"/>
        <v>2301.8822322634223</v>
      </c>
      <c r="AG60" s="233">
        <f t="shared" si="70"/>
        <v>2306.6237327743456</v>
      </c>
      <c r="AH60" s="233">
        <f t="shared" si="70"/>
        <v>2311.3749999999941</v>
      </c>
      <c r="AI60" s="233">
        <f t="shared" si="70"/>
        <v>2316.1360540582018</v>
      </c>
      <c r="AJ60" s="233">
        <f t="shared" si="70"/>
        <v>2320.9069151082408</v>
      </c>
      <c r="AK60" s="233">
        <f t="shared" si="70"/>
        <v>2325.6876033509097</v>
      </c>
      <c r="AL60" s="233">
        <f t="shared" si="70"/>
        <v>2330.4781390286153</v>
      </c>
      <c r="AM60" s="233">
        <f t="shared" si="70"/>
        <v>2335.2785424254621</v>
      </c>
      <c r="AN60" s="233">
        <f t="shared" si="71"/>
        <v>2340.0888338673353</v>
      </c>
      <c r="AO60" s="233">
        <f t="shared" si="71"/>
        <v>2344.9090337219891</v>
      </c>
      <c r="AP60" s="233">
        <f t="shared" si="71"/>
        <v>2349.7391623991321</v>
      </c>
      <c r="AQ60" s="233">
        <f t="shared" si="71"/>
        <v>2354.5792403505111</v>
      </c>
      <c r="AR60" s="233">
        <f t="shared" si="71"/>
        <v>2359.4292880700041</v>
      </c>
      <c r="AS60" s="233">
        <f t="shared" si="71"/>
        <v>2364.2893260936999</v>
      </c>
      <c r="AT60" s="233">
        <f t="shared" si="71"/>
        <v>2369.1593749999902</v>
      </c>
      <c r="AU60" s="233">
        <f t="shared" si="71"/>
        <v>2374.0394554096529</v>
      </c>
      <c r="AV60" s="233">
        <f t="shared" si="71"/>
        <v>2378.9295879859433</v>
      </c>
      <c r="AW60" s="233">
        <f t="shared" si="71"/>
        <v>2383.8297934346788</v>
      </c>
      <c r="AX60" s="233">
        <f t="shared" si="72"/>
        <v>2388.7400925043271</v>
      </c>
      <c r="AY60" s="233">
        <f t="shared" si="72"/>
        <v>2393.6605059860949</v>
      </c>
      <c r="AZ60" s="233">
        <f t="shared" si="72"/>
        <v>2398.5910547140156</v>
      </c>
      <c r="BA60" s="233">
        <f t="shared" si="72"/>
        <v>2403.5317595650358</v>
      </c>
      <c r="BB60" s="233">
        <f t="shared" si="72"/>
        <v>2408.4826414591071</v>
      </c>
      <c r="BC60" s="233">
        <f t="shared" si="72"/>
        <v>2413.4437213592714</v>
      </c>
      <c r="BD60" s="233">
        <f t="shared" si="72"/>
        <v>2418.4150202717515</v>
      </c>
      <c r="BE60" s="233">
        <f t="shared" si="72"/>
        <v>2423.3965592460399</v>
      </c>
      <c r="BF60" s="233">
        <f t="shared" si="72"/>
        <v>2428.388359374987</v>
      </c>
      <c r="BG60" s="233">
        <f t="shared" si="72"/>
        <v>2433.3904417948911</v>
      </c>
      <c r="BH60" s="233">
        <f t="shared" si="73"/>
        <v>2438.4028276855893</v>
      </c>
      <c r="BI60" s="233">
        <f t="shared" si="73"/>
        <v>2443.4255382705433</v>
      </c>
      <c r="BJ60" s="233">
        <f t="shared" si="73"/>
        <v>2448.4585948169329</v>
      </c>
      <c r="BK60" s="233">
        <f t="shared" si="73"/>
        <v>2453.5020186357451</v>
      </c>
      <c r="BL60" s="233">
        <f t="shared" si="73"/>
        <v>2458.5558310818633</v>
      </c>
      <c r="BM60" s="233">
        <f t="shared" si="73"/>
        <v>2463.6200535541593</v>
      </c>
      <c r="BN60" s="233">
        <f t="shared" si="73"/>
        <v>2468.694707495582</v>
      </c>
      <c r="BO60" s="233">
        <f t="shared" si="73"/>
        <v>2473.7798143932505</v>
      </c>
      <c r="BP60" s="233">
        <f t="shared" si="73"/>
        <v>2478.8753957785425</v>
      </c>
      <c r="BQ60" s="233">
        <f t="shared" si="73"/>
        <v>2483.9814732271884</v>
      </c>
      <c r="BR60" s="233">
        <f t="shared" si="74"/>
        <v>2489.0980683593589</v>
      </c>
      <c r="BS60" s="233">
        <f t="shared" si="74"/>
        <v>2494.2252028397611</v>
      </c>
      <c r="BT60" s="233">
        <f t="shared" si="74"/>
        <v>2499.3628983777267</v>
      </c>
      <c r="BU60" s="233">
        <f t="shared" si="74"/>
        <v>2504.5111767273042</v>
      </c>
      <c r="BV60" s="233">
        <f t="shared" si="74"/>
        <v>2509.6700596873538</v>
      </c>
      <c r="BW60" s="233">
        <f t="shared" si="74"/>
        <v>2514.8395691016362</v>
      </c>
      <c r="BX60" s="233">
        <f t="shared" si="74"/>
        <v>2520.0197268589077</v>
      </c>
      <c r="BY60" s="233">
        <f t="shared" si="74"/>
        <v>2525.2105548930108</v>
      </c>
      <c r="BZ60" s="233">
        <f t="shared" si="74"/>
        <v>2530.4120751829691</v>
      </c>
      <c r="CA60" s="233">
        <f t="shared" si="74"/>
        <v>2535.6243097530787</v>
      </c>
      <c r="CB60" s="233">
        <f t="shared" si="75"/>
        <v>2540.8472806730028</v>
      </c>
      <c r="CC60" s="233">
        <f t="shared" si="75"/>
        <v>2546.0810100578642</v>
      </c>
      <c r="CD60" s="233">
        <f t="shared" si="75"/>
        <v>2551.3255200683393</v>
      </c>
      <c r="CE60" s="233">
        <f t="shared" si="75"/>
        <v>2556.5808329107513</v>
      </c>
      <c r="CF60" s="233">
        <f t="shared" si="75"/>
        <v>2561.8469708371658</v>
      </c>
      <c r="CG60" s="233">
        <f t="shared" si="75"/>
        <v>2567.1239561454831</v>
      </c>
      <c r="CH60" s="233">
        <f t="shared" si="75"/>
        <v>2572.4118111795333</v>
      </c>
      <c r="CI60" s="233">
        <f t="shared" si="75"/>
        <v>2577.7105583291727</v>
      </c>
      <c r="CJ60" s="233">
        <f t="shared" si="75"/>
        <v>2583.0202200303756</v>
      </c>
      <c r="CK60" s="233">
        <f t="shared" si="75"/>
        <v>2588.3408187653313</v>
      </c>
      <c r="CL60" s="233">
        <f t="shared" si="76"/>
        <v>2593.672377062539</v>
      </c>
      <c r="CM60" s="233">
        <f t="shared" si="76"/>
        <v>2599.0149174969015</v>
      </c>
      <c r="CN60" s="233">
        <f t="shared" si="76"/>
        <v>2604.3684626898239</v>
      </c>
      <c r="CO60" s="233">
        <f t="shared" si="76"/>
        <v>2609.7330353093071</v>
      </c>
      <c r="CP60" s="233">
        <f t="shared" si="76"/>
        <v>2615.1086580700439</v>
      </c>
      <c r="CQ60" s="233">
        <f t="shared" si="76"/>
        <v>2620.4953537335164</v>
      </c>
      <c r="CR60" s="233">
        <f t="shared" si="76"/>
        <v>2625.8931451080912</v>
      </c>
      <c r="CS60" s="233">
        <f t="shared" si="76"/>
        <v>2631.302055049116</v>
      </c>
      <c r="CT60" s="233">
        <f t="shared" si="76"/>
        <v>2636.7221064590181</v>
      </c>
      <c r="CU60" s="233">
        <f t="shared" si="76"/>
        <v>2642.1533222873986</v>
      </c>
      <c r="CV60" s="233">
        <f t="shared" si="77"/>
        <v>2647.5957255311318</v>
      </c>
      <c r="CW60" s="233">
        <f t="shared" si="77"/>
        <v>2653.0493392344615</v>
      </c>
      <c r="CX60" s="233">
        <f t="shared" si="77"/>
        <v>2658.5141864890988</v>
      </c>
      <c r="CY60" s="233">
        <f t="shared" si="77"/>
        <v>2663.9902904343207</v>
      </c>
      <c r="CZ60" s="233">
        <f t="shared" si="77"/>
        <v>2669.4776742570662</v>
      </c>
      <c r="DA60" s="233">
        <f t="shared" si="77"/>
        <v>2674.9763611920362</v>
      </c>
      <c r="DB60" s="233">
        <f t="shared" si="77"/>
        <v>2680.4863745217917</v>
      </c>
      <c r="DC60" s="233">
        <f t="shared" si="77"/>
        <v>2686.007737576851</v>
      </c>
      <c r="DD60" s="233">
        <f t="shared" si="77"/>
        <v>2691.5404737357899</v>
      </c>
      <c r="DE60" s="233">
        <f t="shared" si="77"/>
        <v>2697.0846064253406</v>
      </c>
      <c r="DF60" s="233">
        <f t="shared" si="78"/>
        <v>2702.6401591204899</v>
      </c>
      <c r="DG60" s="233">
        <f t="shared" si="78"/>
        <v>2708.2071553445803</v>
      </c>
      <c r="DH60" s="233">
        <f t="shared" si="78"/>
        <v>2713.7856186694066</v>
      </c>
      <c r="DI60" s="233">
        <f t="shared" si="78"/>
        <v>2719.3755727153193</v>
      </c>
      <c r="DJ60" s="233">
        <f t="shared" si="78"/>
        <v>2724.9770411513227</v>
      </c>
      <c r="DK60" s="233">
        <f t="shared" si="78"/>
        <v>2730.5900476951751</v>
      </c>
      <c r="DL60" s="233">
        <f t="shared" si="78"/>
        <v>2736.2146161134892</v>
      </c>
      <c r="DM60" s="233">
        <f t="shared" si="78"/>
        <v>2741.8507702218335</v>
      </c>
      <c r="DN60" s="233">
        <f t="shared" si="78"/>
        <v>2747.4985338848328</v>
      </c>
      <c r="DO60" s="233">
        <f t="shared" si="78"/>
        <v>2753.1579310162683</v>
      </c>
      <c r="DP60" s="233">
        <f t="shared" si="79"/>
        <v>2758.8289855791809</v>
      </c>
      <c r="DQ60" s="233">
        <f t="shared" si="79"/>
        <v>2764.51172158597</v>
      </c>
      <c r="DR60" s="233">
        <f t="shared" si="79"/>
        <v>2770.2061630984986</v>
      </c>
      <c r="DS60" s="233">
        <f t="shared" si="79"/>
        <v>2775.9123342281905</v>
      </c>
      <c r="DT60" s="233">
        <f t="shared" si="79"/>
        <v>2781.6302591361377</v>
      </c>
      <c r="DU60" s="233">
        <f t="shared" si="79"/>
        <v>2787.3599620331984</v>
      </c>
      <c r="DV60" s="233">
        <f t="shared" si="79"/>
        <v>2793.1014671801022</v>
      </c>
      <c r="DW60" s="233">
        <f t="shared" si="79"/>
        <v>2798.8547988875507</v>
      </c>
      <c r="DX60" s="233">
        <f t="shared" si="79"/>
        <v>2804.6199815163222</v>
      </c>
      <c r="DY60" s="233">
        <f t="shared" si="79"/>
        <v>2810.3970394773755</v>
      </c>
      <c r="DZ60" s="233">
        <f t="shared" si="80"/>
        <v>2816.1859972319498</v>
      </c>
      <c r="EA60" s="233">
        <f t="shared" si="80"/>
        <v>2821.9868792916714</v>
      </c>
      <c r="EB60" s="233">
        <f t="shared" si="80"/>
        <v>2827.7997102186569</v>
      </c>
      <c r="EC60" s="233">
        <f t="shared" si="80"/>
        <v>2833.624514625616</v>
      </c>
      <c r="ED60" s="233">
        <f t="shared" si="80"/>
        <v>2839.4613171759574</v>
      </c>
      <c r="EE60" s="233">
        <f t="shared" si="80"/>
        <v>2845.3101425838918</v>
      </c>
      <c r="EF60" s="233">
        <f t="shared" si="80"/>
        <v>2851.1710156145377</v>
      </c>
      <c r="EG60" s="233">
        <f t="shared" si="80"/>
        <v>2857.0439610840253</v>
      </c>
      <c r="EH60" s="233">
        <f t="shared" si="80"/>
        <v>2862.9290038596014</v>
      </c>
      <c r="EI60" s="233">
        <f t="shared" si="80"/>
        <v>2868.8261688597363</v>
      </c>
      <c r="EJ60" s="233">
        <f t="shared" si="80"/>
        <v>2874.7354810542274</v>
      </c>
      <c r="EK60" s="233">
        <f t="shared" si="80"/>
        <v>2880.6569654643067</v>
      </c>
    </row>
    <row r="61" spans="2:141" x14ac:dyDescent="0.45">
      <c r="B61" s="230">
        <f>Assumptions!B98</f>
        <v>53</v>
      </c>
      <c r="C61" s="230" t="str">
        <f>Assumptions!C98</f>
        <v>Fair Market</v>
      </c>
      <c r="D61" s="439">
        <f>Assumptions!D98</f>
        <v>1</v>
      </c>
      <c r="E61" s="22">
        <f>Assumptions!G98</f>
        <v>19</v>
      </c>
      <c r="F61" s="22">
        <f>IF(D61=1,E61+SUM(Assumptions!$G$142:$G$143),'Rent Roll Model'!E61)</f>
        <v>23</v>
      </c>
      <c r="G61" s="233">
        <f>Assumptions!I98</f>
        <v>1439.57</v>
      </c>
      <c r="H61" s="233">
        <f>Assumptions!J98</f>
        <v>2200</v>
      </c>
      <c r="J61" s="233">
        <f t="shared" si="68"/>
        <v>1439.57</v>
      </c>
      <c r="K61" s="233">
        <f t="shared" si="68"/>
        <v>1442.5352784989775</v>
      </c>
      <c r="L61" s="233">
        <f t="shared" si="68"/>
        <v>1445.5066649861574</v>
      </c>
      <c r="M61" s="233">
        <f t="shared" si="68"/>
        <v>1448.4841720429952</v>
      </c>
      <c r="N61" s="233">
        <f t="shared" si="68"/>
        <v>1451.4678122768626</v>
      </c>
      <c r="O61" s="233">
        <f t="shared" si="68"/>
        <v>1454.4575983210996</v>
      </c>
      <c r="P61" s="233">
        <f t="shared" si="68"/>
        <v>1457.4535428350698</v>
      </c>
      <c r="Q61" s="233">
        <f t="shared" si="68"/>
        <v>1460.4556585042121</v>
      </c>
      <c r="R61" s="233">
        <f t="shared" si="68"/>
        <v>1463.4639580400963</v>
      </c>
      <c r="S61" s="233">
        <f t="shared" si="68"/>
        <v>1466.478454180475</v>
      </c>
      <c r="T61" s="233">
        <f t="shared" si="69"/>
        <v>1469.499159689339</v>
      </c>
      <c r="U61" s="233">
        <f t="shared" si="69"/>
        <v>1472.5260873569703</v>
      </c>
      <c r="V61" s="233">
        <f t="shared" si="69"/>
        <v>1475.559249999998</v>
      </c>
      <c r="W61" s="233">
        <f t="shared" si="69"/>
        <v>1478.59866046145</v>
      </c>
      <c r="X61" s="233">
        <f t="shared" si="69"/>
        <v>1481.6443316108093</v>
      </c>
      <c r="Y61" s="233">
        <f t="shared" si="69"/>
        <v>1484.6962763440683</v>
      </c>
      <c r="Z61" s="233">
        <f t="shared" si="69"/>
        <v>1487.7545075837822</v>
      </c>
      <c r="AA61" s="233">
        <f t="shared" si="69"/>
        <v>1490.8190382791254</v>
      </c>
      <c r="AB61" s="233">
        <f t="shared" si="69"/>
        <v>0</v>
      </c>
      <c r="AC61" s="233">
        <f t="shared" si="69"/>
        <v>0</v>
      </c>
      <c r="AD61" s="233">
        <f t="shared" si="70"/>
        <v>0</v>
      </c>
      <c r="AE61" s="233">
        <f t="shared" si="70"/>
        <v>0</v>
      </c>
      <c r="AF61" s="233">
        <f t="shared" si="70"/>
        <v>2301.8822322634223</v>
      </c>
      <c r="AG61" s="233">
        <f t="shared" si="70"/>
        <v>2306.6237327743456</v>
      </c>
      <c r="AH61" s="233">
        <f t="shared" si="70"/>
        <v>2311.3749999999941</v>
      </c>
      <c r="AI61" s="233">
        <f t="shared" si="70"/>
        <v>2316.1360540582018</v>
      </c>
      <c r="AJ61" s="233">
        <f t="shared" si="70"/>
        <v>2320.9069151082408</v>
      </c>
      <c r="AK61" s="233">
        <f t="shared" si="70"/>
        <v>2325.6876033509097</v>
      </c>
      <c r="AL61" s="233">
        <f t="shared" si="70"/>
        <v>2330.4781390286153</v>
      </c>
      <c r="AM61" s="233">
        <f t="shared" si="70"/>
        <v>2335.2785424254621</v>
      </c>
      <c r="AN61" s="233">
        <f t="shared" si="71"/>
        <v>2340.0888338673353</v>
      </c>
      <c r="AO61" s="233">
        <f t="shared" si="71"/>
        <v>2344.9090337219891</v>
      </c>
      <c r="AP61" s="233">
        <f t="shared" si="71"/>
        <v>2349.7391623991321</v>
      </c>
      <c r="AQ61" s="233">
        <f t="shared" si="71"/>
        <v>2354.5792403505111</v>
      </c>
      <c r="AR61" s="233">
        <f t="shared" si="71"/>
        <v>2359.4292880700041</v>
      </c>
      <c r="AS61" s="233">
        <f t="shared" si="71"/>
        <v>2364.2893260936999</v>
      </c>
      <c r="AT61" s="233">
        <f t="shared" si="71"/>
        <v>2369.1593749999902</v>
      </c>
      <c r="AU61" s="233">
        <f t="shared" si="71"/>
        <v>2374.0394554096529</v>
      </c>
      <c r="AV61" s="233">
        <f t="shared" si="71"/>
        <v>2378.9295879859433</v>
      </c>
      <c r="AW61" s="233">
        <f t="shared" si="71"/>
        <v>2383.8297934346788</v>
      </c>
      <c r="AX61" s="233">
        <f t="shared" si="72"/>
        <v>2388.7400925043271</v>
      </c>
      <c r="AY61" s="233">
        <f t="shared" si="72"/>
        <v>2393.6605059860949</v>
      </c>
      <c r="AZ61" s="233">
        <f t="shared" si="72"/>
        <v>2398.5910547140156</v>
      </c>
      <c r="BA61" s="233">
        <f t="shared" si="72"/>
        <v>2403.5317595650358</v>
      </c>
      <c r="BB61" s="233">
        <f t="shared" si="72"/>
        <v>2408.4826414591071</v>
      </c>
      <c r="BC61" s="233">
        <f t="shared" si="72"/>
        <v>2413.4437213592714</v>
      </c>
      <c r="BD61" s="233">
        <f t="shared" si="72"/>
        <v>2418.4150202717515</v>
      </c>
      <c r="BE61" s="233">
        <f t="shared" si="72"/>
        <v>2423.3965592460399</v>
      </c>
      <c r="BF61" s="233">
        <f t="shared" si="72"/>
        <v>2428.388359374987</v>
      </c>
      <c r="BG61" s="233">
        <f t="shared" si="72"/>
        <v>2433.3904417948911</v>
      </c>
      <c r="BH61" s="233">
        <f t="shared" si="73"/>
        <v>2438.4028276855893</v>
      </c>
      <c r="BI61" s="233">
        <f t="shared" si="73"/>
        <v>2443.4255382705433</v>
      </c>
      <c r="BJ61" s="233">
        <f t="shared" si="73"/>
        <v>2448.4585948169329</v>
      </c>
      <c r="BK61" s="233">
        <f t="shared" si="73"/>
        <v>2453.5020186357451</v>
      </c>
      <c r="BL61" s="233">
        <f t="shared" si="73"/>
        <v>2458.5558310818633</v>
      </c>
      <c r="BM61" s="233">
        <f t="shared" si="73"/>
        <v>2463.6200535541593</v>
      </c>
      <c r="BN61" s="233">
        <f t="shared" si="73"/>
        <v>2468.694707495582</v>
      </c>
      <c r="BO61" s="233">
        <f t="shared" si="73"/>
        <v>2473.7798143932505</v>
      </c>
      <c r="BP61" s="233">
        <f t="shared" si="73"/>
        <v>2478.8753957785425</v>
      </c>
      <c r="BQ61" s="233">
        <f t="shared" si="73"/>
        <v>2483.9814732271884</v>
      </c>
      <c r="BR61" s="233">
        <f t="shared" si="74"/>
        <v>2489.0980683593589</v>
      </c>
      <c r="BS61" s="233">
        <f t="shared" si="74"/>
        <v>2494.2252028397611</v>
      </c>
      <c r="BT61" s="233">
        <f t="shared" si="74"/>
        <v>2499.3628983777267</v>
      </c>
      <c r="BU61" s="233">
        <f t="shared" si="74"/>
        <v>2504.5111767273042</v>
      </c>
      <c r="BV61" s="233">
        <f t="shared" si="74"/>
        <v>2509.6700596873538</v>
      </c>
      <c r="BW61" s="233">
        <f t="shared" si="74"/>
        <v>2514.8395691016362</v>
      </c>
      <c r="BX61" s="233">
        <f t="shared" si="74"/>
        <v>2520.0197268589077</v>
      </c>
      <c r="BY61" s="233">
        <f t="shared" si="74"/>
        <v>2525.2105548930108</v>
      </c>
      <c r="BZ61" s="233">
        <f t="shared" si="74"/>
        <v>2530.4120751829691</v>
      </c>
      <c r="CA61" s="233">
        <f t="shared" si="74"/>
        <v>2535.6243097530787</v>
      </c>
      <c r="CB61" s="233">
        <f t="shared" si="75"/>
        <v>2540.8472806730028</v>
      </c>
      <c r="CC61" s="233">
        <f t="shared" si="75"/>
        <v>2546.0810100578642</v>
      </c>
      <c r="CD61" s="233">
        <f t="shared" si="75"/>
        <v>2551.3255200683393</v>
      </c>
      <c r="CE61" s="233">
        <f t="shared" si="75"/>
        <v>2556.5808329107513</v>
      </c>
      <c r="CF61" s="233">
        <f t="shared" si="75"/>
        <v>2561.8469708371658</v>
      </c>
      <c r="CG61" s="233">
        <f t="shared" si="75"/>
        <v>2567.1239561454831</v>
      </c>
      <c r="CH61" s="233">
        <f t="shared" si="75"/>
        <v>2572.4118111795333</v>
      </c>
      <c r="CI61" s="233">
        <f t="shared" si="75"/>
        <v>2577.7105583291727</v>
      </c>
      <c r="CJ61" s="233">
        <f t="shared" si="75"/>
        <v>2583.0202200303756</v>
      </c>
      <c r="CK61" s="233">
        <f t="shared" si="75"/>
        <v>2588.3408187653313</v>
      </c>
      <c r="CL61" s="233">
        <f t="shared" si="76"/>
        <v>2593.672377062539</v>
      </c>
      <c r="CM61" s="233">
        <f t="shared" si="76"/>
        <v>2599.0149174969015</v>
      </c>
      <c r="CN61" s="233">
        <f t="shared" si="76"/>
        <v>2604.3684626898239</v>
      </c>
      <c r="CO61" s="233">
        <f t="shared" si="76"/>
        <v>2609.7330353093071</v>
      </c>
      <c r="CP61" s="233">
        <f t="shared" si="76"/>
        <v>2615.1086580700439</v>
      </c>
      <c r="CQ61" s="233">
        <f t="shared" si="76"/>
        <v>2620.4953537335164</v>
      </c>
      <c r="CR61" s="233">
        <f t="shared" si="76"/>
        <v>2625.8931451080912</v>
      </c>
      <c r="CS61" s="233">
        <f t="shared" si="76"/>
        <v>2631.302055049116</v>
      </c>
      <c r="CT61" s="233">
        <f t="shared" si="76"/>
        <v>2636.7221064590181</v>
      </c>
      <c r="CU61" s="233">
        <f t="shared" si="76"/>
        <v>2642.1533222873986</v>
      </c>
      <c r="CV61" s="233">
        <f t="shared" si="77"/>
        <v>2647.5957255311318</v>
      </c>
      <c r="CW61" s="233">
        <f t="shared" si="77"/>
        <v>2653.0493392344615</v>
      </c>
      <c r="CX61" s="233">
        <f t="shared" si="77"/>
        <v>2658.5141864890988</v>
      </c>
      <c r="CY61" s="233">
        <f t="shared" si="77"/>
        <v>2663.9902904343207</v>
      </c>
      <c r="CZ61" s="233">
        <f t="shared" si="77"/>
        <v>2669.4776742570662</v>
      </c>
      <c r="DA61" s="233">
        <f t="shared" si="77"/>
        <v>2674.9763611920362</v>
      </c>
      <c r="DB61" s="233">
        <f t="shared" si="77"/>
        <v>2680.4863745217917</v>
      </c>
      <c r="DC61" s="233">
        <f t="shared" si="77"/>
        <v>2686.007737576851</v>
      </c>
      <c r="DD61" s="233">
        <f t="shared" si="77"/>
        <v>2691.5404737357899</v>
      </c>
      <c r="DE61" s="233">
        <f t="shared" si="77"/>
        <v>2697.0846064253406</v>
      </c>
      <c r="DF61" s="233">
        <f t="shared" si="78"/>
        <v>2702.6401591204899</v>
      </c>
      <c r="DG61" s="233">
        <f t="shared" si="78"/>
        <v>2708.2071553445803</v>
      </c>
      <c r="DH61" s="233">
        <f t="shared" si="78"/>
        <v>2713.7856186694066</v>
      </c>
      <c r="DI61" s="233">
        <f t="shared" si="78"/>
        <v>2719.3755727153193</v>
      </c>
      <c r="DJ61" s="233">
        <f t="shared" si="78"/>
        <v>2724.9770411513227</v>
      </c>
      <c r="DK61" s="233">
        <f t="shared" si="78"/>
        <v>2730.5900476951751</v>
      </c>
      <c r="DL61" s="233">
        <f t="shared" si="78"/>
        <v>2736.2146161134892</v>
      </c>
      <c r="DM61" s="233">
        <f t="shared" si="78"/>
        <v>2741.8507702218335</v>
      </c>
      <c r="DN61" s="233">
        <f t="shared" si="78"/>
        <v>2747.4985338848328</v>
      </c>
      <c r="DO61" s="233">
        <f t="shared" si="78"/>
        <v>2753.1579310162683</v>
      </c>
      <c r="DP61" s="233">
        <f t="shared" si="79"/>
        <v>2758.8289855791809</v>
      </c>
      <c r="DQ61" s="233">
        <f t="shared" si="79"/>
        <v>2764.51172158597</v>
      </c>
      <c r="DR61" s="233">
        <f t="shared" si="79"/>
        <v>2770.2061630984986</v>
      </c>
      <c r="DS61" s="233">
        <f t="shared" si="79"/>
        <v>2775.9123342281905</v>
      </c>
      <c r="DT61" s="233">
        <f t="shared" si="79"/>
        <v>2781.6302591361377</v>
      </c>
      <c r="DU61" s="233">
        <f t="shared" si="79"/>
        <v>2787.3599620331984</v>
      </c>
      <c r="DV61" s="233">
        <f t="shared" si="79"/>
        <v>2793.1014671801022</v>
      </c>
      <c r="DW61" s="233">
        <f t="shared" si="79"/>
        <v>2798.8547988875507</v>
      </c>
      <c r="DX61" s="233">
        <f t="shared" si="79"/>
        <v>2804.6199815163222</v>
      </c>
      <c r="DY61" s="233">
        <f t="shared" si="79"/>
        <v>2810.3970394773755</v>
      </c>
      <c r="DZ61" s="233">
        <f t="shared" si="80"/>
        <v>2816.1859972319498</v>
      </c>
      <c r="EA61" s="233">
        <f t="shared" si="80"/>
        <v>2821.9868792916714</v>
      </c>
      <c r="EB61" s="233">
        <f t="shared" si="80"/>
        <v>2827.7997102186569</v>
      </c>
      <c r="EC61" s="233">
        <f t="shared" si="80"/>
        <v>2833.624514625616</v>
      </c>
      <c r="ED61" s="233">
        <f t="shared" si="80"/>
        <v>2839.4613171759574</v>
      </c>
      <c r="EE61" s="233">
        <f t="shared" si="80"/>
        <v>2845.3101425838918</v>
      </c>
      <c r="EF61" s="233">
        <f t="shared" si="80"/>
        <v>2851.1710156145377</v>
      </c>
      <c r="EG61" s="233">
        <f t="shared" si="80"/>
        <v>2857.0439610840253</v>
      </c>
      <c r="EH61" s="233">
        <f t="shared" si="80"/>
        <v>2862.9290038596014</v>
      </c>
      <c r="EI61" s="233">
        <f t="shared" si="80"/>
        <v>2868.8261688597363</v>
      </c>
      <c r="EJ61" s="233">
        <f t="shared" si="80"/>
        <v>2874.7354810542274</v>
      </c>
      <c r="EK61" s="233">
        <f t="shared" si="80"/>
        <v>2880.6569654643067</v>
      </c>
    </row>
    <row r="62" spans="2:141" x14ac:dyDescent="0.45">
      <c r="B62" s="230">
        <f>Assumptions!B99</f>
        <v>54</v>
      </c>
      <c r="C62" s="230" t="str">
        <f>Assumptions!C99</f>
        <v>Fair Market</v>
      </c>
      <c r="D62" s="439">
        <f>Assumptions!D99</f>
        <v>1</v>
      </c>
      <c r="E62" s="22">
        <f>Assumptions!G99</f>
        <v>19</v>
      </c>
      <c r="F62" s="22">
        <f>IF(D62=1,E62+SUM(Assumptions!$G$142:$G$143),'Rent Roll Model'!E62)</f>
        <v>23</v>
      </c>
      <c r="G62" s="233">
        <f>Assumptions!I99</f>
        <v>1417.5</v>
      </c>
      <c r="H62" s="233">
        <f>Assumptions!J99</f>
        <v>2200</v>
      </c>
      <c r="J62" s="233">
        <f t="shared" si="68"/>
        <v>1417.5</v>
      </c>
      <c r="K62" s="233">
        <f t="shared" si="68"/>
        <v>1420.4198179125021</v>
      </c>
      <c r="L62" s="233">
        <f t="shared" si="68"/>
        <v>1423.3456501718417</v>
      </c>
      <c r="M62" s="233">
        <f t="shared" si="68"/>
        <v>1426.2775091665885</v>
      </c>
      <c r="N62" s="233">
        <f t="shared" si="68"/>
        <v>1429.2154073108309</v>
      </c>
      <c r="O62" s="233">
        <f t="shared" si="68"/>
        <v>1432.1593570442276</v>
      </c>
      <c r="P62" s="233">
        <f t="shared" si="68"/>
        <v>1435.109370832062</v>
      </c>
      <c r="Q62" s="233">
        <f t="shared" si="68"/>
        <v>1438.0654611652931</v>
      </c>
      <c r="R62" s="233">
        <f t="shared" si="68"/>
        <v>1441.0276405606096</v>
      </c>
      <c r="S62" s="233">
        <f t="shared" si="68"/>
        <v>1443.9959215604822</v>
      </c>
      <c r="T62" s="233">
        <f t="shared" si="69"/>
        <v>1446.9703167332175</v>
      </c>
      <c r="U62" s="233">
        <f t="shared" si="69"/>
        <v>1449.9508386730104</v>
      </c>
      <c r="V62" s="233">
        <f t="shared" si="69"/>
        <v>1452.937499999998</v>
      </c>
      <c r="W62" s="233">
        <f t="shared" si="69"/>
        <v>1455.9303133603128</v>
      </c>
      <c r="X62" s="233">
        <f t="shared" si="69"/>
        <v>1458.9292914261359</v>
      </c>
      <c r="Y62" s="233">
        <f t="shared" si="69"/>
        <v>1461.9344468957515</v>
      </c>
      <c r="Z62" s="233">
        <f t="shared" si="69"/>
        <v>1464.9457924935998</v>
      </c>
      <c r="AA62" s="233">
        <f t="shared" si="69"/>
        <v>1467.9633409703317</v>
      </c>
      <c r="AB62" s="233">
        <f t="shared" si="69"/>
        <v>0</v>
      </c>
      <c r="AC62" s="233">
        <f t="shared" si="69"/>
        <v>0</v>
      </c>
      <c r="AD62" s="233">
        <f t="shared" si="70"/>
        <v>0</v>
      </c>
      <c r="AE62" s="233">
        <f t="shared" si="70"/>
        <v>0</v>
      </c>
      <c r="AF62" s="233">
        <f t="shared" si="70"/>
        <v>2301.8822322634223</v>
      </c>
      <c r="AG62" s="233">
        <f t="shared" si="70"/>
        <v>2306.6237327743456</v>
      </c>
      <c r="AH62" s="233">
        <f t="shared" si="70"/>
        <v>2311.3749999999941</v>
      </c>
      <c r="AI62" s="233">
        <f t="shared" si="70"/>
        <v>2316.1360540582018</v>
      </c>
      <c r="AJ62" s="233">
        <f t="shared" si="70"/>
        <v>2320.9069151082408</v>
      </c>
      <c r="AK62" s="233">
        <f t="shared" si="70"/>
        <v>2325.6876033509097</v>
      </c>
      <c r="AL62" s="233">
        <f t="shared" si="70"/>
        <v>2330.4781390286153</v>
      </c>
      <c r="AM62" s="233">
        <f t="shared" si="70"/>
        <v>2335.2785424254621</v>
      </c>
      <c r="AN62" s="233">
        <f t="shared" si="71"/>
        <v>2340.0888338673353</v>
      </c>
      <c r="AO62" s="233">
        <f t="shared" si="71"/>
        <v>2344.9090337219891</v>
      </c>
      <c r="AP62" s="233">
        <f t="shared" si="71"/>
        <v>2349.7391623991321</v>
      </c>
      <c r="AQ62" s="233">
        <f t="shared" si="71"/>
        <v>2354.5792403505111</v>
      </c>
      <c r="AR62" s="233">
        <f t="shared" si="71"/>
        <v>2359.4292880700041</v>
      </c>
      <c r="AS62" s="233">
        <f t="shared" si="71"/>
        <v>2364.2893260936999</v>
      </c>
      <c r="AT62" s="233">
        <f t="shared" si="71"/>
        <v>2369.1593749999902</v>
      </c>
      <c r="AU62" s="233">
        <f t="shared" si="71"/>
        <v>2374.0394554096529</v>
      </c>
      <c r="AV62" s="233">
        <f t="shared" si="71"/>
        <v>2378.9295879859433</v>
      </c>
      <c r="AW62" s="233">
        <f t="shared" si="71"/>
        <v>2383.8297934346788</v>
      </c>
      <c r="AX62" s="233">
        <f t="shared" si="72"/>
        <v>2388.7400925043271</v>
      </c>
      <c r="AY62" s="233">
        <f t="shared" si="72"/>
        <v>2393.6605059860949</v>
      </c>
      <c r="AZ62" s="233">
        <f t="shared" si="72"/>
        <v>2398.5910547140156</v>
      </c>
      <c r="BA62" s="233">
        <f t="shared" si="72"/>
        <v>2403.5317595650358</v>
      </c>
      <c r="BB62" s="233">
        <f t="shared" si="72"/>
        <v>2408.4826414591071</v>
      </c>
      <c r="BC62" s="233">
        <f t="shared" si="72"/>
        <v>2413.4437213592714</v>
      </c>
      <c r="BD62" s="233">
        <f t="shared" si="72"/>
        <v>2418.4150202717515</v>
      </c>
      <c r="BE62" s="233">
        <f t="shared" si="72"/>
        <v>2423.3965592460399</v>
      </c>
      <c r="BF62" s="233">
        <f t="shared" si="72"/>
        <v>2428.388359374987</v>
      </c>
      <c r="BG62" s="233">
        <f t="shared" si="72"/>
        <v>2433.3904417948911</v>
      </c>
      <c r="BH62" s="233">
        <f t="shared" si="73"/>
        <v>2438.4028276855893</v>
      </c>
      <c r="BI62" s="233">
        <f t="shared" si="73"/>
        <v>2443.4255382705433</v>
      </c>
      <c r="BJ62" s="233">
        <f t="shared" si="73"/>
        <v>2448.4585948169329</v>
      </c>
      <c r="BK62" s="233">
        <f t="shared" si="73"/>
        <v>2453.5020186357451</v>
      </c>
      <c r="BL62" s="233">
        <f t="shared" si="73"/>
        <v>2458.5558310818633</v>
      </c>
      <c r="BM62" s="233">
        <f t="shared" si="73"/>
        <v>2463.6200535541593</v>
      </c>
      <c r="BN62" s="233">
        <f t="shared" si="73"/>
        <v>2468.694707495582</v>
      </c>
      <c r="BO62" s="233">
        <f t="shared" si="73"/>
        <v>2473.7798143932505</v>
      </c>
      <c r="BP62" s="233">
        <f t="shared" si="73"/>
        <v>2478.8753957785425</v>
      </c>
      <c r="BQ62" s="233">
        <f t="shared" si="73"/>
        <v>2483.9814732271884</v>
      </c>
      <c r="BR62" s="233">
        <f t="shared" si="74"/>
        <v>2489.0980683593589</v>
      </c>
      <c r="BS62" s="233">
        <f t="shared" si="74"/>
        <v>2494.2252028397611</v>
      </c>
      <c r="BT62" s="233">
        <f t="shared" si="74"/>
        <v>2499.3628983777267</v>
      </c>
      <c r="BU62" s="233">
        <f t="shared" si="74"/>
        <v>2504.5111767273042</v>
      </c>
      <c r="BV62" s="233">
        <f t="shared" si="74"/>
        <v>2509.6700596873538</v>
      </c>
      <c r="BW62" s="233">
        <f t="shared" si="74"/>
        <v>2514.8395691016362</v>
      </c>
      <c r="BX62" s="233">
        <f t="shared" si="74"/>
        <v>2520.0197268589077</v>
      </c>
      <c r="BY62" s="233">
        <f t="shared" si="74"/>
        <v>2525.2105548930108</v>
      </c>
      <c r="BZ62" s="233">
        <f t="shared" si="74"/>
        <v>2530.4120751829691</v>
      </c>
      <c r="CA62" s="233">
        <f t="shared" si="74"/>
        <v>2535.6243097530787</v>
      </c>
      <c r="CB62" s="233">
        <f t="shared" si="75"/>
        <v>2540.8472806730028</v>
      </c>
      <c r="CC62" s="233">
        <f t="shared" si="75"/>
        <v>2546.0810100578642</v>
      </c>
      <c r="CD62" s="233">
        <f t="shared" si="75"/>
        <v>2551.3255200683393</v>
      </c>
      <c r="CE62" s="233">
        <f t="shared" si="75"/>
        <v>2556.5808329107513</v>
      </c>
      <c r="CF62" s="233">
        <f t="shared" si="75"/>
        <v>2561.8469708371658</v>
      </c>
      <c r="CG62" s="233">
        <f t="shared" si="75"/>
        <v>2567.1239561454831</v>
      </c>
      <c r="CH62" s="233">
        <f t="shared" si="75"/>
        <v>2572.4118111795333</v>
      </c>
      <c r="CI62" s="233">
        <f t="shared" si="75"/>
        <v>2577.7105583291727</v>
      </c>
      <c r="CJ62" s="233">
        <f t="shared" si="75"/>
        <v>2583.0202200303756</v>
      </c>
      <c r="CK62" s="233">
        <f t="shared" si="75"/>
        <v>2588.3408187653313</v>
      </c>
      <c r="CL62" s="233">
        <f t="shared" si="76"/>
        <v>2593.672377062539</v>
      </c>
      <c r="CM62" s="233">
        <f t="shared" si="76"/>
        <v>2599.0149174969015</v>
      </c>
      <c r="CN62" s="233">
        <f t="shared" si="76"/>
        <v>2604.3684626898239</v>
      </c>
      <c r="CO62" s="233">
        <f t="shared" si="76"/>
        <v>2609.7330353093071</v>
      </c>
      <c r="CP62" s="233">
        <f t="shared" si="76"/>
        <v>2615.1086580700439</v>
      </c>
      <c r="CQ62" s="233">
        <f t="shared" si="76"/>
        <v>2620.4953537335164</v>
      </c>
      <c r="CR62" s="233">
        <f t="shared" si="76"/>
        <v>2625.8931451080912</v>
      </c>
      <c r="CS62" s="233">
        <f t="shared" si="76"/>
        <v>2631.302055049116</v>
      </c>
      <c r="CT62" s="233">
        <f t="shared" si="76"/>
        <v>2636.7221064590181</v>
      </c>
      <c r="CU62" s="233">
        <f t="shared" si="76"/>
        <v>2642.1533222873986</v>
      </c>
      <c r="CV62" s="233">
        <f t="shared" si="77"/>
        <v>2647.5957255311318</v>
      </c>
      <c r="CW62" s="233">
        <f t="shared" si="77"/>
        <v>2653.0493392344615</v>
      </c>
      <c r="CX62" s="233">
        <f t="shared" si="77"/>
        <v>2658.5141864890988</v>
      </c>
      <c r="CY62" s="233">
        <f t="shared" si="77"/>
        <v>2663.9902904343207</v>
      </c>
      <c r="CZ62" s="233">
        <f t="shared" si="77"/>
        <v>2669.4776742570662</v>
      </c>
      <c r="DA62" s="233">
        <f t="shared" si="77"/>
        <v>2674.9763611920362</v>
      </c>
      <c r="DB62" s="233">
        <f t="shared" si="77"/>
        <v>2680.4863745217917</v>
      </c>
      <c r="DC62" s="233">
        <f t="shared" si="77"/>
        <v>2686.007737576851</v>
      </c>
      <c r="DD62" s="233">
        <f t="shared" si="77"/>
        <v>2691.5404737357899</v>
      </c>
      <c r="DE62" s="233">
        <f t="shared" si="77"/>
        <v>2697.0846064253406</v>
      </c>
      <c r="DF62" s="233">
        <f t="shared" si="78"/>
        <v>2702.6401591204899</v>
      </c>
      <c r="DG62" s="233">
        <f t="shared" si="78"/>
        <v>2708.2071553445803</v>
      </c>
      <c r="DH62" s="233">
        <f t="shared" si="78"/>
        <v>2713.7856186694066</v>
      </c>
      <c r="DI62" s="233">
        <f t="shared" si="78"/>
        <v>2719.3755727153193</v>
      </c>
      <c r="DJ62" s="233">
        <f t="shared" si="78"/>
        <v>2724.9770411513227</v>
      </c>
      <c r="DK62" s="233">
        <f t="shared" si="78"/>
        <v>2730.5900476951751</v>
      </c>
      <c r="DL62" s="233">
        <f t="shared" si="78"/>
        <v>2736.2146161134892</v>
      </c>
      <c r="DM62" s="233">
        <f t="shared" si="78"/>
        <v>2741.8507702218335</v>
      </c>
      <c r="DN62" s="233">
        <f t="shared" si="78"/>
        <v>2747.4985338848328</v>
      </c>
      <c r="DO62" s="233">
        <f t="shared" si="78"/>
        <v>2753.1579310162683</v>
      </c>
      <c r="DP62" s="233">
        <f t="shared" si="79"/>
        <v>2758.8289855791809</v>
      </c>
      <c r="DQ62" s="233">
        <f t="shared" si="79"/>
        <v>2764.51172158597</v>
      </c>
      <c r="DR62" s="233">
        <f t="shared" si="79"/>
        <v>2770.2061630984986</v>
      </c>
      <c r="DS62" s="233">
        <f t="shared" si="79"/>
        <v>2775.9123342281905</v>
      </c>
      <c r="DT62" s="233">
        <f t="shared" si="79"/>
        <v>2781.6302591361377</v>
      </c>
      <c r="DU62" s="233">
        <f t="shared" si="79"/>
        <v>2787.3599620331984</v>
      </c>
      <c r="DV62" s="233">
        <f t="shared" si="79"/>
        <v>2793.1014671801022</v>
      </c>
      <c r="DW62" s="233">
        <f t="shared" si="79"/>
        <v>2798.8547988875507</v>
      </c>
      <c r="DX62" s="233">
        <f t="shared" si="79"/>
        <v>2804.6199815163222</v>
      </c>
      <c r="DY62" s="233">
        <f t="shared" si="79"/>
        <v>2810.3970394773755</v>
      </c>
      <c r="DZ62" s="233">
        <f t="shared" si="80"/>
        <v>2816.1859972319498</v>
      </c>
      <c r="EA62" s="233">
        <f t="shared" si="80"/>
        <v>2821.9868792916714</v>
      </c>
      <c r="EB62" s="233">
        <f t="shared" si="80"/>
        <v>2827.7997102186569</v>
      </c>
      <c r="EC62" s="233">
        <f t="shared" si="80"/>
        <v>2833.624514625616</v>
      </c>
      <c r="ED62" s="233">
        <f t="shared" si="80"/>
        <v>2839.4613171759574</v>
      </c>
      <c r="EE62" s="233">
        <f t="shared" si="80"/>
        <v>2845.3101425838918</v>
      </c>
      <c r="EF62" s="233">
        <f t="shared" si="80"/>
        <v>2851.1710156145377</v>
      </c>
      <c r="EG62" s="233">
        <f t="shared" si="80"/>
        <v>2857.0439610840253</v>
      </c>
      <c r="EH62" s="233">
        <f t="shared" si="80"/>
        <v>2862.9290038596014</v>
      </c>
      <c r="EI62" s="233">
        <f t="shared" si="80"/>
        <v>2868.8261688597363</v>
      </c>
      <c r="EJ62" s="233">
        <f t="shared" si="80"/>
        <v>2874.7354810542274</v>
      </c>
      <c r="EK62" s="233">
        <f t="shared" si="80"/>
        <v>2880.6569654643067</v>
      </c>
    </row>
    <row r="63" spans="2:141" x14ac:dyDescent="0.45">
      <c r="B63" s="230">
        <f>Assumptions!B100</f>
        <v>55</v>
      </c>
      <c r="C63" s="230" t="str">
        <f>Assumptions!C100</f>
        <v>Fair Market</v>
      </c>
      <c r="D63" s="439">
        <f>Assumptions!D100</f>
        <v>1</v>
      </c>
      <c r="E63" s="22">
        <f>Assumptions!G100</f>
        <v>20</v>
      </c>
      <c r="F63" s="22">
        <f>IF(D63=1,E63+SUM(Assumptions!$G$142:$G$143),'Rent Roll Model'!E63)</f>
        <v>24</v>
      </c>
      <c r="G63" s="233">
        <f>Assumptions!I100</f>
        <v>1416.58</v>
      </c>
      <c r="H63" s="233">
        <f>Assumptions!J100</f>
        <v>2200</v>
      </c>
      <c r="J63" s="233">
        <f t="shared" si="68"/>
        <v>1416.58</v>
      </c>
      <c r="K63" s="233">
        <f t="shared" si="68"/>
        <v>1419.4979228631337</v>
      </c>
      <c r="L63" s="233">
        <f t="shared" si="68"/>
        <v>1422.4218561696136</v>
      </c>
      <c r="M63" s="233">
        <f t="shared" si="68"/>
        <v>1425.351812299969</v>
      </c>
      <c r="N63" s="233">
        <f t="shared" si="68"/>
        <v>1428.2878036602303</v>
      </c>
      <c r="O63" s="233">
        <f t="shared" si="68"/>
        <v>1431.2298426819837</v>
      </c>
      <c r="P63" s="233">
        <f t="shared" si="68"/>
        <v>1434.1779418224214</v>
      </c>
      <c r="Q63" s="233">
        <f t="shared" si="68"/>
        <v>1437.1321135643955</v>
      </c>
      <c r="R63" s="233">
        <f t="shared" si="68"/>
        <v>1440.0923704164713</v>
      </c>
      <c r="S63" s="233">
        <f t="shared" si="68"/>
        <v>1443.0587249129792</v>
      </c>
      <c r="T63" s="233">
        <f t="shared" si="69"/>
        <v>1446.0311896140679</v>
      </c>
      <c r="U63" s="233">
        <f t="shared" si="69"/>
        <v>1449.0097771057588</v>
      </c>
      <c r="V63" s="233">
        <f t="shared" si="69"/>
        <v>1451.994499999998</v>
      </c>
      <c r="W63" s="233">
        <f t="shared" si="69"/>
        <v>1454.9853709347101</v>
      </c>
      <c r="X63" s="233">
        <f t="shared" si="69"/>
        <v>1457.9824025738521</v>
      </c>
      <c r="Y63" s="233">
        <f t="shared" si="69"/>
        <v>1460.9856076074664</v>
      </c>
      <c r="Z63" s="233">
        <f t="shared" si="69"/>
        <v>1463.9949987517346</v>
      </c>
      <c r="AA63" s="233">
        <f t="shared" si="69"/>
        <v>1467.0105887490317</v>
      </c>
      <c r="AB63" s="233">
        <f t="shared" si="69"/>
        <v>1470.0323903679803</v>
      </c>
      <c r="AC63" s="233">
        <f t="shared" si="69"/>
        <v>0</v>
      </c>
      <c r="AD63" s="233">
        <f t="shared" si="70"/>
        <v>0</v>
      </c>
      <c r="AE63" s="233">
        <f t="shared" si="70"/>
        <v>0</v>
      </c>
      <c r="AF63" s="233">
        <f t="shared" si="70"/>
        <v>0</v>
      </c>
      <c r="AG63" s="233">
        <f t="shared" si="70"/>
        <v>2306.6237327743456</v>
      </c>
      <c r="AH63" s="233">
        <f t="shared" si="70"/>
        <v>2311.3749999999941</v>
      </c>
      <c r="AI63" s="233">
        <f t="shared" si="70"/>
        <v>2316.1360540582018</v>
      </c>
      <c r="AJ63" s="233">
        <f t="shared" si="70"/>
        <v>2320.9069151082408</v>
      </c>
      <c r="AK63" s="233">
        <f t="shared" si="70"/>
        <v>2325.6876033509097</v>
      </c>
      <c r="AL63" s="233">
        <f t="shared" si="70"/>
        <v>2330.4781390286153</v>
      </c>
      <c r="AM63" s="233">
        <f t="shared" si="70"/>
        <v>2335.2785424254621</v>
      </c>
      <c r="AN63" s="233">
        <f t="shared" si="71"/>
        <v>2340.0888338673353</v>
      </c>
      <c r="AO63" s="233">
        <f t="shared" si="71"/>
        <v>2344.9090337219891</v>
      </c>
      <c r="AP63" s="233">
        <f t="shared" si="71"/>
        <v>2349.7391623991321</v>
      </c>
      <c r="AQ63" s="233">
        <f t="shared" si="71"/>
        <v>2354.5792403505111</v>
      </c>
      <c r="AR63" s="233">
        <f t="shared" si="71"/>
        <v>2359.4292880700041</v>
      </c>
      <c r="AS63" s="233">
        <f t="shared" si="71"/>
        <v>2364.2893260936999</v>
      </c>
      <c r="AT63" s="233">
        <f t="shared" si="71"/>
        <v>2369.1593749999902</v>
      </c>
      <c r="AU63" s="233">
        <f t="shared" si="71"/>
        <v>2374.0394554096529</v>
      </c>
      <c r="AV63" s="233">
        <f t="shared" si="71"/>
        <v>2378.9295879859433</v>
      </c>
      <c r="AW63" s="233">
        <f t="shared" si="71"/>
        <v>2383.8297934346788</v>
      </c>
      <c r="AX63" s="233">
        <f t="shared" si="72"/>
        <v>2388.7400925043271</v>
      </c>
      <c r="AY63" s="233">
        <f t="shared" si="72"/>
        <v>2393.6605059860949</v>
      </c>
      <c r="AZ63" s="233">
        <f t="shared" si="72"/>
        <v>2398.5910547140156</v>
      </c>
      <c r="BA63" s="233">
        <f t="shared" si="72"/>
        <v>2403.5317595650358</v>
      </c>
      <c r="BB63" s="233">
        <f t="shared" si="72"/>
        <v>2408.4826414591071</v>
      </c>
      <c r="BC63" s="233">
        <f t="shared" si="72"/>
        <v>2413.4437213592714</v>
      </c>
      <c r="BD63" s="233">
        <f t="shared" si="72"/>
        <v>2418.4150202717515</v>
      </c>
      <c r="BE63" s="233">
        <f t="shared" si="72"/>
        <v>2423.3965592460399</v>
      </c>
      <c r="BF63" s="233">
        <f t="shared" si="72"/>
        <v>2428.388359374987</v>
      </c>
      <c r="BG63" s="233">
        <f t="shared" si="72"/>
        <v>2433.3904417948911</v>
      </c>
      <c r="BH63" s="233">
        <f t="shared" si="73"/>
        <v>2438.4028276855893</v>
      </c>
      <c r="BI63" s="233">
        <f t="shared" si="73"/>
        <v>2443.4255382705433</v>
      </c>
      <c r="BJ63" s="233">
        <f t="shared" si="73"/>
        <v>2448.4585948169329</v>
      </c>
      <c r="BK63" s="233">
        <f t="shared" si="73"/>
        <v>2453.5020186357451</v>
      </c>
      <c r="BL63" s="233">
        <f t="shared" si="73"/>
        <v>2458.5558310818633</v>
      </c>
      <c r="BM63" s="233">
        <f t="shared" si="73"/>
        <v>2463.6200535541593</v>
      </c>
      <c r="BN63" s="233">
        <f t="shared" si="73"/>
        <v>2468.694707495582</v>
      </c>
      <c r="BO63" s="233">
        <f t="shared" si="73"/>
        <v>2473.7798143932505</v>
      </c>
      <c r="BP63" s="233">
        <f t="shared" si="73"/>
        <v>2478.8753957785425</v>
      </c>
      <c r="BQ63" s="233">
        <f t="shared" si="73"/>
        <v>2483.9814732271884</v>
      </c>
      <c r="BR63" s="233">
        <f t="shared" si="74"/>
        <v>2489.0980683593589</v>
      </c>
      <c r="BS63" s="233">
        <f t="shared" si="74"/>
        <v>2494.2252028397611</v>
      </c>
      <c r="BT63" s="233">
        <f t="shared" si="74"/>
        <v>2499.3628983777267</v>
      </c>
      <c r="BU63" s="233">
        <f t="shared" si="74"/>
        <v>2504.5111767273042</v>
      </c>
      <c r="BV63" s="233">
        <f t="shared" si="74"/>
        <v>2509.6700596873538</v>
      </c>
      <c r="BW63" s="233">
        <f t="shared" si="74"/>
        <v>2514.8395691016362</v>
      </c>
      <c r="BX63" s="233">
        <f t="shared" si="74"/>
        <v>2520.0197268589077</v>
      </c>
      <c r="BY63" s="233">
        <f t="shared" si="74"/>
        <v>2525.2105548930108</v>
      </c>
      <c r="BZ63" s="233">
        <f t="shared" si="74"/>
        <v>2530.4120751829691</v>
      </c>
      <c r="CA63" s="233">
        <f t="shared" si="74"/>
        <v>2535.6243097530787</v>
      </c>
      <c r="CB63" s="233">
        <f t="shared" si="75"/>
        <v>2540.8472806730028</v>
      </c>
      <c r="CC63" s="233">
        <f t="shared" si="75"/>
        <v>2546.0810100578642</v>
      </c>
      <c r="CD63" s="233">
        <f t="shared" si="75"/>
        <v>2551.3255200683393</v>
      </c>
      <c r="CE63" s="233">
        <f t="shared" si="75"/>
        <v>2556.5808329107513</v>
      </c>
      <c r="CF63" s="233">
        <f t="shared" si="75"/>
        <v>2561.8469708371658</v>
      </c>
      <c r="CG63" s="233">
        <f t="shared" si="75"/>
        <v>2567.1239561454831</v>
      </c>
      <c r="CH63" s="233">
        <f t="shared" si="75"/>
        <v>2572.4118111795333</v>
      </c>
      <c r="CI63" s="233">
        <f t="shared" si="75"/>
        <v>2577.7105583291727</v>
      </c>
      <c r="CJ63" s="233">
        <f t="shared" si="75"/>
        <v>2583.0202200303756</v>
      </c>
      <c r="CK63" s="233">
        <f t="shared" si="75"/>
        <v>2588.3408187653313</v>
      </c>
      <c r="CL63" s="233">
        <f t="shared" si="76"/>
        <v>2593.672377062539</v>
      </c>
      <c r="CM63" s="233">
        <f t="shared" si="76"/>
        <v>2599.0149174969015</v>
      </c>
      <c r="CN63" s="233">
        <f t="shared" si="76"/>
        <v>2604.3684626898239</v>
      </c>
      <c r="CO63" s="233">
        <f t="shared" si="76"/>
        <v>2609.7330353093071</v>
      </c>
      <c r="CP63" s="233">
        <f t="shared" si="76"/>
        <v>2615.1086580700439</v>
      </c>
      <c r="CQ63" s="233">
        <f t="shared" si="76"/>
        <v>2620.4953537335164</v>
      </c>
      <c r="CR63" s="233">
        <f t="shared" si="76"/>
        <v>2625.8931451080912</v>
      </c>
      <c r="CS63" s="233">
        <f t="shared" si="76"/>
        <v>2631.302055049116</v>
      </c>
      <c r="CT63" s="233">
        <f t="shared" si="76"/>
        <v>2636.7221064590181</v>
      </c>
      <c r="CU63" s="233">
        <f t="shared" si="76"/>
        <v>2642.1533222873986</v>
      </c>
      <c r="CV63" s="233">
        <f t="shared" si="77"/>
        <v>2647.5957255311318</v>
      </c>
      <c r="CW63" s="233">
        <f t="shared" si="77"/>
        <v>2653.0493392344615</v>
      </c>
      <c r="CX63" s="233">
        <f t="shared" si="77"/>
        <v>2658.5141864890988</v>
      </c>
      <c r="CY63" s="233">
        <f t="shared" si="77"/>
        <v>2663.9902904343207</v>
      </c>
      <c r="CZ63" s="233">
        <f t="shared" si="77"/>
        <v>2669.4776742570662</v>
      </c>
      <c r="DA63" s="233">
        <f t="shared" si="77"/>
        <v>2674.9763611920362</v>
      </c>
      <c r="DB63" s="233">
        <f t="shared" si="77"/>
        <v>2680.4863745217917</v>
      </c>
      <c r="DC63" s="233">
        <f t="shared" si="77"/>
        <v>2686.007737576851</v>
      </c>
      <c r="DD63" s="233">
        <f t="shared" si="77"/>
        <v>2691.5404737357899</v>
      </c>
      <c r="DE63" s="233">
        <f t="shared" si="77"/>
        <v>2697.0846064253406</v>
      </c>
      <c r="DF63" s="233">
        <f t="shared" si="78"/>
        <v>2702.6401591204899</v>
      </c>
      <c r="DG63" s="233">
        <f t="shared" si="78"/>
        <v>2708.2071553445803</v>
      </c>
      <c r="DH63" s="233">
        <f t="shared" si="78"/>
        <v>2713.7856186694066</v>
      </c>
      <c r="DI63" s="233">
        <f t="shared" si="78"/>
        <v>2719.3755727153193</v>
      </c>
      <c r="DJ63" s="233">
        <f t="shared" si="78"/>
        <v>2724.9770411513227</v>
      </c>
      <c r="DK63" s="233">
        <f t="shared" si="78"/>
        <v>2730.5900476951751</v>
      </c>
      <c r="DL63" s="233">
        <f t="shared" si="78"/>
        <v>2736.2146161134892</v>
      </c>
      <c r="DM63" s="233">
        <f t="shared" si="78"/>
        <v>2741.8507702218335</v>
      </c>
      <c r="DN63" s="233">
        <f t="shared" si="78"/>
        <v>2747.4985338848328</v>
      </c>
      <c r="DO63" s="233">
        <f t="shared" si="78"/>
        <v>2753.1579310162683</v>
      </c>
      <c r="DP63" s="233">
        <f t="shared" si="79"/>
        <v>2758.8289855791809</v>
      </c>
      <c r="DQ63" s="233">
        <f t="shared" si="79"/>
        <v>2764.51172158597</v>
      </c>
      <c r="DR63" s="233">
        <f t="shared" si="79"/>
        <v>2770.2061630984986</v>
      </c>
      <c r="DS63" s="233">
        <f t="shared" si="79"/>
        <v>2775.9123342281905</v>
      </c>
      <c r="DT63" s="233">
        <f t="shared" si="79"/>
        <v>2781.6302591361377</v>
      </c>
      <c r="DU63" s="233">
        <f t="shared" si="79"/>
        <v>2787.3599620331984</v>
      </c>
      <c r="DV63" s="233">
        <f t="shared" si="79"/>
        <v>2793.1014671801022</v>
      </c>
      <c r="DW63" s="233">
        <f t="shared" si="79"/>
        <v>2798.8547988875507</v>
      </c>
      <c r="DX63" s="233">
        <f t="shared" si="79"/>
        <v>2804.6199815163222</v>
      </c>
      <c r="DY63" s="233">
        <f t="shared" si="79"/>
        <v>2810.3970394773755</v>
      </c>
      <c r="DZ63" s="233">
        <f t="shared" si="80"/>
        <v>2816.1859972319498</v>
      </c>
      <c r="EA63" s="233">
        <f t="shared" si="80"/>
        <v>2821.9868792916714</v>
      </c>
      <c r="EB63" s="233">
        <f t="shared" si="80"/>
        <v>2827.7997102186569</v>
      </c>
      <c r="EC63" s="233">
        <f t="shared" si="80"/>
        <v>2833.624514625616</v>
      </c>
      <c r="ED63" s="233">
        <f t="shared" si="80"/>
        <v>2839.4613171759574</v>
      </c>
      <c r="EE63" s="233">
        <f t="shared" si="80"/>
        <v>2845.3101425838918</v>
      </c>
      <c r="EF63" s="233">
        <f t="shared" si="80"/>
        <v>2851.1710156145377</v>
      </c>
      <c r="EG63" s="233">
        <f t="shared" si="80"/>
        <v>2857.0439610840253</v>
      </c>
      <c r="EH63" s="233">
        <f t="shared" si="80"/>
        <v>2862.9290038596014</v>
      </c>
      <c r="EI63" s="233">
        <f t="shared" si="80"/>
        <v>2868.8261688597363</v>
      </c>
      <c r="EJ63" s="233">
        <f t="shared" si="80"/>
        <v>2874.7354810542274</v>
      </c>
      <c r="EK63" s="233">
        <f t="shared" si="80"/>
        <v>2880.6569654643067</v>
      </c>
    </row>
    <row r="64" spans="2:141" x14ac:dyDescent="0.45">
      <c r="B64" s="230">
        <f>Assumptions!B101</f>
        <v>56</v>
      </c>
      <c r="C64" s="230" t="str">
        <f>Assumptions!C101</f>
        <v>Fair Market</v>
      </c>
      <c r="D64" s="439">
        <f>Assumptions!D101</f>
        <v>1</v>
      </c>
      <c r="E64" s="22">
        <f>Assumptions!G101</f>
        <v>20</v>
      </c>
      <c r="F64" s="22">
        <f>IF(D64=1,E64+SUM(Assumptions!$G$142:$G$143),'Rent Roll Model'!E64)</f>
        <v>24</v>
      </c>
      <c r="G64" s="233">
        <f>Assumptions!I101</f>
        <v>1457.71</v>
      </c>
      <c r="H64" s="233">
        <f>Assumptions!J101</f>
        <v>2200</v>
      </c>
      <c r="J64" s="233">
        <f t="shared" si="68"/>
        <v>1457.71</v>
      </c>
      <c r="K64" s="233">
        <f t="shared" si="68"/>
        <v>1460.7126439289125</v>
      </c>
      <c r="L64" s="233">
        <f t="shared" si="68"/>
        <v>1463.7214728126951</v>
      </c>
      <c r="M64" s="233">
        <f t="shared" si="68"/>
        <v>1466.7364993913425</v>
      </c>
      <c r="N64" s="233">
        <f t="shared" si="68"/>
        <v>1469.7577364310907</v>
      </c>
      <c r="O64" s="233">
        <f t="shared" si="68"/>
        <v>1472.7851967244735</v>
      </c>
      <c r="P64" s="233">
        <f t="shared" si="68"/>
        <v>1475.8188930903739</v>
      </c>
      <c r="Q64" s="233">
        <f t="shared" si="68"/>
        <v>1478.8588383740807</v>
      </c>
      <c r="R64" s="233">
        <f t="shared" si="68"/>
        <v>1481.9050454473413</v>
      </c>
      <c r="S64" s="233">
        <f t="shared" si="68"/>
        <v>1484.9575272084166</v>
      </c>
      <c r="T64" s="233">
        <f t="shared" si="69"/>
        <v>1488.0162965821366</v>
      </c>
      <c r="U64" s="233">
        <f t="shared" si="69"/>
        <v>1491.0813665199535</v>
      </c>
      <c r="V64" s="233">
        <f t="shared" si="69"/>
        <v>1494.1527499999979</v>
      </c>
      <c r="W64" s="233">
        <f t="shared" si="69"/>
        <v>1497.2304600271334</v>
      </c>
      <c r="X64" s="233">
        <f t="shared" si="69"/>
        <v>1500.3145096330106</v>
      </c>
      <c r="Y64" s="233">
        <f t="shared" si="69"/>
        <v>1503.4049118761243</v>
      </c>
      <c r="Z64" s="233">
        <f t="shared" si="69"/>
        <v>1506.5016798418662</v>
      </c>
      <c r="AA64" s="233">
        <f t="shared" si="69"/>
        <v>1509.6048266425837</v>
      </c>
      <c r="AB64" s="233">
        <f t="shared" si="69"/>
        <v>1512.7143654176316</v>
      </c>
      <c r="AC64" s="233">
        <f t="shared" si="69"/>
        <v>0</v>
      </c>
      <c r="AD64" s="233">
        <f t="shared" si="70"/>
        <v>0</v>
      </c>
      <c r="AE64" s="233">
        <f t="shared" si="70"/>
        <v>0</v>
      </c>
      <c r="AF64" s="233">
        <f t="shared" si="70"/>
        <v>0</v>
      </c>
      <c r="AG64" s="233">
        <f t="shared" si="70"/>
        <v>2306.6237327743456</v>
      </c>
      <c r="AH64" s="233">
        <f t="shared" si="70"/>
        <v>2311.3749999999941</v>
      </c>
      <c r="AI64" s="233">
        <f t="shared" si="70"/>
        <v>2316.1360540582018</v>
      </c>
      <c r="AJ64" s="233">
        <f t="shared" si="70"/>
        <v>2320.9069151082408</v>
      </c>
      <c r="AK64" s="233">
        <f t="shared" si="70"/>
        <v>2325.6876033509097</v>
      </c>
      <c r="AL64" s="233">
        <f t="shared" si="70"/>
        <v>2330.4781390286153</v>
      </c>
      <c r="AM64" s="233">
        <f t="shared" si="70"/>
        <v>2335.2785424254621</v>
      </c>
      <c r="AN64" s="233">
        <f t="shared" si="71"/>
        <v>2340.0888338673353</v>
      </c>
      <c r="AO64" s="233">
        <f t="shared" si="71"/>
        <v>2344.9090337219891</v>
      </c>
      <c r="AP64" s="233">
        <f t="shared" si="71"/>
        <v>2349.7391623991321</v>
      </c>
      <c r="AQ64" s="233">
        <f t="shared" si="71"/>
        <v>2354.5792403505111</v>
      </c>
      <c r="AR64" s="233">
        <f t="shared" si="71"/>
        <v>2359.4292880700041</v>
      </c>
      <c r="AS64" s="233">
        <f t="shared" si="71"/>
        <v>2364.2893260936999</v>
      </c>
      <c r="AT64" s="233">
        <f t="shared" si="71"/>
        <v>2369.1593749999902</v>
      </c>
      <c r="AU64" s="233">
        <f t="shared" si="71"/>
        <v>2374.0394554096529</v>
      </c>
      <c r="AV64" s="233">
        <f t="shared" si="71"/>
        <v>2378.9295879859433</v>
      </c>
      <c r="AW64" s="233">
        <f t="shared" si="71"/>
        <v>2383.8297934346788</v>
      </c>
      <c r="AX64" s="233">
        <f t="shared" si="72"/>
        <v>2388.7400925043271</v>
      </c>
      <c r="AY64" s="233">
        <f t="shared" si="72"/>
        <v>2393.6605059860949</v>
      </c>
      <c r="AZ64" s="233">
        <f t="shared" si="72"/>
        <v>2398.5910547140156</v>
      </c>
      <c r="BA64" s="233">
        <f t="shared" si="72"/>
        <v>2403.5317595650358</v>
      </c>
      <c r="BB64" s="233">
        <f t="shared" si="72"/>
        <v>2408.4826414591071</v>
      </c>
      <c r="BC64" s="233">
        <f t="shared" si="72"/>
        <v>2413.4437213592714</v>
      </c>
      <c r="BD64" s="233">
        <f t="shared" si="72"/>
        <v>2418.4150202717515</v>
      </c>
      <c r="BE64" s="233">
        <f t="shared" si="72"/>
        <v>2423.3965592460399</v>
      </c>
      <c r="BF64" s="233">
        <f t="shared" si="72"/>
        <v>2428.388359374987</v>
      </c>
      <c r="BG64" s="233">
        <f t="shared" si="72"/>
        <v>2433.3904417948911</v>
      </c>
      <c r="BH64" s="233">
        <f t="shared" si="73"/>
        <v>2438.4028276855893</v>
      </c>
      <c r="BI64" s="233">
        <f t="shared" si="73"/>
        <v>2443.4255382705433</v>
      </c>
      <c r="BJ64" s="233">
        <f t="shared" si="73"/>
        <v>2448.4585948169329</v>
      </c>
      <c r="BK64" s="233">
        <f t="shared" si="73"/>
        <v>2453.5020186357451</v>
      </c>
      <c r="BL64" s="233">
        <f t="shared" si="73"/>
        <v>2458.5558310818633</v>
      </c>
      <c r="BM64" s="233">
        <f t="shared" si="73"/>
        <v>2463.6200535541593</v>
      </c>
      <c r="BN64" s="233">
        <f t="shared" si="73"/>
        <v>2468.694707495582</v>
      </c>
      <c r="BO64" s="233">
        <f t="shared" si="73"/>
        <v>2473.7798143932505</v>
      </c>
      <c r="BP64" s="233">
        <f t="shared" si="73"/>
        <v>2478.8753957785425</v>
      </c>
      <c r="BQ64" s="233">
        <f t="shared" si="73"/>
        <v>2483.9814732271884</v>
      </c>
      <c r="BR64" s="233">
        <f t="shared" si="74"/>
        <v>2489.0980683593589</v>
      </c>
      <c r="BS64" s="233">
        <f t="shared" si="74"/>
        <v>2494.2252028397611</v>
      </c>
      <c r="BT64" s="233">
        <f t="shared" si="74"/>
        <v>2499.3628983777267</v>
      </c>
      <c r="BU64" s="233">
        <f t="shared" si="74"/>
        <v>2504.5111767273042</v>
      </c>
      <c r="BV64" s="233">
        <f t="shared" si="74"/>
        <v>2509.6700596873538</v>
      </c>
      <c r="BW64" s="233">
        <f t="shared" si="74"/>
        <v>2514.8395691016362</v>
      </c>
      <c r="BX64" s="233">
        <f t="shared" si="74"/>
        <v>2520.0197268589077</v>
      </c>
      <c r="BY64" s="233">
        <f t="shared" si="74"/>
        <v>2525.2105548930108</v>
      </c>
      <c r="BZ64" s="233">
        <f t="shared" si="74"/>
        <v>2530.4120751829691</v>
      </c>
      <c r="CA64" s="233">
        <f t="shared" si="74"/>
        <v>2535.6243097530787</v>
      </c>
      <c r="CB64" s="233">
        <f t="shared" si="75"/>
        <v>2540.8472806730028</v>
      </c>
      <c r="CC64" s="233">
        <f t="shared" si="75"/>
        <v>2546.0810100578642</v>
      </c>
      <c r="CD64" s="233">
        <f t="shared" si="75"/>
        <v>2551.3255200683393</v>
      </c>
      <c r="CE64" s="233">
        <f t="shared" si="75"/>
        <v>2556.5808329107513</v>
      </c>
      <c r="CF64" s="233">
        <f t="shared" si="75"/>
        <v>2561.8469708371658</v>
      </c>
      <c r="CG64" s="233">
        <f t="shared" si="75"/>
        <v>2567.1239561454831</v>
      </c>
      <c r="CH64" s="233">
        <f t="shared" si="75"/>
        <v>2572.4118111795333</v>
      </c>
      <c r="CI64" s="233">
        <f t="shared" si="75"/>
        <v>2577.7105583291727</v>
      </c>
      <c r="CJ64" s="233">
        <f t="shared" si="75"/>
        <v>2583.0202200303756</v>
      </c>
      <c r="CK64" s="233">
        <f t="shared" si="75"/>
        <v>2588.3408187653313</v>
      </c>
      <c r="CL64" s="233">
        <f t="shared" si="76"/>
        <v>2593.672377062539</v>
      </c>
      <c r="CM64" s="233">
        <f t="shared" si="76"/>
        <v>2599.0149174969015</v>
      </c>
      <c r="CN64" s="233">
        <f t="shared" si="76"/>
        <v>2604.3684626898239</v>
      </c>
      <c r="CO64" s="233">
        <f t="shared" si="76"/>
        <v>2609.7330353093071</v>
      </c>
      <c r="CP64" s="233">
        <f t="shared" si="76"/>
        <v>2615.1086580700439</v>
      </c>
      <c r="CQ64" s="233">
        <f t="shared" si="76"/>
        <v>2620.4953537335164</v>
      </c>
      <c r="CR64" s="233">
        <f t="shared" si="76"/>
        <v>2625.8931451080912</v>
      </c>
      <c r="CS64" s="233">
        <f t="shared" si="76"/>
        <v>2631.302055049116</v>
      </c>
      <c r="CT64" s="233">
        <f t="shared" si="76"/>
        <v>2636.7221064590181</v>
      </c>
      <c r="CU64" s="233">
        <f t="shared" si="76"/>
        <v>2642.1533222873986</v>
      </c>
      <c r="CV64" s="233">
        <f t="shared" si="77"/>
        <v>2647.5957255311318</v>
      </c>
      <c r="CW64" s="233">
        <f t="shared" si="77"/>
        <v>2653.0493392344615</v>
      </c>
      <c r="CX64" s="233">
        <f t="shared" si="77"/>
        <v>2658.5141864890988</v>
      </c>
      <c r="CY64" s="233">
        <f t="shared" si="77"/>
        <v>2663.9902904343207</v>
      </c>
      <c r="CZ64" s="233">
        <f t="shared" si="77"/>
        <v>2669.4776742570662</v>
      </c>
      <c r="DA64" s="233">
        <f t="shared" si="77"/>
        <v>2674.9763611920362</v>
      </c>
      <c r="DB64" s="233">
        <f t="shared" si="77"/>
        <v>2680.4863745217917</v>
      </c>
      <c r="DC64" s="233">
        <f t="shared" si="77"/>
        <v>2686.007737576851</v>
      </c>
      <c r="DD64" s="233">
        <f t="shared" si="77"/>
        <v>2691.5404737357899</v>
      </c>
      <c r="DE64" s="233">
        <f t="shared" si="77"/>
        <v>2697.0846064253406</v>
      </c>
      <c r="DF64" s="233">
        <f t="shared" si="78"/>
        <v>2702.6401591204899</v>
      </c>
      <c r="DG64" s="233">
        <f t="shared" si="78"/>
        <v>2708.2071553445803</v>
      </c>
      <c r="DH64" s="233">
        <f t="shared" si="78"/>
        <v>2713.7856186694066</v>
      </c>
      <c r="DI64" s="233">
        <f t="shared" si="78"/>
        <v>2719.3755727153193</v>
      </c>
      <c r="DJ64" s="233">
        <f t="shared" si="78"/>
        <v>2724.9770411513227</v>
      </c>
      <c r="DK64" s="233">
        <f t="shared" si="78"/>
        <v>2730.5900476951751</v>
      </c>
      <c r="DL64" s="233">
        <f t="shared" si="78"/>
        <v>2736.2146161134892</v>
      </c>
      <c r="DM64" s="233">
        <f t="shared" si="78"/>
        <v>2741.8507702218335</v>
      </c>
      <c r="DN64" s="233">
        <f t="shared" si="78"/>
        <v>2747.4985338848328</v>
      </c>
      <c r="DO64" s="233">
        <f t="shared" si="78"/>
        <v>2753.1579310162683</v>
      </c>
      <c r="DP64" s="233">
        <f t="shared" si="79"/>
        <v>2758.8289855791809</v>
      </c>
      <c r="DQ64" s="233">
        <f t="shared" si="79"/>
        <v>2764.51172158597</v>
      </c>
      <c r="DR64" s="233">
        <f t="shared" si="79"/>
        <v>2770.2061630984986</v>
      </c>
      <c r="DS64" s="233">
        <f t="shared" si="79"/>
        <v>2775.9123342281905</v>
      </c>
      <c r="DT64" s="233">
        <f t="shared" si="79"/>
        <v>2781.6302591361377</v>
      </c>
      <c r="DU64" s="233">
        <f t="shared" si="79"/>
        <v>2787.3599620331984</v>
      </c>
      <c r="DV64" s="233">
        <f t="shared" si="79"/>
        <v>2793.1014671801022</v>
      </c>
      <c r="DW64" s="233">
        <f t="shared" si="79"/>
        <v>2798.8547988875507</v>
      </c>
      <c r="DX64" s="233">
        <f t="shared" si="79"/>
        <v>2804.6199815163222</v>
      </c>
      <c r="DY64" s="233">
        <f t="shared" si="79"/>
        <v>2810.3970394773755</v>
      </c>
      <c r="DZ64" s="233">
        <f t="shared" si="80"/>
        <v>2816.1859972319498</v>
      </c>
      <c r="EA64" s="233">
        <f t="shared" si="80"/>
        <v>2821.9868792916714</v>
      </c>
      <c r="EB64" s="233">
        <f t="shared" si="80"/>
        <v>2827.7997102186569</v>
      </c>
      <c r="EC64" s="233">
        <f t="shared" si="80"/>
        <v>2833.624514625616</v>
      </c>
      <c r="ED64" s="233">
        <f t="shared" si="80"/>
        <v>2839.4613171759574</v>
      </c>
      <c r="EE64" s="233">
        <f t="shared" si="80"/>
        <v>2845.3101425838918</v>
      </c>
      <c r="EF64" s="233">
        <f t="shared" si="80"/>
        <v>2851.1710156145377</v>
      </c>
      <c r="EG64" s="233">
        <f t="shared" si="80"/>
        <v>2857.0439610840253</v>
      </c>
      <c r="EH64" s="233">
        <f t="shared" si="80"/>
        <v>2862.9290038596014</v>
      </c>
      <c r="EI64" s="233">
        <f t="shared" si="80"/>
        <v>2868.8261688597363</v>
      </c>
      <c r="EJ64" s="233">
        <f t="shared" si="80"/>
        <v>2874.7354810542274</v>
      </c>
      <c r="EK64" s="233">
        <f t="shared" si="80"/>
        <v>2880.6569654643067</v>
      </c>
    </row>
    <row r="65" spans="2:141" x14ac:dyDescent="0.45">
      <c r="B65" s="230">
        <f>Assumptions!B102</f>
        <v>57</v>
      </c>
      <c r="C65" s="230" t="str">
        <f>Assumptions!C102</f>
        <v>Fair Market</v>
      </c>
      <c r="D65" s="439">
        <f>Assumptions!D102</f>
        <v>1</v>
      </c>
      <c r="E65" s="22">
        <f>Assumptions!G102</f>
        <v>20</v>
      </c>
      <c r="F65" s="22">
        <f>IF(D65=1,E65+SUM(Assumptions!$G$142:$G$143),'Rent Roll Model'!E65)</f>
        <v>24</v>
      </c>
      <c r="G65" s="233">
        <f>Assumptions!I102</f>
        <v>1627.5</v>
      </c>
      <c r="H65" s="233">
        <f>Assumptions!J102</f>
        <v>2200</v>
      </c>
      <c r="J65" s="233">
        <f t="shared" si="68"/>
        <v>1627.5</v>
      </c>
      <c r="K65" s="233">
        <f t="shared" si="68"/>
        <v>1630.8523835291692</v>
      </c>
      <c r="L65" s="233">
        <f t="shared" si="68"/>
        <v>1634.2116724195218</v>
      </c>
      <c r="M65" s="233">
        <f t="shared" si="68"/>
        <v>1637.5778808949719</v>
      </c>
      <c r="N65" s="233">
        <f t="shared" si="68"/>
        <v>1640.9510232087316</v>
      </c>
      <c r="O65" s="233">
        <f t="shared" si="68"/>
        <v>1644.3311136433724</v>
      </c>
      <c r="P65" s="233">
        <f t="shared" si="68"/>
        <v>1647.718166510886</v>
      </c>
      <c r="Q65" s="233">
        <f t="shared" si="68"/>
        <v>1651.1121961527438</v>
      </c>
      <c r="R65" s="233">
        <f t="shared" si="68"/>
        <v>1654.513216939959</v>
      </c>
      <c r="S65" s="233">
        <f t="shared" si="68"/>
        <v>1657.9212432731463</v>
      </c>
      <c r="T65" s="233">
        <f t="shared" si="69"/>
        <v>1661.336289582583</v>
      </c>
      <c r="U65" s="233">
        <f t="shared" si="69"/>
        <v>1664.7583703282712</v>
      </c>
      <c r="V65" s="233">
        <f t="shared" si="69"/>
        <v>1668.1874999999977</v>
      </c>
      <c r="W65" s="233">
        <f t="shared" si="69"/>
        <v>1671.623693117396</v>
      </c>
      <c r="X65" s="233">
        <f t="shared" si="69"/>
        <v>1675.0669642300079</v>
      </c>
      <c r="Y65" s="233">
        <f t="shared" si="69"/>
        <v>1678.5173279173443</v>
      </c>
      <c r="Z65" s="233">
        <f t="shared" si="69"/>
        <v>1681.974798788948</v>
      </c>
      <c r="AA65" s="233">
        <f t="shared" si="69"/>
        <v>1685.439391484455</v>
      </c>
      <c r="AB65" s="233">
        <f t="shared" si="69"/>
        <v>1688.9111206736563</v>
      </c>
      <c r="AC65" s="233">
        <f t="shared" si="69"/>
        <v>0</v>
      </c>
      <c r="AD65" s="233">
        <f t="shared" si="70"/>
        <v>0</v>
      </c>
      <c r="AE65" s="233">
        <f t="shared" si="70"/>
        <v>0</v>
      </c>
      <c r="AF65" s="233">
        <f t="shared" si="70"/>
        <v>0</v>
      </c>
      <c r="AG65" s="233">
        <f t="shared" si="70"/>
        <v>2306.6237327743456</v>
      </c>
      <c r="AH65" s="233">
        <f t="shared" si="70"/>
        <v>2311.3749999999941</v>
      </c>
      <c r="AI65" s="233">
        <f t="shared" si="70"/>
        <v>2316.1360540582018</v>
      </c>
      <c r="AJ65" s="233">
        <f t="shared" si="70"/>
        <v>2320.9069151082408</v>
      </c>
      <c r="AK65" s="233">
        <f t="shared" si="70"/>
        <v>2325.6876033509097</v>
      </c>
      <c r="AL65" s="233">
        <f t="shared" si="70"/>
        <v>2330.4781390286153</v>
      </c>
      <c r="AM65" s="233">
        <f t="shared" si="70"/>
        <v>2335.2785424254621</v>
      </c>
      <c r="AN65" s="233">
        <f t="shared" si="71"/>
        <v>2340.0888338673353</v>
      </c>
      <c r="AO65" s="233">
        <f t="shared" si="71"/>
        <v>2344.9090337219891</v>
      </c>
      <c r="AP65" s="233">
        <f t="shared" si="71"/>
        <v>2349.7391623991321</v>
      </c>
      <c r="AQ65" s="233">
        <f t="shared" si="71"/>
        <v>2354.5792403505111</v>
      </c>
      <c r="AR65" s="233">
        <f t="shared" si="71"/>
        <v>2359.4292880700041</v>
      </c>
      <c r="AS65" s="233">
        <f t="shared" si="71"/>
        <v>2364.2893260936999</v>
      </c>
      <c r="AT65" s="233">
        <f t="shared" si="71"/>
        <v>2369.1593749999902</v>
      </c>
      <c r="AU65" s="233">
        <f t="shared" si="71"/>
        <v>2374.0394554096529</v>
      </c>
      <c r="AV65" s="233">
        <f t="shared" si="71"/>
        <v>2378.9295879859433</v>
      </c>
      <c r="AW65" s="233">
        <f t="shared" si="71"/>
        <v>2383.8297934346788</v>
      </c>
      <c r="AX65" s="233">
        <f t="shared" si="72"/>
        <v>2388.7400925043271</v>
      </c>
      <c r="AY65" s="233">
        <f t="shared" si="72"/>
        <v>2393.6605059860949</v>
      </c>
      <c r="AZ65" s="233">
        <f t="shared" si="72"/>
        <v>2398.5910547140156</v>
      </c>
      <c r="BA65" s="233">
        <f t="shared" si="72"/>
        <v>2403.5317595650358</v>
      </c>
      <c r="BB65" s="233">
        <f t="shared" si="72"/>
        <v>2408.4826414591071</v>
      </c>
      <c r="BC65" s="233">
        <f t="shared" si="72"/>
        <v>2413.4437213592714</v>
      </c>
      <c r="BD65" s="233">
        <f t="shared" si="72"/>
        <v>2418.4150202717515</v>
      </c>
      <c r="BE65" s="233">
        <f t="shared" si="72"/>
        <v>2423.3965592460399</v>
      </c>
      <c r="BF65" s="233">
        <f t="shared" si="72"/>
        <v>2428.388359374987</v>
      </c>
      <c r="BG65" s="233">
        <f t="shared" si="72"/>
        <v>2433.3904417948911</v>
      </c>
      <c r="BH65" s="233">
        <f t="shared" si="73"/>
        <v>2438.4028276855893</v>
      </c>
      <c r="BI65" s="233">
        <f t="shared" si="73"/>
        <v>2443.4255382705433</v>
      </c>
      <c r="BJ65" s="233">
        <f t="shared" si="73"/>
        <v>2448.4585948169329</v>
      </c>
      <c r="BK65" s="233">
        <f t="shared" si="73"/>
        <v>2453.5020186357451</v>
      </c>
      <c r="BL65" s="233">
        <f t="shared" si="73"/>
        <v>2458.5558310818633</v>
      </c>
      <c r="BM65" s="233">
        <f t="shared" si="73"/>
        <v>2463.6200535541593</v>
      </c>
      <c r="BN65" s="233">
        <f t="shared" si="73"/>
        <v>2468.694707495582</v>
      </c>
      <c r="BO65" s="233">
        <f t="shared" si="73"/>
        <v>2473.7798143932505</v>
      </c>
      <c r="BP65" s="233">
        <f t="shared" si="73"/>
        <v>2478.8753957785425</v>
      </c>
      <c r="BQ65" s="233">
        <f t="shared" si="73"/>
        <v>2483.9814732271884</v>
      </c>
      <c r="BR65" s="233">
        <f t="shared" si="74"/>
        <v>2489.0980683593589</v>
      </c>
      <c r="BS65" s="233">
        <f t="shared" si="74"/>
        <v>2494.2252028397611</v>
      </c>
      <c r="BT65" s="233">
        <f t="shared" si="74"/>
        <v>2499.3628983777267</v>
      </c>
      <c r="BU65" s="233">
        <f t="shared" si="74"/>
        <v>2504.5111767273042</v>
      </c>
      <c r="BV65" s="233">
        <f t="shared" si="74"/>
        <v>2509.6700596873538</v>
      </c>
      <c r="BW65" s="233">
        <f t="shared" si="74"/>
        <v>2514.8395691016362</v>
      </c>
      <c r="BX65" s="233">
        <f t="shared" si="74"/>
        <v>2520.0197268589077</v>
      </c>
      <c r="BY65" s="233">
        <f t="shared" si="74"/>
        <v>2525.2105548930108</v>
      </c>
      <c r="BZ65" s="233">
        <f t="shared" si="74"/>
        <v>2530.4120751829691</v>
      </c>
      <c r="CA65" s="233">
        <f t="shared" si="74"/>
        <v>2535.6243097530787</v>
      </c>
      <c r="CB65" s="233">
        <f t="shared" si="75"/>
        <v>2540.8472806730028</v>
      </c>
      <c r="CC65" s="233">
        <f t="shared" si="75"/>
        <v>2546.0810100578642</v>
      </c>
      <c r="CD65" s="233">
        <f t="shared" si="75"/>
        <v>2551.3255200683393</v>
      </c>
      <c r="CE65" s="233">
        <f t="shared" si="75"/>
        <v>2556.5808329107513</v>
      </c>
      <c r="CF65" s="233">
        <f t="shared" si="75"/>
        <v>2561.8469708371658</v>
      </c>
      <c r="CG65" s="233">
        <f t="shared" si="75"/>
        <v>2567.1239561454831</v>
      </c>
      <c r="CH65" s="233">
        <f t="shared" si="75"/>
        <v>2572.4118111795333</v>
      </c>
      <c r="CI65" s="233">
        <f t="shared" si="75"/>
        <v>2577.7105583291727</v>
      </c>
      <c r="CJ65" s="233">
        <f t="shared" si="75"/>
        <v>2583.0202200303756</v>
      </c>
      <c r="CK65" s="233">
        <f t="shared" si="75"/>
        <v>2588.3408187653313</v>
      </c>
      <c r="CL65" s="233">
        <f t="shared" si="76"/>
        <v>2593.672377062539</v>
      </c>
      <c r="CM65" s="233">
        <f t="shared" si="76"/>
        <v>2599.0149174969015</v>
      </c>
      <c r="CN65" s="233">
        <f t="shared" si="76"/>
        <v>2604.3684626898239</v>
      </c>
      <c r="CO65" s="233">
        <f t="shared" si="76"/>
        <v>2609.7330353093071</v>
      </c>
      <c r="CP65" s="233">
        <f t="shared" si="76"/>
        <v>2615.1086580700439</v>
      </c>
      <c r="CQ65" s="233">
        <f t="shared" si="76"/>
        <v>2620.4953537335164</v>
      </c>
      <c r="CR65" s="233">
        <f t="shared" si="76"/>
        <v>2625.8931451080912</v>
      </c>
      <c r="CS65" s="233">
        <f t="shared" si="76"/>
        <v>2631.302055049116</v>
      </c>
      <c r="CT65" s="233">
        <f t="shared" si="76"/>
        <v>2636.7221064590181</v>
      </c>
      <c r="CU65" s="233">
        <f t="shared" si="76"/>
        <v>2642.1533222873986</v>
      </c>
      <c r="CV65" s="233">
        <f t="shared" si="77"/>
        <v>2647.5957255311318</v>
      </c>
      <c r="CW65" s="233">
        <f t="shared" si="77"/>
        <v>2653.0493392344615</v>
      </c>
      <c r="CX65" s="233">
        <f t="shared" si="77"/>
        <v>2658.5141864890988</v>
      </c>
      <c r="CY65" s="233">
        <f t="shared" si="77"/>
        <v>2663.9902904343207</v>
      </c>
      <c r="CZ65" s="233">
        <f t="shared" si="77"/>
        <v>2669.4776742570662</v>
      </c>
      <c r="DA65" s="233">
        <f t="shared" si="77"/>
        <v>2674.9763611920362</v>
      </c>
      <c r="DB65" s="233">
        <f t="shared" si="77"/>
        <v>2680.4863745217917</v>
      </c>
      <c r="DC65" s="233">
        <f t="shared" si="77"/>
        <v>2686.007737576851</v>
      </c>
      <c r="DD65" s="233">
        <f t="shared" si="77"/>
        <v>2691.5404737357899</v>
      </c>
      <c r="DE65" s="233">
        <f t="shared" si="77"/>
        <v>2697.0846064253406</v>
      </c>
      <c r="DF65" s="233">
        <f t="shared" si="78"/>
        <v>2702.6401591204899</v>
      </c>
      <c r="DG65" s="233">
        <f t="shared" si="78"/>
        <v>2708.2071553445803</v>
      </c>
      <c r="DH65" s="233">
        <f t="shared" si="78"/>
        <v>2713.7856186694066</v>
      </c>
      <c r="DI65" s="233">
        <f t="shared" si="78"/>
        <v>2719.3755727153193</v>
      </c>
      <c r="DJ65" s="233">
        <f t="shared" si="78"/>
        <v>2724.9770411513227</v>
      </c>
      <c r="DK65" s="233">
        <f t="shared" si="78"/>
        <v>2730.5900476951751</v>
      </c>
      <c r="DL65" s="233">
        <f t="shared" si="78"/>
        <v>2736.2146161134892</v>
      </c>
      <c r="DM65" s="233">
        <f t="shared" si="78"/>
        <v>2741.8507702218335</v>
      </c>
      <c r="DN65" s="233">
        <f t="shared" si="78"/>
        <v>2747.4985338848328</v>
      </c>
      <c r="DO65" s="233">
        <f t="shared" si="78"/>
        <v>2753.1579310162683</v>
      </c>
      <c r="DP65" s="233">
        <f t="shared" si="79"/>
        <v>2758.8289855791809</v>
      </c>
      <c r="DQ65" s="233">
        <f t="shared" si="79"/>
        <v>2764.51172158597</v>
      </c>
      <c r="DR65" s="233">
        <f t="shared" si="79"/>
        <v>2770.2061630984986</v>
      </c>
      <c r="DS65" s="233">
        <f t="shared" si="79"/>
        <v>2775.9123342281905</v>
      </c>
      <c r="DT65" s="233">
        <f t="shared" si="79"/>
        <v>2781.6302591361377</v>
      </c>
      <c r="DU65" s="233">
        <f t="shared" si="79"/>
        <v>2787.3599620331984</v>
      </c>
      <c r="DV65" s="233">
        <f t="shared" si="79"/>
        <v>2793.1014671801022</v>
      </c>
      <c r="DW65" s="233">
        <f t="shared" si="79"/>
        <v>2798.8547988875507</v>
      </c>
      <c r="DX65" s="233">
        <f t="shared" si="79"/>
        <v>2804.6199815163222</v>
      </c>
      <c r="DY65" s="233">
        <f t="shared" si="79"/>
        <v>2810.3970394773755</v>
      </c>
      <c r="DZ65" s="233">
        <f t="shared" si="80"/>
        <v>2816.1859972319498</v>
      </c>
      <c r="EA65" s="233">
        <f t="shared" si="80"/>
        <v>2821.9868792916714</v>
      </c>
      <c r="EB65" s="233">
        <f t="shared" si="80"/>
        <v>2827.7997102186569</v>
      </c>
      <c r="EC65" s="233">
        <f t="shared" si="80"/>
        <v>2833.624514625616</v>
      </c>
      <c r="ED65" s="233">
        <f t="shared" si="80"/>
        <v>2839.4613171759574</v>
      </c>
      <c r="EE65" s="233">
        <f t="shared" si="80"/>
        <v>2845.3101425838918</v>
      </c>
      <c r="EF65" s="233">
        <f t="shared" si="80"/>
        <v>2851.1710156145377</v>
      </c>
      <c r="EG65" s="233">
        <f t="shared" si="80"/>
        <v>2857.0439610840253</v>
      </c>
      <c r="EH65" s="233">
        <f t="shared" si="80"/>
        <v>2862.9290038596014</v>
      </c>
      <c r="EI65" s="233">
        <f t="shared" si="80"/>
        <v>2868.8261688597363</v>
      </c>
      <c r="EJ65" s="233">
        <f t="shared" si="80"/>
        <v>2874.7354810542274</v>
      </c>
      <c r="EK65" s="233">
        <f t="shared" si="80"/>
        <v>2880.6569654643067</v>
      </c>
    </row>
    <row r="66" spans="2:141" x14ac:dyDescent="0.45">
      <c r="B66" s="230">
        <f>Assumptions!B103</f>
        <v>58</v>
      </c>
      <c r="C66" s="230" t="str">
        <f>Assumptions!C103</f>
        <v>Fair Market</v>
      </c>
      <c r="D66" s="439">
        <f>Assumptions!D103</f>
        <v>1</v>
      </c>
      <c r="E66" s="22">
        <f>Assumptions!G103</f>
        <v>21</v>
      </c>
      <c r="F66" s="22">
        <f>IF(D66=1,E66+SUM(Assumptions!$G$142:$G$143),'Rent Roll Model'!E66)</f>
        <v>25</v>
      </c>
      <c r="G66" s="233">
        <f>Assumptions!I103</f>
        <v>1700</v>
      </c>
      <c r="H66" s="233">
        <f>Assumptions!J103</f>
        <v>2200</v>
      </c>
      <c r="J66" s="233">
        <f t="shared" si="68"/>
        <v>1700</v>
      </c>
      <c r="K66" s="233">
        <f t="shared" si="68"/>
        <v>1703.5017216587325</v>
      </c>
      <c r="L66" s="233">
        <f t="shared" si="68"/>
        <v>1707.0106562907449</v>
      </c>
      <c r="M66" s="233">
        <f t="shared" si="68"/>
        <v>1710.5268187535805</v>
      </c>
      <c r="N66" s="233">
        <f t="shared" si="68"/>
        <v>1714.050223935388</v>
      </c>
      <c r="O66" s="233">
        <f t="shared" si="68"/>
        <v>1717.580886754982</v>
      </c>
      <c r="P66" s="233">
        <f t="shared" si="68"/>
        <v>1721.1188221619086</v>
      </c>
      <c r="Q66" s="233">
        <f t="shared" si="68"/>
        <v>1724.6640451365065</v>
      </c>
      <c r="R66" s="233">
        <f t="shared" si="68"/>
        <v>1728.2165706899725</v>
      </c>
      <c r="S66" s="233">
        <f t="shared" si="68"/>
        <v>1731.7764138644231</v>
      </c>
      <c r="T66" s="233">
        <f t="shared" si="69"/>
        <v>1735.3435897329593</v>
      </c>
      <c r="U66" s="233">
        <f t="shared" si="69"/>
        <v>1738.9181133997304</v>
      </c>
      <c r="V66" s="233">
        <f t="shared" si="69"/>
        <v>1742.4999999999975</v>
      </c>
      <c r="W66" s="233">
        <f t="shared" si="69"/>
        <v>1746.0892647001988</v>
      </c>
      <c r="X66" s="233">
        <f t="shared" si="69"/>
        <v>1749.6859226980114</v>
      </c>
      <c r="Y66" s="233">
        <f t="shared" si="69"/>
        <v>1753.2899892224182</v>
      </c>
      <c r="Z66" s="233">
        <f t="shared" si="69"/>
        <v>1756.9014795337705</v>
      </c>
      <c r="AA66" s="233">
        <f t="shared" si="69"/>
        <v>1760.5204089238546</v>
      </c>
      <c r="AB66" s="233">
        <f t="shared" si="69"/>
        <v>1764.1467927159542</v>
      </c>
      <c r="AC66" s="233">
        <f t="shared" si="69"/>
        <v>1767.7806462649173</v>
      </c>
      <c r="AD66" s="233">
        <f t="shared" si="70"/>
        <v>0</v>
      </c>
      <c r="AE66" s="233">
        <f t="shared" si="70"/>
        <v>0</v>
      </c>
      <c r="AF66" s="233">
        <f t="shared" si="70"/>
        <v>0</v>
      </c>
      <c r="AG66" s="233">
        <f t="shared" si="70"/>
        <v>0</v>
      </c>
      <c r="AH66" s="233">
        <f t="shared" si="70"/>
        <v>2311.3749999999941</v>
      </c>
      <c r="AI66" s="233">
        <f t="shared" si="70"/>
        <v>2316.1360540582018</v>
      </c>
      <c r="AJ66" s="233">
        <f t="shared" si="70"/>
        <v>2320.9069151082408</v>
      </c>
      <c r="AK66" s="233">
        <f t="shared" si="70"/>
        <v>2325.6876033509097</v>
      </c>
      <c r="AL66" s="233">
        <f t="shared" si="70"/>
        <v>2330.4781390286153</v>
      </c>
      <c r="AM66" s="233">
        <f t="shared" si="70"/>
        <v>2335.2785424254621</v>
      </c>
      <c r="AN66" s="233">
        <f t="shared" si="71"/>
        <v>2340.0888338673353</v>
      </c>
      <c r="AO66" s="233">
        <f t="shared" si="71"/>
        <v>2344.9090337219891</v>
      </c>
      <c r="AP66" s="233">
        <f t="shared" si="71"/>
        <v>2349.7391623991321</v>
      </c>
      <c r="AQ66" s="233">
        <f t="shared" si="71"/>
        <v>2354.5792403505111</v>
      </c>
      <c r="AR66" s="233">
        <f t="shared" si="71"/>
        <v>2359.4292880700041</v>
      </c>
      <c r="AS66" s="233">
        <f t="shared" si="71"/>
        <v>2364.2893260936999</v>
      </c>
      <c r="AT66" s="233">
        <f t="shared" si="71"/>
        <v>2369.1593749999902</v>
      </c>
      <c r="AU66" s="233">
        <f t="shared" si="71"/>
        <v>2374.0394554096529</v>
      </c>
      <c r="AV66" s="233">
        <f t="shared" si="71"/>
        <v>2378.9295879859433</v>
      </c>
      <c r="AW66" s="233">
        <f t="shared" si="71"/>
        <v>2383.8297934346788</v>
      </c>
      <c r="AX66" s="233">
        <f t="shared" si="72"/>
        <v>2388.7400925043271</v>
      </c>
      <c r="AY66" s="233">
        <f t="shared" si="72"/>
        <v>2393.6605059860949</v>
      </c>
      <c r="AZ66" s="233">
        <f t="shared" si="72"/>
        <v>2398.5910547140156</v>
      </c>
      <c r="BA66" s="233">
        <f t="shared" si="72"/>
        <v>2403.5317595650358</v>
      </c>
      <c r="BB66" s="233">
        <f t="shared" si="72"/>
        <v>2408.4826414591071</v>
      </c>
      <c r="BC66" s="233">
        <f t="shared" si="72"/>
        <v>2413.4437213592714</v>
      </c>
      <c r="BD66" s="233">
        <f t="shared" si="72"/>
        <v>2418.4150202717515</v>
      </c>
      <c r="BE66" s="233">
        <f t="shared" si="72"/>
        <v>2423.3965592460399</v>
      </c>
      <c r="BF66" s="233">
        <f t="shared" si="72"/>
        <v>2428.388359374987</v>
      </c>
      <c r="BG66" s="233">
        <f t="shared" si="72"/>
        <v>2433.3904417948911</v>
      </c>
      <c r="BH66" s="233">
        <f t="shared" si="73"/>
        <v>2438.4028276855893</v>
      </c>
      <c r="BI66" s="233">
        <f t="shared" si="73"/>
        <v>2443.4255382705433</v>
      </c>
      <c r="BJ66" s="233">
        <f t="shared" si="73"/>
        <v>2448.4585948169329</v>
      </c>
      <c r="BK66" s="233">
        <f t="shared" si="73"/>
        <v>2453.5020186357451</v>
      </c>
      <c r="BL66" s="233">
        <f t="shared" si="73"/>
        <v>2458.5558310818633</v>
      </c>
      <c r="BM66" s="233">
        <f t="shared" si="73"/>
        <v>2463.6200535541593</v>
      </c>
      <c r="BN66" s="233">
        <f t="shared" si="73"/>
        <v>2468.694707495582</v>
      </c>
      <c r="BO66" s="233">
        <f t="shared" si="73"/>
        <v>2473.7798143932505</v>
      </c>
      <c r="BP66" s="233">
        <f t="shared" si="73"/>
        <v>2478.8753957785425</v>
      </c>
      <c r="BQ66" s="233">
        <f t="shared" si="73"/>
        <v>2483.9814732271884</v>
      </c>
      <c r="BR66" s="233">
        <f t="shared" si="74"/>
        <v>2489.0980683593589</v>
      </c>
      <c r="BS66" s="233">
        <f t="shared" si="74"/>
        <v>2494.2252028397611</v>
      </c>
      <c r="BT66" s="233">
        <f t="shared" si="74"/>
        <v>2499.3628983777267</v>
      </c>
      <c r="BU66" s="233">
        <f t="shared" si="74"/>
        <v>2504.5111767273042</v>
      </c>
      <c r="BV66" s="233">
        <f t="shared" si="74"/>
        <v>2509.6700596873538</v>
      </c>
      <c r="BW66" s="233">
        <f t="shared" si="74"/>
        <v>2514.8395691016362</v>
      </c>
      <c r="BX66" s="233">
        <f t="shared" si="74"/>
        <v>2520.0197268589077</v>
      </c>
      <c r="BY66" s="233">
        <f t="shared" si="74"/>
        <v>2525.2105548930108</v>
      </c>
      <c r="BZ66" s="233">
        <f t="shared" si="74"/>
        <v>2530.4120751829691</v>
      </c>
      <c r="CA66" s="233">
        <f t="shared" si="74"/>
        <v>2535.6243097530787</v>
      </c>
      <c r="CB66" s="233">
        <f t="shared" si="75"/>
        <v>2540.8472806730028</v>
      </c>
      <c r="CC66" s="233">
        <f t="shared" si="75"/>
        <v>2546.0810100578642</v>
      </c>
      <c r="CD66" s="233">
        <f t="shared" si="75"/>
        <v>2551.3255200683393</v>
      </c>
      <c r="CE66" s="233">
        <f t="shared" si="75"/>
        <v>2556.5808329107513</v>
      </c>
      <c r="CF66" s="233">
        <f t="shared" si="75"/>
        <v>2561.8469708371658</v>
      </c>
      <c r="CG66" s="233">
        <f t="shared" si="75"/>
        <v>2567.1239561454831</v>
      </c>
      <c r="CH66" s="233">
        <f t="shared" si="75"/>
        <v>2572.4118111795333</v>
      </c>
      <c r="CI66" s="233">
        <f t="shared" si="75"/>
        <v>2577.7105583291727</v>
      </c>
      <c r="CJ66" s="233">
        <f t="shared" si="75"/>
        <v>2583.0202200303756</v>
      </c>
      <c r="CK66" s="233">
        <f t="shared" si="75"/>
        <v>2588.3408187653313</v>
      </c>
      <c r="CL66" s="233">
        <f t="shared" si="76"/>
        <v>2593.672377062539</v>
      </c>
      <c r="CM66" s="233">
        <f t="shared" si="76"/>
        <v>2599.0149174969015</v>
      </c>
      <c r="CN66" s="233">
        <f t="shared" si="76"/>
        <v>2604.3684626898239</v>
      </c>
      <c r="CO66" s="233">
        <f t="shared" si="76"/>
        <v>2609.7330353093071</v>
      </c>
      <c r="CP66" s="233">
        <f t="shared" si="76"/>
        <v>2615.1086580700439</v>
      </c>
      <c r="CQ66" s="233">
        <f t="shared" si="76"/>
        <v>2620.4953537335164</v>
      </c>
      <c r="CR66" s="233">
        <f t="shared" si="76"/>
        <v>2625.8931451080912</v>
      </c>
      <c r="CS66" s="233">
        <f t="shared" si="76"/>
        <v>2631.302055049116</v>
      </c>
      <c r="CT66" s="233">
        <f t="shared" si="76"/>
        <v>2636.7221064590181</v>
      </c>
      <c r="CU66" s="233">
        <f t="shared" si="76"/>
        <v>2642.1533222873986</v>
      </c>
      <c r="CV66" s="233">
        <f t="shared" si="77"/>
        <v>2647.5957255311318</v>
      </c>
      <c r="CW66" s="233">
        <f t="shared" si="77"/>
        <v>2653.0493392344615</v>
      </c>
      <c r="CX66" s="233">
        <f t="shared" si="77"/>
        <v>2658.5141864890988</v>
      </c>
      <c r="CY66" s="233">
        <f t="shared" si="77"/>
        <v>2663.9902904343207</v>
      </c>
      <c r="CZ66" s="233">
        <f t="shared" si="77"/>
        <v>2669.4776742570662</v>
      </c>
      <c r="DA66" s="233">
        <f t="shared" si="77"/>
        <v>2674.9763611920362</v>
      </c>
      <c r="DB66" s="233">
        <f t="shared" si="77"/>
        <v>2680.4863745217917</v>
      </c>
      <c r="DC66" s="233">
        <f t="shared" si="77"/>
        <v>2686.007737576851</v>
      </c>
      <c r="DD66" s="233">
        <f t="shared" si="77"/>
        <v>2691.5404737357899</v>
      </c>
      <c r="DE66" s="233">
        <f t="shared" si="77"/>
        <v>2697.0846064253406</v>
      </c>
      <c r="DF66" s="233">
        <f t="shared" si="78"/>
        <v>2702.6401591204899</v>
      </c>
      <c r="DG66" s="233">
        <f t="shared" si="78"/>
        <v>2708.2071553445803</v>
      </c>
      <c r="DH66" s="233">
        <f t="shared" si="78"/>
        <v>2713.7856186694066</v>
      </c>
      <c r="DI66" s="233">
        <f t="shared" si="78"/>
        <v>2719.3755727153193</v>
      </c>
      <c r="DJ66" s="233">
        <f t="shared" si="78"/>
        <v>2724.9770411513227</v>
      </c>
      <c r="DK66" s="233">
        <f t="shared" si="78"/>
        <v>2730.5900476951751</v>
      </c>
      <c r="DL66" s="233">
        <f t="shared" si="78"/>
        <v>2736.2146161134892</v>
      </c>
      <c r="DM66" s="233">
        <f t="shared" si="78"/>
        <v>2741.8507702218335</v>
      </c>
      <c r="DN66" s="233">
        <f t="shared" si="78"/>
        <v>2747.4985338848328</v>
      </c>
      <c r="DO66" s="233">
        <f t="shared" si="78"/>
        <v>2753.1579310162683</v>
      </c>
      <c r="DP66" s="233">
        <f t="shared" si="79"/>
        <v>2758.8289855791809</v>
      </c>
      <c r="DQ66" s="233">
        <f t="shared" si="79"/>
        <v>2764.51172158597</v>
      </c>
      <c r="DR66" s="233">
        <f t="shared" si="79"/>
        <v>2770.2061630984986</v>
      </c>
      <c r="DS66" s="233">
        <f t="shared" si="79"/>
        <v>2775.9123342281905</v>
      </c>
      <c r="DT66" s="233">
        <f t="shared" si="79"/>
        <v>2781.6302591361377</v>
      </c>
      <c r="DU66" s="233">
        <f t="shared" si="79"/>
        <v>2787.3599620331984</v>
      </c>
      <c r="DV66" s="233">
        <f t="shared" si="79"/>
        <v>2793.1014671801022</v>
      </c>
      <c r="DW66" s="233">
        <f t="shared" si="79"/>
        <v>2798.8547988875507</v>
      </c>
      <c r="DX66" s="233">
        <f t="shared" si="79"/>
        <v>2804.6199815163222</v>
      </c>
      <c r="DY66" s="233">
        <f t="shared" si="79"/>
        <v>2810.3970394773755</v>
      </c>
      <c r="DZ66" s="233">
        <f t="shared" si="80"/>
        <v>2816.1859972319498</v>
      </c>
      <c r="EA66" s="233">
        <f t="shared" si="80"/>
        <v>2821.9868792916714</v>
      </c>
      <c r="EB66" s="233">
        <f t="shared" si="80"/>
        <v>2827.7997102186569</v>
      </c>
      <c r="EC66" s="233">
        <f t="shared" si="80"/>
        <v>2833.624514625616</v>
      </c>
      <c r="ED66" s="233">
        <f t="shared" si="80"/>
        <v>2839.4613171759574</v>
      </c>
      <c r="EE66" s="233">
        <f t="shared" si="80"/>
        <v>2845.3101425838918</v>
      </c>
      <c r="EF66" s="233">
        <f t="shared" si="80"/>
        <v>2851.1710156145377</v>
      </c>
      <c r="EG66" s="233">
        <f t="shared" si="80"/>
        <v>2857.0439610840253</v>
      </c>
      <c r="EH66" s="233">
        <f t="shared" si="80"/>
        <v>2862.9290038596014</v>
      </c>
      <c r="EI66" s="233">
        <f t="shared" si="80"/>
        <v>2868.8261688597363</v>
      </c>
      <c r="EJ66" s="233">
        <f t="shared" si="80"/>
        <v>2874.7354810542274</v>
      </c>
      <c r="EK66" s="233">
        <f t="shared" si="80"/>
        <v>2880.6569654643067</v>
      </c>
    </row>
    <row r="67" spans="2:141" x14ac:dyDescent="0.45">
      <c r="B67" s="230">
        <f>Assumptions!B104</f>
        <v>59</v>
      </c>
      <c r="C67" s="230" t="str">
        <f>Assumptions!C104</f>
        <v>Fair Market</v>
      </c>
      <c r="D67" s="439">
        <f>Assumptions!D104</f>
        <v>1</v>
      </c>
      <c r="E67" s="22">
        <f>Assumptions!G104</f>
        <v>21</v>
      </c>
      <c r="F67" s="22">
        <f>IF(D67=1,E67+SUM(Assumptions!$G$142:$G$143),'Rent Roll Model'!E67)</f>
        <v>25</v>
      </c>
      <c r="G67" s="233">
        <f>Assumptions!I104</f>
        <v>1522.5</v>
      </c>
      <c r="H67" s="233">
        <f>Assumptions!J104</f>
        <v>2200</v>
      </c>
      <c r="J67" s="233">
        <f t="shared" si="68"/>
        <v>1522.5</v>
      </c>
      <c r="K67" s="233">
        <f t="shared" si="68"/>
        <v>1525.6361007208357</v>
      </c>
      <c r="L67" s="233">
        <f t="shared" si="68"/>
        <v>1528.7786612956818</v>
      </c>
      <c r="M67" s="233">
        <f t="shared" si="68"/>
        <v>1531.9276950307803</v>
      </c>
      <c r="N67" s="233">
        <f t="shared" si="68"/>
        <v>1535.0832152597814</v>
      </c>
      <c r="O67" s="233">
        <f t="shared" si="68"/>
        <v>1538.2452353438</v>
      </c>
      <c r="P67" s="233">
        <f t="shared" si="68"/>
        <v>1541.4137686714739</v>
      </c>
      <c r="Q67" s="233">
        <f t="shared" si="68"/>
        <v>1544.5888286590184</v>
      </c>
      <c r="R67" s="233">
        <f t="shared" si="68"/>
        <v>1547.7704287502843</v>
      </c>
      <c r="S67" s="233">
        <f t="shared" si="68"/>
        <v>1550.9585824168144</v>
      </c>
      <c r="T67" s="233">
        <f t="shared" si="69"/>
        <v>1554.1533031579004</v>
      </c>
      <c r="U67" s="233">
        <f t="shared" si="69"/>
        <v>1557.3546045006408</v>
      </c>
      <c r="V67" s="233">
        <f t="shared" si="69"/>
        <v>1560.5624999999977</v>
      </c>
      <c r="W67" s="233">
        <f t="shared" si="69"/>
        <v>1563.7770032388544</v>
      </c>
      <c r="X67" s="233">
        <f t="shared" si="69"/>
        <v>1566.9981278280718</v>
      </c>
      <c r="Y67" s="233">
        <f t="shared" si="69"/>
        <v>1570.2258874065481</v>
      </c>
      <c r="Z67" s="233">
        <f t="shared" si="69"/>
        <v>1573.4602956412739</v>
      </c>
      <c r="AA67" s="233">
        <f t="shared" si="69"/>
        <v>1576.7013662273932</v>
      </c>
      <c r="AB67" s="233">
        <f t="shared" si="69"/>
        <v>1579.9491128882592</v>
      </c>
      <c r="AC67" s="233">
        <f t="shared" si="69"/>
        <v>1583.203549375492</v>
      </c>
      <c r="AD67" s="233">
        <f t="shared" si="70"/>
        <v>0</v>
      </c>
      <c r="AE67" s="233">
        <f t="shared" si="70"/>
        <v>0</v>
      </c>
      <c r="AF67" s="233">
        <f t="shared" si="70"/>
        <v>0</v>
      </c>
      <c r="AG67" s="233">
        <f t="shared" si="70"/>
        <v>0</v>
      </c>
      <c r="AH67" s="233">
        <f t="shared" si="70"/>
        <v>2311.3749999999941</v>
      </c>
      <c r="AI67" s="233">
        <f t="shared" si="70"/>
        <v>2316.1360540582018</v>
      </c>
      <c r="AJ67" s="233">
        <f t="shared" si="70"/>
        <v>2320.9069151082408</v>
      </c>
      <c r="AK67" s="233">
        <f t="shared" si="70"/>
        <v>2325.6876033509097</v>
      </c>
      <c r="AL67" s="233">
        <f t="shared" si="70"/>
        <v>2330.4781390286153</v>
      </c>
      <c r="AM67" s="233">
        <f t="shared" si="70"/>
        <v>2335.2785424254621</v>
      </c>
      <c r="AN67" s="233">
        <f t="shared" si="71"/>
        <v>2340.0888338673353</v>
      </c>
      <c r="AO67" s="233">
        <f t="shared" si="71"/>
        <v>2344.9090337219891</v>
      </c>
      <c r="AP67" s="233">
        <f t="shared" si="71"/>
        <v>2349.7391623991321</v>
      </c>
      <c r="AQ67" s="233">
        <f t="shared" si="71"/>
        <v>2354.5792403505111</v>
      </c>
      <c r="AR67" s="233">
        <f t="shared" si="71"/>
        <v>2359.4292880700041</v>
      </c>
      <c r="AS67" s="233">
        <f t="shared" si="71"/>
        <v>2364.2893260936999</v>
      </c>
      <c r="AT67" s="233">
        <f t="shared" si="71"/>
        <v>2369.1593749999902</v>
      </c>
      <c r="AU67" s="233">
        <f t="shared" si="71"/>
        <v>2374.0394554096529</v>
      </c>
      <c r="AV67" s="233">
        <f t="shared" si="71"/>
        <v>2378.9295879859433</v>
      </c>
      <c r="AW67" s="233">
        <f t="shared" si="71"/>
        <v>2383.8297934346788</v>
      </c>
      <c r="AX67" s="233">
        <f t="shared" si="72"/>
        <v>2388.7400925043271</v>
      </c>
      <c r="AY67" s="233">
        <f t="shared" si="72"/>
        <v>2393.6605059860949</v>
      </c>
      <c r="AZ67" s="233">
        <f t="shared" si="72"/>
        <v>2398.5910547140156</v>
      </c>
      <c r="BA67" s="233">
        <f t="shared" si="72"/>
        <v>2403.5317595650358</v>
      </c>
      <c r="BB67" s="233">
        <f t="shared" si="72"/>
        <v>2408.4826414591071</v>
      </c>
      <c r="BC67" s="233">
        <f t="shared" si="72"/>
        <v>2413.4437213592714</v>
      </c>
      <c r="BD67" s="233">
        <f t="shared" si="72"/>
        <v>2418.4150202717515</v>
      </c>
      <c r="BE67" s="233">
        <f t="shared" si="72"/>
        <v>2423.3965592460399</v>
      </c>
      <c r="BF67" s="233">
        <f t="shared" si="72"/>
        <v>2428.388359374987</v>
      </c>
      <c r="BG67" s="233">
        <f t="shared" si="72"/>
        <v>2433.3904417948911</v>
      </c>
      <c r="BH67" s="233">
        <f t="shared" si="73"/>
        <v>2438.4028276855893</v>
      </c>
      <c r="BI67" s="233">
        <f t="shared" si="73"/>
        <v>2443.4255382705433</v>
      </c>
      <c r="BJ67" s="233">
        <f t="shared" si="73"/>
        <v>2448.4585948169329</v>
      </c>
      <c r="BK67" s="233">
        <f t="shared" si="73"/>
        <v>2453.5020186357451</v>
      </c>
      <c r="BL67" s="233">
        <f t="shared" si="73"/>
        <v>2458.5558310818633</v>
      </c>
      <c r="BM67" s="233">
        <f t="shared" si="73"/>
        <v>2463.6200535541593</v>
      </c>
      <c r="BN67" s="233">
        <f t="shared" si="73"/>
        <v>2468.694707495582</v>
      </c>
      <c r="BO67" s="233">
        <f t="shared" si="73"/>
        <v>2473.7798143932505</v>
      </c>
      <c r="BP67" s="233">
        <f t="shared" si="73"/>
        <v>2478.8753957785425</v>
      </c>
      <c r="BQ67" s="233">
        <f t="shared" si="73"/>
        <v>2483.9814732271884</v>
      </c>
      <c r="BR67" s="233">
        <f t="shared" si="74"/>
        <v>2489.0980683593589</v>
      </c>
      <c r="BS67" s="233">
        <f t="shared" si="74"/>
        <v>2494.2252028397611</v>
      </c>
      <c r="BT67" s="233">
        <f t="shared" si="74"/>
        <v>2499.3628983777267</v>
      </c>
      <c r="BU67" s="233">
        <f t="shared" si="74"/>
        <v>2504.5111767273042</v>
      </c>
      <c r="BV67" s="233">
        <f t="shared" si="74"/>
        <v>2509.6700596873538</v>
      </c>
      <c r="BW67" s="233">
        <f t="shared" si="74"/>
        <v>2514.8395691016362</v>
      </c>
      <c r="BX67" s="233">
        <f t="shared" si="74"/>
        <v>2520.0197268589077</v>
      </c>
      <c r="BY67" s="233">
        <f t="shared" si="74"/>
        <v>2525.2105548930108</v>
      </c>
      <c r="BZ67" s="233">
        <f t="shared" si="74"/>
        <v>2530.4120751829691</v>
      </c>
      <c r="CA67" s="233">
        <f t="shared" si="74"/>
        <v>2535.6243097530787</v>
      </c>
      <c r="CB67" s="233">
        <f t="shared" si="75"/>
        <v>2540.8472806730028</v>
      </c>
      <c r="CC67" s="233">
        <f t="shared" si="75"/>
        <v>2546.0810100578642</v>
      </c>
      <c r="CD67" s="233">
        <f t="shared" si="75"/>
        <v>2551.3255200683393</v>
      </c>
      <c r="CE67" s="233">
        <f t="shared" si="75"/>
        <v>2556.5808329107513</v>
      </c>
      <c r="CF67" s="233">
        <f t="shared" si="75"/>
        <v>2561.8469708371658</v>
      </c>
      <c r="CG67" s="233">
        <f t="shared" si="75"/>
        <v>2567.1239561454831</v>
      </c>
      <c r="CH67" s="233">
        <f t="shared" si="75"/>
        <v>2572.4118111795333</v>
      </c>
      <c r="CI67" s="233">
        <f t="shared" si="75"/>
        <v>2577.7105583291727</v>
      </c>
      <c r="CJ67" s="233">
        <f t="shared" si="75"/>
        <v>2583.0202200303756</v>
      </c>
      <c r="CK67" s="233">
        <f t="shared" si="75"/>
        <v>2588.3408187653313</v>
      </c>
      <c r="CL67" s="233">
        <f t="shared" si="76"/>
        <v>2593.672377062539</v>
      </c>
      <c r="CM67" s="233">
        <f t="shared" si="76"/>
        <v>2599.0149174969015</v>
      </c>
      <c r="CN67" s="233">
        <f t="shared" si="76"/>
        <v>2604.3684626898239</v>
      </c>
      <c r="CO67" s="233">
        <f t="shared" si="76"/>
        <v>2609.7330353093071</v>
      </c>
      <c r="CP67" s="233">
        <f t="shared" si="76"/>
        <v>2615.1086580700439</v>
      </c>
      <c r="CQ67" s="233">
        <f t="shared" si="76"/>
        <v>2620.4953537335164</v>
      </c>
      <c r="CR67" s="233">
        <f t="shared" si="76"/>
        <v>2625.8931451080912</v>
      </c>
      <c r="CS67" s="233">
        <f t="shared" si="76"/>
        <v>2631.302055049116</v>
      </c>
      <c r="CT67" s="233">
        <f t="shared" si="76"/>
        <v>2636.7221064590181</v>
      </c>
      <c r="CU67" s="233">
        <f t="shared" si="76"/>
        <v>2642.1533222873986</v>
      </c>
      <c r="CV67" s="233">
        <f t="shared" si="77"/>
        <v>2647.5957255311318</v>
      </c>
      <c r="CW67" s="233">
        <f t="shared" si="77"/>
        <v>2653.0493392344615</v>
      </c>
      <c r="CX67" s="233">
        <f t="shared" si="77"/>
        <v>2658.5141864890988</v>
      </c>
      <c r="CY67" s="233">
        <f t="shared" si="77"/>
        <v>2663.9902904343207</v>
      </c>
      <c r="CZ67" s="233">
        <f t="shared" si="77"/>
        <v>2669.4776742570662</v>
      </c>
      <c r="DA67" s="233">
        <f t="shared" si="77"/>
        <v>2674.9763611920362</v>
      </c>
      <c r="DB67" s="233">
        <f t="shared" si="77"/>
        <v>2680.4863745217917</v>
      </c>
      <c r="DC67" s="233">
        <f t="shared" si="77"/>
        <v>2686.007737576851</v>
      </c>
      <c r="DD67" s="233">
        <f t="shared" si="77"/>
        <v>2691.5404737357899</v>
      </c>
      <c r="DE67" s="233">
        <f t="shared" si="77"/>
        <v>2697.0846064253406</v>
      </c>
      <c r="DF67" s="233">
        <f t="shared" si="78"/>
        <v>2702.6401591204899</v>
      </c>
      <c r="DG67" s="233">
        <f t="shared" si="78"/>
        <v>2708.2071553445803</v>
      </c>
      <c r="DH67" s="233">
        <f t="shared" si="78"/>
        <v>2713.7856186694066</v>
      </c>
      <c r="DI67" s="233">
        <f t="shared" si="78"/>
        <v>2719.3755727153193</v>
      </c>
      <c r="DJ67" s="233">
        <f t="shared" si="78"/>
        <v>2724.9770411513227</v>
      </c>
      <c r="DK67" s="233">
        <f t="shared" si="78"/>
        <v>2730.5900476951751</v>
      </c>
      <c r="DL67" s="233">
        <f t="shared" si="78"/>
        <v>2736.2146161134892</v>
      </c>
      <c r="DM67" s="233">
        <f t="shared" si="78"/>
        <v>2741.8507702218335</v>
      </c>
      <c r="DN67" s="233">
        <f t="shared" si="78"/>
        <v>2747.4985338848328</v>
      </c>
      <c r="DO67" s="233">
        <f t="shared" si="78"/>
        <v>2753.1579310162683</v>
      </c>
      <c r="DP67" s="233">
        <f t="shared" si="79"/>
        <v>2758.8289855791809</v>
      </c>
      <c r="DQ67" s="233">
        <f t="shared" si="79"/>
        <v>2764.51172158597</v>
      </c>
      <c r="DR67" s="233">
        <f t="shared" si="79"/>
        <v>2770.2061630984986</v>
      </c>
      <c r="DS67" s="233">
        <f t="shared" si="79"/>
        <v>2775.9123342281905</v>
      </c>
      <c r="DT67" s="233">
        <f t="shared" si="79"/>
        <v>2781.6302591361377</v>
      </c>
      <c r="DU67" s="233">
        <f t="shared" si="79"/>
        <v>2787.3599620331984</v>
      </c>
      <c r="DV67" s="233">
        <f t="shared" si="79"/>
        <v>2793.1014671801022</v>
      </c>
      <c r="DW67" s="233">
        <f t="shared" si="79"/>
        <v>2798.8547988875507</v>
      </c>
      <c r="DX67" s="233">
        <f t="shared" si="79"/>
        <v>2804.6199815163222</v>
      </c>
      <c r="DY67" s="233">
        <f t="shared" si="79"/>
        <v>2810.3970394773755</v>
      </c>
      <c r="DZ67" s="233">
        <f t="shared" si="80"/>
        <v>2816.1859972319498</v>
      </c>
      <c r="EA67" s="233">
        <f t="shared" si="80"/>
        <v>2821.9868792916714</v>
      </c>
      <c r="EB67" s="233">
        <f t="shared" si="80"/>
        <v>2827.7997102186569</v>
      </c>
      <c r="EC67" s="233">
        <f t="shared" si="80"/>
        <v>2833.624514625616</v>
      </c>
      <c r="ED67" s="233">
        <f t="shared" si="80"/>
        <v>2839.4613171759574</v>
      </c>
      <c r="EE67" s="233">
        <f t="shared" si="80"/>
        <v>2845.3101425838918</v>
      </c>
      <c r="EF67" s="233">
        <f t="shared" si="80"/>
        <v>2851.1710156145377</v>
      </c>
      <c r="EG67" s="233">
        <f t="shared" si="80"/>
        <v>2857.0439610840253</v>
      </c>
      <c r="EH67" s="233">
        <f t="shared" si="80"/>
        <v>2862.9290038596014</v>
      </c>
      <c r="EI67" s="233">
        <f t="shared" si="80"/>
        <v>2868.8261688597363</v>
      </c>
      <c r="EJ67" s="233">
        <f t="shared" si="80"/>
        <v>2874.7354810542274</v>
      </c>
      <c r="EK67" s="233">
        <f t="shared" si="80"/>
        <v>2880.6569654643067</v>
      </c>
    </row>
    <row r="68" spans="2:141" x14ac:dyDescent="0.45">
      <c r="B68" s="230">
        <f>Assumptions!B105</f>
        <v>60</v>
      </c>
      <c r="C68" s="230" t="str">
        <f>Assumptions!C105</f>
        <v>Fair Market</v>
      </c>
      <c r="D68" s="439">
        <f>Assumptions!D105</f>
        <v>0</v>
      </c>
      <c r="E68" s="22">
        <f>Assumptions!G105</f>
        <v>21</v>
      </c>
      <c r="F68" s="22">
        <f>IF(D68=1,E68+SUM(Assumptions!$G$142:$G$143),'Rent Roll Model'!E68)</f>
        <v>21</v>
      </c>
      <c r="G68" s="233">
        <f>Assumptions!I105</f>
        <v>1451.66</v>
      </c>
      <c r="H68" s="233">
        <f>Assumptions!J105</f>
        <v>1451.66</v>
      </c>
      <c r="J68" s="233">
        <f t="shared" si="68"/>
        <v>1451.66</v>
      </c>
      <c r="K68" s="233">
        <f t="shared" si="68"/>
        <v>1454.65018191948</v>
      </c>
      <c r="L68" s="233">
        <f t="shared" si="68"/>
        <v>1457.6465231241311</v>
      </c>
      <c r="M68" s="233">
        <f t="shared" si="68"/>
        <v>1460.6490363010723</v>
      </c>
      <c r="N68" s="233">
        <f t="shared" si="68"/>
        <v>1463.6577341635561</v>
      </c>
      <c r="O68" s="233">
        <f t="shared" si="68"/>
        <v>1466.672629451022</v>
      </c>
      <c r="P68" s="233">
        <f t="shared" si="68"/>
        <v>1469.6937349291507</v>
      </c>
      <c r="Q68" s="233">
        <f t="shared" si="68"/>
        <v>1472.7210633899183</v>
      </c>
      <c r="R68" s="233">
        <f t="shared" si="68"/>
        <v>1475.7546276516505</v>
      </c>
      <c r="S68" s="233">
        <f t="shared" si="68"/>
        <v>1478.7944405590756</v>
      </c>
      <c r="T68" s="233">
        <f t="shared" si="69"/>
        <v>1481.8405149833811</v>
      </c>
      <c r="U68" s="233">
        <f t="shared" si="69"/>
        <v>1484.8928638222662</v>
      </c>
      <c r="V68" s="233">
        <f t="shared" si="69"/>
        <v>1487.9514999999981</v>
      </c>
      <c r="W68" s="233">
        <f t="shared" si="69"/>
        <v>1491.0164364674649</v>
      </c>
      <c r="X68" s="233">
        <f t="shared" si="69"/>
        <v>1494.0876862022326</v>
      </c>
      <c r="Y68" s="233">
        <f t="shared" si="69"/>
        <v>1497.1652622085974</v>
      </c>
      <c r="Z68" s="233">
        <f t="shared" si="69"/>
        <v>1500.2491775176431</v>
      </c>
      <c r="AA68" s="233">
        <f t="shared" si="69"/>
        <v>1503.339445187296</v>
      </c>
      <c r="AB68" s="233">
        <f t="shared" si="69"/>
        <v>1506.4360783023778</v>
      </c>
      <c r="AC68" s="233">
        <f t="shared" si="69"/>
        <v>1509.5390899746646</v>
      </c>
      <c r="AD68" s="233">
        <f t="shared" si="70"/>
        <v>1512.6484933429397</v>
      </c>
      <c r="AE68" s="233">
        <f t="shared" si="70"/>
        <v>1515.7643015730507</v>
      </c>
      <c r="AF68" s="233">
        <f t="shared" si="70"/>
        <v>1518.8865278579638</v>
      </c>
      <c r="AG68" s="233">
        <f t="shared" si="70"/>
        <v>1522.0151854178212</v>
      </c>
      <c r="AH68" s="233">
        <f t="shared" si="70"/>
        <v>1525.150287499996</v>
      </c>
      <c r="AI68" s="233">
        <f t="shared" si="70"/>
        <v>1528.2918473791497</v>
      </c>
      <c r="AJ68" s="233">
        <f t="shared" si="70"/>
        <v>1531.439878357286</v>
      </c>
      <c r="AK68" s="233">
        <f t="shared" si="70"/>
        <v>1534.5943937638099</v>
      </c>
      <c r="AL68" s="233">
        <f t="shared" si="70"/>
        <v>1537.7554069555817</v>
      </c>
      <c r="AM68" s="233">
        <f t="shared" si="70"/>
        <v>1540.9229313169756</v>
      </c>
      <c r="AN68" s="233">
        <f t="shared" si="71"/>
        <v>1544.0969802599348</v>
      </c>
      <c r="AO68" s="233">
        <f t="shared" si="71"/>
        <v>1547.2775672240286</v>
      </c>
      <c r="AP68" s="233">
        <f t="shared" si="71"/>
        <v>1550.4647056765109</v>
      </c>
      <c r="AQ68" s="233">
        <f t="shared" si="71"/>
        <v>1553.6584091123743</v>
      </c>
      <c r="AR68" s="233">
        <f t="shared" si="71"/>
        <v>1556.8586910544102</v>
      </c>
      <c r="AS68" s="233">
        <f t="shared" si="71"/>
        <v>1560.065565053264</v>
      </c>
      <c r="AT68" s="233">
        <f t="shared" si="71"/>
        <v>1563.2790446874935</v>
      </c>
      <c r="AU68" s="233">
        <f t="shared" si="71"/>
        <v>1566.4991435636259</v>
      </c>
      <c r="AV68" s="233">
        <f t="shared" si="71"/>
        <v>1569.7258753162157</v>
      </c>
      <c r="AW68" s="233">
        <f t="shared" si="71"/>
        <v>1572.9592536079026</v>
      </c>
      <c r="AX68" s="233">
        <f t="shared" si="72"/>
        <v>1576.1992921294691</v>
      </c>
      <c r="AY68" s="233">
        <f t="shared" si="72"/>
        <v>1579.4460045998976</v>
      </c>
      <c r="AZ68" s="233">
        <f t="shared" si="72"/>
        <v>1582.6994047664309</v>
      </c>
      <c r="BA68" s="233">
        <f t="shared" si="72"/>
        <v>1585.9595064046273</v>
      </c>
      <c r="BB68" s="233">
        <f t="shared" si="72"/>
        <v>1589.2263233184215</v>
      </c>
      <c r="BC68" s="233">
        <f t="shared" si="72"/>
        <v>1592.4998693401817</v>
      </c>
      <c r="BD68" s="233">
        <f t="shared" si="72"/>
        <v>1595.7801583307687</v>
      </c>
      <c r="BE68" s="233">
        <f t="shared" si="72"/>
        <v>1599.0672041795938</v>
      </c>
      <c r="BF68" s="233">
        <f t="shared" si="72"/>
        <v>1602.3610208046789</v>
      </c>
      <c r="BG68" s="233">
        <f t="shared" si="72"/>
        <v>1605.6616221527145</v>
      </c>
      <c r="BH68" s="233">
        <f t="shared" si="73"/>
        <v>1608.9690221991193</v>
      </c>
      <c r="BI68" s="233">
        <f t="shared" si="73"/>
        <v>1612.2832349480984</v>
      </c>
      <c r="BJ68" s="233">
        <f t="shared" si="73"/>
        <v>1615.6042744327042</v>
      </c>
      <c r="BK68" s="233">
        <f t="shared" si="73"/>
        <v>1618.9321547148938</v>
      </c>
      <c r="BL68" s="233">
        <f t="shared" si="73"/>
        <v>1622.26688988559</v>
      </c>
      <c r="BM68" s="233">
        <f t="shared" si="73"/>
        <v>1625.6084940647415</v>
      </c>
      <c r="BN68" s="233">
        <f t="shared" si="73"/>
        <v>1628.9569814013805</v>
      </c>
      <c r="BO68" s="233">
        <f t="shared" si="73"/>
        <v>1632.3123660736846</v>
      </c>
      <c r="BP68" s="233">
        <f t="shared" si="73"/>
        <v>1635.6746622890362</v>
      </c>
      <c r="BQ68" s="233">
        <f t="shared" si="73"/>
        <v>1639.043884284082</v>
      </c>
      <c r="BR68" s="233">
        <f t="shared" si="74"/>
        <v>1642.4200463247944</v>
      </c>
      <c r="BS68" s="233">
        <f t="shared" si="74"/>
        <v>1645.8031627065309</v>
      </c>
      <c r="BT68" s="233">
        <f t="shared" si="74"/>
        <v>1649.1932477540959</v>
      </c>
      <c r="BU68" s="233">
        <f t="shared" si="74"/>
        <v>1652.5903158217995</v>
      </c>
      <c r="BV68" s="233">
        <f t="shared" si="74"/>
        <v>1655.9943812935201</v>
      </c>
      <c r="BW68" s="233">
        <f t="shared" si="74"/>
        <v>1659.4054585827644</v>
      </c>
      <c r="BX68" s="233">
        <f t="shared" si="74"/>
        <v>1662.8235621327281</v>
      </c>
      <c r="BY68" s="233">
        <f t="shared" si="74"/>
        <v>1666.2487064163583</v>
      </c>
      <c r="BZ68" s="233">
        <f t="shared" si="74"/>
        <v>1669.6809059364132</v>
      </c>
      <c r="CA68" s="233">
        <f t="shared" si="74"/>
        <v>1673.1201752255247</v>
      </c>
      <c r="CB68" s="233">
        <f t="shared" si="75"/>
        <v>1676.5665288462599</v>
      </c>
      <c r="CC68" s="233">
        <f t="shared" si="75"/>
        <v>1680.0199813911815</v>
      </c>
      <c r="CD68" s="233">
        <f t="shared" si="75"/>
        <v>1683.4805474829118</v>
      </c>
      <c r="CE68" s="233">
        <f t="shared" si="75"/>
        <v>1686.9482417741917</v>
      </c>
      <c r="CF68" s="233">
        <f t="shared" si="75"/>
        <v>1690.4230789479457</v>
      </c>
      <c r="CG68" s="233">
        <f t="shared" si="75"/>
        <v>1693.9050737173418</v>
      </c>
      <c r="CH68" s="233">
        <f t="shared" si="75"/>
        <v>1697.3942408258554</v>
      </c>
      <c r="CI68" s="233">
        <f t="shared" si="75"/>
        <v>1700.8905950473304</v>
      </c>
      <c r="CJ68" s="233">
        <f t="shared" si="75"/>
        <v>1704.3941511860435</v>
      </c>
      <c r="CK68" s="233">
        <f t="shared" si="75"/>
        <v>1707.9049240767642</v>
      </c>
      <c r="CL68" s="233">
        <f t="shared" si="76"/>
        <v>1711.4229285848205</v>
      </c>
      <c r="CM68" s="233">
        <f t="shared" si="76"/>
        <v>1714.9481796061602</v>
      </c>
      <c r="CN68" s="233">
        <f t="shared" si="76"/>
        <v>1718.4806920674137</v>
      </c>
      <c r="CO68" s="233">
        <f t="shared" si="76"/>
        <v>1722.0204809259585</v>
      </c>
      <c r="CP68" s="233">
        <f t="shared" si="76"/>
        <v>1725.5675611699819</v>
      </c>
      <c r="CQ68" s="233">
        <f t="shared" si="76"/>
        <v>1729.121947818544</v>
      </c>
      <c r="CR68" s="233">
        <f t="shared" si="76"/>
        <v>1732.6836559216415</v>
      </c>
      <c r="CS68" s="233">
        <f t="shared" si="76"/>
        <v>1736.2527005602728</v>
      </c>
      <c r="CT68" s="233">
        <f t="shared" si="76"/>
        <v>1739.8290968464992</v>
      </c>
      <c r="CU68" s="233">
        <f t="shared" si="76"/>
        <v>1743.4128599235114</v>
      </c>
      <c r="CV68" s="233">
        <f t="shared" si="77"/>
        <v>1747.0040049656923</v>
      </c>
      <c r="CW68" s="233">
        <f t="shared" si="77"/>
        <v>1750.6025471786811</v>
      </c>
      <c r="CX68" s="233">
        <f t="shared" si="77"/>
        <v>1754.2085017994389</v>
      </c>
      <c r="CY68" s="233">
        <f t="shared" si="77"/>
        <v>1757.8218840963118</v>
      </c>
      <c r="CZ68" s="233">
        <f t="shared" si="77"/>
        <v>1761.4427093690967</v>
      </c>
      <c r="DA68" s="233">
        <f t="shared" si="77"/>
        <v>1765.0709929491052</v>
      </c>
      <c r="DB68" s="233">
        <f t="shared" si="77"/>
        <v>1768.7067501992292</v>
      </c>
      <c r="DC68" s="233">
        <f t="shared" si="77"/>
        <v>1772.3499965140052</v>
      </c>
      <c r="DD68" s="233">
        <f t="shared" si="77"/>
        <v>1776.0007473196804</v>
      </c>
      <c r="DE68" s="233">
        <f t="shared" si="77"/>
        <v>1779.6590180742771</v>
      </c>
      <c r="DF68" s="233">
        <f t="shared" si="78"/>
        <v>1783.3248242676593</v>
      </c>
      <c r="DG68" s="233">
        <f t="shared" si="78"/>
        <v>1786.9981814215971</v>
      </c>
      <c r="DH68" s="233">
        <f t="shared" si="78"/>
        <v>1790.6791050898323</v>
      </c>
      <c r="DI68" s="233">
        <f t="shared" si="78"/>
        <v>1794.3676108581458</v>
      </c>
      <c r="DJ68" s="233">
        <f t="shared" si="78"/>
        <v>1798.0637143444226</v>
      </c>
      <c r="DK68" s="233">
        <f t="shared" si="78"/>
        <v>1801.7674311987173</v>
      </c>
      <c r="DL68" s="233">
        <f t="shared" si="78"/>
        <v>1805.4787771033218</v>
      </c>
      <c r="DM68" s="233">
        <f t="shared" si="78"/>
        <v>1809.1977677728305</v>
      </c>
      <c r="DN68" s="233">
        <f t="shared" si="78"/>
        <v>1812.9244189542076</v>
      </c>
      <c r="DO68" s="233">
        <f t="shared" si="78"/>
        <v>1816.6587464268528</v>
      </c>
      <c r="DP68" s="233">
        <f t="shared" si="79"/>
        <v>1820.4007660026698</v>
      </c>
      <c r="DQ68" s="233">
        <f t="shared" si="79"/>
        <v>1824.1504935261316</v>
      </c>
      <c r="DR68" s="233">
        <f t="shared" si="79"/>
        <v>1827.9079448743485</v>
      </c>
      <c r="DS68" s="233">
        <f t="shared" si="79"/>
        <v>1831.673135957134</v>
      </c>
      <c r="DT68" s="233">
        <f t="shared" si="79"/>
        <v>1835.4460827170753</v>
      </c>
      <c r="DU68" s="233">
        <f t="shared" si="79"/>
        <v>1839.2268011295969</v>
      </c>
      <c r="DV68" s="233">
        <f t="shared" si="79"/>
        <v>1843.0153072030305</v>
      </c>
      <c r="DW68" s="233">
        <f t="shared" si="79"/>
        <v>1846.8116169786827</v>
      </c>
      <c r="DX68" s="233">
        <f t="shared" si="79"/>
        <v>1850.6157465309022</v>
      </c>
      <c r="DY68" s="233">
        <f t="shared" si="79"/>
        <v>1854.4277119671488</v>
      </c>
      <c r="DZ68" s="233">
        <f t="shared" si="80"/>
        <v>1858.2475294280603</v>
      </c>
      <c r="EA68" s="233">
        <f t="shared" si="80"/>
        <v>1862.0752150875217</v>
      </c>
      <c r="EB68" s="233">
        <f t="shared" si="80"/>
        <v>1865.9107851527342</v>
      </c>
      <c r="EC68" s="233">
        <f t="shared" si="80"/>
        <v>1869.7542558642826</v>
      </c>
      <c r="ED68" s="233">
        <f t="shared" si="80"/>
        <v>1873.6056434962047</v>
      </c>
      <c r="EE68" s="233">
        <f t="shared" si="80"/>
        <v>1877.4649643560604</v>
      </c>
      <c r="EF68" s="233">
        <f t="shared" si="80"/>
        <v>1881.3322347850001</v>
      </c>
      <c r="EG68" s="233">
        <f t="shared" si="80"/>
        <v>1885.2074711578346</v>
      </c>
      <c r="EH68" s="233">
        <f t="shared" si="80"/>
        <v>1889.0906898831042</v>
      </c>
      <c r="EI68" s="233">
        <f t="shared" si="80"/>
        <v>1892.9819074031477</v>
      </c>
      <c r="EJ68" s="233">
        <f t="shared" si="80"/>
        <v>1896.8811401941728</v>
      </c>
      <c r="EK68" s="233">
        <f t="shared" si="80"/>
        <v>1900.7884047663254</v>
      </c>
    </row>
    <row r="69" spans="2:141" x14ac:dyDescent="0.45">
      <c r="B69" s="230">
        <f>Assumptions!B106</f>
        <v>61</v>
      </c>
      <c r="C69" s="230" t="str">
        <f>Assumptions!C106</f>
        <v>Fair Market</v>
      </c>
      <c r="D69" s="439">
        <f>Assumptions!D106</f>
        <v>0</v>
      </c>
      <c r="E69" s="22">
        <f>Assumptions!G106</f>
        <v>22</v>
      </c>
      <c r="F69" s="22">
        <f>IF(D69=1,E69+SUM(Assumptions!$G$142:$G$143),'Rent Roll Model'!E69)</f>
        <v>22</v>
      </c>
      <c r="G69" s="233">
        <f>Assumptions!I106</f>
        <v>1481.9</v>
      </c>
      <c r="H69" s="233">
        <f>Assumptions!J106</f>
        <v>1481.9</v>
      </c>
      <c r="J69" s="233">
        <f t="shared" ref="J69:S78" si="81">IFERROR(IF($D69=0,$G69,IF(J$8&lt;$E69,$G69,IF(J$8&gt;=$F69,$H69,0)))*INDEX(J$3:J$5,MATCH($C69,$B$3:$B$5,0)),0)</f>
        <v>1481.9</v>
      </c>
      <c r="K69" s="233">
        <f t="shared" si="81"/>
        <v>1484.9524713682802</v>
      </c>
      <c r="L69" s="233">
        <f t="shared" si="81"/>
        <v>1488.011230327797</v>
      </c>
      <c r="M69" s="233">
        <f t="shared" si="81"/>
        <v>1491.0762898299595</v>
      </c>
      <c r="N69" s="233">
        <f t="shared" si="81"/>
        <v>1494.1476628528537</v>
      </c>
      <c r="O69" s="233">
        <f t="shared" si="81"/>
        <v>1497.2253624012988</v>
      </c>
      <c r="P69" s="233">
        <f t="shared" si="81"/>
        <v>1500.3094015069014</v>
      </c>
      <c r="Q69" s="233">
        <f t="shared" si="81"/>
        <v>1503.3997932281113</v>
      </c>
      <c r="R69" s="233">
        <f t="shared" si="81"/>
        <v>1506.4965506502767</v>
      </c>
      <c r="S69" s="233">
        <f t="shared" si="81"/>
        <v>1509.5996868856994</v>
      </c>
      <c r="T69" s="233">
        <f t="shared" ref="T69:AC78" si="82">IFERROR(IF($D69=0,$G69,IF(T$8&lt;$E69,$G69,IF(T$8&gt;=$F69,$H69,0)))*INDEX(T$3:T$5,MATCH($C69,$B$3:$B$5,0)),0)</f>
        <v>1512.7092150736896</v>
      </c>
      <c r="U69" s="233">
        <f t="shared" si="82"/>
        <v>1515.8251483806239</v>
      </c>
      <c r="V69" s="233">
        <f t="shared" si="82"/>
        <v>1518.9474999999979</v>
      </c>
      <c r="W69" s="233">
        <f t="shared" si="82"/>
        <v>1522.0762831524851</v>
      </c>
      <c r="X69" s="233">
        <f t="shared" si="82"/>
        <v>1525.21151108599</v>
      </c>
      <c r="Y69" s="233">
        <f t="shared" si="82"/>
        <v>1528.3531970757067</v>
      </c>
      <c r="Z69" s="233">
        <f t="shared" si="82"/>
        <v>1531.5013544241733</v>
      </c>
      <c r="AA69" s="233">
        <f t="shared" si="82"/>
        <v>1534.6559964613296</v>
      </c>
      <c r="AB69" s="233">
        <f t="shared" si="82"/>
        <v>1537.8171365445723</v>
      </c>
      <c r="AC69" s="233">
        <f t="shared" si="82"/>
        <v>1540.9847880588125</v>
      </c>
      <c r="AD69" s="233">
        <f t="shared" ref="AD69:AM78" si="83">IFERROR(IF($D69=0,$G69,IF(AD$8&lt;$E69,$G69,IF(AD$8&gt;=$F69,$H69,0)))*INDEX(AD$3:AD$5,MATCH($C69,$B$3:$B$5,0)),0)</f>
        <v>1544.1589644165317</v>
      </c>
      <c r="AE69" s="233">
        <f t="shared" si="83"/>
        <v>1547.3396790578397</v>
      </c>
      <c r="AF69" s="233">
        <f t="shared" si="83"/>
        <v>1550.5269454505301</v>
      </c>
      <c r="AG69" s="233">
        <f t="shared" si="83"/>
        <v>1553.7207770901375</v>
      </c>
      <c r="AH69" s="233">
        <f t="shared" si="83"/>
        <v>1556.921187499996</v>
      </c>
      <c r="AI69" s="233">
        <f t="shared" si="83"/>
        <v>1560.1281902312951</v>
      </c>
      <c r="AJ69" s="233">
        <f t="shared" si="83"/>
        <v>1563.3417988631375</v>
      </c>
      <c r="AK69" s="233">
        <f t="shared" si="83"/>
        <v>1566.5620270025968</v>
      </c>
      <c r="AL69" s="233">
        <f t="shared" si="83"/>
        <v>1569.7888882847751</v>
      </c>
      <c r="AM69" s="233">
        <f t="shared" si="83"/>
        <v>1573.0223963728602</v>
      </c>
      <c r="AN69" s="233">
        <f t="shared" ref="AN69:AW78" si="84">IFERROR(IF($D69=0,$G69,IF(AN$8&lt;$E69,$G69,IF(AN$8&gt;=$F69,$H69,0)))*INDEX(AN$3:AN$5,MATCH($C69,$B$3:$B$5,0)),0)</f>
        <v>1576.2625649581839</v>
      </c>
      <c r="AO69" s="233">
        <f t="shared" si="84"/>
        <v>1579.5094077602801</v>
      </c>
      <c r="AP69" s="233">
        <f t="shared" si="84"/>
        <v>1582.7629385269427</v>
      </c>
      <c r="AQ69" s="233">
        <f t="shared" si="84"/>
        <v>1586.0231710342832</v>
      </c>
      <c r="AR69" s="233">
        <f t="shared" si="84"/>
        <v>1589.2901190867906</v>
      </c>
      <c r="AS69" s="233">
        <f t="shared" si="84"/>
        <v>1592.5637965173883</v>
      </c>
      <c r="AT69" s="233">
        <f t="shared" si="84"/>
        <v>1595.8442171874933</v>
      </c>
      <c r="AU69" s="233">
        <f t="shared" si="84"/>
        <v>1599.1313949870748</v>
      </c>
      <c r="AV69" s="233">
        <f t="shared" si="84"/>
        <v>1602.4253438347134</v>
      </c>
      <c r="AW69" s="233">
        <f t="shared" si="84"/>
        <v>1605.7260776776593</v>
      </c>
      <c r="AX69" s="233">
        <f t="shared" ref="AX69:BG78" si="85">IFERROR(IF($D69=0,$G69,IF(AX$8&lt;$E69,$G69,IF(AX$8&gt;=$F69,$H69,0)))*INDEX(AX$3:AX$5,MATCH($C69,$B$3:$B$5,0)),0)</f>
        <v>1609.0336104918922</v>
      </c>
      <c r="AY69" s="233">
        <f t="shared" si="85"/>
        <v>1612.3479562821792</v>
      </c>
      <c r="AZ69" s="233">
        <f t="shared" si="85"/>
        <v>1615.6691290821364</v>
      </c>
      <c r="BA69" s="233">
        <f t="shared" si="85"/>
        <v>1618.997142954285</v>
      </c>
      <c r="BB69" s="233">
        <f t="shared" si="85"/>
        <v>1622.3320119901139</v>
      </c>
      <c r="BC69" s="233">
        <f t="shared" si="85"/>
        <v>1625.6737503101383</v>
      </c>
      <c r="BD69" s="233">
        <f t="shared" si="85"/>
        <v>1629.0223720639585</v>
      </c>
      <c r="BE69" s="233">
        <f t="shared" si="85"/>
        <v>1632.3778914303211</v>
      </c>
      <c r="BF69" s="233">
        <f t="shared" si="85"/>
        <v>1635.7403226171787</v>
      </c>
      <c r="BG69" s="233">
        <f t="shared" si="85"/>
        <v>1639.1096798617498</v>
      </c>
      <c r="BH69" s="233">
        <f t="shared" ref="BH69:BQ78" si="86">IFERROR(IF($D69=0,$G69,IF(BH$8&lt;$E69,$G69,IF(BH$8&gt;=$F69,$H69,0)))*INDEX(BH$3:BH$5,MATCH($C69,$B$3:$B$5,0)),0)</f>
        <v>1642.4859774305794</v>
      </c>
      <c r="BI69" s="233">
        <f t="shared" si="86"/>
        <v>1645.8692296195991</v>
      </c>
      <c r="BJ69" s="233">
        <f t="shared" si="86"/>
        <v>1649.2594507541878</v>
      </c>
      <c r="BK69" s="233">
        <f t="shared" si="86"/>
        <v>1652.6566551892324</v>
      </c>
      <c r="BL69" s="233">
        <f t="shared" si="86"/>
        <v>1656.0608573091879</v>
      </c>
      <c r="BM69" s="233">
        <f t="shared" si="86"/>
        <v>1659.4720715281405</v>
      </c>
      <c r="BN69" s="233">
        <f t="shared" si="86"/>
        <v>1662.8903122898653</v>
      </c>
      <c r="BO69" s="233">
        <f t="shared" si="86"/>
        <v>1666.3155940678901</v>
      </c>
      <c r="BP69" s="233">
        <f t="shared" si="86"/>
        <v>1669.7479313655558</v>
      </c>
      <c r="BQ69" s="233">
        <f t="shared" si="86"/>
        <v>1673.1873387160774</v>
      </c>
      <c r="BR69" s="233">
        <f t="shared" ref="BR69:CA78" si="87">IFERROR(IF($D69=0,$G69,IF(BR$8&lt;$E69,$G69,IF(BR$8&gt;=$F69,$H69,0)))*INDEX(BR$3:BR$5,MATCH($C69,$B$3:$B$5,0)),0)</f>
        <v>1676.6338306826067</v>
      </c>
      <c r="BS69" s="233">
        <f t="shared" si="87"/>
        <v>1680.0874218582921</v>
      </c>
      <c r="BT69" s="233">
        <f t="shared" si="87"/>
        <v>1683.5481268663425</v>
      </c>
      <c r="BU69" s="233">
        <f t="shared" si="87"/>
        <v>1687.0159603600875</v>
      </c>
      <c r="BV69" s="233">
        <f t="shared" si="87"/>
        <v>1690.4909370230409</v>
      </c>
      <c r="BW69" s="233">
        <f t="shared" si="87"/>
        <v>1693.9730715689614</v>
      </c>
      <c r="BX69" s="233">
        <f t="shared" si="87"/>
        <v>1697.4623787419159</v>
      </c>
      <c r="BY69" s="233">
        <f t="shared" si="87"/>
        <v>1700.9588733163423</v>
      </c>
      <c r="BZ69" s="233">
        <f t="shared" si="87"/>
        <v>1704.4625700971098</v>
      </c>
      <c r="CA69" s="233">
        <f t="shared" si="87"/>
        <v>1707.9734839195853</v>
      </c>
      <c r="CB69" s="233">
        <f t="shared" ref="CB69:CK78" si="88">IFERROR(IF($D69=0,$G69,IF(CB$8&lt;$E69,$G69,IF(CB$8&gt;=$F69,$H69,0)))*INDEX(CB$3:CB$5,MATCH($C69,$B$3:$B$5,0)),0)</f>
        <v>1711.4916296496924</v>
      </c>
      <c r="CC69" s="233">
        <f t="shared" si="88"/>
        <v>1715.0170221839769</v>
      </c>
      <c r="CD69" s="233">
        <f t="shared" si="88"/>
        <v>1718.5496764496693</v>
      </c>
      <c r="CE69" s="233">
        <f t="shared" si="88"/>
        <v>1722.0896074047466</v>
      </c>
      <c r="CF69" s="233">
        <f t="shared" si="88"/>
        <v>1725.6368300379984</v>
      </c>
      <c r="CG69" s="233">
        <f t="shared" si="88"/>
        <v>1729.191359369087</v>
      </c>
      <c r="CH69" s="233">
        <f t="shared" si="88"/>
        <v>1732.753210448614</v>
      </c>
      <c r="CI69" s="233">
        <f t="shared" si="88"/>
        <v>1736.3223983581825</v>
      </c>
      <c r="CJ69" s="233">
        <f t="shared" si="88"/>
        <v>1739.898938210461</v>
      </c>
      <c r="CK69" s="233">
        <f t="shared" si="88"/>
        <v>1743.4828451492476</v>
      </c>
      <c r="CL69" s="233">
        <f t="shared" ref="CL69:CU78" si="89">IFERROR(IF($D69=0,$G69,IF(CL$8&lt;$E69,$G69,IF(CL$8&gt;=$F69,$H69,0)))*INDEX(CL$3:CL$5,MATCH($C69,$B$3:$B$5,0)),0)</f>
        <v>1747.0741343495349</v>
      </c>
      <c r="CM69" s="233">
        <f t="shared" si="89"/>
        <v>1750.6728210175722</v>
      </c>
      <c r="CN69" s="233">
        <f t="shared" si="89"/>
        <v>1754.2789203909319</v>
      </c>
      <c r="CO69" s="233">
        <f t="shared" si="89"/>
        <v>1757.8924477385738</v>
      </c>
      <c r="CP69" s="233">
        <f t="shared" si="89"/>
        <v>1761.5134183609084</v>
      </c>
      <c r="CQ69" s="233">
        <f t="shared" si="89"/>
        <v>1765.1418475898629</v>
      </c>
      <c r="CR69" s="233">
        <f t="shared" si="89"/>
        <v>1768.7777507889455</v>
      </c>
      <c r="CS69" s="233">
        <f t="shared" si="89"/>
        <v>1772.4211433533117</v>
      </c>
      <c r="CT69" s="233">
        <f t="shared" si="89"/>
        <v>1776.0720407098268</v>
      </c>
      <c r="CU69" s="233">
        <f t="shared" si="89"/>
        <v>1779.7304583171344</v>
      </c>
      <c r="CV69" s="233">
        <f t="shared" ref="CV69:DE78" si="90">IFERROR(IF($D69=0,$G69,IF(CV$8&lt;$E69,$G69,IF(CV$8&gt;=$F69,$H69,0)))*INDEX(CV$3:CV$5,MATCH($C69,$B$3:$B$5,0)),0)</f>
        <v>1783.3964116657201</v>
      </c>
      <c r="CW69" s="233">
        <f t="shared" si="90"/>
        <v>1787.0699162779767</v>
      </c>
      <c r="CX69" s="233">
        <f t="shared" si="90"/>
        <v>1790.7509877082709</v>
      </c>
      <c r="CY69" s="233">
        <f t="shared" si="90"/>
        <v>1794.439641543009</v>
      </c>
      <c r="CZ69" s="233">
        <f t="shared" si="90"/>
        <v>1798.135893400703</v>
      </c>
      <c r="DA69" s="233">
        <f t="shared" si="90"/>
        <v>1801.8397589320359</v>
      </c>
      <c r="DB69" s="233">
        <f t="shared" si="90"/>
        <v>1805.5512538199287</v>
      </c>
      <c r="DC69" s="233">
        <f t="shared" si="90"/>
        <v>1809.270393779607</v>
      </c>
      <c r="DD69" s="233">
        <f t="shared" si="90"/>
        <v>1812.9971945586669</v>
      </c>
      <c r="DE69" s="233">
        <f t="shared" si="90"/>
        <v>1816.731671937142</v>
      </c>
      <c r="DF69" s="233">
        <f t="shared" ref="DF69:DO78" si="91">IFERROR(IF($D69=0,$G69,IF(DF$8&lt;$E69,$G69,IF(DF$8&gt;=$F69,$H69,0)))*INDEX(DF$3:DF$5,MATCH($C69,$B$3:$B$5,0)),0)</f>
        <v>1820.4738417275701</v>
      </c>
      <c r="DG69" s="233">
        <f t="shared" si="91"/>
        <v>1824.2237197750608</v>
      </c>
      <c r="DH69" s="233">
        <f t="shared" si="91"/>
        <v>1827.9813219573609</v>
      </c>
      <c r="DI69" s="233">
        <f t="shared" si="91"/>
        <v>1831.7466641849237</v>
      </c>
      <c r="DJ69" s="233">
        <f t="shared" si="91"/>
        <v>1835.5197624009752</v>
      </c>
      <c r="DK69" s="233">
        <f t="shared" si="91"/>
        <v>1839.3006325815818</v>
      </c>
      <c r="DL69" s="233">
        <f t="shared" si="91"/>
        <v>1843.0892907357181</v>
      </c>
      <c r="DM69" s="233">
        <f t="shared" si="91"/>
        <v>1846.8857529053344</v>
      </c>
      <c r="DN69" s="233">
        <f t="shared" si="91"/>
        <v>1850.6900351654244</v>
      </c>
      <c r="DO69" s="233">
        <f t="shared" si="91"/>
        <v>1854.5021536240947</v>
      </c>
      <c r="DP69" s="233">
        <f t="shared" ref="DP69:DY78" si="92">IFERROR(IF($D69=0,$G69,IF(DP$8&lt;$E69,$G69,IF(DP$8&gt;=$F69,$H69,0)))*INDEX(DP$3:DP$5,MATCH($C69,$B$3:$B$5,0)),0)</f>
        <v>1858.3221244226308</v>
      </c>
      <c r="DQ69" s="233">
        <f t="shared" si="92"/>
        <v>1862.1499637355678</v>
      </c>
      <c r="DR69" s="233">
        <f t="shared" si="92"/>
        <v>1865.9856877707568</v>
      </c>
      <c r="DS69" s="233">
        <f t="shared" si="92"/>
        <v>1869.8293127694344</v>
      </c>
      <c r="DT69" s="233">
        <f t="shared" si="92"/>
        <v>1873.6808550062919</v>
      </c>
      <c r="DU69" s="233">
        <f t="shared" si="92"/>
        <v>1877.5403307895442</v>
      </c>
      <c r="DV69" s="233">
        <f t="shared" si="92"/>
        <v>1881.407756460997</v>
      </c>
      <c r="DW69" s="233">
        <f t="shared" si="92"/>
        <v>1885.2831483961188</v>
      </c>
      <c r="DX69" s="233">
        <f t="shared" si="92"/>
        <v>1889.1665230041085</v>
      </c>
      <c r="DY69" s="233">
        <f t="shared" si="92"/>
        <v>1893.057896727965</v>
      </c>
      <c r="DZ69" s="233">
        <f t="shared" ref="DZ69:EK78" si="93">IFERROR(IF($D69=0,$G69,IF(DZ$8&lt;$E69,$G69,IF(DZ$8&gt;=$F69,$H69,0)))*INDEX(DZ$3:DZ$5,MATCH($C69,$B$3:$B$5,0)),0)</f>
        <v>1896.9572860445576</v>
      </c>
      <c r="EA69" s="233">
        <f t="shared" si="93"/>
        <v>1900.8647074646947</v>
      </c>
      <c r="EB69" s="233">
        <f t="shared" si="93"/>
        <v>1904.7801775331943</v>
      </c>
      <c r="EC69" s="233">
        <f t="shared" si="93"/>
        <v>1908.7037128289548</v>
      </c>
      <c r="ED69" s="233">
        <f t="shared" si="93"/>
        <v>1912.6353299650234</v>
      </c>
      <c r="EE69" s="233">
        <f t="shared" si="93"/>
        <v>1916.575045588668</v>
      </c>
      <c r="EF69" s="233">
        <f t="shared" si="93"/>
        <v>1920.5228763814473</v>
      </c>
      <c r="EG69" s="233">
        <f t="shared" si="93"/>
        <v>1924.4788390592805</v>
      </c>
      <c r="EH69" s="233">
        <f t="shared" si="93"/>
        <v>1928.4429503725198</v>
      </c>
      <c r="EI69" s="233">
        <f t="shared" si="93"/>
        <v>1932.4152271060198</v>
      </c>
      <c r="EJ69" s="233">
        <f t="shared" si="93"/>
        <v>1936.3956860792091</v>
      </c>
      <c r="EK69" s="233">
        <f t="shared" si="93"/>
        <v>1940.384344146162</v>
      </c>
    </row>
    <row r="70" spans="2:141" x14ac:dyDescent="0.45">
      <c r="B70" s="230">
        <f>Assumptions!B107</f>
        <v>62</v>
      </c>
      <c r="C70" s="230" t="str">
        <f>Assumptions!C107</f>
        <v>Fair Market</v>
      </c>
      <c r="D70" s="439">
        <f>Assumptions!D107</f>
        <v>0</v>
      </c>
      <c r="E70" s="22">
        <f>Assumptions!G107</f>
        <v>22</v>
      </c>
      <c r="F70" s="22">
        <f>IF(D70=1,E70+SUM(Assumptions!$G$142:$G$143),'Rent Roll Model'!E70)</f>
        <v>22</v>
      </c>
      <c r="G70" s="233">
        <f>Assumptions!I107</f>
        <v>1700</v>
      </c>
      <c r="H70" s="233">
        <f>Assumptions!J107</f>
        <v>1700</v>
      </c>
      <c r="J70" s="233">
        <f t="shared" si="81"/>
        <v>1700</v>
      </c>
      <c r="K70" s="233">
        <f t="shared" si="81"/>
        <v>1703.5017216587325</v>
      </c>
      <c r="L70" s="233">
        <f t="shared" si="81"/>
        <v>1707.0106562907449</v>
      </c>
      <c r="M70" s="233">
        <f t="shared" si="81"/>
        <v>1710.5268187535805</v>
      </c>
      <c r="N70" s="233">
        <f t="shared" si="81"/>
        <v>1714.050223935388</v>
      </c>
      <c r="O70" s="233">
        <f t="shared" si="81"/>
        <v>1717.580886754982</v>
      </c>
      <c r="P70" s="233">
        <f t="shared" si="81"/>
        <v>1721.1188221619086</v>
      </c>
      <c r="Q70" s="233">
        <f t="shared" si="81"/>
        <v>1724.6640451365065</v>
      </c>
      <c r="R70" s="233">
        <f t="shared" si="81"/>
        <v>1728.2165706899725</v>
      </c>
      <c r="S70" s="233">
        <f t="shared" si="81"/>
        <v>1731.7764138644231</v>
      </c>
      <c r="T70" s="233">
        <f t="shared" si="82"/>
        <v>1735.3435897329593</v>
      </c>
      <c r="U70" s="233">
        <f t="shared" si="82"/>
        <v>1738.9181133997304</v>
      </c>
      <c r="V70" s="233">
        <f t="shared" si="82"/>
        <v>1742.4999999999975</v>
      </c>
      <c r="W70" s="233">
        <f t="shared" si="82"/>
        <v>1746.0892647001988</v>
      </c>
      <c r="X70" s="233">
        <f t="shared" si="82"/>
        <v>1749.6859226980114</v>
      </c>
      <c r="Y70" s="233">
        <f t="shared" si="82"/>
        <v>1753.2899892224182</v>
      </c>
      <c r="Z70" s="233">
        <f t="shared" si="82"/>
        <v>1756.9014795337705</v>
      </c>
      <c r="AA70" s="233">
        <f t="shared" si="82"/>
        <v>1760.5204089238546</v>
      </c>
      <c r="AB70" s="233">
        <f t="shared" si="82"/>
        <v>1764.1467927159542</v>
      </c>
      <c r="AC70" s="233">
        <f t="shared" si="82"/>
        <v>1767.7806462649173</v>
      </c>
      <c r="AD70" s="233">
        <f t="shared" si="83"/>
        <v>1771.4219849572196</v>
      </c>
      <c r="AE70" s="233">
        <f t="shared" si="83"/>
        <v>1775.0708242110315</v>
      </c>
      <c r="AF70" s="233">
        <f t="shared" si="83"/>
        <v>1778.727179476281</v>
      </c>
      <c r="AG70" s="233">
        <f t="shared" si="83"/>
        <v>1782.3910662347214</v>
      </c>
      <c r="AH70" s="233">
        <f t="shared" si="83"/>
        <v>1786.0624999999952</v>
      </c>
      <c r="AI70" s="233">
        <f t="shared" si="83"/>
        <v>1789.7414963177011</v>
      </c>
      <c r="AJ70" s="233">
        <f t="shared" si="83"/>
        <v>1793.4280707654589</v>
      </c>
      <c r="AK70" s="233">
        <f t="shared" si="83"/>
        <v>1797.1222389529755</v>
      </c>
      <c r="AL70" s="233">
        <f t="shared" si="83"/>
        <v>1800.8240165221118</v>
      </c>
      <c r="AM70" s="233">
        <f t="shared" si="83"/>
        <v>1804.5334191469478</v>
      </c>
      <c r="AN70" s="233">
        <f t="shared" si="84"/>
        <v>1808.2504625338502</v>
      </c>
      <c r="AO70" s="233">
        <f t="shared" si="84"/>
        <v>1811.9751624215371</v>
      </c>
      <c r="AP70" s="233">
        <f t="shared" si="84"/>
        <v>1815.7075345811475</v>
      </c>
      <c r="AQ70" s="233">
        <f t="shared" si="84"/>
        <v>1819.4475948163042</v>
      </c>
      <c r="AR70" s="233">
        <f t="shared" si="84"/>
        <v>1823.1953589631851</v>
      </c>
      <c r="AS70" s="233">
        <f t="shared" si="84"/>
        <v>1826.9508428905863</v>
      </c>
      <c r="AT70" s="233">
        <f t="shared" si="84"/>
        <v>1830.7140624999922</v>
      </c>
      <c r="AU70" s="233">
        <f t="shared" si="84"/>
        <v>1834.485033725641</v>
      </c>
      <c r="AV70" s="233">
        <f t="shared" si="84"/>
        <v>1838.2637725345926</v>
      </c>
      <c r="AW70" s="233">
        <f t="shared" si="84"/>
        <v>1842.0502949267973</v>
      </c>
      <c r="AX70" s="233">
        <f t="shared" si="85"/>
        <v>1845.8446169351619</v>
      </c>
      <c r="AY70" s="233">
        <f t="shared" si="85"/>
        <v>1849.6467546256188</v>
      </c>
      <c r="AZ70" s="233">
        <f t="shared" si="85"/>
        <v>1853.4567240971937</v>
      </c>
      <c r="BA70" s="233">
        <f t="shared" si="85"/>
        <v>1857.2745414820731</v>
      </c>
      <c r="BB70" s="233">
        <f t="shared" si="85"/>
        <v>1861.1002229456735</v>
      </c>
      <c r="BC70" s="233">
        <f t="shared" si="85"/>
        <v>1864.9337846867097</v>
      </c>
      <c r="BD70" s="233">
        <f t="shared" si="85"/>
        <v>1868.7752429372626</v>
      </c>
      <c r="BE70" s="233">
        <f t="shared" si="85"/>
        <v>1872.6246139628488</v>
      </c>
      <c r="BF70" s="233">
        <f t="shared" si="85"/>
        <v>1876.4819140624897</v>
      </c>
      <c r="BG70" s="233">
        <f t="shared" si="85"/>
        <v>1880.3471595687797</v>
      </c>
      <c r="BH70" s="233">
        <f t="shared" si="86"/>
        <v>1884.2203668479553</v>
      </c>
      <c r="BI70" s="233">
        <f t="shared" si="86"/>
        <v>1888.1015522999651</v>
      </c>
      <c r="BJ70" s="233">
        <f t="shared" si="86"/>
        <v>1891.9907323585392</v>
      </c>
      <c r="BK70" s="233">
        <f t="shared" si="86"/>
        <v>1895.8879234912577</v>
      </c>
      <c r="BL70" s="233">
        <f t="shared" si="86"/>
        <v>1899.7931421996218</v>
      </c>
      <c r="BM70" s="233">
        <f t="shared" si="86"/>
        <v>1903.7064050191232</v>
      </c>
      <c r="BN70" s="233">
        <f t="shared" si="86"/>
        <v>1907.6277285193135</v>
      </c>
      <c r="BO70" s="233">
        <f t="shared" si="86"/>
        <v>1911.5571293038754</v>
      </c>
      <c r="BP70" s="233">
        <f t="shared" si="86"/>
        <v>1915.4946240106922</v>
      </c>
      <c r="BQ70" s="233">
        <f t="shared" si="86"/>
        <v>1919.4402293119181</v>
      </c>
      <c r="BR70" s="233">
        <f t="shared" si="87"/>
        <v>1923.3939619140501</v>
      </c>
      <c r="BS70" s="233">
        <f t="shared" si="87"/>
        <v>1927.3558385579975</v>
      </c>
      <c r="BT70" s="233">
        <f t="shared" si="87"/>
        <v>1931.3258760191525</v>
      </c>
      <c r="BU70" s="233">
        <f t="shared" si="87"/>
        <v>1935.3040911074625</v>
      </c>
      <c r="BV70" s="233">
        <f t="shared" si="87"/>
        <v>1939.2905006675007</v>
      </c>
      <c r="BW70" s="233">
        <f t="shared" si="87"/>
        <v>1943.285121578537</v>
      </c>
      <c r="BX70" s="233">
        <f t="shared" si="87"/>
        <v>1947.2879707546103</v>
      </c>
      <c r="BY70" s="233">
        <f t="shared" si="87"/>
        <v>1951.2990651445994</v>
      </c>
      <c r="BZ70" s="233">
        <f t="shared" si="87"/>
        <v>1955.3184217322942</v>
      </c>
      <c r="CA70" s="233">
        <f t="shared" si="87"/>
        <v>1959.3460575364697</v>
      </c>
      <c r="CB70" s="233">
        <f t="shared" si="88"/>
        <v>1963.3819896109569</v>
      </c>
      <c r="CC70" s="233">
        <f t="shared" si="88"/>
        <v>1967.4262350447134</v>
      </c>
      <c r="CD70" s="233">
        <f t="shared" si="88"/>
        <v>1971.4788109618985</v>
      </c>
      <c r="CE70" s="233">
        <f t="shared" si="88"/>
        <v>1975.5397345219442</v>
      </c>
      <c r="CF70" s="233">
        <f t="shared" si="88"/>
        <v>1979.6090229196282</v>
      </c>
      <c r="CG70" s="233">
        <f t="shared" si="88"/>
        <v>1983.6866933851459</v>
      </c>
      <c r="CH70" s="233">
        <f t="shared" si="88"/>
        <v>1987.7727631841849</v>
      </c>
      <c r="CI70" s="233">
        <f t="shared" si="88"/>
        <v>1991.8672496179972</v>
      </c>
      <c r="CJ70" s="233">
        <f t="shared" si="88"/>
        <v>1995.9701700234721</v>
      </c>
      <c r="CK70" s="233">
        <f t="shared" si="88"/>
        <v>2000.0815417732106</v>
      </c>
      <c r="CL70" s="233">
        <f t="shared" si="89"/>
        <v>2004.2013822755982</v>
      </c>
      <c r="CM70" s="233">
        <f t="shared" si="89"/>
        <v>2008.3297089748785</v>
      </c>
      <c r="CN70" s="233">
        <f t="shared" si="89"/>
        <v>2012.4665393512278</v>
      </c>
      <c r="CO70" s="233">
        <f t="shared" si="89"/>
        <v>2016.611890920828</v>
      </c>
      <c r="CP70" s="233">
        <f t="shared" si="89"/>
        <v>2020.7657812359432</v>
      </c>
      <c r="CQ70" s="233">
        <f t="shared" si="89"/>
        <v>2024.9282278849898</v>
      </c>
      <c r="CR70" s="233">
        <f t="shared" si="89"/>
        <v>2029.0992484926157</v>
      </c>
      <c r="CS70" s="233">
        <f t="shared" si="89"/>
        <v>2033.2788607197715</v>
      </c>
      <c r="CT70" s="233">
        <f t="shared" si="89"/>
        <v>2037.4670822637866</v>
      </c>
      <c r="CU70" s="233">
        <f t="shared" si="89"/>
        <v>2041.6639308584442</v>
      </c>
      <c r="CV70" s="233">
        <f t="shared" si="90"/>
        <v>2045.8694242740562</v>
      </c>
      <c r="CW70" s="233">
        <f t="shared" si="90"/>
        <v>2050.0835803175382</v>
      </c>
      <c r="CX70" s="233">
        <f t="shared" si="90"/>
        <v>2054.3064168324854</v>
      </c>
      <c r="CY70" s="233">
        <f t="shared" si="90"/>
        <v>2058.537951699248</v>
      </c>
      <c r="CZ70" s="233">
        <f t="shared" si="90"/>
        <v>2062.7782028350057</v>
      </c>
      <c r="DA70" s="233">
        <f t="shared" si="90"/>
        <v>2067.0271881938461</v>
      </c>
      <c r="DB70" s="233">
        <f t="shared" si="90"/>
        <v>2071.284925766839</v>
      </c>
      <c r="DC70" s="233">
        <f t="shared" si="90"/>
        <v>2075.5514335821122</v>
      </c>
      <c r="DD70" s="233">
        <f t="shared" si="90"/>
        <v>2079.8267297049283</v>
      </c>
      <c r="DE70" s="233">
        <f t="shared" si="90"/>
        <v>2084.1108322377631</v>
      </c>
      <c r="DF70" s="233">
        <f t="shared" si="91"/>
        <v>2088.4037593203784</v>
      </c>
      <c r="DG70" s="233">
        <f t="shared" si="91"/>
        <v>2092.705529129903</v>
      </c>
      <c r="DH70" s="233">
        <f t="shared" si="91"/>
        <v>2097.0161598809054</v>
      </c>
      <c r="DI70" s="233">
        <f t="shared" si="91"/>
        <v>2101.3356698254743</v>
      </c>
      <c r="DJ70" s="233">
        <f t="shared" si="91"/>
        <v>2105.6640772532951</v>
      </c>
      <c r="DK70" s="233">
        <f t="shared" si="91"/>
        <v>2110.0014004917261</v>
      </c>
      <c r="DL70" s="233">
        <f t="shared" si="91"/>
        <v>2114.3476579058779</v>
      </c>
      <c r="DM70" s="233">
        <f t="shared" si="91"/>
        <v>2118.7028678986894</v>
      </c>
      <c r="DN70" s="233">
        <f t="shared" si="91"/>
        <v>2123.0670489110071</v>
      </c>
      <c r="DO70" s="233">
        <f t="shared" si="91"/>
        <v>2127.4402194216618</v>
      </c>
      <c r="DP70" s="233">
        <f t="shared" si="92"/>
        <v>2131.8223979475488</v>
      </c>
      <c r="DQ70" s="233">
        <f t="shared" si="92"/>
        <v>2136.2136030437041</v>
      </c>
      <c r="DR70" s="233">
        <f t="shared" si="92"/>
        <v>2140.613853303385</v>
      </c>
      <c r="DS70" s="233">
        <f t="shared" si="92"/>
        <v>2145.023167358147</v>
      </c>
      <c r="DT70" s="233">
        <f t="shared" si="92"/>
        <v>2149.4415638779246</v>
      </c>
      <c r="DU70" s="233">
        <f t="shared" si="92"/>
        <v>2153.869061571108</v>
      </c>
      <c r="DV70" s="233">
        <f t="shared" si="92"/>
        <v>2158.3056791846243</v>
      </c>
      <c r="DW70" s="233">
        <f t="shared" si="92"/>
        <v>2162.7514355040166</v>
      </c>
      <c r="DX70" s="233">
        <f t="shared" si="92"/>
        <v>2167.206349353522</v>
      </c>
      <c r="DY70" s="233">
        <f t="shared" si="92"/>
        <v>2171.6704395961538</v>
      </c>
      <c r="DZ70" s="233">
        <f t="shared" si="93"/>
        <v>2176.1437251337793</v>
      </c>
      <c r="EA70" s="233">
        <f t="shared" si="93"/>
        <v>2180.6262249072006</v>
      </c>
      <c r="EB70" s="233">
        <f t="shared" si="93"/>
        <v>2185.1179578962347</v>
      </c>
      <c r="EC70" s="233">
        <f t="shared" si="93"/>
        <v>2189.618943119794</v>
      </c>
      <c r="ED70" s="233">
        <f t="shared" si="93"/>
        <v>2194.1291996359669</v>
      </c>
      <c r="EE70" s="233">
        <f t="shared" si="93"/>
        <v>2198.6487465420983</v>
      </c>
      <c r="EF70" s="233">
        <f t="shared" si="93"/>
        <v>2203.1776029748703</v>
      </c>
      <c r="EG70" s="233">
        <f t="shared" si="93"/>
        <v>2207.7157881103831</v>
      </c>
      <c r="EH70" s="233">
        <f t="shared" si="93"/>
        <v>2212.2633211642374</v>
      </c>
      <c r="EI70" s="233">
        <f t="shared" si="93"/>
        <v>2216.8202213916143</v>
      </c>
      <c r="EJ70" s="233">
        <f t="shared" si="93"/>
        <v>2221.3865080873575</v>
      </c>
      <c r="EK70" s="233">
        <f t="shared" si="93"/>
        <v>2225.9622005860551</v>
      </c>
    </row>
    <row r="71" spans="2:141" x14ac:dyDescent="0.45">
      <c r="B71" s="230">
        <f>Assumptions!B108</f>
        <v>63</v>
      </c>
      <c r="C71" s="230" t="str">
        <f>Assumptions!C108</f>
        <v>Fair Market</v>
      </c>
      <c r="D71" s="439">
        <f>Assumptions!D108</f>
        <v>1</v>
      </c>
      <c r="E71" s="22">
        <f>Assumptions!G108</f>
        <v>22</v>
      </c>
      <c r="F71" s="22">
        <f>IF(D71=1,E71+SUM(Assumptions!$G$142:$G$143),'Rent Roll Model'!E71)</f>
        <v>26</v>
      </c>
      <c r="G71" s="233">
        <f>Assumptions!I108</f>
        <v>1482</v>
      </c>
      <c r="H71" s="233">
        <f>Assumptions!J108</f>
        <v>2200</v>
      </c>
      <c r="J71" s="233">
        <f t="shared" si="81"/>
        <v>1482</v>
      </c>
      <c r="K71" s="233">
        <f t="shared" si="81"/>
        <v>1485.0526773519071</v>
      </c>
      <c r="L71" s="233">
        <f t="shared" si="81"/>
        <v>1488.1116427193435</v>
      </c>
      <c r="M71" s="233">
        <f t="shared" si="81"/>
        <v>1491.176909054592</v>
      </c>
      <c r="N71" s="233">
        <f t="shared" si="81"/>
        <v>1494.2484893366147</v>
      </c>
      <c r="O71" s="233">
        <f t="shared" si="81"/>
        <v>1497.3263965711078</v>
      </c>
      <c r="P71" s="233">
        <f t="shared" si="81"/>
        <v>1500.410643790558</v>
      </c>
      <c r="Q71" s="233">
        <f t="shared" si="81"/>
        <v>1503.5012440542957</v>
      </c>
      <c r="R71" s="233">
        <f t="shared" si="81"/>
        <v>1506.5982104485527</v>
      </c>
      <c r="S71" s="233">
        <f t="shared" si="81"/>
        <v>1509.7015560865148</v>
      </c>
      <c r="T71" s="233">
        <f t="shared" si="82"/>
        <v>1512.8112941083798</v>
      </c>
      <c r="U71" s="233">
        <f t="shared" si="82"/>
        <v>1515.9274376814119</v>
      </c>
      <c r="V71" s="233">
        <f t="shared" si="82"/>
        <v>1519.0499999999979</v>
      </c>
      <c r="W71" s="233">
        <f t="shared" si="82"/>
        <v>1522.1789942857026</v>
      </c>
      <c r="X71" s="233">
        <f t="shared" si="82"/>
        <v>1525.3144337873252</v>
      </c>
      <c r="Y71" s="233">
        <f t="shared" si="82"/>
        <v>1528.456331780955</v>
      </c>
      <c r="Z71" s="233">
        <f t="shared" si="82"/>
        <v>1531.6047015700283</v>
      </c>
      <c r="AA71" s="233">
        <f t="shared" si="82"/>
        <v>1534.7595564853839</v>
      </c>
      <c r="AB71" s="233">
        <f t="shared" si="82"/>
        <v>1537.92090988532</v>
      </c>
      <c r="AC71" s="233">
        <f t="shared" si="82"/>
        <v>1541.0887751556513</v>
      </c>
      <c r="AD71" s="233">
        <f t="shared" si="83"/>
        <v>1544.2631657097645</v>
      </c>
      <c r="AE71" s="233">
        <f t="shared" si="83"/>
        <v>0</v>
      </c>
      <c r="AF71" s="233">
        <f t="shared" si="83"/>
        <v>0</v>
      </c>
      <c r="AG71" s="233">
        <f t="shared" si="83"/>
        <v>0</v>
      </c>
      <c r="AH71" s="233">
        <f t="shared" si="83"/>
        <v>0</v>
      </c>
      <c r="AI71" s="233">
        <f t="shared" si="83"/>
        <v>2316.1360540582018</v>
      </c>
      <c r="AJ71" s="233">
        <f t="shared" si="83"/>
        <v>2320.9069151082408</v>
      </c>
      <c r="AK71" s="233">
        <f t="shared" si="83"/>
        <v>2325.6876033509097</v>
      </c>
      <c r="AL71" s="233">
        <f t="shared" si="83"/>
        <v>2330.4781390286153</v>
      </c>
      <c r="AM71" s="233">
        <f t="shared" si="83"/>
        <v>2335.2785424254621</v>
      </c>
      <c r="AN71" s="233">
        <f t="shared" si="84"/>
        <v>2340.0888338673353</v>
      </c>
      <c r="AO71" s="233">
        <f t="shared" si="84"/>
        <v>2344.9090337219891</v>
      </c>
      <c r="AP71" s="233">
        <f t="shared" si="84"/>
        <v>2349.7391623991321</v>
      </c>
      <c r="AQ71" s="233">
        <f t="shared" si="84"/>
        <v>2354.5792403505111</v>
      </c>
      <c r="AR71" s="233">
        <f t="shared" si="84"/>
        <v>2359.4292880700041</v>
      </c>
      <c r="AS71" s="233">
        <f t="shared" si="84"/>
        <v>2364.2893260936999</v>
      </c>
      <c r="AT71" s="233">
        <f t="shared" si="84"/>
        <v>2369.1593749999902</v>
      </c>
      <c r="AU71" s="233">
        <f t="shared" si="84"/>
        <v>2374.0394554096529</v>
      </c>
      <c r="AV71" s="233">
        <f t="shared" si="84"/>
        <v>2378.9295879859433</v>
      </c>
      <c r="AW71" s="233">
        <f t="shared" si="84"/>
        <v>2383.8297934346788</v>
      </c>
      <c r="AX71" s="233">
        <f t="shared" si="85"/>
        <v>2388.7400925043271</v>
      </c>
      <c r="AY71" s="233">
        <f t="shared" si="85"/>
        <v>2393.6605059860949</v>
      </c>
      <c r="AZ71" s="233">
        <f t="shared" si="85"/>
        <v>2398.5910547140156</v>
      </c>
      <c r="BA71" s="233">
        <f t="shared" si="85"/>
        <v>2403.5317595650358</v>
      </c>
      <c r="BB71" s="233">
        <f t="shared" si="85"/>
        <v>2408.4826414591071</v>
      </c>
      <c r="BC71" s="233">
        <f t="shared" si="85"/>
        <v>2413.4437213592714</v>
      </c>
      <c r="BD71" s="233">
        <f t="shared" si="85"/>
        <v>2418.4150202717515</v>
      </c>
      <c r="BE71" s="233">
        <f t="shared" si="85"/>
        <v>2423.3965592460399</v>
      </c>
      <c r="BF71" s="233">
        <f t="shared" si="85"/>
        <v>2428.388359374987</v>
      </c>
      <c r="BG71" s="233">
        <f t="shared" si="85"/>
        <v>2433.3904417948911</v>
      </c>
      <c r="BH71" s="233">
        <f t="shared" si="86"/>
        <v>2438.4028276855893</v>
      </c>
      <c r="BI71" s="233">
        <f t="shared" si="86"/>
        <v>2443.4255382705433</v>
      </c>
      <c r="BJ71" s="233">
        <f t="shared" si="86"/>
        <v>2448.4585948169329</v>
      </c>
      <c r="BK71" s="233">
        <f t="shared" si="86"/>
        <v>2453.5020186357451</v>
      </c>
      <c r="BL71" s="233">
        <f t="shared" si="86"/>
        <v>2458.5558310818633</v>
      </c>
      <c r="BM71" s="233">
        <f t="shared" si="86"/>
        <v>2463.6200535541593</v>
      </c>
      <c r="BN71" s="233">
        <f t="shared" si="86"/>
        <v>2468.694707495582</v>
      </c>
      <c r="BO71" s="233">
        <f t="shared" si="86"/>
        <v>2473.7798143932505</v>
      </c>
      <c r="BP71" s="233">
        <f t="shared" si="86"/>
        <v>2478.8753957785425</v>
      </c>
      <c r="BQ71" s="233">
        <f t="shared" si="86"/>
        <v>2483.9814732271884</v>
      </c>
      <c r="BR71" s="233">
        <f t="shared" si="87"/>
        <v>2489.0980683593589</v>
      </c>
      <c r="BS71" s="233">
        <f t="shared" si="87"/>
        <v>2494.2252028397611</v>
      </c>
      <c r="BT71" s="233">
        <f t="shared" si="87"/>
        <v>2499.3628983777267</v>
      </c>
      <c r="BU71" s="233">
        <f t="shared" si="87"/>
        <v>2504.5111767273042</v>
      </c>
      <c r="BV71" s="233">
        <f t="shared" si="87"/>
        <v>2509.6700596873538</v>
      </c>
      <c r="BW71" s="233">
        <f t="shared" si="87"/>
        <v>2514.8395691016362</v>
      </c>
      <c r="BX71" s="233">
        <f t="shared" si="87"/>
        <v>2520.0197268589077</v>
      </c>
      <c r="BY71" s="233">
        <f t="shared" si="87"/>
        <v>2525.2105548930108</v>
      </c>
      <c r="BZ71" s="233">
        <f t="shared" si="87"/>
        <v>2530.4120751829691</v>
      </c>
      <c r="CA71" s="233">
        <f t="shared" si="87"/>
        <v>2535.6243097530787</v>
      </c>
      <c r="CB71" s="233">
        <f t="shared" si="88"/>
        <v>2540.8472806730028</v>
      </c>
      <c r="CC71" s="233">
        <f t="shared" si="88"/>
        <v>2546.0810100578642</v>
      </c>
      <c r="CD71" s="233">
        <f t="shared" si="88"/>
        <v>2551.3255200683393</v>
      </c>
      <c r="CE71" s="233">
        <f t="shared" si="88"/>
        <v>2556.5808329107513</v>
      </c>
      <c r="CF71" s="233">
        <f t="shared" si="88"/>
        <v>2561.8469708371658</v>
      </c>
      <c r="CG71" s="233">
        <f t="shared" si="88"/>
        <v>2567.1239561454831</v>
      </c>
      <c r="CH71" s="233">
        <f t="shared" si="88"/>
        <v>2572.4118111795333</v>
      </c>
      <c r="CI71" s="233">
        <f t="shared" si="88"/>
        <v>2577.7105583291727</v>
      </c>
      <c r="CJ71" s="233">
        <f t="shared" si="88"/>
        <v>2583.0202200303756</v>
      </c>
      <c r="CK71" s="233">
        <f t="shared" si="88"/>
        <v>2588.3408187653313</v>
      </c>
      <c r="CL71" s="233">
        <f t="shared" si="89"/>
        <v>2593.672377062539</v>
      </c>
      <c r="CM71" s="233">
        <f t="shared" si="89"/>
        <v>2599.0149174969015</v>
      </c>
      <c r="CN71" s="233">
        <f t="shared" si="89"/>
        <v>2604.3684626898239</v>
      </c>
      <c r="CO71" s="233">
        <f t="shared" si="89"/>
        <v>2609.7330353093071</v>
      </c>
      <c r="CP71" s="233">
        <f t="shared" si="89"/>
        <v>2615.1086580700439</v>
      </c>
      <c r="CQ71" s="233">
        <f t="shared" si="89"/>
        <v>2620.4953537335164</v>
      </c>
      <c r="CR71" s="233">
        <f t="shared" si="89"/>
        <v>2625.8931451080912</v>
      </c>
      <c r="CS71" s="233">
        <f t="shared" si="89"/>
        <v>2631.302055049116</v>
      </c>
      <c r="CT71" s="233">
        <f t="shared" si="89"/>
        <v>2636.7221064590181</v>
      </c>
      <c r="CU71" s="233">
        <f t="shared" si="89"/>
        <v>2642.1533222873986</v>
      </c>
      <c r="CV71" s="233">
        <f t="shared" si="90"/>
        <v>2647.5957255311318</v>
      </c>
      <c r="CW71" s="233">
        <f t="shared" si="90"/>
        <v>2653.0493392344615</v>
      </c>
      <c r="CX71" s="233">
        <f t="shared" si="90"/>
        <v>2658.5141864890988</v>
      </c>
      <c r="CY71" s="233">
        <f t="shared" si="90"/>
        <v>2663.9902904343207</v>
      </c>
      <c r="CZ71" s="233">
        <f t="shared" si="90"/>
        <v>2669.4776742570662</v>
      </c>
      <c r="DA71" s="233">
        <f t="shared" si="90"/>
        <v>2674.9763611920362</v>
      </c>
      <c r="DB71" s="233">
        <f t="shared" si="90"/>
        <v>2680.4863745217917</v>
      </c>
      <c r="DC71" s="233">
        <f t="shared" si="90"/>
        <v>2686.007737576851</v>
      </c>
      <c r="DD71" s="233">
        <f t="shared" si="90"/>
        <v>2691.5404737357899</v>
      </c>
      <c r="DE71" s="233">
        <f t="shared" si="90"/>
        <v>2697.0846064253406</v>
      </c>
      <c r="DF71" s="233">
        <f t="shared" si="91"/>
        <v>2702.6401591204899</v>
      </c>
      <c r="DG71" s="233">
        <f t="shared" si="91"/>
        <v>2708.2071553445803</v>
      </c>
      <c r="DH71" s="233">
        <f t="shared" si="91"/>
        <v>2713.7856186694066</v>
      </c>
      <c r="DI71" s="233">
        <f t="shared" si="91"/>
        <v>2719.3755727153193</v>
      </c>
      <c r="DJ71" s="233">
        <f t="shared" si="91"/>
        <v>2724.9770411513227</v>
      </c>
      <c r="DK71" s="233">
        <f t="shared" si="91"/>
        <v>2730.5900476951751</v>
      </c>
      <c r="DL71" s="233">
        <f t="shared" si="91"/>
        <v>2736.2146161134892</v>
      </c>
      <c r="DM71" s="233">
        <f t="shared" si="91"/>
        <v>2741.8507702218335</v>
      </c>
      <c r="DN71" s="233">
        <f t="shared" si="91"/>
        <v>2747.4985338848328</v>
      </c>
      <c r="DO71" s="233">
        <f t="shared" si="91"/>
        <v>2753.1579310162683</v>
      </c>
      <c r="DP71" s="233">
        <f t="shared" si="92"/>
        <v>2758.8289855791809</v>
      </c>
      <c r="DQ71" s="233">
        <f t="shared" si="92"/>
        <v>2764.51172158597</v>
      </c>
      <c r="DR71" s="233">
        <f t="shared" si="92"/>
        <v>2770.2061630984986</v>
      </c>
      <c r="DS71" s="233">
        <f t="shared" si="92"/>
        <v>2775.9123342281905</v>
      </c>
      <c r="DT71" s="233">
        <f t="shared" si="92"/>
        <v>2781.6302591361377</v>
      </c>
      <c r="DU71" s="233">
        <f t="shared" si="92"/>
        <v>2787.3599620331984</v>
      </c>
      <c r="DV71" s="233">
        <f t="shared" si="92"/>
        <v>2793.1014671801022</v>
      </c>
      <c r="DW71" s="233">
        <f t="shared" si="92"/>
        <v>2798.8547988875507</v>
      </c>
      <c r="DX71" s="233">
        <f t="shared" si="92"/>
        <v>2804.6199815163222</v>
      </c>
      <c r="DY71" s="233">
        <f t="shared" si="92"/>
        <v>2810.3970394773755</v>
      </c>
      <c r="DZ71" s="233">
        <f t="shared" si="93"/>
        <v>2816.1859972319498</v>
      </c>
      <c r="EA71" s="233">
        <f t="shared" si="93"/>
        <v>2821.9868792916714</v>
      </c>
      <c r="EB71" s="233">
        <f t="shared" si="93"/>
        <v>2827.7997102186569</v>
      </c>
      <c r="EC71" s="233">
        <f t="shared" si="93"/>
        <v>2833.624514625616</v>
      </c>
      <c r="ED71" s="233">
        <f t="shared" si="93"/>
        <v>2839.4613171759574</v>
      </c>
      <c r="EE71" s="233">
        <f t="shared" si="93"/>
        <v>2845.3101425838918</v>
      </c>
      <c r="EF71" s="233">
        <f t="shared" si="93"/>
        <v>2851.1710156145377</v>
      </c>
      <c r="EG71" s="233">
        <f t="shared" si="93"/>
        <v>2857.0439610840253</v>
      </c>
      <c r="EH71" s="233">
        <f t="shared" si="93"/>
        <v>2862.9290038596014</v>
      </c>
      <c r="EI71" s="233">
        <f t="shared" si="93"/>
        <v>2868.8261688597363</v>
      </c>
      <c r="EJ71" s="233">
        <f t="shared" si="93"/>
        <v>2874.7354810542274</v>
      </c>
      <c r="EK71" s="233">
        <f t="shared" si="93"/>
        <v>2880.6569654643067</v>
      </c>
    </row>
    <row r="72" spans="2:141" x14ac:dyDescent="0.45">
      <c r="B72" s="230">
        <f>Assumptions!B109</f>
        <v>64</v>
      </c>
      <c r="C72" s="230" t="str">
        <f>Assumptions!C109</f>
        <v>Fair Market</v>
      </c>
      <c r="D72" s="439">
        <f>Assumptions!D109</f>
        <v>2</v>
      </c>
      <c r="E72" s="22">
        <f>Assumptions!G109</f>
        <v>23</v>
      </c>
      <c r="F72" s="22">
        <f>IF(D72=1,E72+SUM(Assumptions!$G$142:$G$143),'Rent Roll Model'!E72)</f>
        <v>23</v>
      </c>
      <c r="G72" s="233">
        <f>Assumptions!I109</f>
        <v>1785</v>
      </c>
      <c r="H72" s="233">
        <f>Assumptions!J109</f>
        <v>2200</v>
      </c>
      <c r="J72" s="233">
        <f t="shared" si="81"/>
        <v>1785</v>
      </c>
      <c r="K72" s="233">
        <f t="shared" si="81"/>
        <v>1788.6768077416693</v>
      </c>
      <c r="L72" s="233">
        <f t="shared" si="81"/>
        <v>1792.3611891052822</v>
      </c>
      <c r="M72" s="233">
        <f t="shared" si="81"/>
        <v>1796.0531596912597</v>
      </c>
      <c r="N72" s="233">
        <f t="shared" si="81"/>
        <v>1799.7527351321573</v>
      </c>
      <c r="O72" s="233">
        <f t="shared" si="81"/>
        <v>1803.4599310927313</v>
      </c>
      <c r="P72" s="233">
        <f t="shared" si="81"/>
        <v>1807.174763270004</v>
      </c>
      <c r="Q72" s="233">
        <f t="shared" si="81"/>
        <v>1810.897247393332</v>
      </c>
      <c r="R72" s="233">
        <f t="shared" si="81"/>
        <v>1814.6273992244712</v>
      </c>
      <c r="S72" s="233">
        <f t="shared" si="81"/>
        <v>1818.3652345576443</v>
      </c>
      <c r="T72" s="233">
        <f t="shared" si="82"/>
        <v>1822.1107692196072</v>
      </c>
      <c r="U72" s="233">
        <f t="shared" si="82"/>
        <v>1825.8640190697167</v>
      </c>
      <c r="V72" s="233">
        <f t="shared" si="82"/>
        <v>1829.6249999999975</v>
      </c>
      <c r="W72" s="233">
        <f t="shared" si="82"/>
        <v>1833.3937279352085</v>
      </c>
      <c r="X72" s="233">
        <f t="shared" si="82"/>
        <v>1837.1702188329118</v>
      </c>
      <c r="Y72" s="233">
        <f t="shared" si="82"/>
        <v>1840.954488683539</v>
      </c>
      <c r="Z72" s="233">
        <f t="shared" si="82"/>
        <v>1844.7465535104591</v>
      </c>
      <c r="AA72" s="233">
        <f t="shared" si="82"/>
        <v>1848.5464293700475</v>
      </c>
      <c r="AB72" s="233">
        <f t="shared" si="82"/>
        <v>1852.354132351752</v>
      </c>
      <c r="AC72" s="233">
        <f t="shared" si="82"/>
        <v>1856.169678578163</v>
      </c>
      <c r="AD72" s="233">
        <f t="shared" si="83"/>
        <v>1859.9930842050805</v>
      </c>
      <c r="AE72" s="233">
        <f t="shared" si="83"/>
        <v>1863.824365421583</v>
      </c>
      <c r="AF72" s="233">
        <f t="shared" si="83"/>
        <v>2301.8822322634223</v>
      </c>
      <c r="AG72" s="233">
        <f t="shared" si="83"/>
        <v>2306.6237327743456</v>
      </c>
      <c r="AH72" s="233">
        <f t="shared" si="83"/>
        <v>2311.3749999999941</v>
      </c>
      <c r="AI72" s="233">
        <f t="shared" si="83"/>
        <v>2316.1360540582018</v>
      </c>
      <c r="AJ72" s="233">
        <f t="shared" si="83"/>
        <v>2320.9069151082408</v>
      </c>
      <c r="AK72" s="233">
        <f t="shared" si="83"/>
        <v>2325.6876033509097</v>
      </c>
      <c r="AL72" s="233">
        <f t="shared" si="83"/>
        <v>2330.4781390286153</v>
      </c>
      <c r="AM72" s="233">
        <f t="shared" si="83"/>
        <v>2335.2785424254621</v>
      </c>
      <c r="AN72" s="233">
        <f t="shared" si="84"/>
        <v>2340.0888338673353</v>
      </c>
      <c r="AO72" s="233">
        <f t="shared" si="84"/>
        <v>2344.9090337219891</v>
      </c>
      <c r="AP72" s="233">
        <f t="shared" si="84"/>
        <v>2349.7391623991321</v>
      </c>
      <c r="AQ72" s="233">
        <f t="shared" si="84"/>
        <v>2354.5792403505111</v>
      </c>
      <c r="AR72" s="233">
        <f t="shared" si="84"/>
        <v>2359.4292880700041</v>
      </c>
      <c r="AS72" s="233">
        <f t="shared" si="84"/>
        <v>2364.2893260936999</v>
      </c>
      <c r="AT72" s="233">
        <f t="shared" si="84"/>
        <v>2369.1593749999902</v>
      </c>
      <c r="AU72" s="233">
        <f t="shared" si="84"/>
        <v>2374.0394554096529</v>
      </c>
      <c r="AV72" s="233">
        <f t="shared" si="84"/>
        <v>2378.9295879859433</v>
      </c>
      <c r="AW72" s="233">
        <f t="shared" si="84"/>
        <v>2383.8297934346788</v>
      </c>
      <c r="AX72" s="233">
        <f t="shared" si="85"/>
        <v>2388.7400925043271</v>
      </c>
      <c r="AY72" s="233">
        <f t="shared" si="85"/>
        <v>2393.6605059860949</v>
      </c>
      <c r="AZ72" s="233">
        <f t="shared" si="85"/>
        <v>2398.5910547140156</v>
      </c>
      <c r="BA72" s="233">
        <f t="shared" si="85"/>
        <v>2403.5317595650358</v>
      </c>
      <c r="BB72" s="233">
        <f t="shared" si="85"/>
        <v>2408.4826414591071</v>
      </c>
      <c r="BC72" s="233">
        <f t="shared" si="85"/>
        <v>2413.4437213592714</v>
      </c>
      <c r="BD72" s="233">
        <f t="shared" si="85"/>
        <v>2418.4150202717515</v>
      </c>
      <c r="BE72" s="233">
        <f t="shared" si="85"/>
        <v>2423.3965592460399</v>
      </c>
      <c r="BF72" s="233">
        <f t="shared" si="85"/>
        <v>2428.388359374987</v>
      </c>
      <c r="BG72" s="233">
        <f t="shared" si="85"/>
        <v>2433.3904417948911</v>
      </c>
      <c r="BH72" s="233">
        <f t="shared" si="86"/>
        <v>2438.4028276855893</v>
      </c>
      <c r="BI72" s="233">
        <f t="shared" si="86"/>
        <v>2443.4255382705433</v>
      </c>
      <c r="BJ72" s="233">
        <f t="shared" si="86"/>
        <v>2448.4585948169329</v>
      </c>
      <c r="BK72" s="233">
        <f t="shared" si="86"/>
        <v>2453.5020186357451</v>
      </c>
      <c r="BL72" s="233">
        <f t="shared" si="86"/>
        <v>2458.5558310818633</v>
      </c>
      <c r="BM72" s="233">
        <f t="shared" si="86"/>
        <v>2463.6200535541593</v>
      </c>
      <c r="BN72" s="233">
        <f t="shared" si="86"/>
        <v>2468.694707495582</v>
      </c>
      <c r="BO72" s="233">
        <f t="shared" si="86"/>
        <v>2473.7798143932505</v>
      </c>
      <c r="BP72" s="233">
        <f t="shared" si="86"/>
        <v>2478.8753957785425</v>
      </c>
      <c r="BQ72" s="233">
        <f t="shared" si="86"/>
        <v>2483.9814732271884</v>
      </c>
      <c r="BR72" s="233">
        <f t="shared" si="87"/>
        <v>2489.0980683593589</v>
      </c>
      <c r="BS72" s="233">
        <f t="shared" si="87"/>
        <v>2494.2252028397611</v>
      </c>
      <c r="BT72" s="233">
        <f t="shared" si="87"/>
        <v>2499.3628983777267</v>
      </c>
      <c r="BU72" s="233">
        <f t="shared" si="87"/>
        <v>2504.5111767273042</v>
      </c>
      <c r="BV72" s="233">
        <f t="shared" si="87"/>
        <v>2509.6700596873538</v>
      </c>
      <c r="BW72" s="233">
        <f t="shared" si="87"/>
        <v>2514.8395691016362</v>
      </c>
      <c r="BX72" s="233">
        <f t="shared" si="87"/>
        <v>2520.0197268589077</v>
      </c>
      <c r="BY72" s="233">
        <f t="shared" si="87"/>
        <v>2525.2105548930108</v>
      </c>
      <c r="BZ72" s="233">
        <f t="shared" si="87"/>
        <v>2530.4120751829691</v>
      </c>
      <c r="CA72" s="233">
        <f t="shared" si="87"/>
        <v>2535.6243097530787</v>
      </c>
      <c r="CB72" s="233">
        <f t="shared" si="88"/>
        <v>2540.8472806730028</v>
      </c>
      <c r="CC72" s="233">
        <f t="shared" si="88"/>
        <v>2546.0810100578642</v>
      </c>
      <c r="CD72" s="233">
        <f t="shared" si="88"/>
        <v>2551.3255200683393</v>
      </c>
      <c r="CE72" s="233">
        <f t="shared" si="88"/>
        <v>2556.5808329107513</v>
      </c>
      <c r="CF72" s="233">
        <f t="shared" si="88"/>
        <v>2561.8469708371658</v>
      </c>
      <c r="CG72" s="233">
        <f t="shared" si="88"/>
        <v>2567.1239561454831</v>
      </c>
      <c r="CH72" s="233">
        <f t="shared" si="88"/>
        <v>2572.4118111795333</v>
      </c>
      <c r="CI72" s="233">
        <f t="shared" si="88"/>
        <v>2577.7105583291727</v>
      </c>
      <c r="CJ72" s="233">
        <f t="shared" si="88"/>
        <v>2583.0202200303756</v>
      </c>
      <c r="CK72" s="233">
        <f t="shared" si="88"/>
        <v>2588.3408187653313</v>
      </c>
      <c r="CL72" s="233">
        <f t="shared" si="89"/>
        <v>2593.672377062539</v>
      </c>
      <c r="CM72" s="233">
        <f t="shared" si="89"/>
        <v>2599.0149174969015</v>
      </c>
      <c r="CN72" s="233">
        <f t="shared" si="89"/>
        <v>2604.3684626898239</v>
      </c>
      <c r="CO72" s="233">
        <f t="shared" si="89"/>
        <v>2609.7330353093071</v>
      </c>
      <c r="CP72" s="233">
        <f t="shared" si="89"/>
        <v>2615.1086580700439</v>
      </c>
      <c r="CQ72" s="233">
        <f t="shared" si="89"/>
        <v>2620.4953537335164</v>
      </c>
      <c r="CR72" s="233">
        <f t="shared" si="89"/>
        <v>2625.8931451080912</v>
      </c>
      <c r="CS72" s="233">
        <f t="shared" si="89"/>
        <v>2631.302055049116</v>
      </c>
      <c r="CT72" s="233">
        <f t="shared" si="89"/>
        <v>2636.7221064590181</v>
      </c>
      <c r="CU72" s="233">
        <f t="shared" si="89"/>
        <v>2642.1533222873986</v>
      </c>
      <c r="CV72" s="233">
        <f t="shared" si="90"/>
        <v>2647.5957255311318</v>
      </c>
      <c r="CW72" s="233">
        <f t="shared" si="90"/>
        <v>2653.0493392344615</v>
      </c>
      <c r="CX72" s="233">
        <f t="shared" si="90"/>
        <v>2658.5141864890988</v>
      </c>
      <c r="CY72" s="233">
        <f t="shared" si="90"/>
        <v>2663.9902904343207</v>
      </c>
      <c r="CZ72" s="233">
        <f t="shared" si="90"/>
        <v>2669.4776742570662</v>
      </c>
      <c r="DA72" s="233">
        <f t="shared" si="90"/>
        <v>2674.9763611920362</v>
      </c>
      <c r="DB72" s="233">
        <f t="shared" si="90"/>
        <v>2680.4863745217917</v>
      </c>
      <c r="DC72" s="233">
        <f t="shared" si="90"/>
        <v>2686.007737576851</v>
      </c>
      <c r="DD72" s="233">
        <f t="shared" si="90"/>
        <v>2691.5404737357899</v>
      </c>
      <c r="DE72" s="233">
        <f t="shared" si="90"/>
        <v>2697.0846064253406</v>
      </c>
      <c r="DF72" s="233">
        <f t="shared" si="91"/>
        <v>2702.6401591204899</v>
      </c>
      <c r="DG72" s="233">
        <f t="shared" si="91"/>
        <v>2708.2071553445803</v>
      </c>
      <c r="DH72" s="233">
        <f t="shared" si="91"/>
        <v>2713.7856186694066</v>
      </c>
      <c r="DI72" s="233">
        <f t="shared" si="91"/>
        <v>2719.3755727153193</v>
      </c>
      <c r="DJ72" s="233">
        <f t="shared" si="91"/>
        <v>2724.9770411513227</v>
      </c>
      <c r="DK72" s="233">
        <f t="shared" si="91"/>
        <v>2730.5900476951751</v>
      </c>
      <c r="DL72" s="233">
        <f t="shared" si="91"/>
        <v>2736.2146161134892</v>
      </c>
      <c r="DM72" s="233">
        <f t="shared" si="91"/>
        <v>2741.8507702218335</v>
      </c>
      <c r="DN72" s="233">
        <f t="shared" si="91"/>
        <v>2747.4985338848328</v>
      </c>
      <c r="DO72" s="233">
        <f t="shared" si="91"/>
        <v>2753.1579310162683</v>
      </c>
      <c r="DP72" s="233">
        <f t="shared" si="92"/>
        <v>2758.8289855791809</v>
      </c>
      <c r="DQ72" s="233">
        <f t="shared" si="92"/>
        <v>2764.51172158597</v>
      </c>
      <c r="DR72" s="233">
        <f t="shared" si="92"/>
        <v>2770.2061630984986</v>
      </c>
      <c r="DS72" s="233">
        <f t="shared" si="92"/>
        <v>2775.9123342281905</v>
      </c>
      <c r="DT72" s="233">
        <f t="shared" si="92"/>
        <v>2781.6302591361377</v>
      </c>
      <c r="DU72" s="233">
        <f t="shared" si="92"/>
        <v>2787.3599620331984</v>
      </c>
      <c r="DV72" s="233">
        <f t="shared" si="92"/>
        <v>2793.1014671801022</v>
      </c>
      <c r="DW72" s="233">
        <f t="shared" si="92"/>
        <v>2798.8547988875507</v>
      </c>
      <c r="DX72" s="233">
        <f t="shared" si="92"/>
        <v>2804.6199815163222</v>
      </c>
      <c r="DY72" s="233">
        <f t="shared" si="92"/>
        <v>2810.3970394773755</v>
      </c>
      <c r="DZ72" s="233">
        <f t="shared" si="93"/>
        <v>2816.1859972319498</v>
      </c>
      <c r="EA72" s="233">
        <f t="shared" si="93"/>
        <v>2821.9868792916714</v>
      </c>
      <c r="EB72" s="233">
        <f t="shared" si="93"/>
        <v>2827.7997102186569</v>
      </c>
      <c r="EC72" s="233">
        <f t="shared" si="93"/>
        <v>2833.624514625616</v>
      </c>
      <c r="ED72" s="233">
        <f t="shared" si="93"/>
        <v>2839.4613171759574</v>
      </c>
      <c r="EE72" s="233">
        <f t="shared" si="93"/>
        <v>2845.3101425838918</v>
      </c>
      <c r="EF72" s="233">
        <f t="shared" si="93"/>
        <v>2851.1710156145377</v>
      </c>
      <c r="EG72" s="233">
        <f t="shared" si="93"/>
        <v>2857.0439610840253</v>
      </c>
      <c r="EH72" s="233">
        <f t="shared" si="93"/>
        <v>2862.9290038596014</v>
      </c>
      <c r="EI72" s="233">
        <f t="shared" si="93"/>
        <v>2868.8261688597363</v>
      </c>
      <c r="EJ72" s="233">
        <f t="shared" si="93"/>
        <v>2874.7354810542274</v>
      </c>
      <c r="EK72" s="233">
        <f t="shared" si="93"/>
        <v>2880.6569654643067</v>
      </c>
    </row>
    <row r="73" spans="2:141" x14ac:dyDescent="0.45">
      <c r="B73" s="230">
        <f>Assumptions!B110</f>
        <v>65</v>
      </c>
      <c r="C73" s="230" t="str">
        <f>Assumptions!C110</f>
        <v>Fair Market</v>
      </c>
      <c r="D73" s="439">
        <f>Assumptions!D110</f>
        <v>1</v>
      </c>
      <c r="E73" s="22">
        <f>Assumptions!G110</f>
        <v>23</v>
      </c>
      <c r="F73" s="22">
        <f>IF(D73=1,E73+SUM(Assumptions!$G$142:$G$143),'Rent Roll Model'!E73)</f>
        <v>27</v>
      </c>
      <c r="G73" s="233">
        <f>Assumptions!I110</f>
        <v>1522.5</v>
      </c>
      <c r="H73" s="233">
        <f>Assumptions!J110</f>
        <v>2200</v>
      </c>
      <c r="J73" s="233">
        <f t="shared" si="81"/>
        <v>1522.5</v>
      </c>
      <c r="K73" s="233">
        <f t="shared" si="81"/>
        <v>1525.6361007208357</v>
      </c>
      <c r="L73" s="233">
        <f t="shared" si="81"/>
        <v>1528.7786612956818</v>
      </c>
      <c r="M73" s="233">
        <f t="shared" si="81"/>
        <v>1531.9276950307803</v>
      </c>
      <c r="N73" s="233">
        <f t="shared" si="81"/>
        <v>1535.0832152597814</v>
      </c>
      <c r="O73" s="233">
        <f t="shared" si="81"/>
        <v>1538.2452353438</v>
      </c>
      <c r="P73" s="233">
        <f t="shared" si="81"/>
        <v>1541.4137686714739</v>
      </c>
      <c r="Q73" s="233">
        <f t="shared" si="81"/>
        <v>1544.5888286590184</v>
      </c>
      <c r="R73" s="233">
        <f t="shared" si="81"/>
        <v>1547.7704287502843</v>
      </c>
      <c r="S73" s="233">
        <f t="shared" si="81"/>
        <v>1550.9585824168144</v>
      </c>
      <c r="T73" s="233">
        <f t="shared" si="82"/>
        <v>1554.1533031579004</v>
      </c>
      <c r="U73" s="233">
        <f t="shared" si="82"/>
        <v>1557.3546045006408</v>
      </c>
      <c r="V73" s="233">
        <f t="shared" si="82"/>
        <v>1560.5624999999977</v>
      </c>
      <c r="W73" s="233">
        <f t="shared" si="82"/>
        <v>1563.7770032388544</v>
      </c>
      <c r="X73" s="233">
        <f t="shared" si="82"/>
        <v>1566.9981278280718</v>
      </c>
      <c r="Y73" s="233">
        <f t="shared" si="82"/>
        <v>1570.2258874065481</v>
      </c>
      <c r="Z73" s="233">
        <f t="shared" si="82"/>
        <v>1573.4602956412739</v>
      </c>
      <c r="AA73" s="233">
        <f t="shared" si="82"/>
        <v>1576.7013662273932</v>
      </c>
      <c r="AB73" s="233">
        <f t="shared" si="82"/>
        <v>1579.9491128882592</v>
      </c>
      <c r="AC73" s="233">
        <f t="shared" si="82"/>
        <v>1583.203549375492</v>
      </c>
      <c r="AD73" s="233">
        <f t="shared" si="83"/>
        <v>1586.4646894690393</v>
      </c>
      <c r="AE73" s="233">
        <f t="shared" si="83"/>
        <v>1589.7325469772327</v>
      </c>
      <c r="AF73" s="233">
        <f t="shared" si="83"/>
        <v>0</v>
      </c>
      <c r="AG73" s="233">
        <f t="shared" si="83"/>
        <v>0</v>
      </c>
      <c r="AH73" s="233">
        <f t="shared" si="83"/>
        <v>0</v>
      </c>
      <c r="AI73" s="233">
        <f t="shared" si="83"/>
        <v>0</v>
      </c>
      <c r="AJ73" s="233">
        <f t="shared" si="83"/>
        <v>2320.9069151082408</v>
      </c>
      <c r="AK73" s="233">
        <f t="shared" si="83"/>
        <v>2325.6876033509097</v>
      </c>
      <c r="AL73" s="233">
        <f t="shared" si="83"/>
        <v>2330.4781390286153</v>
      </c>
      <c r="AM73" s="233">
        <f t="shared" si="83"/>
        <v>2335.2785424254621</v>
      </c>
      <c r="AN73" s="233">
        <f t="shared" si="84"/>
        <v>2340.0888338673353</v>
      </c>
      <c r="AO73" s="233">
        <f t="shared" si="84"/>
        <v>2344.9090337219891</v>
      </c>
      <c r="AP73" s="233">
        <f t="shared" si="84"/>
        <v>2349.7391623991321</v>
      </c>
      <c r="AQ73" s="233">
        <f t="shared" si="84"/>
        <v>2354.5792403505111</v>
      </c>
      <c r="AR73" s="233">
        <f t="shared" si="84"/>
        <v>2359.4292880700041</v>
      </c>
      <c r="AS73" s="233">
        <f t="shared" si="84"/>
        <v>2364.2893260936999</v>
      </c>
      <c r="AT73" s="233">
        <f t="shared" si="84"/>
        <v>2369.1593749999902</v>
      </c>
      <c r="AU73" s="233">
        <f t="shared" si="84"/>
        <v>2374.0394554096529</v>
      </c>
      <c r="AV73" s="233">
        <f t="shared" si="84"/>
        <v>2378.9295879859433</v>
      </c>
      <c r="AW73" s="233">
        <f t="shared" si="84"/>
        <v>2383.8297934346788</v>
      </c>
      <c r="AX73" s="233">
        <f t="shared" si="85"/>
        <v>2388.7400925043271</v>
      </c>
      <c r="AY73" s="233">
        <f t="shared" si="85"/>
        <v>2393.6605059860949</v>
      </c>
      <c r="AZ73" s="233">
        <f t="shared" si="85"/>
        <v>2398.5910547140156</v>
      </c>
      <c r="BA73" s="233">
        <f t="shared" si="85"/>
        <v>2403.5317595650358</v>
      </c>
      <c r="BB73" s="233">
        <f t="shared" si="85"/>
        <v>2408.4826414591071</v>
      </c>
      <c r="BC73" s="233">
        <f t="shared" si="85"/>
        <v>2413.4437213592714</v>
      </c>
      <c r="BD73" s="233">
        <f t="shared" si="85"/>
        <v>2418.4150202717515</v>
      </c>
      <c r="BE73" s="233">
        <f t="shared" si="85"/>
        <v>2423.3965592460399</v>
      </c>
      <c r="BF73" s="233">
        <f t="shared" si="85"/>
        <v>2428.388359374987</v>
      </c>
      <c r="BG73" s="233">
        <f t="shared" si="85"/>
        <v>2433.3904417948911</v>
      </c>
      <c r="BH73" s="233">
        <f t="shared" si="86"/>
        <v>2438.4028276855893</v>
      </c>
      <c r="BI73" s="233">
        <f t="shared" si="86"/>
        <v>2443.4255382705433</v>
      </c>
      <c r="BJ73" s="233">
        <f t="shared" si="86"/>
        <v>2448.4585948169329</v>
      </c>
      <c r="BK73" s="233">
        <f t="shared" si="86"/>
        <v>2453.5020186357451</v>
      </c>
      <c r="BL73" s="233">
        <f t="shared" si="86"/>
        <v>2458.5558310818633</v>
      </c>
      <c r="BM73" s="233">
        <f t="shared" si="86"/>
        <v>2463.6200535541593</v>
      </c>
      <c r="BN73" s="233">
        <f t="shared" si="86"/>
        <v>2468.694707495582</v>
      </c>
      <c r="BO73" s="233">
        <f t="shared" si="86"/>
        <v>2473.7798143932505</v>
      </c>
      <c r="BP73" s="233">
        <f t="shared" si="86"/>
        <v>2478.8753957785425</v>
      </c>
      <c r="BQ73" s="233">
        <f t="shared" si="86"/>
        <v>2483.9814732271884</v>
      </c>
      <c r="BR73" s="233">
        <f t="shared" si="87"/>
        <v>2489.0980683593589</v>
      </c>
      <c r="BS73" s="233">
        <f t="shared" si="87"/>
        <v>2494.2252028397611</v>
      </c>
      <c r="BT73" s="233">
        <f t="shared" si="87"/>
        <v>2499.3628983777267</v>
      </c>
      <c r="BU73" s="233">
        <f t="shared" si="87"/>
        <v>2504.5111767273042</v>
      </c>
      <c r="BV73" s="233">
        <f t="shared" si="87"/>
        <v>2509.6700596873538</v>
      </c>
      <c r="BW73" s="233">
        <f t="shared" si="87"/>
        <v>2514.8395691016362</v>
      </c>
      <c r="BX73" s="233">
        <f t="shared" si="87"/>
        <v>2520.0197268589077</v>
      </c>
      <c r="BY73" s="233">
        <f t="shared" si="87"/>
        <v>2525.2105548930108</v>
      </c>
      <c r="BZ73" s="233">
        <f t="shared" si="87"/>
        <v>2530.4120751829691</v>
      </c>
      <c r="CA73" s="233">
        <f t="shared" si="87"/>
        <v>2535.6243097530787</v>
      </c>
      <c r="CB73" s="233">
        <f t="shared" si="88"/>
        <v>2540.8472806730028</v>
      </c>
      <c r="CC73" s="233">
        <f t="shared" si="88"/>
        <v>2546.0810100578642</v>
      </c>
      <c r="CD73" s="233">
        <f t="shared" si="88"/>
        <v>2551.3255200683393</v>
      </c>
      <c r="CE73" s="233">
        <f t="shared" si="88"/>
        <v>2556.5808329107513</v>
      </c>
      <c r="CF73" s="233">
        <f t="shared" si="88"/>
        <v>2561.8469708371658</v>
      </c>
      <c r="CG73" s="233">
        <f t="shared" si="88"/>
        <v>2567.1239561454831</v>
      </c>
      <c r="CH73" s="233">
        <f t="shared" si="88"/>
        <v>2572.4118111795333</v>
      </c>
      <c r="CI73" s="233">
        <f t="shared" si="88"/>
        <v>2577.7105583291727</v>
      </c>
      <c r="CJ73" s="233">
        <f t="shared" si="88"/>
        <v>2583.0202200303756</v>
      </c>
      <c r="CK73" s="233">
        <f t="shared" si="88"/>
        <v>2588.3408187653313</v>
      </c>
      <c r="CL73" s="233">
        <f t="shared" si="89"/>
        <v>2593.672377062539</v>
      </c>
      <c r="CM73" s="233">
        <f t="shared" si="89"/>
        <v>2599.0149174969015</v>
      </c>
      <c r="CN73" s="233">
        <f t="shared" si="89"/>
        <v>2604.3684626898239</v>
      </c>
      <c r="CO73" s="233">
        <f t="shared" si="89"/>
        <v>2609.7330353093071</v>
      </c>
      <c r="CP73" s="233">
        <f t="shared" si="89"/>
        <v>2615.1086580700439</v>
      </c>
      <c r="CQ73" s="233">
        <f t="shared" si="89"/>
        <v>2620.4953537335164</v>
      </c>
      <c r="CR73" s="233">
        <f t="shared" si="89"/>
        <v>2625.8931451080912</v>
      </c>
      <c r="CS73" s="233">
        <f t="shared" si="89"/>
        <v>2631.302055049116</v>
      </c>
      <c r="CT73" s="233">
        <f t="shared" si="89"/>
        <v>2636.7221064590181</v>
      </c>
      <c r="CU73" s="233">
        <f t="shared" si="89"/>
        <v>2642.1533222873986</v>
      </c>
      <c r="CV73" s="233">
        <f t="shared" si="90"/>
        <v>2647.5957255311318</v>
      </c>
      <c r="CW73" s="233">
        <f t="shared" si="90"/>
        <v>2653.0493392344615</v>
      </c>
      <c r="CX73" s="233">
        <f t="shared" si="90"/>
        <v>2658.5141864890988</v>
      </c>
      <c r="CY73" s="233">
        <f t="shared" si="90"/>
        <v>2663.9902904343207</v>
      </c>
      <c r="CZ73" s="233">
        <f t="shared" si="90"/>
        <v>2669.4776742570662</v>
      </c>
      <c r="DA73" s="233">
        <f t="shared" si="90"/>
        <v>2674.9763611920362</v>
      </c>
      <c r="DB73" s="233">
        <f t="shared" si="90"/>
        <v>2680.4863745217917</v>
      </c>
      <c r="DC73" s="233">
        <f t="shared" si="90"/>
        <v>2686.007737576851</v>
      </c>
      <c r="DD73" s="233">
        <f t="shared" si="90"/>
        <v>2691.5404737357899</v>
      </c>
      <c r="DE73" s="233">
        <f t="shared" si="90"/>
        <v>2697.0846064253406</v>
      </c>
      <c r="DF73" s="233">
        <f t="shared" si="91"/>
        <v>2702.6401591204899</v>
      </c>
      <c r="DG73" s="233">
        <f t="shared" si="91"/>
        <v>2708.2071553445803</v>
      </c>
      <c r="DH73" s="233">
        <f t="shared" si="91"/>
        <v>2713.7856186694066</v>
      </c>
      <c r="DI73" s="233">
        <f t="shared" si="91"/>
        <v>2719.3755727153193</v>
      </c>
      <c r="DJ73" s="233">
        <f t="shared" si="91"/>
        <v>2724.9770411513227</v>
      </c>
      <c r="DK73" s="233">
        <f t="shared" si="91"/>
        <v>2730.5900476951751</v>
      </c>
      <c r="DL73" s="233">
        <f t="shared" si="91"/>
        <v>2736.2146161134892</v>
      </c>
      <c r="DM73" s="233">
        <f t="shared" si="91"/>
        <v>2741.8507702218335</v>
      </c>
      <c r="DN73" s="233">
        <f t="shared" si="91"/>
        <v>2747.4985338848328</v>
      </c>
      <c r="DO73" s="233">
        <f t="shared" si="91"/>
        <v>2753.1579310162683</v>
      </c>
      <c r="DP73" s="233">
        <f t="shared" si="92"/>
        <v>2758.8289855791809</v>
      </c>
      <c r="DQ73" s="233">
        <f t="shared" si="92"/>
        <v>2764.51172158597</v>
      </c>
      <c r="DR73" s="233">
        <f t="shared" si="92"/>
        <v>2770.2061630984986</v>
      </c>
      <c r="DS73" s="233">
        <f t="shared" si="92"/>
        <v>2775.9123342281905</v>
      </c>
      <c r="DT73" s="233">
        <f t="shared" si="92"/>
        <v>2781.6302591361377</v>
      </c>
      <c r="DU73" s="233">
        <f t="shared" si="92"/>
        <v>2787.3599620331984</v>
      </c>
      <c r="DV73" s="233">
        <f t="shared" si="92"/>
        <v>2793.1014671801022</v>
      </c>
      <c r="DW73" s="233">
        <f t="shared" si="92"/>
        <v>2798.8547988875507</v>
      </c>
      <c r="DX73" s="233">
        <f t="shared" si="92"/>
        <v>2804.6199815163222</v>
      </c>
      <c r="DY73" s="233">
        <f t="shared" si="92"/>
        <v>2810.3970394773755</v>
      </c>
      <c r="DZ73" s="233">
        <f t="shared" si="93"/>
        <v>2816.1859972319498</v>
      </c>
      <c r="EA73" s="233">
        <f t="shared" si="93"/>
        <v>2821.9868792916714</v>
      </c>
      <c r="EB73" s="233">
        <f t="shared" si="93"/>
        <v>2827.7997102186569</v>
      </c>
      <c r="EC73" s="233">
        <f t="shared" si="93"/>
        <v>2833.624514625616</v>
      </c>
      <c r="ED73" s="233">
        <f t="shared" si="93"/>
        <v>2839.4613171759574</v>
      </c>
      <c r="EE73" s="233">
        <f t="shared" si="93"/>
        <v>2845.3101425838918</v>
      </c>
      <c r="EF73" s="233">
        <f t="shared" si="93"/>
        <v>2851.1710156145377</v>
      </c>
      <c r="EG73" s="233">
        <f t="shared" si="93"/>
        <v>2857.0439610840253</v>
      </c>
      <c r="EH73" s="233">
        <f t="shared" si="93"/>
        <v>2862.9290038596014</v>
      </c>
      <c r="EI73" s="233">
        <f t="shared" si="93"/>
        <v>2868.8261688597363</v>
      </c>
      <c r="EJ73" s="233">
        <f t="shared" si="93"/>
        <v>2874.7354810542274</v>
      </c>
      <c r="EK73" s="233">
        <f t="shared" si="93"/>
        <v>2880.6569654643067</v>
      </c>
    </row>
    <row r="74" spans="2:141" x14ac:dyDescent="0.45">
      <c r="B74" s="230">
        <f>Assumptions!B111</f>
        <v>66</v>
      </c>
      <c r="C74" s="230" t="str">
        <f>Assumptions!C111</f>
        <v>Fair Market</v>
      </c>
      <c r="D74" s="439">
        <f>Assumptions!D111</f>
        <v>1</v>
      </c>
      <c r="E74" s="22">
        <f>Assumptions!G111</f>
        <v>23</v>
      </c>
      <c r="F74" s="22">
        <f>IF(D74=1,E74+SUM(Assumptions!$G$142:$G$143),'Rent Roll Model'!E74)</f>
        <v>27</v>
      </c>
      <c r="G74" s="233">
        <f>Assumptions!I111</f>
        <v>1575</v>
      </c>
      <c r="H74" s="233">
        <f>Assumptions!J111</f>
        <v>2200</v>
      </c>
      <c r="J74" s="233">
        <f t="shared" si="81"/>
        <v>1575</v>
      </c>
      <c r="K74" s="233">
        <f t="shared" si="81"/>
        <v>1578.2442421250023</v>
      </c>
      <c r="L74" s="233">
        <f t="shared" si="81"/>
        <v>1581.4951668576018</v>
      </c>
      <c r="M74" s="233">
        <f t="shared" si="81"/>
        <v>1584.752787962876</v>
      </c>
      <c r="N74" s="233">
        <f t="shared" si="81"/>
        <v>1588.0171192342564</v>
      </c>
      <c r="O74" s="233">
        <f t="shared" si="81"/>
        <v>1591.2881744935862</v>
      </c>
      <c r="P74" s="233">
        <f t="shared" si="81"/>
        <v>1594.56596759118</v>
      </c>
      <c r="Q74" s="233">
        <f t="shared" si="81"/>
        <v>1597.8505124058811</v>
      </c>
      <c r="R74" s="233">
        <f t="shared" si="81"/>
        <v>1601.1418228451216</v>
      </c>
      <c r="S74" s="233">
        <f t="shared" si="81"/>
        <v>1604.4399128449804</v>
      </c>
      <c r="T74" s="233">
        <f t="shared" si="82"/>
        <v>1607.7447963702416</v>
      </c>
      <c r="U74" s="233">
        <f t="shared" si="82"/>
        <v>1611.0564874144559</v>
      </c>
      <c r="V74" s="233">
        <f t="shared" si="82"/>
        <v>1614.3749999999977</v>
      </c>
      <c r="W74" s="233">
        <f t="shared" si="82"/>
        <v>1617.7003481781253</v>
      </c>
      <c r="X74" s="233">
        <f t="shared" si="82"/>
        <v>1621.0325460290398</v>
      </c>
      <c r="Y74" s="233">
        <f t="shared" si="82"/>
        <v>1624.3716076619462</v>
      </c>
      <c r="Z74" s="233">
        <f t="shared" si="82"/>
        <v>1627.7175472151109</v>
      </c>
      <c r="AA74" s="233">
        <f t="shared" si="82"/>
        <v>1631.0703788559242</v>
      </c>
      <c r="AB74" s="233">
        <f t="shared" si="82"/>
        <v>1634.4301167809576</v>
      </c>
      <c r="AC74" s="233">
        <f t="shared" si="82"/>
        <v>1637.7967752160264</v>
      </c>
      <c r="AD74" s="233">
        <f t="shared" si="83"/>
        <v>1641.1703684162476</v>
      </c>
      <c r="AE74" s="233">
        <f t="shared" si="83"/>
        <v>1644.5509106661027</v>
      </c>
      <c r="AF74" s="233">
        <f t="shared" si="83"/>
        <v>0</v>
      </c>
      <c r="AG74" s="233">
        <f t="shared" si="83"/>
        <v>0</v>
      </c>
      <c r="AH74" s="233">
        <f t="shared" si="83"/>
        <v>0</v>
      </c>
      <c r="AI74" s="233">
        <f t="shared" si="83"/>
        <v>0</v>
      </c>
      <c r="AJ74" s="233">
        <f t="shared" si="83"/>
        <v>2320.9069151082408</v>
      </c>
      <c r="AK74" s="233">
        <f t="shared" si="83"/>
        <v>2325.6876033509097</v>
      </c>
      <c r="AL74" s="233">
        <f t="shared" si="83"/>
        <v>2330.4781390286153</v>
      </c>
      <c r="AM74" s="233">
        <f t="shared" si="83"/>
        <v>2335.2785424254621</v>
      </c>
      <c r="AN74" s="233">
        <f t="shared" si="84"/>
        <v>2340.0888338673353</v>
      </c>
      <c r="AO74" s="233">
        <f t="shared" si="84"/>
        <v>2344.9090337219891</v>
      </c>
      <c r="AP74" s="233">
        <f t="shared" si="84"/>
        <v>2349.7391623991321</v>
      </c>
      <c r="AQ74" s="233">
        <f t="shared" si="84"/>
        <v>2354.5792403505111</v>
      </c>
      <c r="AR74" s="233">
        <f t="shared" si="84"/>
        <v>2359.4292880700041</v>
      </c>
      <c r="AS74" s="233">
        <f t="shared" si="84"/>
        <v>2364.2893260936999</v>
      </c>
      <c r="AT74" s="233">
        <f t="shared" si="84"/>
        <v>2369.1593749999902</v>
      </c>
      <c r="AU74" s="233">
        <f t="shared" si="84"/>
        <v>2374.0394554096529</v>
      </c>
      <c r="AV74" s="233">
        <f t="shared" si="84"/>
        <v>2378.9295879859433</v>
      </c>
      <c r="AW74" s="233">
        <f t="shared" si="84"/>
        <v>2383.8297934346788</v>
      </c>
      <c r="AX74" s="233">
        <f t="shared" si="85"/>
        <v>2388.7400925043271</v>
      </c>
      <c r="AY74" s="233">
        <f t="shared" si="85"/>
        <v>2393.6605059860949</v>
      </c>
      <c r="AZ74" s="233">
        <f t="shared" si="85"/>
        <v>2398.5910547140156</v>
      </c>
      <c r="BA74" s="233">
        <f t="shared" si="85"/>
        <v>2403.5317595650358</v>
      </c>
      <c r="BB74" s="233">
        <f t="shared" si="85"/>
        <v>2408.4826414591071</v>
      </c>
      <c r="BC74" s="233">
        <f t="shared" si="85"/>
        <v>2413.4437213592714</v>
      </c>
      <c r="BD74" s="233">
        <f t="shared" si="85"/>
        <v>2418.4150202717515</v>
      </c>
      <c r="BE74" s="233">
        <f t="shared" si="85"/>
        <v>2423.3965592460399</v>
      </c>
      <c r="BF74" s="233">
        <f t="shared" si="85"/>
        <v>2428.388359374987</v>
      </c>
      <c r="BG74" s="233">
        <f t="shared" si="85"/>
        <v>2433.3904417948911</v>
      </c>
      <c r="BH74" s="233">
        <f t="shared" si="86"/>
        <v>2438.4028276855893</v>
      </c>
      <c r="BI74" s="233">
        <f t="shared" si="86"/>
        <v>2443.4255382705433</v>
      </c>
      <c r="BJ74" s="233">
        <f t="shared" si="86"/>
        <v>2448.4585948169329</v>
      </c>
      <c r="BK74" s="233">
        <f t="shared" si="86"/>
        <v>2453.5020186357451</v>
      </c>
      <c r="BL74" s="233">
        <f t="shared" si="86"/>
        <v>2458.5558310818633</v>
      </c>
      <c r="BM74" s="233">
        <f t="shared" si="86"/>
        <v>2463.6200535541593</v>
      </c>
      <c r="BN74" s="233">
        <f t="shared" si="86"/>
        <v>2468.694707495582</v>
      </c>
      <c r="BO74" s="233">
        <f t="shared" si="86"/>
        <v>2473.7798143932505</v>
      </c>
      <c r="BP74" s="233">
        <f t="shared" si="86"/>
        <v>2478.8753957785425</v>
      </c>
      <c r="BQ74" s="233">
        <f t="shared" si="86"/>
        <v>2483.9814732271884</v>
      </c>
      <c r="BR74" s="233">
        <f t="shared" si="87"/>
        <v>2489.0980683593589</v>
      </c>
      <c r="BS74" s="233">
        <f t="shared" si="87"/>
        <v>2494.2252028397611</v>
      </c>
      <c r="BT74" s="233">
        <f t="shared" si="87"/>
        <v>2499.3628983777267</v>
      </c>
      <c r="BU74" s="233">
        <f t="shared" si="87"/>
        <v>2504.5111767273042</v>
      </c>
      <c r="BV74" s="233">
        <f t="shared" si="87"/>
        <v>2509.6700596873538</v>
      </c>
      <c r="BW74" s="233">
        <f t="shared" si="87"/>
        <v>2514.8395691016362</v>
      </c>
      <c r="BX74" s="233">
        <f t="shared" si="87"/>
        <v>2520.0197268589077</v>
      </c>
      <c r="BY74" s="233">
        <f t="shared" si="87"/>
        <v>2525.2105548930108</v>
      </c>
      <c r="BZ74" s="233">
        <f t="shared" si="87"/>
        <v>2530.4120751829691</v>
      </c>
      <c r="CA74" s="233">
        <f t="shared" si="87"/>
        <v>2535.6243097530787</v>
      </c>
      <c r="CB74" s="233">
        <f t="shared" si="88"/>
        <v>2540.8472806730028</v>
      </c>
      <c r="CC74" s="233">
        <f t="shared" si="88"/>
        <v>2546.0810100578642</v>
      </c>
      <c r="CD74" s="233">
        <f t="shared" si="88"/>
        <v>2551.3255200683393</v>
      </c>
      <c r="CE74" s="233">
        <f t="shared" si="88"/>
        <v>2556.5808329107513</v>
      </c>
      <c r="CF74" s="233">
        <f t="shared" si="88"/>
        <v>2561.8469708371658</v>
      </c>
      <c r="CG74" s="233">
        <f t="shared" si="88"/>
        <v>2567.1239561454831</v>
      </c>
      <c r="CH74" s="233">
        <f t="shared" si="88"/>
        <v>2572.4118111795333</v>
      </c>
      <c r="CI74" s="233">
        <f t="shared" si="88"/>
        <v>2577.7105583291727</v>
      </c>
      <c r="CJ74" s="233">
        <f t="shared" si="88"/>
        <v>2583.0202200303756</v>
      </c>
      <c r="CK74" s="233">
        <f t="shared" si="88"/>
        <v>2588.3408187653313</v>
      </c>
      <c r="CL74" s="233">
        <f t="shared" si="89"/>
        <v>2593.672377062539</v>
      </c>
      <c r="CM74" s="233">
        <f t="shared" si="89"/>
        <v>2599.0149174969015</v>
      </c>
      <c r="CN74" s="233">
        <f t="shared" si="89"/>
        <v>2604.3684626898239</v>
      </c>
      <c r="CO74" s="233">
        <f t="shared" si="89"/>
        <v>2609.7330353093071</v>
      </c>
      <c r="CP74" s="233">
        <f t="shared" si="89"/>
        <v>2615.1086580700439</v>
      </c>
      <c r="CQ74" s="233">
        <f t="shared" si="89"/>
        <v>2620.4953537335164</v>
      </c>
      <c r="CR74" s="233">
        <f t="shared" si="89"/>
        <v>2625.8931451080912</v>
      </c>
      <c r="CS74" s="233">
        <f t="shared" si="89"/>
        <v>2631.302055049116</v>
      </c>
      <c r="CT74" s="233">
        <f t="shared" si="89"/>
        <v>2636.7221064590181</v>
      </c>
      <c r="CU74" s="233">
        <f t="shared" si="89"/>
        <v>2642.1533222873986</v>
      </c>
      <c r="CV74" s="233">
        <f t="shared" si="90"/>
        <v>2647.5957255311318</v>
      </c>
      <c r="CW74" s="233">
        <f t="shared" si="90"/>
        <v>2653.0493392344615</v>
      </c>
      <c r="CX74" s="233">
        <f t="shared" si="90"/>
        <v>2658.5141864890988</v>
      </c>
      <c r="CY74" s="233">
        <f t="shared" si="90"/>
        <v>2663.9902904343207</v>
      </c>
      <c r="CZ74" s="233">
        <f t="shared" si="90"/>
        <v>2669.4776742570662</v>
      </c>
      <c r="DA74" s="233">
        <f t="shared" si="90"/>
        <v>2674.9763611920362</v>
      </c>
      <c r="DB74" s="233">
        <f t="shared" si="90"/>
        <v>2680.4863745217917</v>
      </c>
      <c r="DC74" s="233">
        <f t="shared" si="90"/>
        <v>2686.007737576851</v>
      </c>
      <c r="DD74" s="233">
        <f t="shared" si="90"/>
        <v>2691.5404737357899</v>
      </c>
      <c r="DE74" s="233">
        <f t="shared" si="90"/>
        <v>2697.0846064253406</v>
      </c>
      <c r="DF74" s="233">
        <f t="shared" si="91"/>
        <v>2702.6401591204899</v>
      </c>
      <c r="DG74" s="233">
        <f t="shared" si="91"/>
        <v>2708.2071553445803</v>
      </c>
      <c r="DH74" s="233">
        <f t="shared" si="91"/>
        <v>2713.7856186694066</v>
      </c>
      <c r="DI74" s="233">
        <f t="shared" si="91"/>
        <v>2719.3755727153193</v>
      </c>
      <c r="DJ74" s="233">
        <f t="shared" si="91"/>
        <v>2724.9770411513227</v>
      </c>
      <c r="DK74" s="233">
        <f t="shared" si="91"/>
        <v>2730.5900476951751</v>
      </c>
      <c r="DL74" s="233">
        <f t="shared" si="91"/>
        <v>2736.2146161134892</v>
      </c>
      <c r="DM74" s="233">
        <f t="shared" si="91"/>
        <v>2741.8507702218335</v>
      </c>
      <c r="DN74" s="233">
        <f t="shared" si="91"/>
        <v>2747.4985338848328</v>
      </c>
      <c r="DO74" s="233">
        <f t="shared" si="91"/>
        <v>2753.1579310162683</v>
      </c>
      <c r="DP74" s="233">
        <f t="shared" si="92"/>
        <v>2758.8289855791809</v>
      </c>
      <c r="DQ74" s="233">
        <f t="shared" si="92"/>
        <v>2764.51172158597</v>
      </c>
      <c r="DR74" s="233">
        <f t="shared" si="92"/>
        <v>2770.2061630984986</v>
      </c>
      <c r="DS74" s="233">
        <f t="shared" si="92"/>
        <v>2775.9123342281905</v>
      </c>
      <c r="DT74" s="233">
        <f t="shared" si="92"/>
        <v>2781.6302591361377</v>
      </c>
      <c r="DU74" s="233">
        <f t="shared" si="92"/>
        <v>2787.3599620331984</v>
      </c>
      <c r="DV74" s="233">
        <f t="shared" si="92"/>
        <v>2793.1014671801022</v>
      </c>
      <c r="DW74" s="233">
        <f t="shared" si="92"/>
        <v>2798.8547988875507</v>
      </c>
      <c r="DX74" s="233">
        <f t="shared" si="92"/>
        <v>2804.6199815163222</v>
      </c>
      <c r="DY74" s="233">
        <f t="shared" si="92"/>
        <v>2810.3970394773755</v>
      </c>
      <c r="DZ74" s="233">
        <f t="shared" si="93"/>
        <v>2816.1859972319498</v>
      </c>
      <c r="EA74" s="233">
        <f t="shared" si="93"/>
        <v>2821.9868792916714</v>
      </c>
      <c r="EB74" s="233">
        <f t="shared" si="93"/>
        <v>2827.7997102186569</v>
      </c>
      <c r="EC74" s="233">
        <f t="shared" si="93"/>
        <v>2833.624514625616</v>
      </c>
      <c r="ED74" s="233">
        <f t="shared" si="93"/>
        <v>2839.4613171759574</v>
      </c>
      <c r="EE74" s="233">
        <f t="shared" si="93"/>
        <v>2845.3101425838918</v>
      </c>
      <c r="EF74" s="233">
        <f t="shared" si="93"/>
        <v>2851.1710156145377</v>
      </c>
      <c r="EG74" s="233">
        <f t="shared" si="93"/>
        <v>2857.0439610840253</v>
      </c>
      <c r="EH74" s="233">
        <f t="shared" si="93"/>
        <v>2862.9290038596014</v>
      </c>
      <c r="EI74" s="233">
        <f t="shared" si="93"/>
        <v>2868.8261688597363</v>
      </c>
      <c r="EJ74" s="233">
        <f t="shared" si="93"/>
        <v>2874.7354810542274</v>
      </c>
      <c r="EK74" s="233">
        <f t="shared" si="93"/>
        <v>2880.6569654643067</v>
      </c>
    </row>
    <row r="75" spans="2:141" x14ac:dyDescent="0.45">
      <c r="B75" s="230">
        <f>Assumptions!B112</f>
        <v>67</v>
      </c>
      <c r="C75" s="230" t="str">
        <f>Assumptions!C112</f>
        <v>Fair Market</v>
      </c>
      <c r="D75" s="439">
        <f>Assumptions!D112</f>
        <v>1</v>
      </c>
      <c r="E75" s="22">
        <f>Assumptions!G112</f>
        <v>24</v>
      </c>
      <c r="F75" s="22">
        <f>IF(D75=1,E75+SUM(Assumptions!$G$142:$G$143),'Rent Roll Model'!E75)</f>
        <v>28</v>
      </c>
      <c r="G75" s="233">
        <f>Assumptions!I112</f>
        <v>1607.47</v>
      </c>
      <c r="H75" s="233">
        <f>Assumptions!J112</f>
        <v>2200</v>
      </c>
      <c r="J75" s="233">
        <f t="shared" si="81"/>
        <v>1607.47</v>
      </c>
      <c r="K75" s="233">
        <f t="shared" si="81"/>
        <v>1610.7811250086841</v>
      </c>
      <c r="L75" s="233">
        <f t="shared" si="81"/>
        <v>1614.099070392755</v>
      </c>
      <c r="M75" s="233">
        <f t="shared" si="81"/>
        <v>1617.4238502010696</v>
      </c>
      <c r="N75" s="233">
        <f t="shared" si="81"/>
        <v>1620.7554785114223</v>
      </c>
      <c r="O75" s="233">
        <f t="shared" si="81"/>
        <v>1624.0939694306064</v>
      </c>
      <c r="P75" s="233">
        <f t="shared" si="81"/>
        <v>1627.4393370944724</v>
      </c>
      <c r="Q75" s="233">
        <f t="shared" si="81"/>
        <v>1630.7915956679883</v>
      </c>
      <c r="R75" s="233">
        <f t="shared" si="81"/>
        <v>1634.1507593453002</v>
      </c>
      <c r="S75" s="233">
        <f t="shared" si="81"/>
        <v>1637.5168423497907</v>
      </c>
      <c r="T75" s="233">
        <f t="shared" si="82"/>
        <v>1640.8898589341413</v>
      </c>
      <c r="U75" s="233">
        <f t="shared" si="82"/>
        <v>1644.2698233803908</v>
      </c>
      <c r="V75" s="233">
        <f t="shared" si="82"/>
        <v>1647.6567499999978</v>
      </c>
      <c r="W75" s="233">
        <f t="shared" si="82"/>
        <v>1651.050653133899</v>
      </c>
      <c r="X75" s="233">
        <f t="shared" si="82"/>
        <v>1654.4515471525719</v>
      </c>
      <c r="Y75" s="233">
        <f t="shared" si="82"/>
        <v>1657.8594464560945</v>
      </c>
      <c r="Z75" s="233">
        <f t="shared" si="82"/>
        <v>1661.274365474206</v>
      </c>
      <c r="AA75" s="233">
        <f t="shared" si="82"/>
        <v>1664.6963186663697</v>
      </c>
      <c r="AB75" s="233">
        <f t="shared" si="82"/>
        <v>1668.1253205218325</v>
      </c>
      <c r="AC75" s="233">
        <f t="shared" si="82"/>
        <v>1671.5613855596862</v>
      </c>
      <c r="AD75" s="233">
        <f t="shared" si="83"/>
        <v>1675.0045283289305</v>
      </c>
      <c r="AE75" s="233">
        <f t="shared" si="83"/>
        <v>1678.4547634085334</v>
      </c>
      <c r="AF75" s="233">
        <f t="shared" si="83"/>
        <v>1681.9121054074926</v>
      </c>
      <c r="AG75" s="233">
        <f t="shared" si="83"/>
        <v>0</v>
      </c>
      <c r="AH75" s="233">
        <f t="shared" si="83"/>
        <v>0</v>
      </c>
      <c r="AI75" s="233">
        <f t="shared" si="83"/>
        <v>0</v>
      </c>
      <c r="AJ75" s="233">
        <f t="shared" si="83"/>
        <v>0</v>
      </c>
      <c r="AK75" s="233">
        <f t="shared" si="83"/>
        <v>2325.6876033509097</v>
      </c>
      <c r="AL75" s="233">
        <f t="shared" si="83"/>
        <v>2330.4781390286153</v>
      </c>
      <c r="AM75" s="233">
        <f t="shared" si="83"/>
        <v>2335.2785424254621</v>
      </c>
      <c r="AN75" s="233">
        <f t="shared" si="84"/>
        <v>2340.0888338673353</v>
      </c>
      <c r="AO75" s="233">
        <f t="shared" si="84"/>
        <v>2344.9090337219891</v>
      </c>
      <c r="AP75" s="233">
        <f t="shared" si="84"/>
        <v>2349.7391623991321</v>
      </c>
      <c r="AQ75" s="233">
        <f t="shared" si="84"/>
        <v>2354.5792403505111</v>
      </c>
      <c r="AR75" s="233">
        <f t="shared" si="84"/>
        <v>2359.4292880700041</v>
      </c>
      <c r="AS75" s="233">
        <f t="shared" si="84"/>
        <v>2364.2893260936999</v>
      </c>
      <c r="AT75" s="233">
        <f t="shared" si="84"/>
        <v>2369.1593749999902</v>
      </c>
      <c r="AU75" s="233">
        <f t="shared" si="84"/>
        <v>2374.0394554096529</v>
      </c>
      <c r="AV75" s="233">
        <f t="shared" si="84"/>
        <v>2378.9295879859433</v>
      </c>
      <c r="AW75" s="233">
        <f t="shared" si="84"/>
        <v>2383.8297934346788</v>
      </c>
      <c r="AX75" s="233">
        <f t="shared" si="85"/>
        <v>2388.7400925043271</v>
      </c>
      <c r="AY75" s="233">
        <f t="shared" si="85"/>
        <v>2393.6605059860949</v>
      </c>
      <c r="AZ75" s="233">
        <f t="shared" si="85"/>
        <v>2398.5910547140156</v>
      </c>
      <c r="BA75" s="233">
        <f t="shared" si="85"/>
        <v>2403.5317595650358</v>
      </c>
      <c r="BB75" s="233">
        <f t="shared" si="85"/>
        <v>2408.4826414591071</v>
      </c>
      <c r="BC75" s="233">
        <f t="shared" si="85"/>
        <v>2413.4437213592714</v>
      </c>
      <c r="BD75" s="233">
        <f t="shared" si="85"/>
        <v>2418.4150202717515</v>
      </c>
      <c r="BE75" s="233">
        <f t="shared" si="85"/>
        <v>2423.3965592460399</v>
      </c>
      <c r="BF75" s="233">
        <f t="shared" si="85"/>
        <v>2428.388359374987</v>
      </c>
      <c r="BG75" s="233">
        <f t="shared" si="85"/>
        <v>2433.3904417948911</v>
      </c>
      <c r="BH75" s="233">
        <f t="shared" si="86"/>
        <v>2438.4028276855893</v>
      </c>
      <c r="BI75" s="233">
        <f t="shared" si="86"/>
        <v>2443.4255382705433</v>
      </c>
      <c r="BJ75" s="233">
        <f t="shared" si="86"/>
        <v>2448.4585948169329</v>
      </c>
      <c r="BK75" s="233">
        <f t="shared" si="86"/>
        <v>2453.5020186357451</v>
      </c>
      <c r="BL75" s="233">
        <f t="shared" si="86"/>
        <v>2458.5558310818633</v>
      </c>
      <c r="BM75" s="233">
        <f t="shared" si="86"/>
        <v>2463.6200535541593</v>
      </c>
      <c r="BN75" s="233">
        <f t="shared" si="86"/>
        <v>2468.694707495582</v>
      </c>
      <c r="BO75" s="233">
        <f t="shared" si="86"/>
        <v>2473.7798143932505</v>
      </c>
      <c r="BP75" s="233">
        <f t="shared" si="86"/>
        <v>2478.8753957785425</v>
      </c>
      <c r="BQ75" s="233">
        <f t="shared" si="86"/>
        <v>2483.9814732271884</v>
      </c>
      <c r="BR75" s="233">
        <f t="shared" si="87"/>
        <v>2489.0980683593589</v>
      </c>
      <c r="BS75" s="233">
        <f t="shared" si="87"/>
        <v>2494.2252028397611</v>
      </c>
      <c r="BT75" s="233">
        <f t="shared" si="87"/>
        <v>2499.3628983777267</v>
      </c>
      <c r="BU75" s="233">
        <f t="shared" si="87"/>
        <v>2504.5111767273042</v>
      </c>
      <c r="BV75" s="233">
        <f t="shared" si="87"/>
        <v>2509.6700596873538</v>
      </c>
      <c r="BW75" s="233">
        <f t="shared" si="87"/>
        <v>2514.8395691016362</v>
      </c>
      <c r="BX75" s="233">
        <f t="shared" si="87"/>
        <v>2520.0197268589077</v>
      </c>
      <c r="BY75" s="233">
        <f t="shared" si="87"/>
        <v>2525.2105548930108</v>
      </c>
      <c r="BZ75" s="233">
        <f t="shared" si="87"/>
        <v>2530.4120751829691</v>
      </c>
      <c r="CA75" s="233">
        <f t="shared" si="87"/>
        <v>2535.6243097530787</v>
      </c>
      <c r="CB75" s="233">
        <f t="shared" si="88"/>
        <v>2540.8472806730028</v>
      </c>
      <c r="CC75" s="233">
        <f t="shared" si="88"/>
        <v>2546.0810100578642</v>
      </c>
      <c r="CD75" s="233">
        <f t="shared" si="88"/>
        <v>2551.3255200683393</v>
      </c>
      <c r="CE75" s="233">
        <f t="shared" si="88"/>
        <v>2556.5808329107513</v>
      </c>
      <c r="CF75" s="233">
        <f t="shared" si="88"/>
        <v>2561.8469708371658</v>
      </c>
      <c r="CG75" s="233">
        <f t="shared" si="88"/>
        <v>2567.1239561454831</v>
      </c>
      <c r="CH75" s="233">
        <f t="shared" si="88"/>
        <v>2572.4118111795333</v>
      </c>
      <c r="CI75" s="233">
        <f t="shared" si="88"/>
        <v>2577.7105583291727</v>
      </c>
      <c r="CJ75" s="233">
        <f t="shared" si="88"/>
        <v>2583.0202200303756</v>
      </c>
      <c r="CK75" s="233">
        <f t="shared" si="88"/>
        <v>2588.3408187653313</v>
      </c>
      <c r="CL75" s="233">
        <f t="shared" si="89"/>
        <v>2593.672377062539</v>
      </c>
      <c r="CM75" s="233">
        <f t="shared" si="89"/>
        <v>2599.0149174969015</v>
      </c>
      <c r="CN75" s="233">
        <f t="shared" si="89"/>
        <v>2604.3684626898239</v>
      </c>
      <c r="CO75" s="233">
        <f t="shared" si="89"/>
        <v>2609.7330353093071</v>
      </c>
      <c r="CP75" s="233">
        <f t="shared" si="89"/>
        <v>2615.1086580700439</v>
      </c>
      <c r="CQ75" s="233">
        <f t="shared" si="89"/>
        <v>2620.4953537335164</v>
      </c>
      <c r="CR75" s="233">
        <f t="shared" si="89"/>
        <v>2625.8931451080912</v>
      </c>
      <c r="CS75" s="233">
        <f t="shared" si="89"/>
        <v>2631.302055049116</v>
      </c>
      <c r="CT75" s="233">
        <f t="shared" si="89"/>
        <v>2636.7221064590181</v>
      </c>
      <c r="CU75" s="233">
        <f t="shared" si="89"/>
        <v>2642.1533222873986</v>
      </c>
      <c r="CV75" s="233">
        <f t="shared" si="90"/>
        <v>2647.5957255311318</v>
      </c>
      <c r="CW75" s="233">
        <f t="shared" si="90"/>
        <v>2653.0493392344615</v>
      </c>
      <c r="CX75" s="233">
        <f t="shared" si="90"/>
        <v>2658.5141864890988</v>
      </c>
      <c r="CY75" s="233">
        <f t="shared" si="90"/>
        <v>2663.9902904343207</v>
      </c>
      <c r="CZ75" s="233">
        <f t="shared" si="90"/>
        <v>2669.4776742570662</v>
      </c>
      <c r="DA75" s="233">
        <f t="shared" si="90"/>
        <v>2674.9763611920362</v>
      </c>
      <c r="DB75" s="233">
        <f t="shared" si="90"/>
        <v>2680.4863745217917</v>
      </c>
      <c r="DC75" s="233">
        <f t="shared" si="90"/>
        <v>2686.007737576851</v>
      </c>
      <c r="DD75" s="233">
        <f t="shared" si="90"/>
        <v>2691.5404737357899</v>
      </c>
      <c r="DE75" s="233">
        <f t="shared" si="90"/>
        <v>2697.0846064253406</v>
      </c>
      <c r="DF75" s="233">
        <f t="shared" si="91"/>
        <v>2702.6401591204899</v>
      </c>
      <c r="DG75" s="233">
        <f t="shared" si="91"/>
        <v>2708.2071553445803</v>
      </c>
      <c r="DH75" s="233">
        <f t="shared" si="91"/>
        <v>2713.7856186694066</v>
      </c>
      <c r="DI75" s="233">
        <f t="shared" si="91"/>
        <v>2719.3755727153193</v>
      </c>
      <c r="DJ75" s="233">
        <f t="shared" si="91"/>
        <v>2724.9770411513227</v>
      </c>
      <c r="DK75" s="233">
        <f t="shared" si="91"/>
        <v>2730.5900476951751</v>
      </c>
      <c r="DL75" s="233">
        <f t="shared" si="91"/>
        <v>2736.2146161134892</v>
      </c>
      <c r="DM75" s="233">
        <f t="shared" si="91"/>
        <v>2741.8507702218335</v>
      </c>
      <c r="DN75" s="233">
        <f t="shared" si="91"/>
        <v>2747.4985338848328</v>
      </c>
      <c r="DO75" s="233">
        <f t="shared" si="91"/>
        <v>2753.1579310162683</v>
      </c>
      <c r="DP75" s="233">
        <f t="shared" si="92"/>
        <v>2758.8289855791809</v>
      </c>
      <c r="DQ75" s="233">
        <f t="shared" si="92"/>
        <v>2764.51172158597</v>
      </c>
      <c r="DR75" s="233">
        <f t="shared" si="92"/>
        <v>2770.2061630984986</v>
      </c>
      <c r="DS75" s="233">
        <f t="shared" si="92"/>
        <v>2775.9123342281905</v>
      </c>
      <c r="DT75" s="233">
        <f t="shared" si="92"/>
        <v>2781.6302591361377</v>
      </c>
      <c r="DU75" s="233">
        <f t="shared" si="92"/>
        <v>2787.3599620331984</v>
      </c>
      <c r="DV75" s="233">
        <f t="shared" si="92"/>
        <v>2793.1014671801022</v>
      </c>
      <c r="DW75" s="233">
        <f t="shared" si="92"/>
        <v>2798.8547988875507</v>
      </c>
      <c r="DX75" s="233">
        <f t="shared" si="92"/>
        <v>2804.6199815163222</v>
      </c>
      <c r="DY75" s="233">
        <f t="shared" si="92"/>
        <v>2810.3970394773755</v>
      </c>
      <c r="DZ75" s="233">
        <f t="shared" si="93"/>
        <v>2816.1859972319498</v>
      </c>
      <c r="EA75" s="233">
        <f t="shared" si="93"/>
        <v>2821.9868792916714</v>
      </c>
      <c r="EB75" s="233">
        <f t="shared" si="93"/>
        <v>2827.7997102186569</v>
      </c>
      <c r="EC75" s="233">
        <f t="shared" si="93"/>
        <v>2833.624514625616</v>
      </c>
      <c r="ED75" s="233">
        <f t="shared" si="93"/>
        <v>2839.4613171759574</v>
      </c>
      <c r="EE75" s="233">
        <f t="shared" si="93"/>
        <v>2845.3101425838918</v>
      </c>
      <c r="EF75" s="233">
        <f t="shared" si="93"/>
        <v>2851.1710156145377</v>
      </c>
      <c r="EG75" s="233">
        <f t="shared" si="93"/>
        <v>2857.0439610840253</v>
      </c>
      <c r="EH75" s="233">
        <f t="shared" si="93"/>
        <v>2862.9290038596014</v>
      </c>
      <c r="EI75" s="233">
        <f t="shared" si="93"/>
        <v>2868.8261688597363</v>
      </c>
      <c r="EJ75" s="233">
        <f t="shared" si="93"/>
        <v>2874.7354810542274</v>
      </c>
      <c r="EK75" s="233">
        <f t="shared" si="93"/>
        <v>2880.6569654643067</v>
      </c>
    </row>
    <row r="76" spans="2:141" x14ac:dyDescent="0.45">
      <c r="B76" s="230">
        <f>Assumptions!B113</f>
        <v>68</v>
      </c>
      <c r="C76" s="230" t="str">
        <f>Assumptions!C113</f>
        <v>Fair Market</v>
      </c>
      <c r="D76" s="439">
        <f>Assumptions!D113</f>
        <v>1</v>
      </c>
      <c r="E76" s="22">
        <f>Assumptions!G113</f>
        <v>24</v>
      </c>
      <c r="F76" s="22">
        <f>IF(D76=1,E76+SUM(Assumptions!$G$142:$G$143),'Rent Roll Model'!E76)</f>
        <v>28</v>
      </c>
      <c r="G76" s="233">
        <f>Assumptions!I113</f>
        <v>1470</v>
      </c>
      <c r="H76" s="233">
        <f>Assumptions!J113</f>
        <v>2200</v>
      </c>
      <c r="J76" s="233">
        <f t="shared" si="81"/>
        <v>1470</v>
      </c>
      <c r="K76" s="233">
        <f t="shared" si="81"/>
        <v>1473.0279593166688</v>
      </c>
      <c r="L76" s="233">
        <f t="shared" si="81"/>
        <v>1476.0621557337618</v>
      </c>
      <c r="M76" s="233">
        <f t="shared" si="81"/>
        <v>1479.1026020986844</v>
      </c>
      <c r="N76" s="233">
        <f t="shared" si="81"/>
        <v>1482.1493112853061</v>
      </c>
      <c r="O76" s="233">
        <f t="shared" si="81"/>
        <v>1485.2022961940138</v>
      </c>
      <c r="P76" s="233">
        <f t="shared" si="81"/>
        <v>1488.2615697517679</v>
      </c>
      <c r="Q76" s="233">
        <f t="shared" si="81"/>
        <v>1491.3271449121557</v>
      </c>
      <c r="R76" s="233">
        <f t="shared" si="81"/>
        <v>1494.3990346554469</v>
      </c>
      <c r="S76" s="233">
        <f t="shared" si="81"/>
        <v>1497.4772519886483</v>
      </c>
      <c r="T76" s="233">
        <f t="shared" si="82"/>
        <v>1500.5618099455589</v>
      </c>
      <c r="U76" s="233">
        <f t="shared" si="82"/>
        <v>1503.6527215868257</v>
      </c>
      <c r="V76" s="233">
        <f t="shared" si="82"/>
        <v>1506.749999999998</v>
      </c>
      <c r="W76" s="233">
        <f t="shared" si="82"/>
        <v>1509.8536582995835</v>
      </c>
      <c r="X76" s="233">
        <f t="shared" si="82"/>
        <v>1512.963709627104</v>
      </c>
      <c r="Y76" s="233">
        <f t="shared" si="82"/>
        <v>1516.0801671511497</v>
      </c>
      <c r="Z76" s="233">
        <f t="shared" si="82"/>
        <v>1519.2030440674368</v>
      </c>
      <c r="AA76" s="233">
        <f t="shared" si="82"/>
        <v>1522.3323535988625</v>
      </c>
      <c r="AB76" s="233">
        <f t="shared" si="82"/>
        <v>1525.4681089955604</v>
      </c>
      <c r="AC76" s="233">
        <f t="shared" si="82"/>
        <v>1528.6103235349578</v>
      </c>
      <c r="AD76" s="233">
        <f t="shared" si="83"/>
        <v>1531.759010521831</v>
      </c>
      <c r="AE76" s="233">
        <f t="shared" si="83"/>
        <v>1534.9141832883624</v>
      </c>
      <c r="AF76" s="233">
        <f t="shared" si="83"/>
        <v>1538.075855194196</v>
      </c>
      <c r="AG76" s="233">
        <f t="shared" si="83"/>
        <v>0</v>
      </c>
      <c r="AH76" s="233">
        <f t="shared" si="83"/>
        <v>0</v>
      </c>
      <c r="AI76" s="233">
        <f t="shared" si="83"/>
        <v>0</v>
      </c>
      <c r="AJ76" s="233">
        <f t="shared" si="83"/>
        <v>0</v>
      </c>
      <c r="AK76" s="233">
        <f t="shared" si="83"/>
        <v>2325.6876033509097</v>
      </c>
      <c r="AL76" s="233">
        <f t="shared" si="83"/>
        <v>2330.4781390286153</v>
      </c>
      <c r="AM76" s="233">
        <f t="shared" si="83"/>
        <v>2335.2785424254621</v>
      </c>
      <c r="AN76" s="233">
        <f t="shared" si="84"/>
        <v>2340.0888338673353</v>
      </c>
      <c r="AO76" s="233">
        <f t="shared" si="84"/>
        <v>2344.9090337219891</v>
      </c>
      <c r="AP76" s="233">
        <f t="shared" si="84"/>
        <v>2349.7391623991321</v>
      </c>
      <c r="AQ76" s="233">
        <f t="shared" si="84"/>
        <v>2354.5792403505111</v>
      </c>
      <c r="AR76" s="233">
        <f t="shared" si="84"/>
        <v>2359.4292880700041</v>
      </c>
      <c r="AS76" s="233">
        <f t="shared" si="84"/>
        <v>2364.2893260936999</v>
      </c>
      <c r="AT76" s="233">
        <f t="shared" si="84"/>
        <v>2369.1593749999902</v>
      </c>
      <c r="AU76" s="233">
        <f t="shared" si="84"/>
        <v>2374.0394554096529</v>
      </c>
      <c r="AV76" s="233">
        <f t="shared" si="84"/>
        <v>2378.9295879859433</v>
      </c>
      <c r="AW76" s="233">
        <f t="shared" si="84"/>
        <v>2383.8297934346788</v>
      </c>
      <c r="AX76" s="233">
        <f t="shared" si="85"/>
        <v>2388.7400925043271</v>
      </c>
      <c r="AY76" s="233">
        <f t="shared" si="85"/>
        <v>2393.6605059860949</v>
      </c>
      <c r="AZ76" s="233">
        <f t="shared" si="85"/>
        <v>2398.5910547140156</v>
      </c>
      <c r="BA76" s="233">
        <f t="shared" si="85"/>
        <v>2403.5317595650358</v>
      </c>
      <c r="BB76" s="233">
        <f t="shared" si="85"/>
        <v>2408.4826414591071</v>
      </c>
      <c r="BC76" s="233">
        <f t="shared" si="85"/>
        <v>2413.4437213592714</v>
      </c>
      <c r="BD76" s="233">
        <f t="shared" si="85"/>
        <v>2418.4150202717515</v>
      </c>
      <c r="BE76" s="233">
        <f t="shared" si="85"/>
        <v>2423.3965592460399</v>
      </c>
      <c r="BF76" s="233">
        <f t="shared" si="85"/>
        <v>2428.388359374987</v>
      </c>
      <c r="BG76" s="233">
        <f t="shared" si="85"/>
        <v>2433.3904417948911</v>
      </c>
      <c r="BH76" s="233">
        <f t="shared" si="86"/>
        <v>2438.4028276855893</v>
      </c>
      <c r="BI76" s="233">
        <f t="shared" si="86"/>
        <v>2443.4255382705433</v>
      </c>
      <c r="BJ76" s="233">
        <f t="shared" si="86"/>
        <v>2448.4585948169329</v>
      </c>
      <c r="BK76" s="233">
        <f t="shared" si="86"/>
        <v>2453.5020186357451</v>
      </c>
      <c r="BL76" s="233">
        <f t="shared" si="86"/>
        <v>2458.5558310818633</v>
      </c>
      <c r="BM76" s="233">
        <f t="shared" si="86"/>
        <v>2463.6200535541593</v>
      </c>
      <c r="BN76" s="233">
        <f t="shared" si="86"/>
        <v>2468.694707495582</v>
      </c>
      <c r="BO76" s="233">
        <f t="shared" si="86"/>
        <v>2473.7798143932505</v>
      </c>
      <c r="BP76" s="233">
        <f t="shared" si="86"/>
        <v>2478.8753957785425</v>
      </c>
      <c r="BQ76" s="233">
        <f t="shared" si="86"/>
        <v>2483.9814732271884</v>
      </c>
      <c r="BR76" s="233">
        <f t="shared" si="87"/>
        <v>2489.0980683593589</v>
      </c>
      <c r="BS76" s="233">
        <f t="shared" si="87"/>
        <v>2494.2252028397611</v>
      </c>
      <c r="BT76" s="233">
        <f t="shared" si="87"/>
        <v>2499.3628983777267</v>
      </c>
      <c r="BU76" s="233">
        <f t="shared" si="87"/>
        <v>2504.5111767273042</v>
      </c>
      <c r="BV76" s="233">
        <f t="shared" si="87"/>
        <v>2509.6700596873538</v>
      </c>
      <c r="BW76" s="233">
        <f t="shared" si="87"/>
        <v>2514.8395691016362</v>
      </c>
      <c r="BX76" s="233">
        <f t="shared" si="87"/>
        <v>2520.0197268589077</v>
      </c>
      <c r="BY76" s="233">
        <f t="shared" si="87"/>
        <v>2525.2105548930108</v>
      </c>
      <c r="BZ76" s="233">
        <f t="shared" si="87"/>
        <v>2530.4120751829691</v>
      </c>
      <c r="CA76" s="233">
        <f t="shared" si="87"/>
        <v>2535.6243097530787</v>
      </c>
      <c r="CB76" s="233">
        <f t="shared" si="88"/>
        <v>2540.8472806730028</v>
      </c>
      <c r="CC76" s="233">
        <f t="shared" si="88"/>
        <v>2546.0810100578642</v>
      </c>
      <c r="CD76" s="233">
        <f t="shared" si="88"/>
        <v>2551.3255200683393</v>
      </c>
      <c r="CE76" s="233">
        <f t="shared" si="88"/>
        <v>2556.5808329107513</v>
      </c>
      <c r="CF76" s="233">
        <f t="shared" si="88"/>
        <v>2561.8469708371658</v>
      </c>
      <c r="CG76" s="233">
        <f t="shared" si="88"/>
        <v>2567.1239561454831</v>
      </c>
      <c r="CH76" s="233">
        <f t="shared" si="88"/>
        <v>2572.4118111795333</v>
      </c>
      <c r="CI76" s="233">
        <f t="shared" si="88"/>
        <v>2577.7105583291727</v>
      </c>
      <c r="CJ76" s="233">
        <f t="shared" si="88"/>
        <v>2583.0202200303756</v>
      </c>
      <c r="CK76" s="233">
        <f t="shared" si="88"/>
        <v>2588.3408187653313</v>
      </c>
      <c r="CL76" s="233">
        <f t="shared" si="89"/>
        <v>2593.672377062539</v>
      </c>
      <c r="CM76" s="233">
        <f t="shared" si="89"/>
        <v>2599.0149174969015</v>
      </c>
      <c r="CN76" s="233">
        <f t="shared" si="89"/>
        <v>2604.3684626898239</v>
      </c>
      <c r="CO76" s="233">
        <f t="shared" si="89"/>
        <v>2609.7330353093071</v>
      </c>
      <c r="CP76" s="233">
        <f t="shared" si="89"/>
        <v>2615.1086580700439</v>
      </c>
      <c r="CQ76" s="233">
        <f t="shared" si="89"/>
        <v>2620.4953537335164</v>
      </c>
      <c r="CR76" s="233">
        <f t="shared" si="89"/>
        <v>2625.8931451080912</v>
      </c>
      <c r="CS76" s="233">
        <f t="shared" si="89"/>
        <v>2631.302055049116</v>
      </c>
      <c r="CT76" s="233">
        <f t="shared" si="89"/>
        <v>2636.7221064590181</v>
      </c>
      <c r="CU76" s="233">
        <f t="shared" si="89"/>
        <v>2642.1533222873986</v>
      </c>
      <c r="CV76" s="233">
        <f t="shared" si="90"/>
        <v>2647.5957255311318</v>
      </c>
      <c r="CW76" s="233">
        <f t="shared" si="90"/>
        <v>2653.0493392344615</v>
      </c>
      <c r="CX76" s="233">
        <f t="shared" si="90"/>
        <v>2658.5141864890988</v>
      </c>
      <c r="CY76" s="233">
        <f t="shared" si="90"/>
        <v>2663.9902904343207</v>
      </c>
      <c r="CZ76" s="233">
        <f t="shared" si="90"/>
        <v>2669.4776742570662</v>
      </c>
      <c r="DA76" s="233">
        <f t="shared" si="90"/>
        <v>2674.9763611920362</v>
      </c>
      <c r="DB76" s="233">
        <f t="shared" si="90"/>
        <v>2680.4863745217917</v>
      </c>
      <c r="DC76" s="233">
        <f t="shared" si="90"/>
        <v>2686.007737576851</v>
      </c>
      <c r="DD76" s="233">
        <f t="shared" si="90"/>
        <v>2691.5404737357899</v>
      </c>
      <c r="DE76" s="233">
        <f t="shared" si="90"/>
        <v>2697.0846064253406</v>
      </c>
      <c r="DF76" s="233">
        <f t="shared" si="91"/>
        <v>2702.6401591204899</v>
      </c>
      <c r="DG76" s="233">
        <f t="shared" si="91"/>
        <v>2708.2071553445803</v>
      </c>
      <c r="DH76" s="233">
        <f t="shared" si="91"/>
        <v>2713.7856186694066</v>
      </c>
      <c r="DI76" s="233">
        <f t="shared" si="91"/>
        <v>2719.3755727153193</v>
      </c>
      <c r="DJ76" s="233">
        <f t="shared" si="91"/>
        <v>2724.9770411513227</v>
      </c>
      <c r="DK76" s="233">
        <f t="shared" si="91"/>
        <v>2730.5900476951751</v>
      </c>
      <c r="DL76" s="233">
        <f t="shared" si="91"/>
        <v>2736.2146161134892</v>
      </c>
      <c r="DM76" s="233">
        <f t="shared" si="91"/>
        <v>2741.8507702218335</v>
      </c>
      <c r="DN76" s="233">
        <f t="shared" si="91"/>
        <v>2747.4985338848328</v>
      </c>
      <c r="DO76" s="233">
        <f t="shared" si="91"/>
        <v>2753.1579310162683</v>
      </c>
      <c r="DP76" s="233">
        <f t="shared" si="92"/>
        <v>2758.8289855791809</v>
      </c>
      <c r="DQ76" s="233">
        <f t="shared" si="92"/>
        <v>2764.51172158597</v>
      </c>
      <c r="DR76" s="233">
        <f t="shared" si="92"/>
        <v>2770.2061630984986</v>
      </c>
      <c r="DS76" s="233">
        <f t="shared" si="92"/>
        <v>2775.9123342281905</v>
      </c>
      <c r="DT76" s="233">
        <f t="shared" si="92"/>
        <v>2781.6302591361377</v>
      </c>
      <c r="DU76" s="233">
        <f t="shared" si="92"/>
        <v>2787.3599620331984</v>
      </c>
      <c r="DV76" s="233">
        <f t="shared" si="92"/>
        <v>2793.1014671801022</v>
      </c>
      <c r="DW76" s="233">
        <f t="shared" si="92"/>
        <v>2798.8547988875507</v>
      </c>
      <c r="DX76" s="233">
        <f t="shared" si="92"/>
        <v>2804.6199815163222</v>
      </c>
      <c r="DY76" s="233">
        <f t="shared" si="92"/>
        <v>2810.3970394773755</v>
      </c>
      <c r="DZ76" s="233">
        <f t="shared" si="93"/>
        <v>2816.1859972319498</v>
      </c>
      <c r="EA76" s="233">
        <f t="shared" si="93"/>
        <v>2821.9868792916714</v>
      </c>
      <c r="EB76" s="233">
        <f t="shared" si="93"/>
        <v>2827.7997102186569</v>
      </c>
      <c r="EC76" s="233">
        <f t="shared" si="93"/>
        <v>2833.624514625616</v>
      </c>
      <c r="ED76" s="233">
        <f t="shared" si="93"/>
        <v>2839.4613171759574</v>
      </c>
      <c r="EE76" s="233">
        <f t="shared" si="93"/>
        <v>2845.3101425838918</v>
      </c>
      <c r="EF76" s="233">
        <f t="shared" si="93"/>
        <v>2851.1710156145377</v>
      </c>
      <c r="EG76" s="233">
        <f t="shared" si="93"/>
        <v>2857.0439610840253</v>
      </c>
      <c r="EH76" s="233">
        <f t="shared" si="93"/>
        <v>2862.9290038596014</v>
      </c>
      <c r="EI76" s="233">
        <f t="shared" si="93"/>
        <v>2868.8261688597363</v>
      </c>
      <c r="EJ76" s="233">
        <f t="shared" si="93"/>
        <v>2874.7354810542274</v>
      </c>
      <c r="EK76" s="233">
        <f t="shared" si="93"/>
        <v>2880.6569654643067</v>
      </c>
    </row>
    <row r="77" spans="2:141" x14ac:dyDescent="0.45">
      <c r="B77" s="230">
        <f>Assumptions!B114</f>
        <v>69</v>
      </c>
      <c r="C77" s="230" t="str">
        <f>Assumptions!C114</f>
        <v>Fair Market</v>
      </c>
      <c r="D77" s="439">
        <f>Assumptions!D114</f>
        <v>1</v>
      </c>
      <c r="E77" s="22">
        <f>Assumptions!G114</f>
        <v>24</v>
      </c>
      <c r="F77" s="22">
        <f>IF(D77=1,E77+SUM(Assumptions!$G$142:$G$143),'Rent Roll Model'!E77)</f>
        <v>28</v>
      </c>
      <c r="G77" s="233">
        <f>Assumptions!I114</f>
        <v>1600</v>
      </c>
      <c r="H77" s="233">
        <f>Assumptions!J114</f>
        <v>2200</v>
      </c>
      <c r="J77" s="233">
        <f t="shared" si="81"/>
        <v>1600</v>
      </c>
      <c r="K77" s="233">
        <f t="shared" si="81"/>
        <v>1603.2957380317484</v>
      </c>
      <c r="L77" s="233">
        <f t="shared" si="81"/>
        <v>1606.5982647442304</v>
      </c>
      <c r="M77" s="233">
        <f t="shared" si="81"/>
        <v>1609.9075941210169</v>
      </c>
      <c r="N77" s="233">
        <f t="shared" si="81"/>
        <v>1613.2237401744828</v>
      </c>
      <c r="O77" s="233">
        <f t="shared" si="81"/>
        <v>1616.5467169458655</v>
      </c>
      <c r="P77" s="233">
        <f t="shared" si="81"/>
        <v>1619.8765385053257</v>
      </c>
      <c r="Q77" s="233">
        <f t="shared" si="81"/>
        <v>1623.2132189520062</v>
      </c>
      <c r="R77" s="233">
        <f t="shared" si="81"/>
        <v>1626.5567724140919</v>
      </c>
      <c r="S77" s="233">
        <f t="shared" si="81"/>
        <v>1629.9072130488689</v>
      </c>
      <c r="T77" s="233">
        <f t="shared" si="82"/>
        <v>1633.2645550427851</v>
      </c>
      <c r="U77" s="233">
        <f t="shared" si="82"/>
        <v>1636.628812611511</v>
      </c>
      <c r="V77" s="233">
        <f t="shared" si="82"/>
        <v>1639.9999999999977</v>
      </c>
      <c r="W77" s="233">
        <f t="shared" si="82"/>
        <v>1643.3781314825399</v>
      </c>
      <c r="X77" s="233">
        <f t="shared" si="82"/>
        <v>1646.7632213628342</v>
      </c>
      <c r="Y77" s="233">
        <f t="shared" si="82"/>
        <v>1650.1552839740405</v>
      </c>
      <c r="Z77" s="233">
        <f t="shared" si="82"/>
        <v>1653.5543336788428</v>
      </c>
      <c r="AA77" s="233">
        <f t="shared" si="82"/>
        <v>1656.9603848695103</v>
      </c>
      <c r="AB77" s="233">
        <f t="shared" si="82"/>
        <v>1660.373451967957</v>
      </c>
      <c r="AC77" s="233">
        <f t="shared" si="82"/>
        <v>1663.7935494258045</v>
      </c>
      <c r="AD77" s="233">
        <f t="shared" si="83"/>
        <v>1667.2206917244421</v>
      </c>
      <c r="AE77" s="233">
        <f t="shared" si="83"/>
        <v>1670.6548933750885</v>
      </c>
      <c r="AF77" s="233">
        <f t="shared" si="83"/>
        <v>1674.0961689188528</v>
      </c>
      <c r="AG77" s="233">
        <f t="shared" si="83"/>
        <v>0</v>
      </c>
      <c r="AH77" s="233">
        <f t="shared" si="83"/>
        <v>0</v>
      </c>
      <c r="AI77" s="233">
        <f t="shared" si="83"/>
        <v>0</v>
      </c>
      <c r="AJ77" s="233">
        <f t="shared" si="83"/>
        <v>0</v>
      </c>
      <c r="AK77" s="233">
        <f t="shared" si="83"/>
        <v>2325.6876033509097</v>
      </c>
      <c r="AL77" s="233">
        <f t="shared" si="83"/>
        <v>2330.4781390286153</v>
      </c>
      <c r="AM77" s="233">
        <f t="shared" si="83"/>
        <v>2335.2785424254621</v>
      </c>
      <c r="AN77" s="233">
        <f t="shared" si="84"/>
        <v>2340.0888338673353</v>
      </c>
      <c r="AO77" s="233">
        <f t="shared" si="84"/>
        <v>2344.9090337219891</v>
      </c>
      <c r="AP77" s="233">
        <f t="shared" si="84"/>
        <v>2349.7391623991321</v>
      </c>
      <c r="AQ77" s="233">
        <f t="shared" si="84"/>
        <v>2354.5792403505111</v>
      </c>
      <c r="AR77" s="233">
        <f t="shared" si="84"/>
        <v>2359.4292880700041</v>
      </c>
      <c r="AS77" s="233">
        <f t="shared" si="84"/>
        <v>2364.2893260936999</v>
      </c>
      <c r="AT77" s="233">
        <f t="shared" si="84"/>
        <v>2369.1593749999902</v>
      </c>
      <c r="AU77" s="233">
        <f t="shared" si="84"/>
        <v>2374.0394554096529</v>
      </c>
      <c r="AV77" s="233">
        <f t="shared" si="84"/>
        <v>2378.9295879859433</v>
      </c>
      <c r="AW77" s="233">
        <f t="shared" si="84"/>
        <v>2383.8297934346788</v>
      </c>
      <c r="AX77" s="233">
        <f t="shared" si="85"/>
        <v>2388.7400925043271</v>
      </c>
      <c r="AY77" s="233">
        <f t="shared" si="85"/>
        <v>2393.6605059860949</v>
      </c>
      <c r="AZ77" s="233">
        <f t="shared" si="85"/>
        <v>2398.5910547140156</v>
      </c>
      <c r="BA77" s="233">
        <f t="shared" si="85"/>
        <v>2403.5317595650358</v>
      </c>
      <c r="BB77" s="233">
        <f t="shared" si="85"/>
        <v>2408.4826414591071</v>
      </c>
      <c r="BC77" s="233">
        <f t="shared" si="85"/>
        <v>2413.4437213592714</v>
      </c>
      <c r="BD77" s="233">
        <f t="shared" si="85"/>
        <v>2418.4150202717515</v>
      </c>
      <c r="BE77" s="233">
        <f t="shared" si="85"/>
        <v>2423.3965592460399</v>
      </c>
      <c r="BF77" s="233">
        <f t="shared" si="85"/>
        <v>2428.388359374987</v>
      </c>
      <c r="BG77" s="233">
        <f t="shared" si="85"/>
        <v>2433.3904417948911</v>
      </c>
      <c r="BH77" s="233">
        <f t="shared" si="86"/>
        <v>2438.4028276855893</v>
      </c>
      <c r="BI77" s="233">
        <f t="shared" si="86"/>
        <v>2443.4255382705433</v>
      </c>
      <c r="BJ77" s="233">
        <f t="shared" si="86"/>
        <v>2448.4585948169329</v>
      </c>
      <c r="BK77" s="233">
        <f t="shared" si="86"/>
        <v>2453.5020186357451</v>
      </c>
      <c r="BL77" s="233">
        <f t="shared" si="86"/>
        <v>2458.5558310818633</v>
      </c>
      <c r="BM77" s="233">
        <f t="shared" si="86"/>
        <v>2463.6200535541593</v>
      </c>
      <c r="BN77" s="233">
        <f t="shared" si="86"/>
        <v>2468.694707495582</v>
      </c>
      <c r="BO77" s="233">
        <f t="shared" si="86"/>
        <v>2473.7798143932505</v>
      </c>
      <c r="BP77" s="233">
        <f t="shared" si="86"/>
        <v>2478.8753957785425</v>
      </c>
      <c r="BQ77" s="233">
        <f t="shared" si="86"/>
        <v>2483.9814732271884</v>
      </c>
      <c r="BR77" s="233">
        <f t="shared" si="87"/>
        <v>2489.0980683593589</v>
      </c>
      <c r="BS77" s="233">
        <f t="shared" si="87"/>
        <v>2494.2252028397611</v>
      </c>
      <c r="BT77" s="233">
        <f t="shared" si="87"/>
        <v>2499.3628983777267</v>
      </c>
      <c r="BU77" s="233">
        <f t="shared" si="87"/>
        <v>2504.5111767273042</v>
      </c>
      <c r="BV77" s="233">
        <f t="shared" si="87"/>
        <v>2509.6700596873538</v>
      </c>
      <c r="BW77" s="233">
        <f t="shared" si="87"/>
        <v>2514.8395691016362</v>
      </c>
      <c r="BX77" s="233">
        <f t="shared" si="87"/>
        <v>2520.0197268589077</v>
      </c>
      <c r="BY77" s="233">
        <f t="shared" si="87"/>
        <v>2525.2105548930108</v>
      </c>
      <c r="BZ77" s="233">
        <f t="shared" si="87"/>
        <v>2530.4120751829691</v>
      </c>
      <c r="CA77" s="233">
        <f t="shared" si="87"/>
        <v>2535.6243097530787</v>
      </c>
      <c r="CB77" s="233">
        <f t="shared" si="88"/>
        <v>2540.8472806730028</v>
      </c>
      <c r="CC77" s="233">
        <f t="shared" si="88"/>
        <v>2546.0810100578642</v>
      </c>
      <c r="CD77" s="233">
        <f t="shared" si="88"/>
        <v>2551.3255200683393</v>
      </c>
      <c r="CE77" s="233">
        <f t="shared" si="88"/>
        <v>2556.5808329107513</v>
      </c>
      <c r="CF77" s="233">
        <f t="shared" si="88"/>
        <v>2561.8469708371658</v>
      </c>
      <c r="CG77" s="233">
        <f t="shared" si="88"/>
        <v>2567.1239561454831</v>
      </c>
      <c r="CH77" s="233">
        <f t="shared" si="88"/>
        <v>2572.4118111795333</v>
      </c>
      <c r="CI77" s="233">
        <f t="shared" si="88"/>
        <v>2577.7105583291727</v>
      </c>
      <c r="CJ77" s="233">
        <f t="shared" si="88"/>
        <v>2583.0202200303756</v>
      </c>
      <c r="CK77" s="233">
        <f t="shared" si="88"/>
        <v>2588.3408187653313</v>
      </c>
      <c r="CL77" s="233">
        <f t="shared" si="89"/>
        <v>2593.672377062539</v>
      </c>
      <c r="CM77" s="233">
        <f t="shared" si="89"/>
        <v>2599.0149174969015</v>
      </c>
      <c r="CN77" s="233">
        <f t="shared" si="89"/>
        <v>2604.3684626898239</v>
      </c>
      <c r="CO77" s="233">
        <f t="shared" si="89"/>
        <v>2609.7330353093071</v>
      </c>
      <c r="CP77" s="233">
        <f t="shared" si="89"/>
        <v>2615.1086580700439</v>
      </c>
      <c r="CQ77" s="233">
        <f t="shared" si="89"/>
        <v>2620.4953537335164</v>
      </c>
      <c r="CR77" s="233">
        <f t="shared" si="89"/>
        <v>2625.8931451080912</v>
      </c>
      <c r="CS77" s="233">
        <f t="shared" si="89"/>
        <v>2631.302055049116</v>
      </c>
      <c r="CT77" s="233">
        <f t="shared" si="89"/>
        <v>2636.7221064590181</v>
      </c>
      <c r="CU77" s="233">
        <f t="shared" si="89"/>
        <v>2642.1533222873986</v>
      </c>
      <c r="CV77" s="233">
        <f t="shared" si="90"/>
        <v>2647.5957255311318</v>
      </c>
      <c r="CW77" s="233">
        <f t="shared" si="90"/>
        <v>2653.0493392344615</v>
      </c>
      <c r="CX77" s="233">
        <f t="shared" si="90"/>
        <v>2658.5141864890988</v>
      </c>
      <c r="CY77" s="233">
        <f t="shared" si="90"/>
        <v>2663.9902904343207</v>
      </c>
      <c r="CZ77" s="233">
        <f t="shared" si="90"/>
        <v>2669.4776742570662</v>
      </c>
      <c r="DA77" s="233">
        <f t="shared" si="90"/>
        <v>2674.9763611920362</v>
      </c>
      <c r="DB77" s="233">
        <f t="shared" si="90"/>
        <v>2680.4863745217917</v>
      </c>
      <c r="DC77" s="233">
        <f t="shared" si="90"/>
        <v>2686.007737576851</v>
      </c>
      <c r="DD77" s="233">
        <f t="shared" si="90"/>
        <v>2691.5404737357899</v>
      </c>
      <c r="DE77" s="233">
        <f t="shared" si="90"/>
        <v>2697.0846064253406</v>
      </c>
      <c r="DF77" s="233">
        <f t="shared" si="91"/>
        <v>2702.6401591204899</v>
      </c>
      <c r="DG77" s="233">
        <f t="shared" si="91"/>
        <v>2708.2071553445803</v>
      </c>
      <c r="DH77" s="233">
        <f t="shared" si="91"/>
        <v>2713.7856186694066</v>
      </c>
      <c r="DI77" s="233">
        <f t="shared" si="91"/>
        <v>2719.3755727153193</v>
      </c>
      <c r="DJ77" s="233">
        <f t="shared" si="91"/>
        <v>2724.9770411513227</v>
      </c>
      <c r="DK77" s="233">
        <f t="shared" si="91"/>
        <v>2730.5900476951751</v>
      </c>
      <c r="DL77" s="233">
        <f t="shared" si="91"/>
        <v>2736.2146161134892</v>
      </c>
      <c r="DM77" s="233">
        <f t="shared" si="91"/>
        <v>2741.8507702218335</v>
      </c>
      <c r="DN77" s="233">
        <f t="shared" si="91"/>
        <v>2747.4985338848328</v>
      </c>
      <c r="DO77" s="233">
        <f t="shared" si="91"/>
        <v>2753.1579310162683</v>
      </c>
      <c r="DP77" s="233">
        <f t="shared" si="92"/>
        <v>2758.8289855791809</v>
      </c>
      <c r="DQ77" s="233">
        <f t="shared" si="92"/>
        <v>2764.51172158597</v>
      </c>
      <c r="DR77" s="233">
        <f t="shared" si="92"/>
        <v>2770.2061630984986</v>
      </c>
      <c r="DS77" s="233">
        <f t="shared" si="92"/>
        <v>2775.9123342281905</v>
      </c>
      <c r="DT77" s="233">
        <f t="shared" si="92"/>
        <v>2781.6302591361377</v>
      </c>
      <c r="DU77" s="233">
        <f t="shared" si="92"/>
        <v>2787.3599620331984</v>
      </c>
      <c r="DV77" s="233">
        <f t="shared" si="92"/>
        <v>2793.1014671801022</v>
      </c>
      <c r="DW77" s="233">
        <f t="shared" si="92"/>
        <v>2798.8547988875507</v>
      </c>
      <c r="DX77" s="233">
        <f t="shared" si="92"/>
        <v>2804.6199815163222</v>
      </c>
      <c r="DY77" s="233">
        <f t="shared" si="92"/>
        <v>2810.3970394773755</v>
      </c>
      <c r="DZ77" s="233">
        <f t="shared" si="93"/>
        <v>2816.1859972319498</v>
      </c>
      <c r="EA77" s="233">
        <f t="shared" si="93"/>
        <v>2821.9868792916714</v>
      </c>
      <c r="EB77" s="233">
        <f t="shared" si="93"/>
        <v>2827.7997102186569</v>
      </c>
      <c r="EC77" s="233">
        <f t="shared" si="93"/>
        <v>2833.624514625616</v>
      </c>
      <c r="ED77" s="233">
        <f t="shared" si="93"/>
        <v>2839.4613171759574</v>
      </c>
      <c r="EE77" s="233">
        <f t="shared" si="93"/>
        <v>2845.3101425838918</v>
      </c>
      <c r="EF77" s="233">
        <f t="shared" si="93"/>
        <v>2851.1710156145377</v>
      </c>
      <c r="EG77" s="233">
        <f t="shared" si="93"/>
        <v>2857.0439610840253</v>
      </c>
      <c r="EH77" s="233">
        <f t="shared" si="93"/>
        <v>2862.9290038596014</v>
      </c>
      <c r="EI77" s="233">
        <f t="shared" si="93"/>
        <v>2868.8261688597363</v>
      </c>
      <c r="EJ77" s="233">
        <f t="shared" si="93"/>
        <v>2874.7354810542274</v>
      </c>
      <c r="EK77" s="233">
        <f t="shared" si="93"/>
        <v>2880.6569654643067</v>
      </c>
    </row>
    <row r="78" spans="2:141" x14ac:dyDescent="0.45">
      <c r="B78" s="230">
        <f>Assumptions!B115</f>
        <v>70</v>
      </c>
      <c r="C78" s="230" t="str">
        <f>Assumptions!C115</f>
        <v>Fair Market</v>
      </c>
      <c r="D78" s="439">
        <f>Assumptions!D115</f>
        <v>1</v>
      </c>
      <c r="E78" s="22">
        <f>Assumptions!G115</f>
        <v>25</v>
      </c>
      <c r="F78" s="22">
        <f>IF(D78=1,E78+SUM(Assumptions!$G$142:$G$143),'Rent Roll Model'!E78)</f>
        <v>29</v>
      </c>
      <c r="G78" s="233">
        <f>Assumptions!I115</f>
        <v>1391.25</v>
      </c>
      <c r="H78" s="233">
        <f>Assumptions!J115</f>
        <v>2200</v>
      </c>
      <c r="J78" s="233">
        <f t="shared" si="81"/>
        <v>1391.25</v>
      </c>
      <c r="K78" s="233">
        <f t="shared" si="81"/>
        <v>1394.1157472104187</v>
      </c>
      <c r="L78" s="233">
        <f t="shared" si="81"/>
        <v>1396.9873973908816</v>
      </c>
      <c r="M78" s="233">
        <f t="shared" si="81"/>
        <v>1399.8649627005407</v>
      </c>
      <c r="N78" s="233">
        <f t="shared" si="81"/>
        <v>1402.7484553235931</v>
      </c>
      <c r="O78" s="233">
        <f t="shared" si="81"/>
        <v>1405.6378874693346</v>
      </c>
      <c r="P78" s="233">
        <f t="shared" si="81"/>
        <v>1408.5332713722089</v>
      </c>
      <c r="Q78" s="233">
        <f t="shared" si="81"/>
        <v>1411.4346192918617</v>
      </c>
      <c r="R78" s="233">
        <f t="shared" si="81"/>
        <v>1414.3419435131909</v>
      </c>
      <c r="S78" s="233">
        <f t="shared" si="81"/>
        <v>1417.2552563463994</v>
      </c>
      <c r="T78" s="233">
        <f t="shared" si="82"/>
        <v>1420.1745701270468</v>
      </c>
      <c r="U78" s="233">
        <f t="shared" si="82"/>
        <v>1423.0998972161028</v>
      </c>
      <c r="V78" s="233">
        <f t="shared" si="82"/>
        <v>1426.031249999998</v>
      </c>
      <c r="W78" s="233">
        <f t="shared" si="82"/>
        <v>1428.9686408906773</v>
      </c>
      <c r="X78" s="233">
        <f t="shared" si="82"/>
        <v>1431.9120823256519</v>
      </c>
      <c r="Y78" s="233">
        <f t="shared" si="82"/>
        <v>1434.8615867680523</v>
      </c>
      <c r="Z78" s="233">
        <f t="shared" si="82"/>
        <v>1437.8171667066813</v>
      </c>
      <c r="AA78" s="233">
        <f t="shared" si="82"/>
        <v>1440.7788346560662</v>
      </c>
      <c r="AB78" s="233">
        <f t="shared" si="82"/>
        <v>1443.7466031565125</v>
      </c>
      <c r="AC78" s="233">
        <f t="shared" si="82"/>
        <v>1446.7204847741566</v>
      </c>
      <c r="AD78" s="233">
        <f t="shared" si="83"/>
        <v>1449.7004921010187</v>
      </c>
      <c r="AE78" s="233">
        <f t="shared" si="83"/>
        <v>1452.6866377550573</v>
      </c>
      <c r="AF78" s="233">
        <f t="shared" si="83"/>
        <v>1455.6789343802211</v>
      </c>
      <c r="AG78" s="233">
        <f t="shared" si="83"/>
        <v>1458.6773946465037</v>
      </c>
      <c r="AH78" s="233">
        <f t="shared" si="83"/>
        <v>0</v>
      </c>
      <c r="AI78" s="233">
        <f t="shared" si="83"/>
        <v>0</v>
      </c>
      <c r="AJ78" s="233">
        <f t="shared" si="83"/>
        <v>0</v>
      </c>
      <c r="AK78" s="233">
        <f t="shared" si="83"/>
        <v>0</v>
      </c>
      <c r="AL78" s="233">
        <f t="shared" si="83"/>
        <v>2330.4781390286153</v>
      </c>
      <c r="AM78" s="233">
        <f t="shared" si="83"/>
        <v>2335.2785424254621</v>
      </c>
      <c r="AN78" s="233">
        <f t="shared" si="84"/>
        <v>2340.0888338673353</v>
      </c>
      <c r="AO78" s="233">
        <f t="shared" si="84"/>
        <v>2344.9090337219891</v>
      </c>
      <c r="AP78" s="233">
        <f t="shared" si="84"/>
        <v>2349.7391623991321</v>
      </c>
      <c r="AQ78" s="233">
        <f t="shared" si="84"/>
        <v>2354.5792403505111</v>
      </c>
      <c r="AR78" s="233">
        <f t="shared" si="84"/>
        <v>2359.4292880700041</v>
      </c>
      <c r="AS78" s="233">
        <f t="shared" si="84"/>
        <v>2364.2893260936999</v>
      </c>
      <c r="AT78" s="233">
        <f t="shared" si="84"/>
        <v>2369.1593749999902</v>
      </c>
      <c r="AU78" s="233">
        <f t="shared" si="84"/>
        <v>2374.0394554096529</v>
      </c>
      <c r="AV78" s="233">
        <f t="shared" si="84"/>
        <v>2378.9295879859433</v>
      </c>
      <c r="AW78" s="233">
        <f t="shared" si="84"/>
        <v>2383.8297934346788</v>
      </c>
      <c r="AX78" s="233">
        <f t="shared" si="85"/>
        <v>2388.7400925043271</v>
      </c>
      <c r="AY78" s="233">
        <f t="shared" si="85"/>
        <v>2393.6605059860949</v>
      </c>
      <c r="AZ78" s="233">
        <f t="shared" si="85"/>
        <v>2398.5910547140156</v>
      </c>
      <c r="BA78" s="233">
        <f t="shared" si="85"/>
        <v>2403.5317595650358</v>
      </c>
      <c r="BB78" s="233">
        <f t="shared" si="85"/>
        <v>2408.4826414591071</v>
      </c>
      <c r="BC78" s="233">
        <f t="shared" si="85"/>
        <v>2413.4437213592714</v>
      </c>
      <c r="BD78" s="233">
        <f t="shared" si="85"/>
        <v>2418.4150202717515</v>
      </c>
      <c r="BE78" s="233">
        <f t="shared" si="85"/>
        <v>2423.3965592460399</v>
      </c>
      <c r="BF78" s="233">
        <f t="shared" si="85"/>
        <v>2428.388359374987</v>
      </c>
      <c r="BG78" s="233">
        <f t="shared" si="85"/>
        <v>2433.3904417948911</v>
      </c>
      <c r="BH78" s="233">
        <f t="shared" si="86"/>
        <v>2438.4028276855893</v>
      </c>
      <c r="BI78" s="233">
        <f t="shared" si="86"/>
        <v>2443.4255382705433</v>
      </c>
      <c r="BJ78" s="233">
        <f t="shared" si="86"/>
        <v>2448.4585948169329</v>
      </c>
      <c r="BK78" s="233">
        <f t="shared" si="86"/>
        <v>2453.5020186357451</v>
      </c>
      <c r="BL78" s="233">
        <f t="shared" si="86"/>
        <v>2458.5558310818633</v>
      </c>
      <c r="BM78" s="233">
        <f t="shared" si="86"/>
        <v>2463.6200535541593</v>
      </c>
      <c r="BN78" s="233">
        <f t="shared" si="86"/>
        <v>2468.694707495582</v>
      </c>
      <c r="BO78" s="233">
        <f t="shared" si="86"/>
        <v>2473.7798143932505</v>
      </c>
      <c r="BP78" s="233">
        <f t="shared" si="86"/>
        <v>2478.8753957785425</v>
      </c>
      <c r="BQ78" s="233">
        <f t="shared" si="86"/>
        <v>2483.9814732271884</v>
      </c>
      <c r="BR78" s="233">
        <f t="shared" si="87"/>
        <v>2489.0980683593589</v>
      </c>
      <c r="BS78" s="233">
        <f t="shared" si="87"/>
        <v>2494.2252028397611</v>
      </c>
      <c r="BT78" s="233">
        <f t="shared" si="87"/>
        <v>2499.3628983777267</v>
      </c>
      <c r="BU78" s="233">
        <f t="shared" si="87"/>
        <v>2504.5111767273042</v>
      </c>
      <c r="BV78" s="233">
        <f t="shared" si="87"/>
        <v>2509.6700596873538</v>
      </c>
      <c r="BW78" s="233">
        <f t="shared" si="87"/>
        <v>2514.8395691016362</v>
      </c>
      <c r="BX78" s="233">
        <f t="shared" si="87"/>
        <v>2520.0197268589077</v>
      </c>
      <c r="BY78" s="233">
        <f t="shared" si="87"/>
        <v>2525.2105548930108</v>
      </c>
      <c r="BZ78" s="233">
        <f t="shared" si="87"/>
        <v>2530.4120751829691</v>
      </c>
      <c r="CA78" s="233">
        <f t="shared" si="87"/>
        <v>2535.6243097530787</v>
      </c>
      <c r="CB78" s="233">
        <f t="shared" si="88"/>
        <v>2540.8472806730028</v>
      </c>
      <c r="CC78" s="233">
        <f t="shared" si="88"/>
        <v>2546.0810100578642</v>
      </c>
      <c r="CD78" s="233">
        <f t="shared" si="88"/>
        <v>2551.3255200683393</v>
      </c>
      <c r="CE78" s="233">
        <f t="shared" si="88"/>
        <v>2556.5808329107513</v>
      </c>
      <c r="CF78" s="233">
        <f t="shared" si="88"/>
        <v>2561.8469708371658</v>
      </c>
      <c r="CG78" s="233">
        <f t="shared" si="88"/>
        <v>2567.1239561454831</v>
      </c>
      <c r="CH78" s="233">
        <f t="shared" si="88"/>
        <v>2572.4118111795333</v>
      </c>
      <c r="CI78" s="233">
        <f t="shared" si="88"/>
        <v>2577.7105583291727</v>
      </c>
      <c r="CJ78" s="233">
        <f t="shared" si="88"/>
        <v>2583.0202200303756</v>
      </c>
      <c r="CK78" s="233">
        <f t="shared" si="88"/>
        <v>2588.3408187653313</v>
      </c>
      <c r="CL78" s="233">
        <f t="shared" si="89"/>
        <v>2593.672377062539</v>
      </c>
      <c r="CM78" s="233">
        <f t="shared" si="89"/>
        <v>2599.0149174969015</v>
      </c>
      <c r="CN78" s="233">
        <f t="shared" si="89"/>
        <v>2604.3684626898239</v>
      </c>
      <c r="CO78" s="233">
        <f t="shared" si="89"/>
        <v>2609.7330353093071</v>
      </c>
      <c r="CP78" s="233">
        <f t="shared" si="89"/>
        <v>2615.1086580700439</v>
      </c>
      <c r="CQ78" s="233">
        <f t="shared" si="89"/>
        <v>2620.4953537335164</v>
      </c>
      <c r="CR78" s="233">
        <f t="shared" si="89"/>
        <v>2625.8931451080912</v>
      </c>
      <c r="CS78" s="233">
        <f t="shared" si="89"/>
        <v>2631.302055049116</v>
      </c>
      <c r="CT78" s="233">
        <f t="shared" si="89"/>
        <v>2636.7221064590181</v>
      </c>
      <c r="CU78" s="233">
        <f t="shared" si="89"/>
        <v>2642.1533222873986</v>
      </c>
      <c r="CV78" s="233">
        <f t="shared" si="90"/>
        <v>2647.5957255311318</v>
      </c>
      <c r="CW78" s="233">
        <f t="shared" si="90"/>
        <v>2653.0493392344615</v>
      </c>
      <c r="CX78" s="233">
        <f t="shared" si="90"/>
        <v>2658.5141864890988</v>
      </c>
      <c r="CY78" s="233">
        <f t="shared" si="90"/>
        <v>2663.9902904343207</v>
      </c>
      <c r="CZ78" s="233">
        <f t="shared" si="90"/>
        <v>2669.4776742570662</v>
      </c>
      <c r="DA78" s="233">
        <f t="shared" si="90"/>
        <v>2674.9763611920362</v>
      </c>
      <c r="DB78" s="233">
        <f t="shared" si="90"/>
        <v>2680.4863745217917</v>
      </c>
      <c r="DC78" s="233">
        <f t="shared" si="90"/>
        <v>2686.007737576851</v>
      </c>
      <c r="DD78" s="233">
        <f t="shared" si="90"/>
        <v>2691.5404737357899</v>
      </c>
      <c r="DE78" s="233">
        <f t="shared" si="90"/>
        <v>2697.0846064253406</v>
      </c>
      <c r="DF78" s="233">
        <f t="shared" si="91"/>
        <v>2702.6401591204899</v>
      </c>
      <c r="DG78" s="233">
        <f t="shared" si="91"/>
        <v>2708.2071553445803</v>
      </c>
      <c r="DH78" s="233">
        <f t="shared" si="91"/>
        <v>2713.7856186694066</v>
      </c>
      <c r="DI78" s="233">
        <f t="shared" si="91"/>
        <v>2719.3755727153193</v>
      </c>
      <c r="DJ78" s="233">
        <f t="shared" si="91"/>
        <v>2724.9770411513227</v>
      </c>
      <c r="DK78" s="233">
        <f t="shared" si="91"/>
        <v>2730.5900476951751</v>
      </c>
      <c r="DL78" s="233">
        <f t="shared" si="91"/>
        <v>2736.2146161134892</v>
      </c>
      <c r="DM78" s="233">
        <f t="shared" si="91"/>
        <v>2741.8507702218335</v>
      </c>
      <c r="DN78" s="233">
        <f t="shared" si="91"/>
        <v>2747.4985338848328</v>
      </c>
      <c r="DO78" s="233">
        <f t="shared" si="91"/>
        <v>2753.1579310162683</v>
      </c>
      <c r="DP78" s="233">
        <f t="shared" si="92"/>
        <v>2758.8289855791809</v>
      </c>
      <c r="DQ78" s="233">
        <f t="shared" si="92"/>
        <v>2764.51172158597</v>
      </c>
      <c r="DR78" s="233">
        <f t="shared" si="92"/>
        <v>2770.2061630984986</v>
      </c>
      <c r="DS78" s="233">
        <f t="shared" si="92"/>
        <v>2775.9123342281905</v>
      </c>
      <c r="DT78" s="233">
        <f t="shared" si="92"/>
        <v>2781.6302591361377</v>
      </c>
      <c r="DU78" s="233">
        <f t="shared" si="92"/>
        <v>2787.3599620331984</v>
      </c>
      <c r="DV78" s="233">
        <f t="shared" si="92"/>
        <v>2793.1014671801022</v>
      </c>
      <c r="DW78" s="233">
        <f t="shared" si="92"/>
        <v>2798.8547988875507</v>
      </c>
      <c r="DX78" s="233">
        <f t="shared" si="92"/>
        <v>2804.6199815163222</v>
      </c>
      <c r="DY78" s="233">
        <f t="shared" si="92"/>
        <v>2810.3970394773755</v>
      </c>
      <c r="DZ78" s="233">
        <f t="shared" si="93"/>
        <v>2816.1859972319498</v>
      </c>
      <c r="EA78" s="233">
        <f t="shared" si="93"/>
        <v>2821.9868792916714</v>
      </c>
      <c r="EB78" s="233">
        <f t="shared" si="93"/>
        <v>2827.7997102186569</v>
      </c>
      <c r="EC78" s="233">
        <f t="shared" si="93"/>
        <v>2833.624514625616</v>
      </c>
      <c r="ED78" s="233">
        <f t="shared" si="93"/>
        <v>2839.4613171759574</v>
      </c>
      <c r="EE78" s="233">
        <f t="shared" si="93"/>
        <v>2845.3101425838918</v>
      </c>
      <c r="EF78" s="233">
        <f t="shared" si="93"/>
        <v>2851.1710156145377</v>
      </c>
      <c r="EG78" s="233">
        <f t="shared" si="93"/>
        <v>2857.0439610840253</v>
      </c>
      <c r="EH78" s="233">
        <f t="shared" si="93"/>
        <v>2862.9290038596014</v>
      </c>
      <c r="EI78" s="233">
        <f t="shared" si="93"/>
        <v>2868.8261688597363</v>
      </c>
      <c r="EJ78" s="233">
        <f t="shared" si="93"/>
        <v>2874.7354810542274</v>
      </c>
      <c r="EK78" s="233">
        <f t="shared" si="93"/>
        <v>2880.6569654643067</v>
      </c>
    </row>
    <row r="79" spans="2:141" x14ac:dyDescent="0.45">
      <c r="B79" s="230">
        <f>Assumptions!B116</f>
        <v>71</v>
      </c>
      <c r="C79" s="230" t="str">
        <f>Assumptions!C116</f>
        <v>Fair Market</v>
      </c>
      <c r="D79" s="439">
        <f>Assumptions!D116</f>
        <v>1</v>
      </c>
      <c r="E79" s="22">
        <f>Assumptions!G116</f>
        <v>25</v>
      </c>
      <c r="F79" s="22">
        <f>IF(D79=1,E79+SUM(Assumptions!$G$142:$G$143),'Rent Roll Model'!E79)</f>
        <v>29</v>
      </c>
      <c r="G79" s="233">
        <f>Assumptions!I116</f>
        <v>1640.39</v>
      </c>
      <c r="H79" s="233">
        <f>Assumptions!J116</f>
        <v>2200</v>
      </c>
      <c r="J79" s="233">
        <f t="shared" ref="J79:S86" si="94">IFERROR(IF($D79=0,$G79,IF(J$8&lt;$E79,$G79,IF(J$8&gt;=$F79,$H79,0)))*INDEX(J$3:J$5,MATCH($C79,$B$3:$B$5,0)),0)</f>
        <v>1640.39</v>
      </c>
      <c r="K79" s="233">
        <f t="shared" si="94"/>
        <v>1643.7689348186875</v>
      </c>
      <c r="L79" s="233">
        <f t="shared" si="94"/>
        <v>1647.1548296898677</v>
      </c>
      <c r="M79" s="233">
        <f t="shared" si="94"/>
        <v>1650.5476989501096</v>
      </c>
      <c r="N79" s="233">
        <f t="shared" si="94"/>
        <v>1653.9475569655124</v>
      </c>
      <c r="O79" s="233">
        <f t="shared" si="94"/>
        <v>1657.3544181317677</v>
      </c>
      <c r="P79" s="233">
        <f t="shared" si="94"/>
        <v>1660.7682968742197</v>
      </c>
      <c r="Q79" s="233">
        <f t="shared" si="94"/>
        <v>1664.189207647926</v>
      </c>
      <c r="R79" s="233">
        <f t="shared" si="94"/>
        <v>1667.6171649377202</v>
      </c>
      <c r="S79" s="233">
        <f t="shared" si="94"/>
        <v>1671.0521832582713</v>
      </c>
      <c r="T79" s="233">
        <f t="shared" ref="T79:AC86" si="95">IFERROR(IF($D79=0,$G79,IF(T$8&lt;$E79,$G79,IF(T$8&gt;=$F79,$H79,0)))*INDEX(T$3:T$5,MATCH($C79,$B$3:$B$5,0)),0)</f>
        <v>1674.4942771541466</v>
      </c>
      <c r="U79" s="233">
        <f t="shared" si="95"/>
        <v>1677.9434611998727</v>
      </c>
      <c r="V79" s="233">
        <f t="shared" si="95"/>
        <v>1681.3997499999978</v>
      </c>
      <c r="W79" s="233">
        <f t="shared" si="95"/>
        <v>1684.8631581891525</v>
      </c>
      <c r="X79" s="233">
        <f t="shared" si="95"/>
        <v>1688.3337004321122</v>
      </c>
      <c r="Y79" s="233">
        <f t="shared" si="95"/>
        <v>1691.8113914238604</v>
      </c>
      <c r="Z79" s="233">
        <f t="shared" si="95"/>
        <v>1695.2962458896482</v>
      </c>
      <c r="AA79" s="233">
        <f t="shared" si="95"/>
        <v>1698.78827858506</v>
      </c>
      <c r="AB79" s="233">
        <f t="shared" si="95"/>
        <v>1702.2875042960732</v>
      </c>
      <c r="AC79" s="233">
        <f t="shared" si="95"/>
        <v>1705.7939378391222</v>
      </c>
      <c r="AD79" s="233">
        <f t="shared" ref="AD79:AM86" si="96">IFERROR(IF($D79=0,$G79,IF(AD$8&lt;$E79,$G79,IF(AD$8&gt;=$F79,$H79,0)))*INDEX(AD$3:AD$5,MATCH($C79,$B$3:$B$5,0)),0)</f>
        <v>1709.3075940611609</v>
      </c>
      <c r="AE79" s="233">
        <f t="shared" si="96"/>
        <v>1712.828487839726</v>
      </c>
      <c r="AF79" s="233">
        <f t="shared" si="96"/>
        <v>1716.3566340829982</v>
      </c>
      <c r="AG79" s="233">
        <f t="shared" si="96"/>
        <v>1719.8920477298677</v>
      </c>
      <c r="AH79" s="233">
        <f t="shared" si="96"/>
        <v>0</v>
      </c>
      <c r="AI79" s="233">
        <f t="shared" si="96"/>
        <v>0</v>
      </c>
      <c r="AJ79" s="233">
        <f t="shared" si="96"/>
        <v>0</v>
      </c>
      <c r="AK79" s="233">
        <f t="shared" si="96"/>
        <v>0</v>
      </c>
      <c r="AL79" s="233">
        <f t="shared" si="96"/>
        <v>2330.4781390286153</v>
      </c>
      <c r="AM79" s="233">
        <f t="shared" si="96"/>
        <v>2335.2785424254621</v>
      </c>
      <c r="AN79" s="233">
        <f t="shared" ref="AN79:AW86" si="97">IFERROR(IF($D79=0,$G79,IF(AN$8&lt;$E79,$G79,IF(AN$8&gt;=$F79,$H79,0)))*INDEX(AN$3:AN$5,MATCH($C79,$B$3:$B$5,0)),0)</f>
        <v>2340.0888338673353</v>
      </c>
      <c r="AO79" s="233">
        <f t="shared" si="97"/>
        <v>2344.9090337219891</v>
      </c>
      <c r="AP79" s="233">
        <f t="shared" si="97"/>
        <v>2349.7391623991321</v>
      </c>
      <c r="AQ79" s="233">
        <f t="shared" si="97"/>
        <v>2354.5792403505111</v>
      </c>
      <c r="AR79" s="233">
        <f t="shared" si="97"/>
        <v>2359.4292880700041</v>
      </c>
      <c r="AS79" s="233">
        <f t="shared" si="97"/>
        <v>2364.2893260936999</v>
      </c>
      <c r="AT79" s="233">
        <f t="shared" si="97"/>
        <v>2369.1593749999902</v>
      </c>
      <c r="AU79" s="233">
        <f t="shared" si="97"/>
        <v>2374.0394554096529</v>
      </c>
      <c r="AV79" s="233">
        <f t="shared" si="97"/>
        <v>2378.9295879859433</v>
      </c>
      <c r="AW79" s="233">
        <f t="shared" si="97"/>
        <v>2383.8297934346788</v>
      </c>
      <c r="AX79" s="233">
        <f t="shared" ref="AX79:BG86" si="98">IFERROR(IF($D79=0,$G79,IF(AX$8&lt;$E79,$G79,IF(AX$8&gt;=$F79,$H79,0)))*INDEX(AX$3:AX$5,MATCH($C79,$B$3:$B$5,0)),0)</f>
        <v>2388.7400925043271</v>
      </c>
      <c r="AY79" s="233">
        <f t="shared" si="98"/>
        <v>2393.6605059860949</v>
      </c>
      <c r="AZ79" s="233">
        <f t="shared" si="98"/>
        <v>2398.5910547140156</v>
      </c>
      <c r="BA79" s="233">
        <f t="shared" si="98"/>
        <v>2403.5317595650358</v>
      </c>
      <c r="BB79" s="233">
        <f t="shared" si="98"/>
        <v>2408.4826414591071</v>
      </c>
      <c r="BC79" s="233">
        <f t="shared" si="98"/>
        <v>2413.4437213592714</v>
      </c>
      <c r="BD79" s="233">
        <f t="shared" si="98"/>
        <v>2418.4150202717515</v>
      </c>
      <c r="BE79" s="233">
        <f t="shared" si="98"/>
        <v>2423.3965592460399</v>
      </c>
      <c r="BF79" s="233">
        <f t="shared" si="98"/>
        <v>2428.388359374987</v>
      </c>
      <c r="BG79" s="233">
        <f t="shared" si="98"/>
        <v>2433.3904417948911</v>
      </c>
      <c r="BH79" s="233">
        <f t="shared" ref="BH79:BQ86" si="99">IFERROR(IF($D79=0,$G79,IF(BH$8&lt;$E79,$G79,IF(BH$8&gt;=$F79,$H79,0)))*INDEX(BH$3:BH$5,MATCH($C79,$B$3:$B$5,0)),0)</f>
        <v>2438.4028276855893</v>
      </c>
      <c r="BI79" s="233">
        <f t="shared" si="99"/>
        <v>2443.4255382705433</v>
      </c>
      <c r="BJ79" s="233">
        <f t="shared" si="99"/>
        <v>2448.4585948169329</v>
      </c>
      <c r="BK79" s="233">
        <f t="shared" si="99"/>
        <v>2453.5020186357451</v>
      </c>
      <c r="BL79" s="233">
        <f t="shared" si="99"/>
        <v>2458.5558310818633</v>
      </c>
      <c r="BM79" s="233">
        <f t="shared" si="99"/>
        <v>2463.6200535541593</v>
      </c>
      <c r="BN79" s="233">
        <f t="shared" si="99"/>
        <v>2468.694707495582</v>
      </c>
      <c r="BO79" s="233">
        <f t="shared" si="99"/>
        <v>2473.7798143932505</v>
      </c>
      <c r="BP79" s="233">
        <f t="shared" si="99"/>
        <v>2478.8753957785425</v>
      </c>
      <c r="BQ79" s="233">
        <f t="shared" si="99"/>
        <v>2483.9814732271884</v>
      </c>
      <c r="BR79" s="233">
        <f t="shared" ref="BR79:CA86" si="100">IFERROR(IF($D79=0,$G79,IF(BR$8&lt;$E79,$G79,IF(BR$8&gt;=$F79,$H79,0)))*INDEX(BR$3:BR$5,MATCH($C79,$B$3:$B$5,0)),0)</f>
        <v>2489.0980683593589</v>
      </c>
      <c r="BS79" s="233">
        <f t="shared" si="100"/>
        <v>2494.2252028397611</v>
      </c>
      <c r="BT79" s="233">
        <f t="shared" si="100"/>
        <v>2499.3628983777267</v>
      </c>
      <c r="BU79" s="233">
        <f t="shared" si="100"/>
        <v>2504.5111767273042</v>
      </c>
      <c r="BV79" s="233">
        <f t="shared" si="100"/>
        <v>2509.6700596873538</v>
      </c>
      <c r="BW79" s="233">
        <f t="shared" si="100"/>
        <v>2514.8395691016362</v>
      </c>
      <c r="BX79" s="233">
        <f t="shared" si="100"/>
        <v>2520.0197268589077</v>
      </c>
      <c r="BY79" s="233">
        <f t="shared" si="100"/>
        <v>2525.2105548930108</v>
      </c>
      <c r="BZ79" s="233">
        <f t="shared" si="100"/>
        <v>2530.4120751829691</v>
      </c>
      <c r="CA79" s="233">
        <f t="shared" si="100"/>
        <v>2535.6243097530787</v>
      </c>
      <c r="CB79" s="233">
        <f t="shared" ref="CB79:CK86" si="101">IFERROR(IF($D79=0,$G79,IF(CB$8&lt;$E79,$G79,IF(CB$8&gt;=$F79,$H79,0)))*INDEX(CB$3:CB$5,MATCH($C79,$B$3:$B$5,0)),0)</f>
        <v>2540.8472806730028</v>
      </c>
      <c r="CC79" s="233">
        <f t="shared" si="101"/>
        <v>2546.0810100578642</v>
      </c>
      <c r="CD79" s="233">
        <f t="shared" si="101"/>
        <v>2551.3255200683393</v>
      </c>
      <c r="CE79" s="233">
        <f t="shared" si="101"/>
        <v>2556.5808329107513</v>
      </c>
      <c r="CF79" s="233">
        <f t="shared" si="101"/>
        <v>2561.8469708371658</v>
      </c>
      <c r="CG79" s="233">
        <f t="shared" si="101"/>
        <v>2567.1239561454831</v>
      </c>
      <c r="CH79" s="233">
        <f t="shared" si="101"/>
        <v>2572.4118111795333</v>
      </c>
      <c r="CI79" s="233">
        <f t="shared" si="101"/>
        <v>2577.7105583291727</v>
      </c>
      <c r="CJ79" s="233">
        <f t="shared" si="101"/>
        <v>2583.0202200303756</v>
      </c>
      <c r="CK79" s="233">
        <f t="shared" si="101"/>
        <v>2588.3408187653313</v>
      </c>
      <c r="CL79" s="233">
        <f t="shared" ref="CL79:CU86" si="102">IFERROR(IF($D79=0,$G79,IF(CL$8&lt;$E79,$G79,IF(CL$8&gt;=$F79,$H79,0)))*INDEX(CL$3:CL$5,MATCH($C79,$B$3:$B$5,0)),0)</f>
        <v>2593.672377062539</v>
      </c>
      <c r="CM79" s="233">
        <f t="shared" si="102"/>
        <v>2599.0149174969015</v>
      </c>
      <c r="CN79" s="233">
        <f t="shared" si="102"/>
        <v>2604.3684626898239</v>
      </c>
      <c r="CO79" s="233">
        <f t="shared" si="102"/>
        <v>2609.7330353093071</v>
      </c>
      <c r="CP79" s="233">
        <f t="shared" si="102"/>
        <v>2615.1086580700439</v>
      </c>
      <c r="CQ79" s="233">
        <f t="shared" si="102"/>
        <v>2620.4953537335164</v>
      </c>
      <c r="CR79" s="233">
        <f t="shared" si="102"/>
        <v>2625.8931451080912</v>
      </c>
      <c r="CS79" s="233">
        <f t="shared" si="102"/>
        <v>2631.302055049116</v>
      </c>
      <c r="CT79" s="233">
        <f t="shared" si="102"/>
        <v>2636.7221064590181</v>
      </c>
      <c r="CU79" s="233">
        <f t="shared" si="102"/>
        <v>2642.1533222873986</v>
      </c>
      <c r="CV79" s="233">
        <f t="shared" ref="CV79:DE86" si="103">IFERROR(IF($D79=0,$G79,IF(CV$8&lt;$E79,$G79,IF(CV$8&gt;=$F79,$H79,0)))*INDEX(CV$3:CV$5,MATCH($C79,$B$3:$B$5,0)),0)</f>
        <v>2647.5957255311318</v>
      </c>
      <c r="CW79" s="233">
        <f t="shared" si="103"/>
        <v>2653.0493392344615</v>
      </c>
      <c r="CX79" s="233">
        <f t="shared" si="103"/>
        <v>2658.5141864890988</v>
      </c>
      <c r="CY79" s="233">
        <f t="shared" si="103"/>
        <v>2663.9902904343207</v>
      </c>
      <c r="CZ79" s="233">
        <f t="shared" si="103"/>
        <v>2669.4776742570662</v>
      </c>
      <c r="DA79" s="233">
        <f t="shared" si="103"/>
        <v>2674.9763611920362</v>
      </c>
      <c r="DB79" s="233">
        <f t="shared" si="103"/>
        <v>2680.4863745217917</v>
      </c>
      <c r="DC79" s="233">
        <f t="shared" si="103"/>
        <v>2686.007737576851</v>
      </c>
      <c r="DD79" s="233">
        <f t="shared" si="103"/>
        <v>2691.5404737357899</v>
      </c>
      <c r="DE79" s="233">
        <f t="shared" si="103"/>
        <v>2697.0846064253406</v>
      </c>
      <c r="DF79" s="233">
        <f t="shared" ref="DF79:DO86" si="104">IFERROR(IF($D79=0,$G79,IF(DF$8&lt;$E79,$G79,IF(DF$8&gt;=$F79,$H79,0)))*INDEX(DF$3:DF$5,MATCH($C79,$B$3:$B$5,0)),0)</f>
        <v>2702.6401591204899</v>
      </c>
      <c r="DG79" s="233">
        <f t="shared" si="104"/>
        <v>2708.2071553445803</v>
      </c>
      <c r="DH79" s="233">
        <f t="shared" si="104"/>
        <v>2713.7856186694066</v>
      </c>
      <c r="DI79" s="233">
        <f t="shared" si="104"/>
        <v>2719.3755727153193</v>
      </c>
      <c r="DJ79" s="233">
        <f t="shared" si="104"/>
        <v>2724.9770411513227</v>
      </c>
      <c r="DK79" s="233">
        <f t="shared" si="104"/>
        <v>2730.5900476951751</v>
      </c>
      <c r="DL79" s="233">
        <f t="shared" si="104"/>
        <v>2736.2146161134892</v>
      </c>
      <c r="DM79" s="233">
        <f t="shared" si="104"/>
        <v>2741.8507702218335</v>
      </c>
      <c r="DN79" s="233">
        <f t="shared" si="104"/>
        <v>2747.4985338848328</v>
      </c>
      <c r="DO79" s="233">
        <f t="shared" si="104"/>
        <v>2753.1579310162683</v>
      </c>
      <c r="DP79" s="233">
        <f t="shared" ref="DP79:DY86" si="105">IFERROR(IF($D79=0,$G79,IF(DP$8&lt;$E79,$G79,IF(DP$8&gt;=$F79,$H79,0)))*INDEX(DP$3:DP$5,MATCH($C79,$B$3:$B$5,0)),0)</f>
        <v>2758.8289855791809</v>
      </c>
      <c r="DQ79" s="233">
        <f t="shared" si="105"/>
        <v>2764.51172158597</v>
      </c>
      <c r="DR79" s="233">
        <f t="shared" si="105"/>
        <v>2770.2061630984986</v>
      </c>
      <c r="DS79" s="233">
        <f t="shared" si="105"/>
        <v>2775.9123342281905</v>
      </c>
      <c r="DT79" s="233">
        <f t="shared" si="105"/>
        <v>2781.6302591361377</v>
      </c>
      <c r="DU79" s="233">
        <f t="shared" si="105"/>
        <v>2787.3599620331984</v>
      </c>
      <c r="DV79" s="233">
        <f t="shared" si="105"/>
        <v>2793.1014671801022</v>
      </c>
      <c r="DW79" s="233">
        <f t="shared" si="105"/>
        <v>2798.8547988875507</v>
      </c>
      <c r="DX79" s="233">
        <f t="shared" si="105"/>
        <v>2804.6199815163222</v>
      </c>
      <c r="DY79" s="233">
        <f t="shared" si="105"/>
        <v>2810.3970394773755</v>
      </c>
      <c r="DZ79" s="233">
        <f t="shared" ref="DZ79:EK86" si="106">IFERROR(IF($D79=0,$G79,IF(DZ$8&lt;$E79,$G79,IF(DZ$8&gt;=$F79,$H79,0)))*INDEX(DZ$3:DZ$5,MATCH($C79,$B$3:$B$5,0)),0)</f>
        <v>2816.1859972319498</v>
      </c>
      <c r="EA79" s="233">
        <f t="shared" si="106"/>
        <v>2821.9868792916714</v>
      </c>
      <c r="EB79" s="233">
        <f t="shared" si="106"/>
        <v>2827.7997102186569</v>
      </c>
      <c r="EC79" s="233">
        <f t="shared" si="106"/>
        <v>2833.624514625616</v>
      </c>
      <c r="ED79" s="233">
        <f t="shared" si="106"/>
        <v>2839.4613171759574</v>
      </c>
      <c r="EE79" s="233">
        <f t="shared" si="106"/>
        <v>2845.3101425838918</v>
      </c>
      <c r="EF79" s="233">
        <f t="shared" si="106"/>
        <v>2851.1710156145377</v>
      </c>
      <c r="EG79" s="233">
        <f t="shared" si="106"/>
        <v>2857.0439610840253</v>
      </c>
      <c r="EH79" s="233">
        <f t="shared" si="106"/>
        <v>2862.9290038596014</v>
      </c>
      <c r="EI79" s="233">
        <f t="shared" si="106"/>
        <v>2868.8261688597363</v>
      </c>
      <c r="EJ79" s="233">
        <f t="shared" si="106"/>
        <v>2874.7354810542274</v>
      </c>
      <c r="EK79" s="233">
        <f t="shared" si="106"/>
        <v>2880.6569654643067</v>
      </c>
    </row>
    <row r="80" spans="2:141" x14ac:dyDescent="0.45">
      <c r="B80" s="230">
        <f>Assumptions!B117</f>
        <v>72</v>
      </c>
      <c r="C80" s="230" t="str">
        <f>Assumptions!C117</f>
        <v>Fair Market</v>
      </c>
      <c r="D80" s="439">
        <f>Assumptions!D117</f>
        <v>1</v>
      </c>
      <c r="E80" s="22">
        <f>Assumptions!G117</f>
        <v>25</v>
      </c>
      <c r="F80" s="22">
        <f>IF(D80=1,E80+SUM(Assumptions!$G$142:$G$143),'Rent Roll Model'!E80)</f>
        <v>29</v>
      </c>
      <c r="G80" s="233">
        <f>Assumptions!I117</f>
        <v>1700</v>
      </c>
      <c r="H80" s="233">
        <f>Assumptions!J117</f>
        <v>2200</v>
      </c>
      <c r="J80" s="233">
        <f t="shared" si="94"/>
        <v>1700</v>
      </c>
      <c r="K80" s="233">
        <f t="shared" si="94"/>
        <v>1703.5017216587325</v>
      </c>
      <c r="L80" s="233">
        <f t="shared" si="94"/>
        <v>1707.0106562907449</v>
      </c>
      <c r="M80" s="233">
        <f t="shared" si="94"/>
        <v>1710.5268187535805</v>
      </c>
      <c r="N80" s="233">
        <f t="shared" si="94"/>
        <v>1714.050223935388</v>
      </c>
      <c r="O80" s="233">
        <f t="shared" si="94"/>
        <v>1717.580886754982</v>
      </c>
      <c r="P80" s="233">
        <f t="shared" si="94"/>
        <v>1721.1188221619086</v>
      </c>
      <c r="Q80" s="233">
        <f t="shared" si="94"/>
        <v>1724.6640451365065</v>
      </c>
      <c r="R80" s="233">
        <f t="shared" si="94"/>
        <v>1728.2165706899725</v>
      </c>
      <c r="S80" s="233">
        <f t="shared" si="94"/>
        <v>1731.7764138644231</v>
      </c>
      <c r="T80" s="233">
        <f t="shared" si="95"/>
        <v>1735.3435897329593</v>
      </c>
      <c r="U80" s="233">
        <f t="shared" si="95"/>
        <v>1738.9181133997304</v>
      </c>
      <c r="V80" s="233">
        <f t="shared" si="95"/>
        <v>1742.4999999999975</v>
      </c>
      <c r="W80" s="233">
        <f t="shared" si="95"/>
        <v>1746.0892647001988</v>
      </c>
      <c r="X80" s="233">
        <f t="shared" si="95"/>
        <v>1749.6859226980114</v>
      </c>
      <c r="Y80" s="233">
        <f t="shared" si="95"/>
        <v>1753.2899892224182</v>
      </c>
      <c r="Z80" s="233">
        <f t="shared" si="95"/>
        <v>1756.9014795337705</v>
      </c>
      <c r="AA80" s="233">
        <f t="shared" si="95"/>
        <v>1760.5204089238546</v>
      </c>
      <c r="AB80" s="233">
        <f t="shared" si="95"/>
        <v>1764.1467927159542</v>
      </c>
      <c r="AC80" s="233">
        <f t="shared" si="95"/>
        <v>1767.7806462649173</v>
      </c>
      <c r="AD80" s="233">
        <f t="shared" si="96"/>
        <v>1771.4219849572196</v>
      </c>
      <c r="AE80" s="233">
        <f t="shared" si="96"/>
        <v>1775.0708242110315</v>
      </c>
      <c r="AF80" s="233">
        <f t="shared" si="96"/>
        <v>1778.727179476281</v>
      </c>
      <c r="AG80" s="233">
        <f t="shared" si="96"/>
        <v>1782.3910662347214</v>
      </c>
      <c r="AH80" s="233">
        <f t="shared" si="96"/>
        <v>0</v>
      </c>
      <c r="AI80" s="233">
        <f t="shared" si="96"/>
        <v>0</v>
      </c>
      <c r="AJ80" s="233">
        <f t="shared" si="96"/>
        <v>0</v>
      </c>
      <c r="AK80" s="233">
        <f t="shared" si="96"/>
        <v>0</v>
      </c>
      <c r="AL80" s="233">
        <f t="shared" si="96"/>
        <v>2330.4781390286153</v>
      </c>
      <c r="AM80" s="233">
        <f t="shared" si="96"/>
        <v>2335.2785424254621</v>
      </c>
      <c r="AN80" s="233">
        <f t="shared" si="97"/>
        <v>2340.0888338673353</v>
      </c>
      <c r="AO80" s="233">
        <f t="shared" si="97"/>
        <v>2344.9090337219891</v>
      </c>
      <c r="AP80" s="233">
        <f t="shared" si="97"/>
        <v>2349.7391623991321</v>
      </c>
      <c r="AQ80" s="233">
        <f t="shared" si="97"/>
        <v>2354.5792403505111</v>
      </c>
      <c r="AR80" s="233">
        <f t="shared" si="97"/>
        <v>2359.4292880700041</v>
      </c>
      <c r="AS80" s="233">
        <f t="shared" si="97"/>
        <v>2364.2893260936999</v>
      </c>
      <c r="AT80" s="233">
        <f t="shared" si="97"/>
        <v>2369.1593749999902</v>
      </c>
      <c r="AU80" s="233">
        <f t="shared" si="97"/>
        <v>2374.0394554096529</v>
      </c>
      <c r="AV80" s="233">
        <f t="shared" si="97"/>
        <v>2378.9295879859433</v>
      </c>
      <c r="AW80" s="233">
        <f t="shared" si="97"/>
        <v>2383.8297934346788</v>
      </c>
      <c r="AX80" s="233">
        <f t="shared" si="98"/>
        <v>2388.7400925043271</v>
      </c>
      <c r="AY80" s="233">
        <f t="shared" si="98"/>
        <v>2393.6605059860949</v>
      </c>
      <c r="AZ80" s="233">
        <f t="shared" si="98"/>
        <v>2398.5910547140156</v>
      </c>
      <c r="BA80" s="233">
        <f t="shared" si="98"/>
        <v>2403.5317595650358</v>
      </c>
      <c r="BB80" s="233">
        <f t="shared" si="98"/>
        <v>2408.4826414591071</v>
      </c>
      <c r="BC80" s="233">
        <f t="shared" si="98"/>
        <v>2413.4437213592714</v>
      </c>
      <c r="BD80" s="233">
        <f t="shared" si="98"/>
        <v>2418.4150202717515</v>
      </c>
      <c r="BE80" s="233">
        <f t="shared" si="98"/>
        <v>2423.3965592460399</v>
      </c>
      <c r="BF80" s="233">
        <f t="shared" si="98"/>
        <v>2428.388359374987</v>
      </c>
      <c r="BG80" s="233">
        <f t="shared" si="98"/>
        <v>2433.3904417948911</v>
      </c>
      <c r="BH80" s="233">
        <f t="shared" si="99"/>
        <v>2438.4028276855893</v>
      </c>
      <c r="BI80" s="233">
        <f t="shared" si="99"/>
        <v>2443.4255382705433</v>
      </c>
      <c r="BJ80" s="233">
        <f t="shared" si="99"/>
        <v>2448.4585948169329</v>
      </c>
      <c r="BK80" s="233">
        <f t="shared" si="99"/>
        <v>2453.5020186357451</v>
      </c>
      <c r="BL80" s="233">
        <f t="shared" si="99"/>
        <v>2458.5558310818633</v>
      </c>
      <c r="BM80" s="233">
        <f t="shared" si="99"/>
        <v>2463.6200535541593</v>
      </c>
      <c r="BN80" s="233">
        <f t="shared" si="99"/>
        <v>2468.694707495582</v>
      </c>
      <c r="BO80" s="233">
        <f t="shared" si="99"/>
        <v>2473.7798143932505</v>
      </c>
      <c r="BP80" s="233">
        <f t="shared" si="99"/>
        <v>2478.8753957785425</v>
      </c>
      <c r="BQ80" s="233">
        <f t="shared" si="99"/>
        <v>2483.9814732271884</v>
      </c>
      <c r="BR80" s="233">
        <f t="shared" si="100"/>
        <v>2489.0980683593589</v>
      </c>
      <c r="BS80" s="233">
        <f t="shared" si="100"/>
        <v>2494.2252028397611</v>
      </c>
      <c r="BT80" s="233">
        <f t="shared" si="100"/>
        <v>2499.3628983777267</v>
      </c>
      <c r="BU80" s="233">
        <f t="shared" si="100"/>
        <v>2504.5111767273042</v>
      </c>
      <c r="BV80" s="233">
        <f t="shared" si="100"/>
        <v>2509.6700596873538</v>
      </c>
      <c r="BW80" s="233">
        <f t="shared" si="100"/>
        <v>2514.8395691016362</v>
      </c>
      <c r="BX80" s="233">
        <f t="shared" si="100"/>
        <v>2520.0197268589077</v>
      </c>
      <c r="BY80" s="233">
        <f t="shared" si="100"/>
        <v>2525.2105548930108</v>
      </c>
      <c r="BZ80" s="233">
        <f t="shared" si="100"/>
        <v>2530.4120751829691</v>
      </c>
      <c r="CA80" s="233">
        <f t="shared" si="100"/>
        <v>2535.6243097530787</v>
      </c>
      <c r="CB80" s="233">
        <f t="shared" si="101"/>
        <v>2540.8472806730028</v>
      </c>
      <c r="CC80" s="233">
        <f t="shared" si="101"/>
        <v>2546.0810100578642</v>
      </c>
      <c r="CD80" s="233">
        <f t="shared" si="101"/>
        <v>2551.3255200683393</v>
      </c>
      <c r="CE80" s="233">
        <f t="shared" si="101"/>
        <v>2556.5808329107513</v>
      </c>
      <c r="CF80" s="233">
        <f t="shared" si="101"/>
        <v>2561.8469708371658</v>
      </c>
      <c r="CG80" s="233">
        <f t="shared" si="101"/>
        <v>2567.1239561454831</v>
      </c>
      <c r="CH80" s="233">
        <f t="shared" si="101"/>
        <v>2572.4118111795333</v>
      </c>
      <c r="CI80" s="233">
        <f t="shared" si="101"/>
        <v>2577.7105583291727</v>
      </c>
      <c r="CJ80" s="233">
        <f t="shared" si="101"/>
        <v>2583.0202200303756</v>
      </c>
      <c r="CK80" s="233">
        <f t="shared" si="101"/>
        <v>2588.3408187653313</v>
      </c>
      <c r="CL80" s="233">
        <f t="shared" si="102"/>
        <v>2593.672377062539</v>
      </c>
      <c r="CM80" s="233">
        <f t="shared" si="102"/>
        <v>2599.0149174969015</v>
      </c>
      <c r="CN80" s="233">
        <f t="shared" si="102"/>
        <v>2604.3684626898239</v>
      </c>
      <c r="CO80" s="233">
        <f t="shared" si="102"/>
        <v>2609.7330353093071</v>
      </c>
      <c r="CP80" s="233">
        <f t="shared" si="102"/>
        <v>2615.1086580700439</v>
      </c>
      <c r="CQ80" s="233">
        <f t="shared" si="102"/>
        <v>2620.4953537335164</v>
      </c>
      <c r="CR80" s="233">
        <f t="shared" si="102"/>
        <v>2625.8931451080912</v>
      </c>
      <c r="CS80" s="233">
        <f t="shared" si="102"/>
        <v>2631.302055049116</v>
      </c>
      <c r="CT80" s="233">
        <f t="shared" si="102"/>
        <v>2636.7221064590181</v>
      </c>
      <c r="CU80" s="233">
        <f t="shared" si="102"/>
        <v>2642.1533222873986</v>
      </c>
      <c r="CV80" s="233">
        <f t="shared" si="103"/>
        <v>2647.5957255311318</v>
      </c>
      <c r="CW80" s="233">
        <f t="shared" si="103"/>
        <v>2653.0493392344615</v>
      </c>
      <c r="CX80" s="233">
        <f t="shared" si="103"/>
        <v>2658.5141864890988</v>
      </c>
      <c r="CY80" s="233">
        <f t="shared" si="103"/>
        <v>2663.9902904343207</v>
      </c>
      <c r="CZ80" s="233">
        <f t="shared" si="103"/>
        <v>2669.4776742570662</v>
      </c>
      <c r="DA80" s="233">
        <f t="shared" si="103"/>
        <v>2674.9763611920362</v>
      </c>
      <c r="DB80" s="233">
        <f t="shared" si="103"/>
        <v>2680.4863745217917</v>
      </c>
      <c r="DC80" s="233">
        <f t="shared" si="103"/>
        <v>2686.007737576851</v>
      </c>
      <c r="DD80" s="233">
        <f t="shared" si="103"/>
        <v>2691.5404737357899</v>
      </c>
      <c r="DE80" s="233">
        <f t="shared" si="103"/>
        <v>2697.0846064253406</v>
      </c>
      <c r="DF80" s="233">
        <f t="shared" si="104"/>
        <v>2702.6401591204899</v>
      </c>
      <c r="DG80" s="233">
        <f t="shared" si="104"/>
        <v>2708.2071553445803</v>
      </c>
      <c r="DH80" s="233">
        <f t="shared" si="104"/>
        <v>2713.7856186694066</v>
      </c>
      <c r="DI80" s="233">
        <f t="shared" si="104"/>
        <v>2719.3755727153193</v>
      </c>
      <c r="DJ80" s="233">
        <f t="shared" si="104"/>
        <v>2724.9770411513227</v>
      </c>
      <c r="DK80" s="233">
        <f t="shared" si="104"/>
        <v>2730.5900476951751</v>
      </c>
      <c r="DL80" s="233">
        <f t="shared" si="104"/>
        <v>2736.2146161134892</v>
      </c>
      <c r="DM80" s="233">
        <f t="shared" si="104"/>
        <v>2741.8507702218335</v>
      </c>
      <c r="DN80" s="233">
        <f t="shared" si="104"/>
        <v>2747.4985338848328</v>
      </c>
      <c r="DO80" s="233">
        <f t="shared" si="104"/>
        <v>2753.1579310162683</v>
      </c>
      <c r="DP80" s="233">
        <f t="shared" si="105"/>
        <v>2758.8289855791809</v>
      </c>
      <c r="DQ80" s="233">
        <f t="shared" si="105"/>
        <v>2764.51172158597</v>
      </c>
      <c r="DR80" s="233">
        <f t="shared" si="105"/>
        <v>2770.2061630984986</v>
      </c>
      <c r="DS80" s="233">
        <f t="shared" si="105"/>
        <v>2775.9123342281905</v>
      </c>
      <c r="DT80" s="233">
        <f t="shared" si="105"/>
        <v>2781.6302591361377</v>
      </c>
      <c r="DU80" s="233">
        <f t="shared" si="105"/>
        <v>2787.3599620331984</v>
      </c>
      <c r="DV80" s="233">
        <f t="shared" si="105"/>
        <v>2793.1014671801022</v>
      </c>
      <c r="DW80" s="233">
        <f t="shared" si="105"/>
        <v>2798.8547988875507</v>
      </c>
      <c r="DX80" s="233">
        <f t="shared" si="105"/>
        <v>2804.6199815163222</v>
      </c>
      <c r="DY80" s="233">
        <f t="shared" si="105"/>
        <v>2810.3970394773755</v>
      </c>
      <c r="DZ80" s="233">
        <f t="shared" si="106"/>
        <v>2816.1859972319498</v>
      </c>
      <c r="EA80" s="233">
        <f t="shared" si="106"/>
        <v>2821.9868792916714</v>
      </c>
      <c r="EB80" s="233">
        <f t="shared" si="106"/>
        <v>2827.7997102186569</v>
      </c>
      <c r="EC80" s="233">
        <f t="shared" si="106"/>
        <v>2833.624514625616</v>
      </c>
      <c r="ED80" s="233">
        <f t="shared" si="106"/>
        <v>2839.4613171759574</v>
      </c>
      <c r="EE80" s="233">
        <f t="shared" si="106"/>
        <v>2845.3101425838918</v>
      </c>
      <c r="EF80" s="233">
        <f t="shared" si="106"/>
        <v>2851.1710156145377</v>
      </c>
      <c r="EG80" s="233">
        <f t="shared" si="106"/>
        <v>2857.0439610840253</v>
      </c>
      <c r="EH80" s="233">
        <f t="shared" si="106"/>
        <v>2862.9290038596014</v>
      </c>
      <c r="EI80" s="233">
        <f t="shared" si="106"/>
        <v>2868.8261688597363</v>
      </c>
      <c r="EJ80" s="233">
        <f t="shared" si="106"/>
        <v>2874.7354810542274</v>
      </c>
      <c r="EK80" s="233">
        <f t="shared" si="106"/>
        <v>2880.6569654643067</v>
      </c>
    </row>
    <row r="81" spans="1:141" x14ac:dyDescent="0.45">
      <c r="B81" s="230">
        <f>Assumptions!B118</f>
        <v>73</v>
      </c>
      <c r="C81" s="230" t="str">
        <f>Assumptions!C118</f>
        <v>Fair Market</v>
      </c>
      <c r="D81" s="439">
        <f>Assumptions!D118</f>
        <v>1</v>
      </c>
      <c r="E81" s="22">
        <f>Assumptions!G118</f>
        <v>26</v>
      </c>
      <c r="F81" s="22">
        <f>IF(D81=1,E81+SUM(Assumptions!$G$142:$G$143),'Rent Roll Model'!E81)</f>
        <v>30</v>
      </c>
      <c r="G81" s="233">
        <f>Assumptions!I118</f>
        <v>1672</v>
      </c>
      <c r="H81" s="233">
        <f>Assumptions!J118</f>
        <v>2200</v>
      </c>
      <c r="J81" s="233">
        <f t="shared" si="94"/>
        <v>1672</v>
      </c>
      <c r="K81" s="233">
        <f t="shared" si="94"/>
        <v>1675.4440462431771</v>
      </c>
      <c r="L81" s="233">
        <f t="shared" si="94"/>
        <v>1678.8951866577208</v>
      </c>
      <c r="M81" s="233">
        <f t="shared" si="94"/>
        <v>1682.3534358564627</v>
      </c>
      <c r="N81" s="233">
        <f t="shared" si="94"/>
        <v>1685.8188084823346</v>
      </c>
      <c r="O81" s="233">
        <f t="shared" si="94"/>
        <v>1689.2913192084295</v>
      </c>
      <c r="P81" s="233">
        <f t="shared" si="94"/>
        <v>1692.7709827380654</v>
      </c>
      <c r="Q81" s="233">
        <f t="shared" si="94"/>
        <v>1696.2578138048464</v>
      </c>
      <c r="R81" s="233">
        <f t="shared" si="94"/>
        <v>1699.7518271727261</v>
      </c>
      <c r="S81" s="233">
        <f t="shared" si="94"/>
        <v>1703.253037636068</v>
      </c>
      <c r="T81" s="233">
        <f t="shared" si="95"/>
        <v>1706.7614600197105</v>
      </c>
      <c r="U81" s="233">
        <f t="shared" si="95"/>
        <v>1710.2771091790289</v>
      </c>
      <c r="V81" s="233">
        <f t="shared" si="95"/>
        <v>1713.7999999999977</v>
      </c>
      <c r="W81" s="233">
        <f t="shared" si="95"/>
        <v>1717.3301473992542</v>
      </c>
      <c r="X81" s="233">
        <f t="shared" si="95"/>
        <v>1720.8675663241618</v>
      </c>
      <c r="Y81" s="233">
        <f t="shared" si="95"/>
        <v>1724.4122717528724</v>
      </c>
      <c r="Z81" s="233">
        <f t="shared" si="95"/>
        <v>1727.9642786943907</v>
      </c>
      <c r="AA81" s="233">
        <f t="shared" si="95"/>
        <v>1731.5236021886383</v>
      </c>
      <c r="AB81" s="233">
        <f t="shared" si="95"/>
        <v>1735.090257306515</v>
      </c>
      <c r="AC81" s="233">
        <f t="shared" si="95"/>
        <v>1738.6642591499658</v>
      </c>
      <c r="AD81" s="233">
        <f t="shared" si="96"/>
        <v>1742.2456228520418</v>
      </c>
      <c r="AE81" s="233">
        <f t="shared" si="96"/>
        <v>1745.8343635769675</v>
      </c>
      <c r="AF81" s="233">
        <f t="shared" si="96"/>
        <v>1749.4304965202011</v>
      </c>
      <c r="AG81" s="233">
        <f t="shared" si="96"/>
        <v>1753.0340369085025</v>
      </c>
      <c r="AH81" s="233">
        <f t="shared" si="96"/>
        <v>1756.6449999999954</v>
      </c>
      <c r="AI81" s="233">
        <f t="shared" si="96"/>
        <v>0</v>
      </c>
      <c r="AJ81" s="233">
        <f t="shared" si="96"/>
        <v>0</v>
      </c>
      <c r="AK81" s="233">
        <f t="shared" si="96"/>
        <v>0</v>
      </c>
      <c r="AL81" s="233">
        <f t="shared" si="96"/>
        <v>0</v>
      </c>
      <c r="AM81" s="233">
        <f t="shared" si="96"/>
        <v>2335.2785424254621</v>
      </c>
      <c r="AN81" s="233">
        <f t="shared" si="97"/>
        <v>2340.0888338673353</v>
      </c>
      <c r="AO81" s="233">
        <f t="shared" si="97"/>
        <v>2344.9090337219891</v>
      </c>
      <c r="AP81" s="233">
        <f t="shared" si="97"/>
        <v>2349.7391623991321</v>
      </c>
      <c r="AQ81" s="233">
        <f t="shared" si="97"/>
        <v>2354.5792403505111</v>
      </c>
      <c r="AR81" s="233">
        <f t="shared" si="97"/>
        <v>2359.4292880700041</v>
      </c>
      <c r="AS81" s="233">
        <f t="shared" si="97"/>
        <v>2364.2893260936999</v>
      </c>
      <c r="AT81" s="233">
        <f t="shared" si="97"/>
        <v>2369.1593749999902</v>
      </c>
      <c r="AU81" s="233">
        <f t="shared" si="97"/>
        <v>2374.0394554096529</v>
      </c>
      <c r="AV81" s="233">
        <f t="shared" si="97"/>
        <v>2378.9295879859433</v>
      </c>
      <c r="AW81" s="233">
        <f t="shared" si="97"/>
        <v>2383.8297934346788</v>
      </c>
      <c r="AX81" s="233">
        <f t="shared" si="98"/>
        <v>2388.7400925043271</v>
      </c>
      <c r="AY81" s="233">
        <f t="shared" si="98"/>
        <v>2393.6605059860949</v>
      </c>
      <c r="AZ81" s="233">
        <f t="shared" si="98"/>
        <v>2398.5910547140156</v>
      </c>
      <c r="BA81" s="233">
        <f t="shared" si="98"/>
        <v>2403.5317595650358</v>
      </c>
      <c r="BB81" s="233">
        <f t="shared" si="98"/>
        <v>2408.4826414591071</v>
      </c>
      <c r="BC81" s="233">
        <f t="shared" si="98"/>
        <v>2413.4437213592714</v>
      </c>
      <c r="BD81" s="233">
        <f t="shared" si="98"/>
        <v>2418.4150202717515</v>
      </c>
      <c r="BE81" s="233">
        <f t="shared" si="98"/>
        <v>2423.3965592460399</v>
      </c>
      <c r="BF81" s="233">
        <f t="shared" si="98"/>
        <v>2428.388359374987</v>
      </c>
      <c r="BG81" s="233">
        <f t="shared" si="98"/>
        <v>2433.3904417948911</v>
      </c>
      <c r="BH81" s="233">
        <f t="shared" si="99"/>
        <v>2438.4028276855893</v>
      </c>
      <c r="BI81" s="233">
        <f t="shared" si="99"/>
        <v>2443.4255382705433</v>
      </c>
      <c r="BJ81" s="233">
        <f t="shared" si="99"/>
        <v>2448.4585948169329</v>
      </c>
      <c r="BK81" s="233">
        <f t="shared" si="99"/>
        <v>2453.5020186357451</v>
      </c>
      <c r="BL81" s="233">
        <f t="shared" si="99"/>
        <v>2458.5558310818633</v>
      </c>
      <c r="BM81" s="233">
        <f t="shared" si="99"/>
        <v>2463.6200535541593</v>
      </c>
      <c r="BN81" s="233">
        <f t="shared" si="99"/>
        <v>2468.694707495582</v>
      </c>
      <c r="BO81" s="233">
        <f t="shared" si="99"/>
        <v>2473.7798143932505</v>
      </c>
      <c r="BP81" s="233">
        <f t="shared" si="99"/>
        <v>2478.8753957785425</v>
      </c>
      <c r="BQ81" s="233">
        <f t="shared" si="99"/>
        <v>2483.9814732271884</v>
      </c>
      <c r="BR81" s="233">
        <f t="shared" si="100"/>
        <v>2489.0980683593589</v>
      </c>
      <c r="BS81" s="233">
        <f t="shared" si="100"/>
        <v>2494.2252028397611</v>
      </c>
      <c r="BT81" s="233">
        <f t="shared" si="100"/>
        <v>2499.3628983777267</v>
      </c>
      <c r="BU81" s="233">
        <f t="shared" si="100"/>
        <v>2504.5111767273042</v>
      </c>
      <c r="BV81" s="233">
        <f t="shared" si="100"/>
        <v>2509.6700596873538</v>
      </c>
      <c r="BW81" s="233">
        <f t="shared" si="100"/>
        <v>2514.8395691016362</v>
      </c>
      <c r="BX81" s="233">
        <f t="shared" si="100"/>
        <v>2520.0197268589077</v>
      </c>
      <c r="BY81" s="233">
        <f t="shared" si="100"/>
        <v>2525.2105548930108</v>
      </c>
      <c r="BZ81" s="233">
        <f t="shared" si="100"/>
        <v>2530.4120751829691</v>
      </c>
      <c r="CA81" s="233">
        <f t="shared" si="100"/>
        <v>2535.6243097530787</v>
      </c>
      <c r="CB81" s="233">
        <f t="shared" si="101"/>
        <v>2540.8472806730028</v>
      </c>
      <c r="CC81" s="233">
        <f t="shared" si="101"/>
        <v>2546.0810100578642</v>
      </c>
      <c r="CD81" s="233">
        <f t="shared" si="101"/>
        <v>2551.3255200683393</v>
      </c>
      <c r="CE81" s="233">
        <f t="shared" si="101"/>
        <v>2556.5808329107513</v>
      </c>
      <c r="CF81" s="233">
        <f t="shared" si="101"/>
        <v>2561.8469708371658</v>
      </c>
      <c r="CG81" s="233">
        <f t="shared" si="101"/>
        <v>2567.1239561454831</v>
      </c>
      <c r="CH81" s="233">
        <f t="shared" si="101"/>
        <v>2572.4118111795333</v>
      </c>
      <c r="CI81" s="233">
        <f t="shared" si="101"/>
        <v>2577.7105583291727</v>
      </c>
      <c r="CJ81" s="233">
        <f t="shared" si="101"/>
        <v>2583.0202200303756</v>
      </c>
      <c r="CK81" s="233">
        <f t="shared" si="101"/>
        <v>2588.3408187653313</v>
      </c>
      <c r="CL81" s="233">
        <f t="shared" si="102"/>
        <v>2593.672377062539</v>
      </c>
      <c r="CM81" s="233">
        <f t="shared" si="102"/>
        <v>2599.0149174969015</v>
      </c>
      <c r="CN81" s="233">
        <f t="shared" si="102"/>
        <v>2604.3684626898239</v>
      </c>
      <c r="CO81" s="233">
        <f t="shared" si="102"/>
        <v>2609.7330353093071</v>
      </c>
      <c r="CP81" s="233">
        <f t="shared" si="102"/>
        <v>2615.1086580700439</v>
      </c>
      <c r="CQ81" s="233">
        <f t="shared" si="102"/>
        <v>2620.4953537335164</v>
      </c>
      <c r="CR81" s="233">
        <f t="shared" si="102"/>
        <v>2625.8931451080912</v>
      </c>
      <c r="CS81" s="233">
        <f t="shared" si="102"/>
        <v>2631.302055049116</v>
      </c>
      <c r="CT81" s="233">
        <f t="shared" si="102"/>
        <v>2636.7221064590181</v>
      </c>
      <c r="CU81" s="233">
        <f t="shared" si="102"/>
        <v>2642.1533222873986</v>
      </c>
      <c r="CV81" s="233">
        <f t="shared" si="103"/>
        <v>2647.5957255311318</v>
      </c>
      <c r="CW81" s="233">
        <f t="shared" si="103"/>
        <v>2653.0493392344615</v>
      </c>
      <c r="CX81" s="233">
        <f t="shared" si="103"/>
        <v>2658.5141864890988</v>
      </c>
      <c r="CY81" s="233">
        <f t="shared" si="103"/>
        <v>2663.9902904343207</v>
      </c>
      <c r="CZ81" s="233">
        <f t="shared" si="103"/>
        <v>2669.4776742570662</v>
      </c>
      <c r="DA81" s="233">
        <f t="shared" si="103"/>
        <v>2674.9763611920362</v>
      </c>
      <c r="DB81" s="233">
        <f t="shared" si="103"/>
        <v>2680.4863745217917</v>
      </c>
      <c r="DC81" s="233">
        <f t="shared" si="103"/>
        <v>2686.007737576851</v>
      </c>
      <c r="DD81" s="233">
        <f t="shared" si="103"/>
        <v>2691.5404737357899</v>
      </c>
      <c r="DE81" s="233">
        <f t="shared" si="103"/>
        <v>2697.0846064253406</v>
      </c>
      <c r="DF81" s="233">
        <f t="shared" si="104"/>
        <v>2702.6401591204899</v>
      </c>
      <c r="DG81" s="233">
        <f t="shared" si="104"/>
        <v>2708.2071553445803</v>
      </c>
      <c r="DH81" s="233">
        <f t="shared" si="104"/>
        <v>2713.7856186694066</v>
      </c>
      <c r="DI81" s="233">
        <f t="shared" si="104"/>
        <v>2719.3755727153193</v>
      </c>
      <c r="DJ81" s="233">
        <f t="shared" si="104"/>
        <v>2724.9770411513227</v>
      </c>
      <c r="DK81" s="233">
        <f t="shared" si="104"/>
        <v>2730.5900476951751</v>
      </c>
      <c r="DL81" s="233">
        <f t="shared" si="104"/>
        <v>2736.2146161134892</v>
      </c>
      <c r="DM81" s="233">
        <f t="shared" si="104"/>
        <v>2741.8507702218335</v>
      </c>
      <c r="DN81" s="233">
        <f t="shared" si="104"/>
        <v>2747.4985338848328</v>
      </c>
      <c r="DO81" s="233">
        <f t="shared" si="104"/>
        <v>2753.1579310162683</v>
      </c>
      <c r="DP81" s="233">
        <f t="shared" si="105"/>
        <v>2758.8289855791809</v>
      </c>
      <c r="DQ81" s="233">
        <f t="shared" si="105"/>
        <v>2764.51172158597</v>
      </c>
      <c r="DR81" s="233">
        <f t="shared" si="105"/>
        <v>2770.2061630984986</v>
      </c>
      <c r="DS81" s="233">
        <f t="shared" si="105"/>
        <v>2775.9123342281905</v>
      </c>
      <c r="DT81" s="233">
        <f t="shared" si="105"/>
        <v>2781.6302591361377</v>
      </c>
      <c r="DU81" s="233">
        <f t="shared" si="105"/>
        <v>2787.3599620331984</v>
      </c>
      <c r="DV81" s="233">
        <f t="shared" si="105"/>
        <v>2793.1014671801022</v>
      </c>
      <c r="DW81" s="233">
        <f t="shared" si="105"/>
        <v>2798.8547988875507</v>
      </c>
      <c r="DX81" s="233">
        <f t="shared" si="105"/>
        <v>2804.6199815163222</v>
      </c>
      <c r="DY81" s="233">
        <f t="shared" si="105"/>
        <v>2810.3970394773755</v>
      </c>
      <c r="DZ81" s="233">
        <f t="shared" si="106"/>
        <v>2816.1859972319498</v>
      </c>
      <c r="EA81" s="233">
        <f t="shared" si="106"/>
        <v>2821.9868792916714</v>
      </c>
      <c r="EB81" s="233">
        <f t="shared" si="106"/>
        <v>2827.7997102186569</v>
      </c>
      <c r="EC81" s="233">
        <f t="shared" si="106"/>
        <v>2833.624514625616</v>
      </c>
      <c r="ED81" s="233">
        <f t="shared" si="106"/>
        <v>2839.4613171759574</v>
      </c>
      <c r="EE81" s="233">
        <f t="shared" si="106"/>
        <v>2845.3101425838918</v>
      </c>
      <c r="EF81" s="233">
        <f t="shared" si="106"/>
        <v>2851.1710156145377</v>
      </c>
      <c r="EG81" s="233">
        <f t="shared" si="106"/>
        <v>2857.0439610840253</v>
      </c>
      <c r="EH81" s="233">
        <f t="shared" si="106"/>
        <v>2862.9290038596014</v>
      </c>
      <c r="EI81" s="233">
        <f t="shared" si="106"/>
        <v>2868.8261688597363</v>
      </c>
      <c r="EJ81" s="233">
        <f t="shared" si="106"/>
        <v>2874.7354810542274</v>
      </c>
      <c r="EK81" s="233">
        <f t="shared" si="106"/>
        <v>2880.6569654643067</v>
      </c>
    </row>
    <row r="82" spans="1:141" x14ac:dyDescent="0.45">
      <c r="B82" s="230">
        <f>Assumptions!B119</f>
        <v>74</v>
      </c>
      <c r="C82" s="230" t="str">
        <f>Assumptions!C119</f>
        <v>Fair Market</v>
      </c>
      <c r="D82" s="439">
        <f>Assumptions!D119</f>
        <v>1</v>
      </c>
      <c r="E82" s="22">
        <f>Assumptions!G119</f>
        <v>26</v>
      </c>
      <c r="F82" s="22">
        <f>IF(D82=1,E82+SUM(Assumptions!$G$142:$G$143),'Rent Roll Model'!E82)</f>
        <v>30</v>
      </c>
      <c r="G82" s="233">
        <f>Assumptions!I119</f>
        <v>1481.9</v>
      </c>
      <c r="H82" s="233">
        <f>Assumptions!J119</f>
        <v>2200</v>
      </c>
      <c r="J82" s="233">
        <f t="shared" si="94"/>
        <v>1481.9</v>
      </c>
      <c r="K82" s="233">
        <f t="shared" si="94"/>
        <v>1484.9524713682802</v>
      </c>
      <c r="L82" s="233">
        <f t="shared" si="94"/>
        <v>1488.011230327797</v>
      </c>
      <c r="M82" s="233">
        <f t="shared" si="94"/>
        <v>1491.0762898299595</v>
      </c>
      <c r="N82" s="233">
        <f t="shared" si="94"/>
        <v>1494.1476628528537</v>
      </c>
      <c r="O82" s="233">
        <f t="shared" si="94"/>
        <v>1497.2253624012988</v>
      </c>
      <c r="P82" s="233">
        <f t="shared" si="94"/>
        <v>1500.3094015069014</v>
      </c>
      <c r="Q82" s="233">
        <f t="shared" si="94"/>
        <v>1503.3997932281113</v>
      </c>
      <c r="R82" s="233">
        <f t="shared" si="94"/>
        <v>1506.4965506502767</v>
      </c>
      <c r="S82" s="233">
        <f t="shared" si="94"/>
        <v>1509.5996868856994</v>
      </c>
      <c r="T82" s="233">
        <f t="shared" si="95"/>
        <v>1512.7092150736896</v>
      </c>
      <c r="U82" s="233">
        <f t="shared" si="95"/>
        <v>1515.8251483806239</v>
      </c>
      <c r="V82" s="233">
        <f t="shared" si="95"/>
        <v>1518.9474999999979</v>
      </c>
      <c r="W82" s="233">
        <f t="shared" si="95"/>
        <v>1522.0762831524851</v>
      </c>
      <c r="X82" s="233">
        <f t="shared" si="95"/>
        <v>1525.21151108599</v>
      </c>
      <c r="Y82" s="233">
        <f t="shared" si="95"/>
        <v>1528.3531970757067</v>
      </c>
      <c r="Z82" s="233">
        <f t="shared" si="95"/>
        <v>1531.5013544241733</v>
      </c>
      <c r="AA82" s="233">
        <f t="shared" si="95"/>
        <v>1534.6559964613296</v>
      </c>
      <c r="AB82" s="233">
        <f t="shared" si="95"/>
        <v>1537.8171365445723</v>
      </c>
      <c r="AC82" s="233">
        <f t="shared" si="95"/>
        <v>1540.9847880588125</v>
      </c>
      <c r="AD82" s="233">
        <f t="shared" si="96"/>
        <v>1544.1589644165317</v>
      </c>
      <c r="AE82" s="233">
        <f t="shared" si="96"/>
        <v>1547.3396790578397</v>
      </c>
      <c r="AF82" s="233">
        <f t="shared" si="96"/>
        <v>1550.5269454505301</v>
      </c>
      <c r="AG82" s="233">
        <f t="shared" si="96"/>
        <v>1553.7207770901375</v>
      </c>
      <c r="AH82" s="233">
        <f t="shared" si="96"/>
        <v>1556.921187499996</v>
      </c>
      <c r="AI82" s="233">
        <f t="shared" si="96"/>
        <v>0</v>
      </c>
      <c r="AJ82" s="233">
        <f t="shared" si="96"/>
        <v>0</v>
      </c>
      <c r="AK82" s="233">
        <f t="shared" si="96"/>
        <v>0</v>
      </c>
      <c r="AL82" s="233">
        <f t="shared" si="96"/>
        <v>0</v>
      </c>
      <c r="AM82" s="233">
        <f t="shared" si="96"/>
        <v>2335.2785424254621</v>
      </c>
      <c r="AN82" s="233">
        <f t="shared" si="97"/>
        <v>2340.0888338673353</v>
      </c>
      <c r="AO82" s="233">
        <f t="shared" si="97"/>
        <v>2344.9090337219891</v>
      </c>
      <c r="AP82" s="233">
        <f t="shared" si="97"/>
        <v>2349.7391623991321</v>
      </c>
      <c r="AQ82" s="233">
        <f t="shared" si="97"/>
        <v>2354.5792403505111</v>
      </c>
      <c r="AR82" s="233">
        <f t="shared" si="97"/>
        <v>2359.4292880700041</v>
      </c>
      <c r="AS82" s="233">
        <f t="shared" si="97"/>
        <v>2364.2893260936999</v>
      </c>
      <c r="AT82" s="233">
        <f t="shared" si="97"/>
        <v>2369.1593749999902</v>
      </c>
      <c r="AU82" s="233">
        <f t="shared" si="97"/>
        <v>2374.0394554096529</v>
      </c>
      <c r="AV82" s="233">
        <f t="shared" si="97"/>
        <v>2378.9295879859433</v>
      </c>
      <c r="AW82" s="233">
        <f t="shared" si="97"/>
        <v>2383.8297934346788</v>
      </c>
      <c r="AX82" s="233">
        <f t="shared" si="98"/>
        <v>2388.7400925043271</v>
      </c>
      <c r="AY82" s="233">
        <f t="shared" si="98"/>
        <v>2393.6605059860949</v>
      </c>
      <c r="AZ82" s="233">
        <f t="shared" si="98"/>
        <v>2398.5910547140156</v>
      </c>
      <c r="BA82" s="233">
        <f t="shared" si="98"/>
        <v>2403.5317595650358</v>
      </c>
      <c r="BB82" s="233">
        <f t="shared" si="98"/>
        <v>2408.4826414591071</v>
      </c>
      <c r="BC82" s="233">
        <f t="shared" si="98"/>
        <v>2413.4437213592714</v>
      </c>
      <c r="BD82" s="233">
        <f t="shared" si="98"/>
        <v>2418.4150202717515</v>
      </c>
      <c r="BE82" s="233">
        <f t="shared" si="98"/>
        <v>2423.3965592460399</v>
      </c>
      <c r="BF82" s="233">
        <f t="shared" si="98"/>
        <v>2428.388359374987</v>
      </c>
      <c r="BG82" s="233">
        <f t="shared" si="98"/>
        <v>2433.3904417948911</v>
      </c>
      <c r="BH82" s="233">
        <f t="shared" si="99"/>
        <v>2438.4028276855893</v>
      </c>
      <c r="BI82" s="233">
        <f t="shared" si="99"/>
        <v>2443.4255382705433</v>
      </c>
      <c r="BJ82" s="233">
        <f t="shared" si="99"/>
        <v>2448.4585948169329</v>
      </c>
      <c r="BK82" s="233">
        <f t="shared" si="99"/>
        <v>2453.5020186357451</v>
      </c>
      <c r="BL82" s="233">
        <f t="shared" si="99"/>
        <v>2458.5558310818633</v>
      </c>
      <c r="BM82" s="233">
        <f t="shared" si="99"/>
        <v>2463.6200535541593</v>
      </c>
      <c r="BN82" s="233">
        <f t="shared" si="99"/>
        <v>2468.694707495582</v>
      </c>
      <c r="BO82" s="233">
        <f t="shared" si="99"/>
        <v>2473.7798143932505</v>
      </c>
      <c r="BP82" s="233">
        <f t="shared" si="99"/>
        <v>2478.8753957785425</v>
      </c>
      <c r="BQ82" s="233">
        <f t="shared" si="99"/>
        <v>2483.9814732271884</v>
      </c>
      <c r="BR82" s="233">
        <f t="shared" si="100"/>
        <v>2489.0980683593589</v>
      </c>
      <c r="BS82" s="233">
        <f t="shared" si="100"/>
        <v>2494.2252028397611</v>
      </c>
      <c r="BT82" s="233">
        <f t="shared" si="100"/>
        <v>2499.3628983777267</v>
      </c>
      <c r="BU82" s="233">
        <f t="shared" si="100"/>
        <v>2504.5111767273042</v>
      </c>
      <c r="BV82" s="233">
        <f t="shared" si="100"/>
        <v>2509.6700596873538</v>
      </c>
      <c r="BW82" s="233">
        <f t="shared" si="100"/>
        <v>2514.8395691016362</v>
      </c>
      <c r="BX82" s="233">
        <f t="shared" si="100"/>
        <v>2520.0197268589077</v>
      </c>
      <c r="BY82" s="233">
        <f t="shared" si="100"/>
        <v>2525.2105548930108</v>
      </c>
      <c r="BZ82" s="233">
        <f t="shared" si="100"/>
        <v>2530.4120751829691</v>
      </c>
      <c r="CA82" s="233">
        <f t="shared" si="100"/>
        <v>2535.6243097530787</v>
      </c>
      <c r="CB82" s="233">
        <f t="shared" si="101"/>
        <v>2540.8472806730028</v>
      </c>
      <c r="CC82" s="233">
        <f t="shared" si="101"/>
        <v>2546.0810100578642</v>
      </c>
      <c r="CD82" s="233">
        <f t="shared" si="101"/>
        <v>2551.3255200683393</v>
      </c>
      <c r="CE82" s="233">
        <f t="shared" si="101"/>
        <v>2556.5808329107513</v>
      </c>
      <c r="CF82" s="233">
        <f t="shared" si="101"/>
        <v>2561.8469708371658</v>
      </c>
      <c r="CG82" s="233">
        <f t="shared" si="101"/>
        <v>2567.1239561454831</v>
      </c>
      <c r="CH82" s="233">
        <f t="shared" si="101"/>
        <v>2572.4118111795333</v>
      </c>
      <c r="CI82" s="233">
        <f t="shared" si="101"/>
        <v>2577.7105583291727</v>
      </c>
      <c r="CJ82" s="233">
        <f t="shared" si="101"/>
        <v>2583.0202200303756</v>
      </c>
      <c r="CK82" s="233">
        <f t="shared" si="101"/>
        <v>2588.3408187653313</v>
      </c>
      <c r="CL82" s="233">
        <f t="shared" si="102"/>
        <v>2593.672377062539</v>
      </c>
      <c r="CM82" s="233">
        <f t="shared" si="102"/>
        <v>2599.0149174969015</v>
      </c>
      <c r="CN82" s="233">
        <f t="shared" si="102"/>
        <v>2604.3684626898239</v>
      </c>
      <c r="CO82" s="233">
        <f t="shared" si="102"/>
        <v>2609.7330353093071</v>
      </c>
      <c r="CP82" s="233">
        <f t="shared" si="102"/>
        <v>2615.1086580700439</v>
      </c>
      <c r="CQ82" s="233">
        <f t="shared" si="102"/>
        <v>2620.4953537335164</v>
      </c>
      <c r="CR82" s="233">
        <f t="shared" si="102"/>
        <v>2625.8931451080912</v>
      </c>
      <c r="CS82" s="233">
        <f t="shared" si="102"/>
        <v>2631.302055049116</v>
      </c>
      <c r="CT82" s="233">
        <f t="shared" si="102"/>
        <v>2636.7221064590181</v>
      </c>
      <c r="CU82" s="233">
        <f t="shared" si="102"/>
        <v>2642.1533222873986</v>
      </c>
      <c r="CV82" s="233">
        <f t="shared" si="103"/>
        <v>2647.5957255311318</v>
      </c>
      <c r="CW82" s="233">
        <f t="shared" si="103"/>
        <v>2653.0493392344615</v>
      </c>
      <c r="CX82" s="233">
        <f t="shared" si="103"/>
        <v>2658.5141864890988</v>
      </c>
      <c r="CY82" s="233">
        <f t="shared" si="103"/>
        <v>2663.9902904343207</v>
      </c>
      <c r="CZ82" s="233">
        <f t="shared" si="103"/>
        <v>2669.4776742570662</v>
      </c>
      <c r="DA82" s="233">
        <f t="shared" si="103"/>
        <v>2674.9763611920362</v>
      </c>
      <c r="DB82" s="233">
        <f t="shared" si="103"/>
        <v>2680.4863745217917</v>
      </c>
      <c r="DC82" s="233">
        <f t="shared" si="103"/>
        <v>2686.007737576851</v>
      </c>
      <c r="DD82" s="233">
        <f t="shared" si="103"/>
        <v>2691.5404737357899</v>
      </c>
      <c r="DE82" s="233">
        <f t="shared" si="103"/>
        <v>2697.0846064253406</v>
      </c>
      <c r="DF82" s="233">
        <f t="shared" si="104"/>
        <v>2702.6401591204899</v>
      </c>
      <c r="DG82" s="233">
        <f t="shared" si="104"/>
        <v>2708.2071553445803</v>
      </c>
      <c r="DH82" s="233">
        <f t="shared" si="104"/>
        <v>2713.7856186694066</v>
      </c>
      <c r="DI82" s="233">
        <f t="shared" si="104"/>
        <v>2719.3755727153193</v>
      </c>
      <c r="DJ82" s="233">
        <f t="shared" si="104"/>
        <v>2724.9770411513227</v>
      </c>
      <c r="DK82" s="233">
        <f t="shared" si="104"/>
        <v>2730.5900476951751</v>
      </c>
      <c r="DL82" s="233">
        <f t="shared" si="104"/>
        <v>2736.2146161134892</v>
      </c>
      <c r="DM82" s="233">
        <f t="shared" si="104"/>
        <v>2741.8507702218335</v>
      </c>
      <c r="DN82" s="233">
        <f t="shared" si="104"/>
        <v>2747.4985338848328</v>
      </c>
      <c r="DO82" s="233">
        <f t="shared" si="104"/>
        <v>2753.1579310162683</v>
      </c>
      <c r="DP82" s="233">
        <f t="shared" si="105"/>
        <v>2758.8289855791809</v>
      </c>
      <c r="DQ82" s="233">
        <f t="shared" si="105"/>
        <v>2764.51172158597</v>
      </c>
      <c r="DR82" s="233">
        <f t="shared" si="105"/>
        <v>2770.2061630984986</v>
      </c>
      <c r="DS82" s="233">
        <f t="shared" si="105"/>
        <v>2775.9123342281905</v>
      </c>
      <c r="DT82" s="233">
        <f t="shared" si="105"/>
        <v>2781.6302591361377</v>
      </c>
      <c r="DU82" s="233">
        <f t="shared" si="105"/>
        <v>2787.3599620331984</v>
      </c>
      <c r="DV82" s="233">
        <f t="shared" si="105"/>
        <v>2793.1014671801022</v>
      </c>
      <c r="DW82" s="233">
        <f t="shared" si="105"/>
        <v>2798.8547988875507</v>
      </c>
      <c r="DX82" s="233">
        <f t="shared" si="105"/>
        <v>2804.6199815163222</v>
      </c>
      <c r="DY82" s="233">
        <f t="shared" si="105"/>
        <v>2810.3970394773755</v>
      </c>
      <c r="DZ82" s="233">
        <f t="shared" si="106"/>
        <v>2816.1859972319498</v>
      </c>
      <c r="EA82" s="233">
        <f t="shared" si="106"/>
        <v>2821.9868792916714</v>
      </c>
      <c r="EB82" s="233">
        <f t="shared" si="106"/>
        <v>2827.7997102186569</v>
      </c>
      <c r="EC82" s="233">
        <f t="shared" si="106"/>
        <v>2833.624514625616</v>
      </c>
      <c r="ED82" s="233">
        <f t="shared" si="106"/>
        <v>2839.4613171759574</v>
      </c>
      <c r="EE82" s="233">
        <f t="shared" si="106"/>
        <v>2845.3101425838918</v>
      </c>
      <c r="EF82" s="233">
        <f t="shared" si="106"/>
        <v>2851.1710156145377</v>
      </c>
      <c r="EG82" s="233">
        <f t="shared" si="106"/>
        <v>2857.0439610840253</v>
      </c>
      <c r="EH82" s="233">
        <f t="shared" si="106"/>
        <v>2862.9290038596014</v>
      </c>
      <c r="EI82" s="233">
        <f t="shared" si="106"/>
        <v>2868.8261688597363</v>
      </c>
      <c r="EJ82" s="233">
        <f t="shared" si="106"/>
        <v>2874.7354810542274</v>
      </c>
      <c r="EK82" s="233">
        <f t="shared" si="106"/>
        <v>2880.6569654643067</v>
      </c>
    </row>
    <row r="83" spans="1:141" x14ac:dyDescent="0.45">
      <c r="B83" s="230">
        <f>Assumptions!B120</f>
        <v>75</v>
      </c>
      <c r="C83" s="230" t="str">
        <f>Assumptions!C120</f>
        <v>Fair Market</v>
      </c>
      <c r="D83" s="439">
        <f>Assumptions!D120</f>
        <v>1</v>
      </c>
      <c r="E83" s="22">
        <f>Assumptions!G120</f>
        <v>26</v>
      </c>
      <c r="F83" s="22">
        <f>IF(D83=1,E83+SUM(Assumptions!$G$142:$G$143),'Rent Roll Model'!E83)</f>
        <v>30</v>
      </c>
      <c r="G83" s="233">
        <f>Assumptions!I120</f>
        <v>1459.5</v>
      </c>
      <c r="H83" s="233">
        <f>Assumptions!J120</f>
        <v>2200</v>
      </c>
      <c r="J83" s="233">
        <f t="shared" si="94"/>
        <v>1459.5</v>
      </c>
      <c r="K83" s="233">
        <f t="shared" si="94"/>
        <v>1462.5063310358355</v>
      </c>
      <c r="L83" s="233">
        <f t="shared" si="94"/>
        <v>1465.5188546213776</v>
      </c>
      <c r="M83" s="233">
        <f t="shared" si="94"/>
        <v>1468.5375835122652</v>
      </c>
      <c r="N83" s="233">
        <f t="shared" si="94"/>
        <v>1471.5625304904111</v>
      </c>
      <c r="O83" s="233">
        <f t="shared" si="94"/>
        <v>1474.5937083640567</v>
      </c>
      <c r="P83" s="233">
        <f t="shared" si="94"/>
        <v>1477.6311299678268</v>
      </c>
      <c r="Q83" s="233">
        <f t="shared" si="94"/>
        <v>1480.6748081627832</v>
      </c>
      <c r="R83" s="233">
        <f t="shared" si="94"/>
        <v>1483.7247558364795</v>
      </c>
      <c r="S83" s="233">
        <f t="shared" si="94"/>
        <v>1486.7809859030151</v>
      </c>
      <c r="T83" s="233">
        <f t="shared" si="95"/>
        <v>1489.8435113030907</v>
      </c>
      <c r="U83" s="233">
        <f t="shared" si="95"/>
        <v>1492.9123450040624</v>
      </c>
      <c r="V83" s="233">
        <f t="shared" si="95"/>
        <v>1495.9874999999979</v>
      </c>
      <c r="W83" s="233">
        <f t="shared" si="95"/>
        <v>1499.0689893117294</v>
      </c>
      <c r="X83" s="233">
        <f t="shared" si="95"/>
        <v>1502.1568259869102</v>
      </c>
      <c r="Y83" s="233">
        <f t="shared" si="95"/>
        <v>1505.2510231000701</v>
      </c>
      <c r="Z83" s="233">
        <f t="shared" si="95"/>
        <v>1508.3515937526695</v>
      </c>
      <c r="AA83" s="233">
        <f t="shared" si="95"/>
        <v>1511.4585510731563</v>
      </c>
      <c r="AB83" s="233">
        <f t="shared" si="95"/>
        <v>1514.5719082170208</v>
      </c>
      <c r="AC83" s="233">
        <f t="shared" si="95"/>
        <v>1517.691678366851</v>
      </c>
      <c r="AD83" s="233">
        <f t="shared" si="96"/>
        <v>1520.8178747323896</v>
      </c>
      <c r="AE83" s="233">
        <f t="shared" si="96"/>
        <v>1523.9505105505884</v>
      </c>
      <c r="AF83" s="233">
        <f t="shared" si="96"/>
        <v>1527.0895990856659</v>
      </c>
      <c r="AG83" s="233">
        <f t="shared" si="96"/>
        <v>1530.2351536291624</v>
      </c>
      <c r="AH83" s="233">
        <f t="shared" si="96"/>
        <v>1533.3871874999959</v>
      </c>
      <c r="AI83" s="233">
        <f t="shared" si="96"/>
        <v>0</v>
      </c>
      <c r="AJ83" s="233">
        <f t="shared" si="96"/>
        <v>0</v>
      </c>
      <c r="AK83" s="233">
        <f t="shared" si="96"/>
        <v>0</v>
      </c>
      <c r="AL83" s="233">
        <f t="shared" si="96"/>
        <v>0</v>
      </c>
      <c r="AM83" s="233">
        <f t="shared" si="96"/>
        <v>2335.2785424254621</v>
      </c>
      <c r="AN83" s="233">
        <f t="shared" si="97"/>
        <v>2340.0888338673353</v>
      </c>
      <c r="AO83" s="233">
        <f t="shared" si="97"/>
        <v>2344.9090337219891</v>
      </c>
      <c r="AP83" s="233">
        <f t="shared" si="97"/>
        <v>2349.7391623991321</v>
      </c>
      <c r="AQ83" s="233">
        <f t="shared" si="97"/>
        <v>2354.5792403505111</v>
      </c>
      <c r="AR83" s="233">
        <f t="shared" si="97"/>
        <v>2359.4292880700041</v>
      </c>
      <c r="AS83" s="233">
        <f t="shared" si="97"/>
        <v>2364.2893260936999</v>
      </c>
      <c r="AT83" s="233">
        <f t="shared" si="97"/>
        <v>2369.1593749999902</v>
      </c>
      <c r="AU83" s="233">
        <f t="shared" si="97"/>
        <v>2374.0394554096529</v>
      </c>
      <c r="AV83" s="233">
        <f t="shared" si="97"/>
        <v>2378.9295879859433</v>
      </c>
      <c r="AW83" s="233">
        <f t="shared" si="97"/>
        <v>2383.8297934346788</v>
      </c>
      <c r="AX83" s="233">
        <f t="shared" si="98"/>
        <v>2388.7400925043271</v>
      </c>
      <c r="AY83" s="233">
        <f t="shared" si="98"/>
        <v>2393.6605059860949</v>
      </c>
      <c r="AZ83" s="233">
        <f t="shared" si="98"/>
        <v>2398.5910547140156</v>
      </c>
      <c r="BA83" s="233">
        <f t="shared" si="98"/>
        <v>2403.5317595650358</v>
      </c>
      <c r="BB83" s="233">
        <f t="shared" si="98"/>
        <v>2408.4826414591071</v>
      </c>
      <c r="BC83" s="233">
        <f t="shared" si="98"/>
        <v>2413.4437213592714</v>
      </c>
      <c r="BD83" s="233">
        <f t="shared" si="98"/>
        <v>2418.4150202717515</v>
      </c>
      <c r="BE83" s="233">
        <f t="shared" si="98"/>
        <v>2423.3965592460399</v>
      </c>
      <c r="BF83" s="233">
        <f t="shared" si="98"/>
        <v>2428.388359374987</v>
      </c>
      <c r="BG83" s="233">
        <f t="shared" si="98"/>
        <v>2433.3904417948911</v>
      </c>
      <c r="BH83" s="233">
        <f t="shared" si="99"/>
        <v>2438.4028276855893</v>
      </c>
      <c r="BI83" s="233">
        <f t="shared" si="99"/>
        <v>2443.4255382705433</v>
      </c>
      <c r="BJ83" s="233">
        <f t="shared" si="99"/>
        <v>2448.4585948169329</v>
      </c>
      <c r="BK83" s="233">
        <f t="shared" si="99"/>
        <v>2453.5020186357451</v>
      </c>
      <c r="BL83" s="233">
        <f t="shared" si="99"/>
        <v>2458.5558310818633</v>
      </c>
      <c r="BM83" s="233">
        <f t="shared" si="99"/>
        <v>2463.6200535541593</v>
      </c>
      <c r="BN83" s="233">
        <f t="shared" si="99"/>
        <v>2468.694707495582</v>
      </c>
      <c r="BO83" s="233">
        <f t="shared" si="99"/>
        <v>2473.7798143932505</v>
      </c>
      <c r="BP83" s="233">
        <f t="shared" si="99"/>
        <v>2478.8753957785425</v>
      </c>
      <c r="BQ83" s="233">
        <f t="shared" si="99"/>
        <v>2483.9814732271884</v>
      </c>
      <c r="BR83" s="233">
        <f t="shared" si="100"/>
        <v>2489.0980683593589</v>
      </c>
      <c r="BS83" s="233">
        <f t="shared" si="100"/>
        <v>2494.2252028397611</v>
      </c>
      <c r="BT83" s="233">
        <f t="shared" si="100"/>
        <v>2499.3628983777267</v>
      </c>
      <c r="BU83" s="233">
        <f t="shared" si="100"/>
        <v>2504.5111767273042</v>
      </c>
      <c r="BV83" s="233">
        <f t="shared" si="100"/>
        <v>2509.6700596873538</v>
      </c>
      <c r="BW83" s="233">
        <f t="shared" si="100"/>
        <v>2514.8395691016362</v>
      </c>
      <c r="BX83" s="233">
        <f t="shared" si="100"/>
        <v>2520.0197268589077</v>
      </c>
      <c r="BY83" s="233">
        <f t="shared" si="100"/>
        <v>2525.2105548930108</v>
      </c>
      <c r="BZ83" s="233">
        <f t="shared" si="100"/>
        <v>2530.4120751829691</v>
      </c>
      <c r="CA83" s="233">
        <f t="shared" si="100"/>
        <v>2535.6243097530787</v>
      </c>
      <c r="CB83" s="233">
        <f t="shared" si="101"/>
        <v>2540.8472806730028</v>
      </c>
      <c r="CC83" s="233">
        <f t="shared" si="101"/>
        <v>2546.0810100578642</v>
      </c>
      <c r="CD83" s="233">
        <f t="shared" si="101"/>
        <v>2551.3255200683393</v>
      </c>
      <c r="CE83" s="233">
        <f t="shared" si="101"/>
        <v>2556.5808329107513</v>
      </c>
      <c r="CF83" s="233">
        <f t="shared" si="101"/>
        <v>2561.8469708371658</v>
      </c>
      <c r="CG83" s="233">
        <f t="shared" si="101"/>
        <v>2567.1239561454831</v>
      </c>
      <c r="CH83" s="233">
        <f t="shared" si="101"/>
        <v>2572.4118111795333</v>
      </c>
      <c r="CI83" s="233">
        <f t="shared" si="101"/>
        <v>2577.7105583291727</v>
      </c>
      <c r="CJ83" s="233">
        <f t="shared" si="101"/>
        <v>2583.0202200303756</v>
      </c>
      <c r="CK83" s="233">
        <f t="shared" si="101"/>
        <v>2588.3408187653313</v>
      </c>
      <c r="CL83" s="233">
        <f t="shared" si="102"/>
        <v>2593.672377062539</v>
      </c>
      <c r="CM83" s="233">
        <f t="shared" si="102"/>
        <v>2599.0149174969015</v>
      </c>
      <c r="CN83" s="233">
        <f t="shared" si="102"/>
        <v>2604.3684626898239</v>
      </c>
      <c r="CO83" s="233">
        <f t="shared" si="102"/>
        <v>2609.7330353093071</v>
      </c>
      <c r="CP83" s="233">
        <f t="shared" si="102"/>
        <v>2615.1086580700439</v>
      </c>
      <c r="CQ83" s="233">
        <f t="shared" si="102"/>
        <v>2620.4953537335164</v>
      </c>
      <c r="CR83" s="233">
        <f t="shared" si="102"/>
        <v>2625.8931451080912</v>
      </c>
      <c r="CS83" s="233">
        <f t="shared" si="102"/>
        <v>2631.302055049116</v>
      </c>
      <c r="CT83" s="233">
        <f t="shared" si="102"/>
        <v>2636.7221064590181</v>
      </c>
      <c r="CU83" s="233">
        <f t="shared" si="102"/>
        <v>2642.1533222873986</v>
      </c>
      <c r="CV83" s="233">
        <f t="shared" si="103"/>
        <v>2647.5957255311318</v>
      </c>
      <c r="CW83" s="233">
        <f t="shared" si="103"/>
        <v>2653.0493392344615</v>
      </c>
      <c r="CX83" s="233">
        <f t="shared" si="103"/>
        <v>2658.5141864890988</v>
      </c>
      <c r="CY83" s="233">
        <f t="shared" si="103"/>
        <v>2663.9902904343207</v>
      </c>
      <c r="CZ83" s="233">
        <f t="shared" si="103"/>
        <v>2669.4776742570662</v>
      </c>
      <c r="DA83" s="233">
        <f t="shared" si="103"/>
        <v>2674.9763611920362</v>
      </c>
      <c r="DB83" s="233">
        <f t="shared" si="103"/>
        <v>2680.4863745217917</v>
      </c>
      <c r="DC83" s="233">
        <f t="shared" si="103"/>
        <v>2686.007737576851</v>
      </c>
      <c r="DD83" s="233">
        <f t="shared" si="103"/>
        <v>2691.5404737357899</v>
      </c>
      <c r="DE83" s="233">
        <f t="shared" si="103"/>
        <v>2697.0846064253406</v>
      </c>
      <c r="DF83" s="233">
        <f t="shared" si="104"/>
        <v>2702.6401591204899</v>
      </c>
      <c r="DG83" s="233">
        <f t="shared" si="104"/>
        <v>2708.2071553445803</v>
      </c>
      <c r="DH83" s="233">
        <f t="shared" si="104"/>
        <v>2713.7856186694066</v>
      </c>
      <c r="DI83" s="233">
        <f t="shared" si="104"/>
        <v>2719.3755727153193</v>
      </c>
      <c r="DJ83" s="233">
        <f t="shared" si="104"/>
        <v>2724.9770411513227</v>
      </c>
      <c r="DK83" s="233">
        <f t="shared" si="104"/>
        <v>2730.5900476951751</v>
      </c>
      <c r="DL83" s="233">
        <f t="shared" si="104"/>
        <v>2736.2146161134892</v>
      </c>
      <c r="DM83" s="233">
        <f t="shared" si="104"/>
        <v>2741.8507702218335</v>
      </c>
      <c r="DN83" s="233">
        <f t="shared" si="104"/>
        <v>2747.4985338848328</v>
      </c>
      <c r="DO83" s="233">
        <f t="shared" si="104"/>
        <v>2753.1579310162683</v>
      </c>
      <c r="DP83" s="233">
        <f t="shared" si="105"/>
        <v>2758.8289855791809</v>
      </c>
      <c r="DQ83" s="233">
        <f t="shared" si="105"/>
        <v>2764.51172158597</v>
      </c>
      <c r="DR83" s="233">
        <f t="shared" si="105"/>
        <v>2770.2061630984986</v>
      </c>
      <c r="DS83" s="233">
        <f t="shared" si="105"/>
        <v>2775.9123342281905</v>
      </c>
      <c r="DT83" s="233">
        <f t="shared" si="105"/>
        <v>2781.6302591361377</v>
      </c>
      <c r="DU83" s="233">
        <f t="shared" si="105"/>
        <v>2787.3599620331984</v>
      </c>
      <c r="DV83" s="233">
        <f t="shared" si="105"/>
        <v>2793.1014671801022</v>
      </c>
      <c r="DW83" s="233">
        <f t="shared" si="105"/>
        <v>2798.8547988875507</v>
      </c>
      <c r="DX83" s="233">
        <f t="shared" si="105"/>
        <v>2804.6199815163222</v>
      </c>
      <c r="DY83" s="233">
        <f t="shared" si="105"/>
        <v>2810.3970394773755</v>
      </c>
      <c r="DZ83" s="233">
        <f t="shared" si="106"/>
        <v>2816.1859972319498</v>
      </c>
      <c r="EA83" s="233">
        <f t="shared" si="106"/>
        <v>2821.9868792916714</v>
      </c>
      <c r="EB83" s="233">
        <f t="shared" si="106"/>
        <v>2827.7997102186569</v>
      </c>
      <c r="EC83" s="233">
        <f t="shared" si="106"/>
        <v>2833.624514625616</v>
      </c>
      <c r="ED83" s="233">
        <f t="shared" si="106"/>
        <v>2839.4613171759574</v>
      </c>
      <c r="EE83" s="233">
        <f t="shared" si="106"/>
        <v>2845.3101425838918</v>
      </c>
      <c r="EF83" s="233">
        <f t="shared" si="106"/>
        <v>2851.1710156145377</v>
      </c>
      <c r="EG83" s="233">
        <f t="shared" si="106"/>
        <v>2857.0439610840253</v>
      </c>
      <c r="EH83" s="233">
        <f t="shared" si="106"/>
        <v>2862.9290038596014</v>
      </c>
      <c r="EI83" s="233">
        <f t="shared" si="106"/>
        <v>2868.8261688597363</v>
      </c>
      <c r="EJ83" s="233">
        <f t="shared" si="106"/>
        <v>2874.7354810542274</v>
      </c>
      <c r="EK83" s="233">
        <f t="shared" si="106"/>
        <v>2880.6569654643067</v>
      </c>
    </row>
    <row r="84" spans="1:141" x14ac:dyDescent="0.45">
      <c r="B84" s="230">
        <f>Assumptions!B121</f>
        <v>76</v>
      </c>
      <c r="C84" s="230" t="str">
        <f>Assumptions!C121</f>
        <v>Fair Market</v>
      </c>
      <c r="D84" s="439">
        <f>Assumptions!D121</f>
        <v>1</v>
      </c>
      <c r="E84" s="22">
        <f>Assumptions!G121</f>
        <v>27</v>
      </c>
      <c r="F84" s="22">
        <f>IF(D84=1,E84+SUM(Assumptions!$G$142:$G$143),'Rent Roll Model'!E84)</f>
        <v>31</v>
      </c>
      <c r="G84" s="233">
        <f>Assumptions!I121</f>
        <v>1700.74</v>
      </c>
      <c r="H84" s="233">
        <f>Assumptions!J121</f>
        <v>2200</v>
      </c>
      <c r="J84" s="233">
        <f t="shared" si="94"/>
        <v>1700.74</v>
      </c>
      <c r="K84" s="233">
        <f t="shared" si="94"/>
        <v>1704.2432459375723</v>
      </c>
      <c r="L84" s="233">
        <f t="shared" si="94"/>
        <v>1707.753707988189</v>
      </c>
      <c r="M84" s="233">
        <f t="shared" si="94"/>
        <v>1711.2714010158616</v>
      </c>
      <c r="N84" s="233">
        <f t="shared" si="94"/>
        <v>1714.7963399152186</v>
      </c>
      <c r="O84" s="233">
        <f t="shared" si="94"/>
        <v>1718.3285396115696</v>
      </c>
      <c r="P84" s="233">
        <f t="shared" si="94"/>
        <v>1721.8680150609673</v>
      </c>
      <c r="Q84" s="233">
        <f t="shared" si="94"/>
        <v>1725.414781250272</v>
      </c>
      <c r="R84" s="233">
        <f t="shared" si="94"/>
        <v>1728.9688531972142</v>
      </c>
      <c r="S84" s="233">
        <f t="shared" si="94"/>
        <v>1732.5302459504583</v>
      </c>
      <c r="T84" s="233">
        <f t="shared" si="95"/>
        <v>1736.0989745896666</v>
      </c>
      <c r="U84" s="233">
        <f t="shared" si="95"/>
        <v>1739.6750542255631</v>
      </c>
      <c r="V84" s="233">
        <f t="shared" si="95"/>
        <v>1743.2584999999976</v>
      </c>
      <c r="W84" s="233">
        <f t="shared" si="95"/>
        <v>1746.8493270860095</v>
      </c>
      <c r="X84" s="233">
        <f t="shared" si="95"/>
        <v>1750.4475506878916</v>
      </c>
      <c r="Y84" s="233">
        <f t="shared" si="95"/>
        <v>1754.0531860412561</v>
      </c>
      <c r="Z84" s="233">
        <f t="shared" si="95"/>
        <v>1757.666248413097</v>
      </c>
      <c r="AA84" s="233">
        <f t="shared" si="95"/>
        <v>1761.2867531018569</v>
      </c>
      <c r="AB84" s="233">
        <f t="shared" si="95"/>
        <v>1764.9147154374896</v>
      </c>
      <c r="AC84" s="233">
        <f t="shared" si="95"/>
        <v>1768.5501507815268</v>
      </c>
      <c r="AD84" s="233">
        <f t="shared" si="96"/>
        <v>1772.1930745271422</v>
      </c>
      <c r="AE84" s="233">
        <f t="shared" si="96"/>
        <v>1775.8435020992174</v>
      </c>
      <c r="AF84" s="233">
        <f t="shared" si="96"/>
        <v>1779.501448954406</v>
      </c>
      <c r="AG84" s="233">
        <f t="shared" si="96"/>
        <v>1783.1669305812002</v>
      </c>
      <c r="AH84" s="233">
        <f t="shared" si="96"/>
        <v>1786.8399624999954</v>
      </c>
      <c r="AI84" s="233">
        <f t="shared" si="96"/>
        <v>1790.5205602631572</v>
      </c>
      <c r="AJ84" s="233">
        <f t="shared" si="96"/>
        <v>0</v>
      </c>
      <c r="AK84" s="233">
        <f t="shared" si="96"/>
        <v>0</v>
      </c>
      <c r="AL84" s="233">
        <f t="shared" si="96"/>
        <v>0</v>
      </c>
      <c r="AM84" s="233">
        <f t="shared" si="96"/>
        <v>0</v>
      </c>
      <c r="AN84" s="233">
        <f t="shared" si="97"/>
        <v>2340.0888338673353</v>
      </c>
      <c r="AO84" s="233">
        <f t="shared" si="97"/>
        <v>2344.9090337219891</v>
      </c>
      <c r="AP84" s="233">
        <f t="shared" si="97"/>
        <v>2349.7391623991321</v>
      </c>
      <c r="AQ84" s="233">
        <f t="shared" si="97"/>
        <v>2354.5792403505111</v>
      </c>
      <c r="AR84" s="233">
        <f t="shared" si="97"/>
        <v>2359.4292880700041</v>
      </c>
      <c r="AS84" s="233">
        <f t="shared" si="97"/>
        <v>2364.2893260936999</v>
      </c>
      <c r="AT84" s="233">
        <f t="shared" si="97"/>
        <v>2369.1593749999902</v>
      </c>
      <c r="AU84" s="233">
        <f t="shared" si="97"/>
        <v>2374.0394554096529</v>
      </c>
      <c r="AV84" s="233">
        <f t="shared" si="97"/>
        <v>2378.9295879859433</v>
      </c>
      <c r="AW84" s="233">
        <f t="shared" si="97"/>
        <v>2383.8297934346788</v>
      </c>
      <c r="AX84" s="233">
        <f t="shared" si="98"/>
        <v>2388.7400925043271</v>
      </c>
      <c r="AY84" s="233">
        <f t="shared" si="98"/>
        <v>2393.6605059860949</v>
      </c>
      <c r="AZ84" s="233">
        <f t="shared" si="98"/>
        <v>2398.5910547140156</v>
      </c>
      <c r="BA84" s="233">
        <f t="shared" si="98"/>
        <v>2403.5317595650358</v>
      </c>
      <c r="BB84" s="233">
        <f t="shared" si="98"/>
        <v>2408.4826414591071</v>
      </c>
      <c r="BC84" s="233">
        <f t="shared" si="98"/>
        <v>2413.4437213592714</v>
      </c>
      <c r="BD84" s="233">
        <f t="shared" si="98"/>
        <v>2418.4150202717515</v>
      </c>
      <c r="BE84" s="233">
        <f t="shared" si="98"/>
        <v>2423.3965592460399</v>
      </c>
      <c r="BF84" s="233">
        <f t="shared" si="98"/>
        <v>2428.388359374987</v>
      </c>
      <c r="BG84" s="233">
        <f t="shared" si="98"/>
        <v>2433.3904417948911</v>
      </c>
      <c r="BH84" s="233">
        <f t="shared" si="99"/>
        <v>2438.4028276855893</v>
      </c>
      <c r="BI84" s="233">
        <f t="shared" si="99"/>
        <v>2443.4255382705433</v>
      </c>
      <c r="BJ84" s="233">
        <f t="shared" si="99"/>
        <v>2448.4585948169329</v>
      </c>
      <c r="BK84" s="233">
        <f t="shared" si="99"/>
        <v>2453.5020186357451</v>
      </c>
      <c r="BL84" s="233">
        <f t="shared" si="99"/>
        <v>2458.5558310818633</v>
      </c>
      <c r="BM84" s="233">
        <f t="shared" si="99"/>
        <v>2463.6200535541593</v>
      </c>
      <c r="BN84" s="233">
        <f t="shared" si="99"/>
        <v>2468.694707495582</v>
      </c>
      <c r="BO84" s="233">
        <f t="shared" si="99"/>
        <v>2473.7798143932505</v>
      </c>
      <c r="BP84" s="233">
        <f t="shared" si="99"/>
        <v>2478.8753957785425</v>
      </c>
      <c r="BQ84" s="233">
        <f t="shared" si="99"/>
        <v>2483.9814732271884</v>
      </c>
      <c r="BR84" s="233">
        <f t="shared" si="100"/>
        <v>2489.0980683593589</v>
      </c>
      <c r="BS84" s="233">
        <f t="shared" si="100"/>
        <v>2494.2252028397611</v>
      </c>
      <c r="BT84" s="233">
        <f t="shared" si="100"/>
        <v>2499.3628983777267</v>
      </c>
      <c r="BU84" s="233">
        <f t="shared" si="100"/>
        <v>2504.5111767273042</v>
      </c>
      <c r="BV84" s="233">
        <f t="shared" si="100"/>
        <v>2509.6700596873538</v>
      </c>
      <c r="BW84" s="233">
        <f t="shared" si="100"/>
        <v>2514.8395691016362</v>
      </c>
      <c r="BX84" s="233">
        <f t="shared" si="100"/>
        <v>2520.0197268589077</v>
      </c>
      <c r="BY84" s="233">
        <f t="shared" si="100"/>
        <v>2525.2105548930108</v>
      </c>
      <c r="BZ84" s="233">
        <f t="shared" si="100"/>
        <v>2530.4120751829691</v>
      </c>
      <c r="CA84" s="233">
        <f t="shared" si="100"/>
        <v>2535.6243097530787</v>
      </c>
      <c r="CB84" s="233">
        <f t="shared" si="101"/>
        <v>2540.8472806730028</v>
      </c>
      <c r="CC84" s="233">
        <f t="shared" si="101"/>
        <v>2546.0810100578642</v>
      </c>
      <c r="CD84" s="233">
        <f t="shared" si="101"/>
        <v>2551.3255200683393</v>
      </c>
      <c r="CE84" s="233">
        <f t="shared" si="101"/>
        <v>2556.5808329107513</v>
      </c>
      <c r="CF84" s="233">
        <f t="shared" si="101"/>
        <v>2561.8469708371658</v>
      </c>
      <c r="CG84" s="233">
        <f t="shared" si="101"/>
        <v>2567.1239561454831</v>
      </c>
      <c r="CH84" s="233">
        <f t="shared" si="101"/>
        <v>2572.4118111795333</v>
      </c>
      <c r="CI84" s="233">
        <f t="shared" si="101"/>
        <v>2577.7105583291727</v>
      </c>
      <c r="CJ84" s="233">
        <f t="shared" si="101"/>
        <v>2583.0202200303756</v>
      </c>
      <c r="CK84" s="233">
        <f t="shared" si="101"/>
        <v>2588.3408187653313</v>
      </c>
      <c r="CL84" s="233">
        <f t="shared" si="102"/>
        <v>2593.672377062539</v>
      </c>
      <c r="CM84" s="233">
        <f t="shared" si="102"/>
        <v>2599.0149174969015</v>
      </c>
      <c r="CN84" s="233">
        <f t="shared" si="102"/>
        <v>2604.3684626898239</v>
      </c>
      <c r="CO84" s="233">
        <f t="shared" si="102"/>
        <v>2609.7330353093071</v>
      </c>
      <c r="CP84" s="233">
        <f t="shared" si="102"/>
        <v>2615.1086580700439</v>
      </c>
      <c r="CQ84" s="233">
        <f t="shared" si="102"/>
        <v>2620.4953537335164</v>
      </c>
      <c r="CR84" s="233">
        <f t="shared" si="102"/>
        <v>2625.8931451080912</v>
      </c>
      <c r="CS84" s="233">
        <f t="shared" si="102"/>
        <v>2631.302055049116</v>
      </c>
      <c r="CT84" s="233">
        <f t="shared" si="102"/>
        <v>2636.7221064590181</v>
      </c>
      <c r="CU84" s="233">
        <f t="shared" si="102"/>
        <v>2642.1533222873986</v>
      </c>
      <c r="CV84" s="233">
        <f t="shared" si="103"/>
        <v>2647.5957255311318</v>
      </c>
      <c r="CW84" s="233">
        <f t="shared" si="103"/>
        <v>2653.0493392344615</v>
      </c>
      <c r="CX84" s="233">
        <f t="shared" si="103"/>
        <v>2658.5141864890988</v>
      </c>
      <c r="CY84" s="233">
        <f t="shared" si="103"/>
        <v>2663.9902904343207</v>
      </c>
      <c r="CZ84" s="233">
        <f t="shared" si="103"/>
        <v>2669.4776742570662</v>
      </c>
      <c r="DA84" s="233">
        <f t="shared" si="103"/>
        <v>2674.9763611920362</v>
      </c>
      <c r="DB84" s="233">
        <f t="shared" si="103"/>
        <v>2680.4863745217917</v>
      </c>
      <c r="DC84" s="233">
        <f t="shared" si="103"/>
        <v>2686.007737576851</v>
      </c>
      <c r="DD84" s="233">
        <f t="shared" si="103"/>
        <v>2691.5404737357899</v>
      </c>
      <c r="DE84" s="233">
        <f t="shared" si="103"/>
        <v>2697.0846064253406</v>
      </c>
      <c r="DF84" s="233">
        <f t="shared" si="104"/>
        <v>2702.6401591204899</v>
      </c>
      <c r="DG84" s="233">
        <f t="shared" si="104"/>
        <v>2708.2071553445803</v>
      </c>
      <c r="DH84" s="233">
        <f t="shared" si="104"/>
        <v>2713.7856186694066</v>
      </c>
      <c r="DI84" s="233">
        <f t="shared" si="104"/>
        <v>2719.3755727153193</v>
      </c>
      <c r="DJ84" s="233">
        <f t="shared" si="104"/>
        <v>2724.9770411513227</v>
      </c>
      <c r="DK84" s="233">
        <f t="shared" si="104"/>
        <v>2730.5900476951751</v>
      </c>
      <c r="DL84" s="233">
        <f t="shared" si="104"/>
        <v>2736.2146161134892</v>
      </c>
      <c r="DM84" s="233">
        <f t="shared" si="104"/>
        <v>2741.8507702218335</v>
      </c>
      <c r="DN84" s="233">
        <f t="shared" si="104"/>
        <v>2747.4985338848328</v>
      </c>
      <c r="DO84" s="233">
        <f t="shared" si="104"/>
        <v>2753.1579310162683</v>
      </c>
      <c r="DP84" s="233">
        <f t="shared" si="105"/>
        <v>2758.8289855791809</v>
      </c>
      <c r="DQ84" s="233">
        <f t="shared" si="105"/>
        <v>2764.51172158597</v>
      </c>
      <c r="DR84" s="233">
        <f t="shared" si="105"/>
        <v>2770.2061630984986</v>
      </c>
      <c r="DS84" s="233">
        <f t="shared" si="105"/>
        <v>2775.9123342281905</v>
      </c>
      <c r="DT84" s="233">
        <f t="shared" si="105"/>
        <v>2781.6302591361377</v>
      </c>
      <c r="DU84" s="233">
        <f t="shared" si="105"/>
        <v>2787.3599620331984</v>
      </c>
      <c r="DV84" s="233">
        <f t="shared" si="105"/>
        <v>2793.1014671801022</v>
      </c>
      <c r="DW84" s="233">
        <f t="shared" si="105"/>
        <v>2798.8547988875507</v>
      </c>
      <c r="DX84" s="233">
        <f t="shared" si="105"/>
        <v>2804.6199815163222</v>
      </c>
      <c r="DY84" s="233">
        <f t="shared" si="105"/>
        <v>2810.3970394773755</v>
      </c>
      <c r="DZ84" s="233">
        <f t="shared" si="106"/>
        <v>2816.1859972319498</v>
      </c>
      <c r="EA84" s="233">
        <f t="shared" si="106"/>
        <v>2821.9868792916714</v>
      </c>
      <c r="EB84" s="233">
        <f t="shared" si="106"/>
        <v>2827.7997102186569</v>
      </c>
      <c r="EC84" s="233">
        <f t="shared" si="106"/>
        <v>2833.624514625616</v>
      </c>
      <c r="ED84" s="233">
        <f t="shared" si="106"/>
        <v>2839.4613171759574</v>
      </c>
      <c r="EE84" s="233">
        <f t="shared" si="106"/>
        <v>2845.3101425838918</v>
      </c>
      <c r="EF84" s="233">
        <f t="shared" si="106"/>
        <v>2851.1710156145377</v>
      </c>
      <c r="EG84" s="233">
        <f t="shared" si="106"/>
        <v>2857.0439610840253</v>
      </c>
      <c r="EH84" s="233">
        <f t="shared" si="106"/>
        <v>2862.9290038596014</v>
      </c>
      <c r="EI84" s="233">
        <f t="shared" si="106"/>
        <v>2868.8261688597363</v>
      </c>
      <c r="EJ84" s="233">
        <f t="shared" si="106"/>
        <v>2874.7354810542274</v>
      </c>
      <c r="EK84" s="233">
        <f t="shared" si="106"/>
        <v>2880.6569654643067</v>
      </c>
    </row>
    <row r="85" spans="1:141" x14ac:dyDescent="0.45">
      <c r="B85" s="230">
        <f>Assumptions!B122</f>
        <v>77</v>
      </c>
      <c r="C85" s="230" t="str">
        <f>Assumptions!C122</f>
        <v>Fair Market</v>
      </c>
      <c r="D85" s="439">
        <f>Assumptions!D122</f>
        <v>0</v>
      </c>
      <c r="E85" s="22">
        <f>Assumptions!G122</f>
        <v>27</v>
      </c>
      <c r="F85" s="22">
        <f>IF(D85=1,E85+SUM(Assumptions!$G$142:$G$143),'Rent Roll Model'!E85)</f>
        <v>27</v>
      </c>
      <c r="G85" s="233">
        <f>Assumptions!I122</f>
        <v>1300</v>
      </c>
      <c r="H85" s="233">
        <f>Assumptions!J122</f>
        <v>1300</v>
      </c>
      <c r="J85" s="233">
        <f t="shared" si="94"/>
        <v>1300</v>
      </c>
      <c r="K85" s="233">
        <f t="shared" si="94"/>
        <v>1302.6777871507957</v>
      </c>
      <c r="L85" s="233">
        <f t="shared" si="94"/>
        <v>1305.3610901046873</v>
      </c>
      <c r="M85" s="233">
        <f t="shared" si="94"/>
        <v>1308.0499202233264</v>
      </c>
      <c r="N85" s="233">
        <f t="shared" si="94"/>
        <v>1310.7442888917672</v>
      </c>
      <c r="O85" s="233">
        <f t="shared" si="94"/>
        <v>1313.4442075185157</v>
      </c>
      <c r="P85" s="233">
        <f t="shared" si="94"/>
        <v>1316.1496875355772</v>
      </c>
      <c r="Q85" s="233">
        <f t="shared" si="94"/>
        <v>1318.860740398505</v>
      </c>
      <c r="R85" s="233">
        <f t="shared" si="94"/>
        <v>1321.5773775864495</v>
      </c>
      <c r="S85" s="233">
        <f t="shared" si="94"/>
        <v>1324.299610602206</v>
      </c>
      <c r="T85" s="233">
        <f t="shared" si="95"/>
        <v>1327.0274509722631</v>
      </c>
      <c r="U85" s="233">
        <f t="shared" si="95"/>
        <v>1329.7609102468525</v>
      </c>
      <c r="V85" s="233">
        <f t="shared" si="95"/>
        <v>1332.4999999999982</v>
      </c>
      <c r="W85" s="233">
        <f t="shared" si="95"/>
        <v>1335.2447318295638</v>
      </c>
      <c r="X85" s="233">
        <f t="shared" si="95"/>
        <v>1337.9951173573027</v>
      </c>
      <c r="Y85" s="233">
        <f t="shared" si="95"/>
        <v>1340.751168228908</v>
      </c>
      <c r="Z85" s="233">
        <f t="shared" si="95"/>
        <v>1343.5128961140599</v>
      </c>
      <c r="AA85" s="233">
        <f t="shared" si="95"/>
        <v>1346.2803127064772</v>
      </c>
      <c r="AB85" s="233">
        <f t="shared" si="95"/>
        <v>1349.0534297239651</v>
      </c>
      <c r="AC85" s="233">
        <f t="shared" si="95"/>
        <v>1351.8322589084662</v>
      </c>
      <c r="AD85" s="233">
        <f t="shared" si="96"/>
        <v>1354.6168120261091</v>
      </c>
      <c r="AE85" s="233">
        <f t="shared" si="96"/>
        <v>1357.4071008672593</v>
      </c>
      <c r="AF85" s="233">
        <f t="shared" si="96"/>
        <v>1360.2031372465678</v>
      </c>
      <c r="AG85" s="233">
        <f t="shared" si="96"/>
        <v>1363.0049330030224</v>
      </c>
      <c r="AH85" s="233">
        <f t="shared" si="96"/>
        <v>1365.8124999999964</v>
      </c>
      <c r="AI85" s="233">
        <f t="shared" si="96"/>
        <v>1368.625850125301</v>
      </c>
      <c r="AJ85" s="233">
        <f t="shared" si="96"/>
        <v>1371.4449952912332</v>
      </c>
      <c r="AK85" s="233">
        <f t="shared" si="96"/>
        <v>1374.2699474346284</v>
      </c>
      <c r="AL85" s="233">
        <f t="shared" si="96"/>
        <v>1377.100718516909</v>
      </c>
      <c r="AM85" s="233">
        <f t="shared" si="96"/>
        <v>1379.9373205241366</v>
      </c>
      <c r="AN85" s="233">
        <f t="shared" si="97"/>
        <v>1382.7797654670619</v>
      </c>
      <c r="AO85" s="233">
        <f t="shared" si="97"/>
        <v>1385.6280653811755</v>
      </c>
      <c r="AP85" s="233">
        <f t="shared" si="97"/>
        <v>1388.4822323267597</v>
      </c>
      <c r="AQ85" s="233">
        <f t="shared" si="97"/>
        <v>1391.3422783889384</v>
      </c>
      <c r="AR85" s="233">
        <f t="shared" si="97"/>
        <v>1394.2082156777296</v>
      </c>
      <c r="AS85" s="233">
        <f t="shared" si="97"/>
        <v>1397.0800563280955</v>
      </c>
      <c r="AT85" s="233">
        <f t="shared" si="97"/>
        <v>1399.9578124999941</v>
      </c>
      <c r="AU85" s="233">
        <f t="shared" si="97"/>
        <v>1402.8414963784312</v>
      </c>
      <c r="AV85" s="233">
        <f t="shared" si="97"/>
        <v>1405.731120173512</v>
      </c>
      <c r="AW85" s="233">
        <f t="shared" si="97"/>
        <v>1408.6266961204919</v>
      </c>
      <c r="AX85" s="233">
        <f t="shared" si="98"/>
        <v>1411.5282364798297</v>
      </c>
      <c r="AY85" s="233">
        <f t="shared" si="98"/>
        <v>1414.435753537238</v>
      </c>
      <c r="AZ85" s="233">
        <f t="shared" si="98"/>
        <v>1417.3492596037365</v>
      </c>
      <c r="BA85" s="233">
        <f t="shared" si="98"/>
        <v>1420.2687670157029</v>
      </c>
      <c r="BB85" s="233">
        <f t="shared" si="98"/>
        <v>1423.1942881349269</v>
      </c>
      <c r="BC85" s="233">
        <f t="shared" si="98"/>
        <v>1426.1258353486603</v>
      </c>
      <c r="BD85" s="233">
        <f t="shared" si="98"/>
        <v>1429.0634210696714</v>
      </c>
      <c r="BE85" s="233">
        <f t="shared" si="98"/>
        <v>1432.0070577362962</v>
      </c>
      <c r="BF85" s="233">
        <f t="shared" si="98"/>
        <v>1434.9567578124922</v>
      </c>
      <c r="BG85" s="233">
        <f t="shared" si="98"/>
        <v>1437.9125337878902</v>
      </c>
      <c r="BH85" s="233">
        <f t="shared" si="99"/>
        <v>1440.8743981778482</v>
      </c>
      <c r="BI85" s="233">
        <f t="shared" si="99"/>
        <v>1443.8423635235026</v>
      </c>
      <c r="BJ85" s="233">
        <f t="shared" si="99"/>
        <v>1446.816442391824</v>
      </c>
      <c r="BK85" s="233">
        <f t="shared" si="99"/>
        <v>1449.7966473756676</v>
      </c>
      <c r="BL85" s="233">
        <f t="shared" si="99"/>
        <v>1452.7829910938283</v>
      </c>
      <c r="BM85" s="233">
        <f t="shared" si="99"/>
        <v>1455.7754861910942</v>
      </c>
      <c r="BN85" s="233">
        <f t="shared" si="99"/>
        <v>1458.7741453382985</v>
      </c>
      <c r="BO85" s="233">
        <f t="shared" si="99"/>
        <v>1461.7789812323754</v>
      </c>
      <c r="BP85" s="233">
        <f t="shared" si="99"/>
        <v>1464.7900065964116</v>
      </c>
      <c r="BQ85" s="233">
        <f t="shared" si="99"/>
        <v>1467.8072341797022</v>
      </c>
      <c r="BR85" s="233">
        <f t="shared" si="100"/>
        <v>1470.8306767578031</v>
      </c>
      <c r="BS85" s="233">
        <f t="shared" si="100"/>
        <v>1473.8603471325862</v>
      </c>
      <c r="BT85" s="233">
        <f t="shared" si="100"/>
        <v>1476.896258132293</v>
      </c>
      <c r="BU85" s="233">
        <f t="shared" si="100"/>
        <v>1479.938422611589</v>
      </c>
      <c r="BV85" s="233">
        <f t="shared" si="100"/>
        <v>1482.9868534516181</v>
      </c>
      <c r="BW85" s="233">
        <f t="shared" si="100"/>
        <v>1486.0415635600577</v>
      </c>
      <c r="BX85" s="233">
        <f t="shared" si="100"/>
        <v>1489.1025658711726</v>
      </c>
      <c r="BY85" s="233">
        <f t="shared" si="100"/>
        <v>1492.16987334587</v>
      </c>
      <c r="BZ85" s="233">
        <f t="shared" si="100"/>
        <v>1495.2434989717544</v>
      </c>
      <c r="CA85" s="233">
        <f t="shared" si="100"/>
        <v>1498.3234557631829</v>
      </c>
      <c r="CB85" s="233">
        <f t="shared" si="101"/>
        <v>1501.4097567613201</v>
      </c>
      <c r="CC85" s="233">
        <f t="shared" si="101"/>
        <v>1504.5024150341926</v>
      </c>
      <c r="CD85" s="233">
        <f t="shared" si="101"/>
        <v>1507.6014436767459</v>
      </c>
      <c r="CE85" s="233">
        <f t="shared" si="101"/>
        <v>1510.7068558108986</v>
      </c>
      <c r="CF85" s="233">
        <f t="shared" si="101"/>
        <v>1513.8186645855981</v>
      </c>
      <c r="CG85" s="233">
        <f t="shared" si="101"/>
        <v>1516.9368831768763</v>
      </c>
      <c r="CH85" s="233">
        <f t="shared" si="101"/>
        <v>1520.0615247879061</v>
      </c>
      <c r="CI85" s="233">
        <f t="shared" si="101"/>
        <v>1523.1926026490567</v>
      </c>
      <c r="CJ85" s="233">
        <f t="shared" si="101"/>
        <v>1526.3301300179494</v>
      </c>
      <c r="CK85" s="233">
        <f t="shared" si="101"/>
        <v>1529.4741201795141</v>
      </c>
      <c r="CL85" s="233">
        <f t="shared" si="102"/>
        <v>1532.6245864460457</v>
      </c>
      <c r="CM85" s="233">
        <f t="shared" si="102"/>
        <v>1535.78154215726</v>
      </c>
      <c r="CN85" s="233">
        <f t="shared" si="102"/>
        <v>1538.9450006803506</v>
      </c>
      <c r="CO85" s="233">
        <f t="shared" si="102"/>
        <v>1542.114975410045</v>
      </c>
      <c r="CP85" s="233">
        <f t="shared" si="102"/>
        <v>1545.2914797686624</v>
      </c>
      <c r="CQ85" s="233">
        <f t="shared" si="102"/>
        <v>1548.4745272061687</v>
      </c>
      <c r="CR85" s="233">
        <f t="shared" si="102"/>
        <v>1551.6641312002355</v>
      </c>
      <c r="CS85" s="233">
        <f t="shared" si="102"/>
        <v>1554.860305256296</v>
      </c>
      <c r="CT85" s="233">
        <f t="shared" si="102"/>
        <v>1558.0630629076015</v>
      </c>
      <c r="CU85" s="233">
        <f t="shared" si="102"/>
        <v>1561.2724177152809</v>
      </c>
      <c r="CV85" s="233">
        <f t="shared" si="103"/>
        <v>1564.4883832683961</v>
      </c>
      <c r="CW85" s="233">
        <f t="shared" si="103"/>
        <v>1567.7109731839998</v>
      </c>
      <c r="CX85" s="233">
        <f t="shared" si="103"/>
        <v>1570.9402011071948</v>
      </c>
      <c r="CY85" s="233">
        <f t="shared" si="103"/>
        <v>1574.1760807111896</v>
      </c>
      <c r="CZ85" s="233">
        <f t="shared" si="103"/>
        <v>1577.4186256973574</v>
      </c>
      <c r="DA85" s="233">
        <f t="shared" si="103"/>
        <v>1580.6678497952942</v>
      </c>
      <c r="DB85" s="233">
        <f t="shared" si="103"/>
        <v>1583.9237667628768</v>
      </c>
      <c r="DC85" s="233">
        <f t="shared" si="103"/>
        <v>1587.1863903863209</v>
      </c>
      <c r="DD85" s="233">
        <f t="shared" si="103"/>
        <v>1590.4557344802395</v>
      </c>
      <c r="DE85" s="233">
        <f t="shared" si="103"/>
        <v>1593.7318128877012</v>
      </c>
      <c r="DF85" s="233">
        <f t="shared" si="104"/>
        <v>1597.0146394802896</v>
      </c>
      <c r="DG85" s="233">
        <f t="shared" si="104"/>
        <v>1600.3042281581609</v>
      </c>
      <c r="DH85" s="233">
        <f t="shared" si="104"/>
        <v>1603.600592850104</v>
      </c>
      <c r="DI85" s="233">
        <f t="shared" si="104"/>
        <v>1606.9037475135979</v>
      </c>
      <c r="DJ85" s="233">
        <f t="shared" si="104"/>
        <v>1610.2137061348726</v>
      </c>
      <c r="DK85" s="233">
        <f t="shared" si="104"/>
        <v>1613.5304827289669</v>
      </c>
      <c r="DL85" s="233">
        <f t="shared" si="104"/>
        <v>1616.854091339789</v>
      </c>
      <c r="DM85" s="233">
        <f t="shared" si="104"/>
        <v>1620.1845460401744</v>
      </c>
      <c r="DN85" s="233">
        <f t="shared" si="104"/>
        <v>1623.5218609319465</v>
      </c>
      <c r="DO85" s="233">
        <f t="shared" si="104"/>
        <v>1626.8660501459767</v>
      </c>
      <c r="DP85" s="233">
        <f t="shared" si="105"/>
        <v>1630.2171278422431</v>
      </c>
      <c r="DQ85" s="233">
        <f t="shared" si="105"/>
        <v>1633.5751082098914</v>
      </c>
      <c r="DR85" s="233">
        <f t="shared" si="105"/>
        <v>1636.9400054672944</v>
      </c>
      <c r="DS85" s="233">
        <f t="shared" si="105"/>
        <v>1640.3118338621125</v>
      </c>
      <c r="DT85" s="233">
        <f t="shared" si="105"/>
        <v>1643.690607671354</v>
      </c>
      <c r="DU85" s="233">
        <f t="shared" si="105"/>
        <v>1647.0763412014355</v>
      </c>
      <c r="DV85" s="233">
        <f t="shared" si="105"/>
        <v>1650.4690487882422</v>
      </c>
      <c r="DW85" s="233">
        <f t="shared" si="105"/>
        <v>1653.868744797189</v>
      </c>
      <c r="DX85" s="233">
        <f t="shared" si="105"/>
        <v>1657.2754436232815</v>
      </c>
      <c r="DY85" s="233">
        <f t="shared" si="105"/>
        <v>1660.6891596911764</v>
      </c>
      <c r="DZ85" s="233">
        <f t="shared" si="106"/>
        <v>1664.109907455243</v>
      </c>
      <c r="EA85" s="233">
        <f t="shared" si="106"/>
        <v>1667.537701399624</v>
      </c>
      <c r="EB85" s="233">
        <f t="shared" si="106"/>
        <v>1670.9725560382972</v>
      </c>
      <c r="EC85" s="233">
        <f t="shared" si="106"/>
        <v>1674.4144859151368</v>
      </c>
      <c r="ED85" s="233">
        <f t="shared" si="106"/>
        <v>1677.8635056039748</v>
      </c>
      <c r="EE85" s="233">
        <f t="shared" si="106"/>
        <v>1681.3196297086633</v>
      </c>
      <c r="EF85" s="233">
        <f t="shared" si="106"/>
        <v>1684.7828728631359</v>
      </c>
      <c r="EG85" s="233">
        <f t="shared" si="106"/>
        <v>1688.2532497314694</v>
      </c>
      <c r="EH85" s="233">
        <f t="shared" si="106"/>
        <v>1691.7307750079462</v>
      </c>
      <c r="EI85" s="233">
        <f t="shared" si="106"/>
        <v>1695.215463417117</v>
      </c>
      <c r="EJ85" s="233">
        <f t="shared" si="106"/>
        <v>1698.7073297138618</v>
      </c>
      <c r="EK85" s="233">
        <f t="shared" si="106"/>
        <v>1702.206388683454</v>
      </c>
    </row>
    <row r="86" spans="1:141" x14ac:dyDescent="0.45">
      <c r="B86" s="230">
        <f>Assumptions!B123</f>
        <v>78</v>
      </c>
      <c r="C86" s="230" t="str">
        <f>Assumptions!C123</f>
        <v>Fair Market</v>
      </c>
      <c r="D86" s="439">
        <f>Assumptions!D123</f>
        <v>1</v>
      </c>
      <c r="E86" s="22">
        <f>Assumptions!G123</f>
        <v>27</v>
      </c>
      <c r="F86" s="22">
        <f>IF(D86=1,E86+SUM(Assumptions!$G$142:$G$143),'Rent Roll Model'!E86)</f>
        <v>31</v>
      </c>
      <c r="G86" s="233">
        <f>Assumptions!I123</f>
        <v>1975.05</v>
      </c>
      <c r="H86" s="233">
        <f>Assumptions!J123</f>
        <v>2600</v>
      </c>
      <c r="J86" s="233">
        <f t="shared" si="94"/>
        <v>1975.05</v>
      </c>
      <c r="K86" s="233">
        <f t="shared" si="94"/>
        <v>1979.1182796247529</v>
      </c>
      <c r="L86" s="233">
        <f t="shared" si="94"/>
        <v>1983.1949392394326</v>
      </c>
      <c r="M86" s="233">
        <f t="shared" si="94"/>
        <v>1987.2799961054466</v>
      </c>
      <c r="N86" s="233">
        <f t="shared" si="94"/>
        <v>1991.3734675197575</v>
      </c>
      <c r="O86" s="233">
        <f t="shared" si="94"/>
        <v>1995.4753708149572</v>
      </c>
      <c r="P86" s="233">
        <f t="shared" si="94"/>
        <v>1999.5857233593397</v>
      </c>
      <c r="Q86" s="233">
        <f t="shared" si="94"/>
        <v>2003.7045425569747</v>
      </c>
      <c r="R86" s="233">
        <f t="shared" si="94"/>
        <v>2007.8318458477825</v>
      </c>
      <c r="S86" s="233">
        <f t="shared" si="94"/>
        <v>2011.9676507076053</v>
      </c>
      <c r="T86" s="233">
        <f t="shared" si="95"/>
        <v>2016.111974648283</v>
      </c>
      <c r="U86" s="233">
        <f t="shared" si="95"/>
        <v>2020.2648352177278</v>
      </c>
      <c r="V86" s="233">
        <f t="shared" si="95"/>
        <v>2024.4262499999973</v>
      </c>
      <c r="W86" s="233">
        <f t="shared" si="95"/>
        <v>2028.596236615369</v>
      </c>
      <c r="X86" s="233">
        <f t="shared" si="95"/>
        <v>2032.7748127204159</v>
      </c>
      <c r="Y86" s="233">
        <f t="shared" si="95"/>
        <v>2036.9619960080804</v>
      </c>
      <c r="Z86" s="233">
        <f t="shared" si="95"/>
        <v>2041.157804207749</v>
      </c>
      <c r="AA86" s="233">
        <f t="shared" si="95"/>
        <v>2045.3622550853288</v>
      </c>
      <c r="AB86" s="233">
        <f t="shared" si="95"/>
        <v>2049.5753664433209</v>
      </c>
      <c r="AC86" s="233">
        <f t="shared" si="95"/>
        <v>2053.7971561208969</v>
      </c>
      <c r="AD86" s="233">
        <f t="shared" si="96"/>
        <v>2058.0276419939746</v>
      </c>
      <c r="AE86" s="233">
        <f t="shared" si="96"/>
        <v>2062.2668419752927</v>
      </c>
      <c r="AF86" s="233">
        <f t="shared" si="96"/>
        <v>2066.5147740144876</v>
      </c>
      <c r="AG86" s="233">
        <f t="shared" si="96"/>
        <v>2070.7714560981685</v>
      </c>
      <c r="AH86" s="233">
        <f t="shared" si="96"/>
        <v>2075.0369062499944</v>
      </c>
      <c r="AI86" s="233">
        <f t="shared" si="96"/>
        <v>2079.3111425307507</v>
      </c>
      <c r="AJ86" s="233">
        <f t="shared" si="96"/>
        <v>0</v>
      </c>
      <c r="AK86" s="233">
        <f t="shared" si="96"/>
        <v>0</v>
      </c>
      <c r="AL86" s="233">
        <f t="shared" si="96"/>
        <v>0</v>
      </c>
      <c r="AM86" s="233">
        <f t="shared" si="96"/>
        <v>0</v>
      </c>
      <c r="AN86" s="233">
        <f t="shared" si="97"/>
        <v>2765.5595309341238</v>
      </c>
      <c r="AO86" s="233">
        <f t="shared" si="97"/>
        <v>2771.2561307623509</v>
      </c>
      <c r="AP86" s="233">
        <f t="shared" si="97"/>
        <v>2776.9644646535194</v>
      </c>
      <c r="AQ86" s="233">
        <f t="shared" si="97"/>
        <v>2782.6845567778769</v>
      </c>
      <c r="AR86" s="233">
        <f t="shared" si="97"/>
        <v>2788.4164313554593</v>
      </c>
      <c r="AS86" s="233">
        <f t="shared" si="97"/>
        <v>2794.1601126561909</v>
      </c>
      <c r="AT86" s="233">
        <f t="shared" si="97"/>
        <v>2799.9156249999883</v>
      </c>
      <c r="AU86" s="233">
        <f t="shared" si="97"/>
        <v>2805.6829927568624</v>
      </c>
      <c r="AV86" s="233">
        <f t="shared" si="97"/>
        <v>2811.4622403470239</v>
      </c>
      <c r="AW86" s="233">
        <f t="shared" si="97"/>
        <v>2817.2533922409839</v>
      </c>
      <c r="AX86" s="233">
        <f t="shared" si="98"/>
        <v>2823.0564729596595</v>
      </c>
      <c r="AY86" s="233">
        <f t="shared" si="98"/>
        <v>2828.8715070744761</v>
      </c>
      <c r="AZ86" s="233">
        <f t="shared" si="98"/>
        <v>2834.6985192074731</v>
      </c>
      <c r="BA86" s="233">
        <f t="shared" si="98"/>
        <v>2840.5375340314058</v>
      </c>
      <c r="BB86" s="233">
        <f t="shared" si="98"/>
        <v>2846.3885762698537</v>
      </c>
      <c r="BC86" s="233">
        <f t="shared" si="98"/>
        <v>2852.2516706973206</v>
      </c>
      <c r="BD86" s="233">
        <f t="shared" si="98"/>
        <v>2858.1268421393429</v>
      </c>
      <c r="BE86" s="233">
        <f t="shared" si="98"/>
        <v>2864.0141154725925</v>
      </c>
      <c r="BF86" s="233">
        <f t="shared" si="98"/>
        <v>2869.9135156249845</v>
      </c>
      <c r="BG86" s="233">
        <f t="shared" si="98"/>
        <v>2875.8250675757804</v>
      </c>
      <c r="BH86" s="233">
        <f t="shared" si="99"/>
        <v>2881.7487963556964</v>
      </c>
      <c r="BI86" s="233">
        <f t="shared" si="99"/>
        <v>2887.6847270470053</v>
      </c>
      <c r="BJ86" s="233">
        <f t="shared" si="99"/>
        <v>2893.632884783648</v>
      </c>
      <c r="BK86" s="233">
        <f t="shared" si="99"/>
        <v>2899.5932947513352</v>
      </c>
      <c r="BL86" s="233">
        <f t="shared" si="99"/>
        <v>2905.5659821876566</v>
      </c>
      <c r="BM86" s="233">
        <f t="shared" si="99"/>
        <v>2911.5509723821883</v>
      </c>
      <c r="BN86" s="233">
        <f t="shared" si="99"/>
        <v>2917.5482906765969</v>
      </c>
      <c r="BO86" s="233">
        <f t="shared" si="99"/>
        <v>2923.5579624647507</v>
      </c>
      <c r="BP86" s="233">
        <f t="shared" si="99"/>
        <v>2929.5800131928231</v>
      </c>
      <c r="BQ86" s="233">
        <f t="shared" si="99"/>
        <v>2935.6144683594043</v>
      </c>
      <c r="BR86" s="233">
        <f t="shared" si="100"/>
        <v>2941.6613535156062</v>
      </c>
      <c r="BS86" s="233">
        <f t="shared" si="100"/>
        <v>2947.7206942651724</v>
      </c>
      <c r="BT86" s="233">
        <f t="shared" si="100"/>
        <v>2953.7925162645861</v>
      </c>
      <c r="BU86" s="233">
        <f t="shared" si="100"/>
        <v>2959.876845223178</v>
      </c>
      <c r="BV86" s="233">
        <f t="shared" si="100"/>
        <v>2965.9737069032362</v>
      </c>
      <c r="BW86" s="233">
        <f t="shared" si="100"/>
        <v>2972.0831271201155</v>
      </c>
      <c r="BX86" s="233">
        <f t="shared" si="100"/>
        <v>2978.2051317423452</v>
      </c>
      <c r="BY86" s="233">
        <f t="shared" si="100"/>
        <v>2984.3397466917399</v>
      </c>
      <c r="BZ86" s="233">
        <f t="shared" si="100"/>
        <v>2990.4869979435089</v>
      </c>
      <c r="CA86" s="233">
        <f t="shared" si="100"/>
        <v>2996.6469115263658</v>
      </c>
      <c r="CB86" s="233">
        <f t="shared" si="101"/>
        <v>3002.8195135226401</v>
      </c>
      <c r="CC86" s="233">
        <f t="shared" si="101"/>
        <v>3009.0048300683852</v>
      </c>
      <c r="CD86" s="233">
        <f t="shared" si="101"/>
        <v>3015.2028873534919</v>
      </c>
      <c r="CE86" s="233">
        <f t="shared" si="101"/>
        <v>3021.4137116217971</v>
      </c>
      <c r="CF86" s="233">
        <f t="shared" si="101"/>
        <v>3027.6373291711961</v>
      </c>
      <c r="CG86" s="233">
        <f t="shared" si="101"/>
        <v>3033.8737663537527</v>
      </c>
      <c r="CH86" s="233">
        <f t="shared" si="101"/>
        <v>3040.1230495758123</v>
      </c>
      <c r="CI86" s="233">
        <f t="shared" si="101"/>
        <v>3046.3852052981133</v>
      </c>
      <c r="CJ86" s="233">
        <f t="shared" si="101"/>
        <v>3052.6602600358988</v>
      </c>
      <c r="CK86" s="233">
        <f t="shared" si="101"/>
        <v>3058.9482403590282</v>
      </c>
      <c r="CL86" s="233">
        <f t="shared" si="102"/>
        <v>3065.2491728920913</v>
      </c>
      <c r="CM86" s="233">
        <f t="shared" si="102"/>
        <v>3071.56308431452</v>
      </c>
      <c r="CN86" s="233">
        <f t="shared" si="102"/>
        <v>3077.8900013607013</v>
      </c>
      <c r="CO86" s="233">
        <f t="shared" si="102"/>
        <v>3084.2299508200899</v>
      </c>
      <c r="CP86" s="233">
        <f t="shared" si="102"/>
        <v>3090.5829595373248</v>
      </c>
      <c r="CQ86" s="233">
        <f t="shared" si="102"/>
        <v>3096.9490544123373</v>
      </c>
      <c r="CR86" s="233">
        <f t="shared" si="102"/>
        <v>3103.328262400471</v>
      </c>
      <c r="CS86" s="233">
        <f t="shared" si="102"/>
        <v>3109.720610512592</v>
      </c>
      <c r="CT86" s="233">
        <f t="shared" si="102"/>
        <v>3116.1261258152031</v>
      </c>
      <c r="CU86" s="233">
        <f t="shared" si="102"/>
        <v>3122.5448354305618</v>
      </c>
      <c r="CV86" s="233">
        <f t="shared" si="103"/>
        <v>3128.9767665367922</v>
      </c>
      <c r="CW86" s="233">
        <f t="shared" si="103"/>
        <v>3135.4219463679997</v>
      </c>
      <c r="CX86" s="233">
        <f t="shared" si="103"/>
        <v>3141.8804022143895</v>
      </c>
      <c r="CY86" s="233">
        <f t="shared" si="103"/>
        <v>3148.3521614223791</v>
      </c>
      <c r="CZ86" s="233">
        <f t="shared" si="103"/>
        <v>3154.8372513947147</v>
      </c>
      <c r="DA86" s="233">
        <f t="shared" si="103"/>
        <v>3161.3356995905883</v>
      </c>
      <c r="DB86" s="233">
        <f t="shared" si="103"/>
        <v>3167.8475335257535</v>
      </c>
      <c r="DC86" s="233">
        <f t="shared" si="103"/>
        <v>3174.3727807726418</v>
      </c>
      <c r="DD86" s="233">
        <f t="shared" si="103"/>
        <v>3180.9114689604789</v>
      </c>
      <c r="DE86" s="233">
        <f t="shared" si="103"/>
        <v>3187.4636257754023</v>
      </c>
      <c r="DF86" s="233">
        <f t="shared" si="104"/>
        <v>3194.0292789605792</v>
      </c>
      <c r="DG86" s="233">
        <f t="shared" si="104"/>
        <v>3200.6084563163217</v>
      </c>
      <c r="DH86" s="233">
        <f t="shared" si="104"/>
        <v>3207.201185700208</v>
      </c>
      <c r="DI86" s="233">
        <f t="shared" si="104"/>
        <v>3213.8074950271957</v>
      </c>
      <c r="DJ86" s="233">
        <f t="shared" si="104"/>
        <v>3220.4274122697452</v>
      </c>
      <c r="DK86" s="233">
        <f t="shared" si="104"/>
        <v>3227.0609654579339</v>
      </c>
      <c r="DL86" s="233">
        <f t="shared" si="104"/>
        <v>3233.7081826795779</v>
      </c>
      <c r="DM86" s="233">
        <f t="shared" si="104"/>
        <v>3240.3690920803488</v>
      </c>
      <c r="DN86" s="233">
        <f t="shared" si="104"/>
        <v>3247.0437218638931</v>
      </c>
      <c r="DO86" s="233">
        <f t="shared" si="104"/>
        <v>3253.7321002919534</v>
      </c>
      <c r="DP86" s="233">
        <f t="shared" si="105"/>
        <v>3260.4342556844863</v>
      </c>
      <c r="DQ86" s="233">
        <f t="shared" si="105"/>
        <v>3267.1502164197827</v>
      </c>
      <c r="DR86" s="233">
        <f t="shared" si="105"/>
        <v>3273.8800109345889</v>
      </c>
      <c r="DS86" s="233">
        <f t="shared" si="105"/>
        <v>3280.623667724225</v>
      </c>
      <c r="DT86" s="233">
        <f t="shared" si="105"/>
        <v>3287.3812153427079</v>
      </c>
      <c r="DU86" s="233">
        <f t="shared" si="105"/>
        <v>3294.1526824028711</v>
      </c>
      <c r="DV86" s="233">
        <f t="shared" si="105"/>
        <v>3300.9380975764843</v>
      </c>
      <c r="DW86" s="233">
        <f t="shared" si="105"/>
        <v>3307.7374895943781</v>
      </c>
      <c r="DX86" s="233">
        <f t="shared" si="105"/>
        <v>3314.550887246563</v>
      </c>
      <c r="DY86" s="233">
        <f t="shared" si="105"/>
        <v>3321.3783193823529</v>
      </c>
      <c r="DZ86" s="233">
        <f t="shared" si="106"/>
        <v>3328.2198149104861</v>
      </c>
      <c r="EA86" s="233">
        <f t="shared" si="106"/>
        <v>3335.075402799248</v>
      </c>
      <c r="EB86" s="233">
        <f t="shared" si="106"/>
        <v>3341.9451120765943</v>
      </c>
      <c r="EC86" s="233">
        <f t="shared" si="106"/>
        <v>3348.8289718302735</v>
      </c>
      <c r="ED86" s="233">
        <f t="shared" si="106"/>
        <v>3355.7270112079495</v>
      </c>
      <c r="EE86" s="233">
        <f t="shared" si="106"/>
        <v>3362.6392594173267</v>
      </c>
      <c r="EF86" s="233">
        <f t="shared" si="106"/>
        <v>3369.5657457262719</v>
      </c>
      <c r="EG86" s="233">
        <f t="shared" si="106"/>
        <v>3376.5064994629388</v>
      </c>
      <c r="EH86" s="233">
        <f t="shared" si="106"/>
        <v>3383.4615500158925</v>
      </c>
      <c r="EI86" s="233">
        <f t="shared" si="106"/>
        <v>3390.430926834234</v>
      </c>
      <c r="EJ86" s="233">
        <f t="shared" si="106"/>
        <v>3397.4146594277236</v>
      </c>
      <c r="EK86" s="233">
        <f t="shared" si="106"/>
        <v>3404.4127773669079</v>
      </c>
    </row>
    <row r="87" spans="1:141" x14ac:dyDescent="0.45">
      <c r="A87" s="440"/>
      <c r="B87" s="440"/>
      <c r="C87" s="440"/>
      <c r="D87" s="440"/>
      <c r="E87" s="441"/>
      <c r="F87" s="441"/>
      <c r="G87" s="442"/>
      <c r="H87" s="442" t="s">
        <v>406</v>
      </c>
      <c r="J87" s="456">
        <f>SUM(J8:J86)</f>
        <v>122517.64000000003</v>
      </c>
      <c r="K87" s="456">
        <f t="shared" ref="K87:BV87" si="107">SUM(K8:K86)</f>
        <v>118017.02192290151</v>
      </c>
      <c r="L87" s="456">
        <f t="shared" si="107"/>
        <v>118261.11354544462</v>
      </c>
      <c r="M87" s="456">
        <f t="shared" si="107"/>
        <v>115740.18650790268</v>
      </c>
      <c r="N87" s="456">
        <f t="shared" si="107"/>
        <v>111734.35558239062</v>
      </c>
      <c r="O87" s="456">
        <f t="shared" si="107"/>
        <v>116220.90766751072</v>
      </c>
      <c r="P87" s="456">
        <f t="shared" si="107"/>
        <v>111941.50460123715</v>
      </c>
      <c r="Q87" s="456">
        <f t="shared" si="107"/>
        <v>114205.32123488157</v>
      </c>
      <c r="R87" s="456">
        <f t="shared" si="107"/>
        <v>116508.99556619162</v>
      </c>
      <c r="S87" s="456">
        <f t="shared" si="107"/>
        <v>116387.03262155443</v>
      </c>
      <c r="T87" s="456">
        <f t="shared" si="107"/>
        <v>118824.27657969567</v>
      </c>
      <c r="U87" s="456">
        <f t="shared" si="107"/>
        <v>120506.87448592961</v>
      </c>
      <c r="V87" s="456">
        <f t="shared" si="107"/>
        <v>124218.9939999999</v>
      </c>
      <c r="W87" s="456">
        <f t="shared" si="107"/>
        <v>127859.87463128605</v>
      </c>
      <c r="X87" s="456">
        <f t="shared" si="107"/>
        <v>130879.6800501519</v>
      </c>
      <c r="Y87" s="456">
        <f t="shared" si="107"/>
        <v>133028.96333291201</v>
      </c>
      <c r="Z87" s="456">
        <f t="shared" si="107"/>
        <v>133099.55368349026</v>
      </c>
      <c r="AA87" s="456">
        <f t="shared" si="107"/>
        <v>132748.09145403793</v>
      </c>
      <c r="AB87" s="456">
        <f t="shared" si="107"/>
        <v>133291.17705548517</v>
      </c>
      <c r="AC87" s="456">
        <f t="shared" si="107"/>
        <v>133456.67533704947</v>
      </c>
      <c r="AD87" s="456">
        <f t="shared" si="107"/>
        <v>137247.75538143297</v>
      </c>
      <c r="AE87" s="456">
        <f t="shared" si="107"/>
        <v>142871.24680512896</v>
      </c>
      <c r="AF87" s="456">
        <f t="shared" si="107"/>
        <v>147261.22790795084</v>
      </c>
      <c r="AG87" s="456">
        <f t="shared" si="107"/>
        <v>149577.03157564427</v>
      </c>
      <c r="AH87" s="456">
        <f t="shared" si="107"/>
        <v>149533.46378749979</v>
      </c>
      <c r="AI87" s="456">
        <f t="shared" si="107"/>
        <v>147297.42797533877</v>
      </c>
      <c r="AJ87" s="456">
        <f t="shared" si="107"/>
        <v>148361.592144544</v>
      </c>
      <c r="AK87" s="456">
        <f t="shared" si="107"/>
        <v>155640.99390524509</v>
      </c>
      <c r="AL87" s="456">
        <f t="shared" si="107"/>
        <v>162949.75532916217</v>
      </c>
      <c r="AM87" s="456">
        <f t="shared" si="107"/>
        <v>170287.96649074435</v>
      </c>
      <c r="AN87" s="456">
        <f t="shared" si="107"/>
        <v>175741.09957415212</v>
      </c>
      <c r="AO87" s="456">
        <f t="shared" si="107"/>
        <v>176099.81052004267</v>
      </c>
      <c r="AP87" s="456">
        <f t="shared" si="107"/>
        <v>176459.25401290128</v>
      </c>
      <c r="AQ87" s="456">
        <f t="shared" si="107"/>
        <v>176819.43155682264</v>
      </c>
      <c r="AR87" s="456">
        <f t="shared" si="107"/>
        <v>177180.34465899484</v>
      </c>
      <c r="AS87" s="456">
        <f t="shared" si="107"/>
        <v>177541.99482970461</v>
      </c>
      <c r="AT87" s="456">
        <f t="shared" si="107"/>
        <v>177904.38358234294</v>
      </c>
      <c r="AU87" s="456">
        <f t="shared" si="107"/>
        <v>178267.5124334128</v>
      </c>
      <c r="AV87" s="456">
        <f t="shared" si="107"/>
        <v>178631.38290253319</v>
      </c>
      <c r="AW87" s="456">
        <f t="shared" si="107"/>
        <v>178995.99651244894</v>
      </c>
      <c r="AX87" s="456">
        <f t="shared" si="107"/>
        <v>179361.35478903438</v>
      </c>
      <c r="AY87" s="456">
        <f t="shared" si="107"/>
        <v>179727.45926130022</v>
      </c>
      <c r="AZ87" s="456">
        <f t="shared" si="107"/>
        <v>180094.3114614019</v>
      </c>
      <c r="BA87" s="456">
        <f t="shared" si="107"/>
        <v>180461.91292464265</v>
      </c>
      <c r="BB87" s="456">
        <f t="shared" si="107"/>
        <v>180830.26518948414</v>
      </c>
      <c r="BC87" s="456">
        <f t="shared" si="107"/>
        <v>181199.36979754988</v>
      </c>
      <c r="BD87" s="456">
        <f t="shared" si="107"/>
        <v>181569.22829363192</v>
      </c>
      <c r="BE87" s="456">
        <f t="shared" si="107"/>
        <v>181939.84222569855</v>
      </c>
      <c r="BF87" s="456">
        <f t="shared" si="107"/>
        <v>182311.21314490132</v>
      </c>
      <c r="BG87" s="456">
        <f t="shared" si="107"/>
        <v>182683.34260557941</v>
      </c>
      <c r="BH87" s="456">
        <f t="shared" si="107"/>
        <v>183056.23216526789</v>
      </c>
      <c r="BI87" s="456">
        <f t="shared" si="107"/>
        <v>183429.88338470412</v>
      </c>
      <c r="BJ87" s="456">
        <f t="shared" si="107"/>
        <v>183804.29782783365</v>
      </c>
      <c r="BK87" s="456">
        <f t="shared" si="107"/>
        <v>184179.47706181696</v>
      </c>
      <c r="BL87" s="456">
        <f t="shared" si="107"/>
        <v>184555.42265703718</v>
      </c>
      <c r="BM87" s="456">
        <f t="shared" si="107"/>
        <v>184932.1361871048</v>
      </c>
      <c r="BN87" s="456">
        <f t="shared" si="107"/>
        <v>185309.61922886621</v>
      </c>
      <c r="BO87" s="456">
        <f t="shared" si="107"/>
        <v>185687.87336240977</v>
      </c>
      <c r="BP87" s="456">
        <f t="shared" si="107"/>
        <v>186066.90017107068</v>
      </c>
      <c r="BQ87" s="456">
        <f t="shared" si="107"/>
        <v>186446.70124144107</v>
      </c>
      <c r="BR87" s="456">
        <f t="shared" si="107"/>
        <v>186827.27816337399</v>
      </c>
      <c r="BS87" s="456">
        <f t="shared" si="107"/>
        <v>187208.63252999022</v>
      </c>
      <c r="BT87" s="456">
        <f t="shared" si="107"/>
        <v>187590.76593768716</v>
      </c>
      <c r="BU87" s="456">
        <f t="shared" si="107"/>
        <v>187973.67998614319</v>
      </c>
      <c r="BV87" s="456">
        <f t="shared" si="107"/>
        <v>188357.37627832574</v>
      </c>
      <c r="BW87" s="456">
        <f t="shared" ref="BW87:EH87" si="108">SUM(BW8:BW86)</f>
        <v>188741.85642049796</v>
      </c>
      <c r="BX87" s="456">
        <f t="shared" si="108"/>
        <v>189127.12202222491</v>
      </c>
      <c r="BY87" s="456">
        <f t="shared" si="108"/>
        <v>189513.1746963801</v>
      </c>
      <c r="BZ87" s="456">
        <f t="shared" si="108"/>
        <v>189900.01605915398</v>
      </c>
      <c r="CA87" s="456">
        <f t="shared" si="108"/>
        <v>190287.64773005841</v>
      </c>
      <c r="CB87" s="456">
        <f t="shared" si="108"/>
        <v>190676.07133193663</v>
      </c>
      <c r="CC87" s="456">
        <f t="shared" si="108"/>
        <v>191065.2884909659</v>
      </c>
      <c r="CD87" s="456">
        <f t="shared" si="108"/>
        <v>191455.30083666882</v>
      </c>
      <c r="CE87" s="456">
        <f t="shared" si="108"/>
        <v>191846.11000191636</v>
      </c>
      <c r="CF87" s="456">
        <f t="shared" si="108"/>
        <v>192237.71762293723</v>
      </c>
      <c r="CG87" s="456">
        <f t="shared" si="108"/>
        <v>192630.12533932462</v>
      </c>
      <c r="CH87" s="456">
        <f t="shared" si="108"/>
        <v>193023.33479404118</v>
      </c>
      <c r="CI87" s="456">
        <f t="shared" si="108"/>
        <v>193417.34763342811</v>
      </c>
      <c r="CJ87" s="456">
        <f t="shared" si="108"/>
        <v>193812.16550721135</v>
      </c>
      <c r="CK87" s="456">
        <f t="shared" si="108"/>
        <v>194207.79006850801</v>
      </c>
      <c r="CL87" s="456">
        <f t="shared" si="108"/>
        <v>194604.22297383408</v>
      </c>
      <c r="CM87" s="456">
        <f t="shared" si="108"/>
        <v>195001.46588311211</v>
      </c>
      <c r="CN87" s="456">
        <f t="shared" si="108"/>
        <v>195399.52045967511</v>
      </c>
      <c r="CO87" s="456">
        <f t="shared" si="108"/>
        <v>195798.38837027742</v>
      </c>
      <c r="CP87" s="456">
        <f t="shared" si="108"/>
        <v>196198.07128509972</v>
      </c>
      <c r="CQ87" s="456">
        <f t="shared" si="108"/>
        <v>196598.57087775599</v>
      </c>
      <c r="CR87" s="456">
        <f t="shared" si="108"/>
        <v>196999.88882530204</v>
      </c>
      <c r="CS87" s="456">
        <f t="shared" si="108"/>
        <v>197402.02680823949</v>
      </c>
      <c r="CT87" s="456">
        <f t="shared" si="108"/>
        <v>197804.98651052752</v>
      </c>
      <c r="CU87" s="456">
        <f t="shared" si="108"/>
        <v>198208.7696195851</v>
      </c>
      <c r="CV87" s="456">
        <f t="shared" si="108"/>
        <v>198613.37782630196</v>
      </c>
      <c r="CW87" s="456">
        <f t="shared" si="108"/>
        <v>199018.81282504284</v>
      </c>
      <c r="CX87" s="456">
        <f t="shared" si="108"/>
        <v>199425.07631365772</v>
      </c>
      <c r="CY87" s="456">
        <f t="shared" si="108"/>
        <v>199832.16999348506</v>
      </c>
      <c r="CZ87" s="456">
        <f t="shared" si="108"/>
        <v>200240.09556936275</v>
      </c>
      <c r="DA87" s="456">
        <f t="shared" si="108"/>
        <v>200648.854749633</v>
      </c>
      <c r="DB87" s="456">
        <f t="shared" si="108"/>
        <v>201058.44924615088</v>
      </c>
      <c r="DC87" s="456">
        <f t="shared" si="108"/>
        <v>201468.88077428952</v>
      </c>
      <c r="DD87" s="456">
        <f t="shared" si="108"/>
        <v>201880.15105295111</v>
      </c>
      <c r="DE87" s="456">
        <f t="shared" si="108"/>
        <v>202292.26180456873</v>
      </c>
      <c r="DF87" s="456">
        <f t="shared" si="108"/>
        <v>202705.21475511929</v>
      </c>
      <c r="DG87" s="456">
        <f t="shared" si="108"/>
        <v>203119.01163412671</v>
      </c>
      <c r="DH87" s="456">
        <f t="shared" si="108"/>
        <v>203533.65417467197</v>
      </c>
      <c r="DI87" s="456">
        <f t="shared" si="108"/>
        <v>203949.1441133976</v>
      </c>
      <c r="DJ87" s="456">
        <f t="shared" si="108"/>
        <v>204365.48319051706</v>
      </c>
      <c r="DK87" s="456">
        <f t="shared" si="108"/>
        <v>204782.67314982333</v>
      </c>
      <c r="DL87" s="456">
        <f t="shared" si="108"/>
        <v>205200.71573869171</v>
      </c>
      <c r="DM87" s="456">
        <f t="shared" si="108"/>
        <v>205619.61270809185</v>
      </c>
      <c r="DN87" s="456">
        <f t="shared" si="108"/>
        <v>206039.36581259349</v>
      </c>
      <c r="DO87" s="456">
        <f t="shared" si="108"/>
        <v>206459.97681037252</v>
      </c>
      <c r="DP87" s="456">
        <f t="shared" si="108"/>
        <v>206881.4474632208</v>
      </c>
      <c r="DQ87" s="456">
        <f t="shared" si="108"/>
        <v>207303.77953655008</v>
      </c>
      <c r="DR87" s="456">
        <f t="shared" si="108"/>
        <v>207726.97479940558</v>
      </c>
      <c r="DS87" s="456">
        <f t="shared" si="108"/>
        <v>208151.03502446579</v>
      </c>
      <c r="DT87" s="456">
        <f t="shared" si="108"/>
        <v>208575.96198805585</v>
      </c>
      <c r="DU87" s="456">
        <f t="shared" si="108"/>
        <v>209001.7574701526</v>
      </c>
      <c r="DV87" s="456">
        <f t="shared" si="108"/>
        <v>209428.42325439252</v>
      </c>
      <c r="DW87" s="456">
        <f t="shared" si="108"/>
        <v>209855.96112807974</v>
      </c>
      <c r="DX87" s="456">
        <f t="shared" si="108"/>
        <v>210284.37288219086</v>
      </c>
      <c r="DY87" s="456">
        <f t="shared" si="108"/>
        <v>210713.66031138689</v>
      </c>
      <c r="DZ87" s="456">
        <f t="shared" si="108"/>
        <v>211143.82521401881</v>
      </c>
      <c r="EA87" s="456">
        <f t="shared" si="108"/>
        <v>211574.86939213332</v>
      </c>
      <c r="EB87" s="456">
        <f t="shared" si="108"/>
        <v>212006.79465148278</v>
      </c>
      <c r="EC87" s="456">
        <f t="shared" si="108"/>
        <v>212439.60280153295</v>
      </c>
      <c r="ED87" s="456">
        <f t="shared" si="108"/>
        <v>212873.29565546947</v>
      </c>
      <c r="EE87" s="456">
        <f t="shared" si="108"/>
        <v>213307.87503020436</v>
      </c>
      <c r="EF87" s="456">
        <f t="shared" si="108"/>
        <v>213743.34274638764</v>
      </c>
      <c r="EG87" s="456">
        <f t="shared" si="108"/>
        <v>214179.70062841114</v>
      </c>
      <c r="EH87" s="456">
        <f t="shared" si="108"/>
        <v>214616.95050441875</v>
      </c>
      <c r="EI87" s="456">
        <f t="shared" ref="EI87:EK87" si="109">SUM(EI8:EI86)</f>
        <v>215055.09420631037</v>
      </c>
      <c r="EJ87" s="456">
        <f t="shared" si="109"/>
        <v>215494.13356975609</v>
      </c>
      <c r="EK87" s="456">
        <f t="shared" si="109"/>
        <v>215934.07043419676</v>
      </c>
    </row>
    <row r="88" spans="1:141" x14ac:dyDescent="0.45"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</row>
    <row r="89" spans="1:141" x14ac:dyDescent="0.45">
      <c r="A89" s="440"/>
      <c r="B89" s="440"/>
      <c r="C89" s="440"/>
      <c r="D89" s="440"/>
      <c r="E89" s="441"/>
      <c r="F89" s="441"/>
      <c r="G89" s="442"/>
      <c r="H89" s="442" t="s">
        <v>55</v>
      </c>
      <c r="J89" s="456">
        <f t="shared" ref="J89:AO89" si="110">-IF(J8&lt;$H$3,COUNTIFS(J9:J86,0)*AVERAGEIFS(J9:J86,J9:J86,"&gt;0"),J87*$H$4)</f>
        <v>0</v>
      </c>
      <c r="K89" s="456">
        <f t="shared" si="110"/>
        <v>-4720.6008769160599</v>
      </c>
      <c r="L89" s="456">
        <f t="shared" si="110"/>
        <v>-4730.3245418177848</v>
      </c>
      <c r="M89" s="456">
        <f t="shared" si="110"/>
        <v>-7927.1360621851145</v>
      </c>
      <c r="N89" s="456">
        <f t="shared" si="110"/>
        <v>-12769.069209416071</v>
      </c>
      <c r="O89" s="456">
        <f t="shared" si="110"/>
        <v>-11457.807798205282</v>
      </c>
      <c r="P89" s="456">
        <f t="shared" si="110"/>
        <v>-16460.956559005463</v>
      </c>
      <c r="Q89" s="456">
        <f t="shared" si="110"/>
        <v>-16793.723711011997</v>
      </c>
      <c r="R89" s="456">
        <f t="shared" si="110"/>
        <v>-17132.352289145827</v>
      </c>
      <c r="S89" s="456">
        <f t="shared" si="110"/>
        <v>-19106.67699756864</v>
      </c>
      <c r="T89" s="456">
        <f t="shared" si="110"/>
        <v>-19506.657348905257</v>
      </c>
      <c r="U89" s="456">
        <f t="shared" si="110"/>
        <v>-19782.740587242177</v>
      </c>
      <c r="V89" s="456">
        <f t="shared" si="110"/>
        <v>-18265.587352941162</v>
      </c>
      <c r="W89" s="456">
        <f t="shared" si="110"/>
        <v>-16675.548864950353</v>
      </c>
      <c r="X89" s="456">
        <f t="shared" si="110"/>
        <v>-14955.963434303074</v>
      </c>
      <c r="Y89" s="456">
        <f t="shared" si="110"/>
        <v>-15201.481523761373</v>
      </c>
      <c r="Z89" s="456">
        <f t="shared" si="110"/>
        <v>-17358.593958716123</v>
      </c>
      <c r="AA89" s="456">
        <f t="shared" si="110"/>
        <v>-19519.131096182049</v>
      </c>
      <c r="AB89" s="456">
        <f t="shared" si="110"/>
        <v>-21880.506680751296</v>
      </c>
      <c r="AC89" s="456">
        <f t="shared" si="110"/>
        <v>-24261.213697645358</v>
      </c>
      <c r="AD89" s="456">
        <f t="shared" si="110"/>
        <v>-22529.765808891978</v>
      </c>
      <c r="AE89" s="456">
        <f t="shared" si="110"/>
        <v>-18632.510452842907</v>
      </c>
      <c r="AF89" s="456">
        <f t="shared" si="110"/>
        <v>-16827.226046622953</v>
      </c>
      <c r="AG89" s="456">
        <f t="shared" si="110"/>
        <v>-17091.775037216488</v>
      </c>
      <c r="AH89" s="456">
        <f t="shared" si="110"/>
        <v>-19501.103972282581</v>
      </c>
      <c r="AI89" s="456">
        <f t="shared" si="110"/>
        <v>-24178.891160130246</v>
      </c>
      <c r="AJ89" s="456">
        <f t="shared" si="110"/>
        <v>-24353.440501343044</v>
      </c>
      <c r="AK89" s="456">
        <f t="shared" si="110"/>
        <v>-17784.342160599441</v>
      </c>
      <c r="AL89" s="456">
        <f t="shared" si="110"/>
        <v>-11158.955844463162</v>
      </c>
      <c r="AM89" s="456">
        <f t="shared" si="110"/>
        <v>-4480.4728023880089</v>
      </c>
      <c r="AN89" s="456">
        <f t="shared" si="110"/>
        <v>-8787.054978707607</v>
      </c>
      <c r="AO89" s="456">
        <f t="shared" si="110"/>
        <v>-8804.9905260021333</v>
      </c>
      <c r="AP89" s="456">
        <f t="shared" ref="AP89:BU89" si="111">-IF(AP8&lt;$H$3,COUNTIFS(AP9:AP86,0)*AVERAGEIFS(AP9:AP86,AP9:AP86,"&gt;0"),AP87*$H$4)</f>
        <v>-8822.9627006450646</v>
      </c>
      <c r="AQ89" s="456">
        <f t="shared" si="111"/>
        <v>-8840.9715778411319</v>
      </c>
      <c r="AR89" s="456">
        <f t="shared" si="111"/>
        <v>-8859.0172329497418</v>
      </c>
      <c r="AS89" s="456">
        <f t="shared" si="111"/>
        <v>-8877.09974148523</v>
      </c>
      <c r="AT89" s="456">
        <f t="shared" si="111"/>
        <v>-8895.2191791171481</v>
      </c>
      <c r="AU89" s="456">
        <f t="shared" si="111"/>
        <v>-8913.3756216706406</v>
      </c>
      <c r="AV89" s="456">
        <f t="shared" si="111"/>
        <v>-8931.5691451266594</v>
      </c>
      <c r="AW89" s="456">
        <f t="shared" si="111"/>
        <v>-8949.7998256224473</v>
      </c>
      <c r="AX89" s="456">
        <f t="shared" si="111"/>
        <v>-8968.0677394517188</v>
      </c>
      <c r="AY89" s="456">
        <f t="shared" si="111"/>
        <v>-8986.3729630650105</v>
      </c>
      <c r="AZ89" s="456">
        <f t="shared" si="111"/>
        <v>-9004.7155730700961</v>
      </c>
      <c r="BA89" s="456">
        <f t="shared" si="111"/>
        <v>-9023.0956462321319</v>
      </c>
      <c r="BB89" s="456">
        <f t="shared" si="111"/>
        <v>-9041.5132594742081</v>
      </c>
      <c r="BC89" s="456">
        <f t="shared" si="111"/>
        <v>-9059.968489877494</v>
      </c>
      <c r="BD89" s="456">
        <f t="shared" si="111"/>
        <v>-9078.4614146815966</v>
      </c>
      <c r="BE89" s="456">
        <f t="shared" si="111"/>
        <v>-9096.9921112849279</v>
      </c>
      <c r="BF89" s="456">
        <f t="shared" si="111"/>
        <v>-9115.560657245067</v>
      </c>
      <c r="BG89" s="456">
        <f t="shared" si="111"/>
        <v>-9134.1671302789709</v>
      </c>
      <c r="BH89" s="456">
        <f t="shared" si="111"/>
        <v>-9152.8116082633951</v>
      </c>
      <c r="BI89" s="456">
        <f t="shared" si="111"/>
        <v>-9171.4941692352058</v>
      </c>
      <c r="BJ89" s="456">
        <f t="shared" si="111"/>
        <v>-9190.2148913916826</v>
      </c>
      <c r="BK89" s="456">
        <f t="shared" si="111"/>
        <v>-9208.9738530908489</v>
      </c>
      <c r="BL89" s="456">
        <f t="shared" si="111"/>
        <v>-9227.7711328518599</v>
      </c>
      <c r="BM89" s="456">
        <f t="shared" si="111"/>
        <v>-9246.6068093552403</v>
      </c>
      <c r="BN89" s="456">
        <f t="shared" si="111"/>
        <v>-9265.4809614433107</v>
      </c>
      <c r="BO89" s="456">
        <f t="shared" si="111"/>
        <v>-9284.3936681204887</v>
      </c>
      <c r="BP89" s="456">
        <f t="shared" si="111"/>
        <v>-9303.3450085535351</v>
      </c>
      <c r="BQ89" s="456">
        <f t="shared" si="111"/>
        <v>-9322.3350620720539</v>
      </c>
      <c r="BR89" s="456">
        <f t="shared" si="111"/>
        <v>-9341.3639081686997</v>
      </c>
      <c r="BS89" s="456">
        <f t="shared" si="111"/>
        <v>-9360.4316264995123</v>
      </c>
      <c r="BT89" s="456">
        <f t="shared" si="111"/>
        <v>-9379.5382968843587</v>
      </c>
      <c r="BU89" s="456">
        <f t="shared" si="111"/>
        <v>-9398.6839993071608</v>
      </c>
      <c r="BV89" s="456">
        <f t="shared" ref="BV89:DA89" si="112">-IF(BV8&lt;$H$3,COUNTIFS(BV9:BV86,0)*AVERAGEIFS(BV9:BV86,BV9:BV86,"&gt;0"),BV87*$H$4)</f>
        <v>-9417.8688139162878</v>
      </c>
      <c r="BW89" s="456">
        <f t="shared" si="112"/>
        <v>-9437.0928210248985</v>
      </c>
      <c r="BX89" s="456">
        <f t="shared" si="112"/>
        <v>-9456.3561011112452</v>
      </c>
      <c r="BY89" s="456">
        <f t="shared" si="112"/>
        <v>-9475.658734819006</v>
      </c>
      <c r="BZ89" s="456">
        <f t="shared" si="112"/>
        <v>-9495.0008029576984</v>
      </c>
      <c r="CA89" s="456">
        <f t="shared" si="112"/>
        <v>-9514.3823865029208</v>
      </c>
      <c r="CB89" s="456">
        <f t="shared" si="112"/>
        <v>-9533.8035665968328</v>
      </c>
      <c r="CC89" s="456">
        <f t="shared" si="112"/>
        <v>-9553.2644245482952</v>
      </c>
      <c r="CD89" s="456">
        <f t="shared" si="112"/>
        <v>-9572.7650418334415</v>
      </c>
      <c r="CE89" s="456">
        <f t="shared" si="112"/>
        <v>-9592.3055000958175</v>
      </c>
      <c r="CF89" s="456">
        <f t="shared" si="112"/>
        <v>-9611.8858811468617</v>
      </c>
      <c r="CG89" s="456">
        <f t="shared" si="112"/>
        <v>-9631.5062669662311</v>
      </c>
      <c r="CH89" s="456">
        <f t="shared" si="112"/>
        <v>-9651.1667397020592</v>
      </c>
      <c r="CI89" s="456">
        <f t="shared" si="112"/>
        <v>-9670.8673816714054</v>
      </c>
      <c r="CJ89" s="456">
        <f t="shared" si="112"/>
        <v>-9690.6082753605679</v>
      </c>
      <c r="CK89" s="456">
        <f t="shared" si="112"/>
        <v>-9710.3895034254001</v>
      </c>
      <c r="CL89" s="456">
        <f t="shared" si="112"/>
        <v>-9730.2111486917038</v>
      </c>
      <c r="CM89" s="456">
        <f t="shared" si="112"/>
        <v>-9750.0732941556053</v>
      </c>
      <c r="CN89" s="456">
        <f t="shared" si="112"/>
        <v>-9769.9760229837557</v>
      </c>
      <c r="CO89" s="456">
        <f t="shared" si="112"/>
        <v>-9789.9194185138713</v>
      </c>
      <c r="CP89" s="456">
        <f t="shared" si="112"/>
        <v>-9809.9035642549861</v>
      </c>
      <c r="CQ89" s="456">
        <f t="shared" si="112"/>
        <v>-9829.9285438877996</v>
      </c>
      <c r="CR89" s="456">
        <f t="shared" si="112"/>
        <v>-9849.9944412651021</v>
      </c>
      <c r="CS89" s="456">
        <f t="shared" si="112"/>
        <v>-9870.1013404119749</v>
      </c>
      <c r="CT89" s="456">
        <f t="shared" si="112"/>
        <v>-9890.2493255263762</v>
      </c>
      <c r="CU89" s="456">
        <f t="shared" si="112"/>
        <v>-9910.4384809792555</v>
      </c>
      <c r="CV89" s="456">
        <f t="shared" si="112"/>
        <v>-9930.6688913150992</v>
      </c>
      <c r="CW89" s="456">
        <f t="shared" si="112"/>
        <v>-9950.9406412521421</v>
      </c>
      <c r="CX89" s="456">
        <f t="shared" si="112"/>
        <v>-9971.2538156828869</v>
      </c>
      <c r="CY89" s="456">
        <f t="shared" si="112"/>
        <v>-9991.6084996742538</v>
      </c>
      <c r="CZ89" s="456">
        <f t="shared" si="112"/>
        <v>-10012.004778468137</v>
      </c>
      <c r="DA89" s="456">
        <f t="shared" si="112"/>
        <v>-10032.442737481651</v>
      </c>
      <c r="DB89" s="456">
        <f t="shared" ref="DB89:EK89" si="113">-IF(DB8&lt;$H$3,COUNTIFS(DB9:DB86,0)*AVERAGEIFS(DB9:DB86,DB9:DB86,"&gt;0"),DB87*$H$4)</f>
        <v>-10052.922462307544</v>
      </c>
      <c r="DC89" s="456">
        <f t="shared" si="113"/>
        <v>-10073.444038714477</v>
      </c>
      <c r="DD89" s="456">
        <f t="shared" si="113"/>
        <v>-10094.007552647556</v>
      </c>
      <c r="DE89" s="456">
        <f t="shared" si="113"/>
        <v>-10114.613090228437</v>
      </c>
      <c r="DF89" s="456">
        <f t="shared" si="113"/>
        <v>-10135.260737755965</v>
      </c>
      <c r="DG89" s="456">
        <f t="shared" si="113"/>
        <v>-10155.950581706336</v>
      </c>
      <c r="DH89" s="456">
        <f t="shared" si="113"/>
        <v>-10176.682708733599</v>
      </c>
      <c r="DI89" s="456">
        <f t="shared" si="113"/>
        <v>-10197.457205669882</v>
      </c>
      <c r="DJ89" s="456">
        <f t="shared" si="113"/>
        <v>-10218.274159525854</v>
      </c>
      <c r="DK89" s="456">
        <f t="shared" si="113"/>
        <v>-10239.133657491167</v>
      </c>
      <c r="DL89" s="456">
        <f t="shared" si="113"/>
        <v>-10260.035786934586</v>
      </c>
      <c r="DM89" s="456">
        <f t="shared" si="113"/>
        <v>-10280.980635404594</v>
      </c>
      <c r="DN89" s="456">
        <f t="shared" si="113"/>
        <v>-10301.968290629675</v>
      </c>
      <c r="DO89" s="456">
        <f t="shared" si="113"/>
        <v>-10322.998840518627</v>
      </c>
      <c r="DP89" s="456">
        <f t="shared" si="113"/>
        <v>-10344.072373161041</v>
      </c>
      <c r="DQ89" s="456">
        <f t="shared" si="113"/>
        <v>-10365.188976827505</v>
      </c>
      <c r="DR89" s="456">
        <f t="shared" si="113"/>
        <v>-10386.348739970279</v>
      </c>
      <c r="DS89" s="456">
        <f t="shared" si="113"/>
        <v>-10407.551751223291</v>
      </c>
      <c r="DT89" s="456">
        <f t="shared" si="113"/>
        <v>-10428.798099402793</v>
      </c>
      <c r="DU89" s="456">
        <f t="shared" si="113"/>
        <v>-10450.087873507631</v>
      </c>
      <c r="DV89" s="456">
        <f t="shared" si="113"/>
        <v>-10471.421162719627</v>
      </c>
      <c r="DW89" s="456">
        <f t="shared" si="113"/>
        <v>-10492.798056403988</v>
      </c>
      <c r="DX89" s="456">
        <f t="shared" si="113"/>
        <v>-10514.218644109544</v>
      </c>
      <c r="DY89" s="456">
        <f t="shared" si="113"/>
        <v>-10535.683015569346</v>
      </c>
      <c r="DZ89" s="456">
        <f t="shared" si="113"/>
        <v>-10557.191260700942</v>
      </c>
      <c r="EA89" s="456">
        <f t="shared" si="113"/>
        <v>-10578.743469606667</v>
      </c>
      <c r="EB89" s="456">
        <f t="shared" si="113"/>
        <v>-10600.339732574139</v>
      </c>
      <c r="EC89" s="456">
        <f t="shared" si="113"/>
        <v>-10621.980140076648</v>
      </c>
      <c r="ED89" s="456">
        <f t="shared" si="113"/>
        <v>-10643.664782773474</v>
      </c>
      <c r="EE89" s="456">
        <f t="shared" si="113"/>
        <v>-10665.393751510219</v>
      </c>
      <c r="EF89" s="456">
        <f t="shared" si="113"/>
        <v>-10687.167137319382</v>
      </c>
      <c r="EG89" s="456">
        <f t="shared" si="113"/>
        <v>-10708.985031420558</v>
      </c>
      <c r="EH89" s="456">
        <f t="shared" si="113"/>
        <v>-10730.847525220939</v>
      </c>
      <c r="EI89" s="456">
        <f t="shared" si="113"/>
        <v>-10752.754710315519</v>
      </c>
      <c r="EJ89" s="456">
        <f t="shared" si="113"/>
        <v>-10774.706678487804</v>
      </c>
      <c r="EK89" s="456">
        <f t="shared" si="113"/>
        <v>-10796.703521709838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A2D5-81F1-4F70-9836-B44EEE1BC713}">
  <sheetPr>
    <tabColor theme="4"/>
  </sheetPr>
  <dimension ref="B1:EG66"/>
  <sheetViews>
    <sheetView showGridLines="0" topLeftCell="A32" zoomScaleNormal="100" workbookViewId="0">
      <selection activeCell="E34" sqref="E34"/>
    </sheetView>
  </sheetViews>
  <sheetFormatPr defaultColWidth="9.1328125" defaultRowHeight="12.75" x14ac:dyDescent="0.45"/>
  <cols>
    <col min="1" max="1" width="9.1328125" style="1"/>
    <col min="2" max="2" width="19.86328125" style="1" bestFit="1" customWidth="1"/>
    <col min="3" max="3" width="9.1328125" style="1"/>
    <col min="4" max="4" width="1.796875" style="1" customWidth="1"/>
    <col min="5" max="5" width="16.33203125" style="1" bestFit="1" customWidth="1"/>
    <col min="6" max="136" width="12.46484375" style="1" customWidth="1"/>
    <col min="137" max="16384" width="9.1328125" style="1"/>
  </cols>
  <sheetData>
    <row r="1" spans="2:137" x14ac:dyDescent="0.45">
      <c r="S1" s="47" t="s">
        <v>346</v>
      </c>
    </row>
    <row r="2" spans="2:137" x14ac:dyDescent="0.45">
      <c r="S2" s="47"/>
    </row>
    <row r="3" spans="2:137" x14ac:dyDescent="0.45">
      <c r="B3" s="10" t="str">
        <f>+Assumptions!B45</f>
        <v>Units</v>
      </c>
      <c r="C3" s="10">
        <f>+Assumptions!E124</f>
        <v>78</v>
      </c>
      <c r="D3" s="6"/>
      <c r="E3" s="74" t="s">
        <v>67</v>
      </c>
      <c r="F3" s="468" t="s">
        <v>410</v>
      </c>
      <c r="G3" s="468" t="s">
        <v>411</v>
      </c>
      <c r="I3" s="1" t="str">
        <f>Assumptions!B142</f>
        <v>Rehab Time</v>
      </c>
      <c r="K3" s="56">
        <f>Assumptions!G142</f>
        <v>2</v>
      </c>
      <c r="M3" s="1" t="str">
        <f>+Assumptions!B137</f>
        <v>Fair Market</v>
      </c>
      <c r="O3" s="154">
        <f>+Assumptions!E137</f>
        <v>2.5000000000000001E-2</v>
      </c>
      <c r="Q3" s="1" t="s">
        <v>277</v>
      </c>
      <c r="R3" s="24">
        <f>SUMIFS($E$64:$EF$64,E15:EF15,"&lt;=12")</f>
        <v>775561.19905711943</v>
      </c>
      <c r="S3" s="154">
        <f>+R3/Assumptions!$O$3</f>
        <v>5.1704079937141295E-2</v>
      </c>
    </row>
    <row r="4" spans="2:137" x14ac:dyDescent="0.45">
      <c r="B4" s="423" t="s">
        <v>242</v>
      </c>
      <c r="C4" s="444">
        <f>+Assumptions!I124/Assumptions!E124</f>
        <v>1570.7261538461541</v>
      </c>
      <c r="D4" s="6"/>
      <c r="E4" s="1" t="str">
        <f>+Assumptions!B127</f>
        <v>Parking</v>
      </c>
      <c r="F4" s="467">
        <f>+Assumptions!H127</f>
        <v>75</v>
      </c>
      <c r="G4" s="458">
        <f>+Assumptions!E127</f>
        <v>0.95</v>
      </c>
      <c r="I4" s="1" t="str">
        <f>Assumptions!B143</f>
        <v>Lease-up Time</v>
      </c>
      <c r="K4" s="56">
        <f>Assumptions!G143</f>
        <v>2</v>
      </c>
      <c r="M4" s="1" t="str">
        <f>+Assumptions!B138</f>
        <v>Rent Control</v>
      </c>
      <c r="O4" s="154">
        <f>+Assumptions!E138</f>
        <v>0.01</v>
      </c>
      <c r="Q4" s="1" t="s">
        <v>278</v>
      </c>
      <c r="R4" s="24">
        <f>+Assumptions!O53*(1-Assumptions!G148-Assumptions!G147)-Assumptions!K166</f>
        <v>1467910</v>
      </c>
      <c r="S4" s="154">
        <f>+R4/Assumptions!$O$3</f>
        <v>9.7860666666666665E-2</v>
      </c>
    </row>
    <row r="5" spans="2:137" x14ac:dyDescent="0.45">
      <c r="B5" s="444" t="s">
        <v>243</v>
      </c>
      <c r="C5" s="444">
        <f>+Assumptions!J124/Assumptions!E124</f>
        <v>2119.3855128205128</v>
      </c>
      <c r="D5" s="6"/>
      <c r="E5" s="1" t="str">
        <f>+Assumptions!B128</f>
        <v>Storage</v>
      </c>
      <c r="F5" s="467">
        <f>+Assumptions!H128</f>
        <v>40</v>
      </c>
      <c r="G5" s="458">
        <f>+Assumptions!E128</f>
        <v>0.95</v>
      </c>
      <c r="I5" s="1" t="str">
        <f>Assumptions!B146</f>
        <v>Re-Stabilization Occurs</v>
      </c>
      <c r="K5" s="56">
        <f>Assumptions!G146</f>
        <v>31</v>
      </c>
      <c r="M5" s="1" t="str">
        <f>+Assumptions!B139</f>
        <v>Rent Stabilized</v>
      </c>
      <c r="O5" s="154">
        <f>+Assumptions!E139</f>
        <v>0.02</v>
      </c>
      <c r="Q5" s="1" t="s">
        <v>279</v>
      </c>
      <c r="R5" s="227">
        <f>+R3/R4-1</f>
        <v>-0.47165616484858097</v>
      </c>
      <c r="S5" s="154"/>
    </row>
    <row r="6" spans="2:137" x14ac:dyDescent="0.45">
      <c r="B6" s="423" t="str">
        <f>Assumptions!B147</f>
        <v>Bad Debt</v>
      </c>
      <c r="C6" s="474">
        <f>Assumptions!G147</f>
        <v>0.01</v>
      </c>
      <c r="D6" s="6"/>
      <c r="E6" s="1" t="str">
        <f>+Assumptions!B129</f>
        <v>Laundry</v>
      </c>
      <c r="F6" s="467">
        <f>+Assumptions!H129</f>
        <v>11</v>
      </c>
      <c r="G6" s="458">
        <f>+Assumptions!E129</f>
        <v>0.2</v>
      </c>
      <c r="I6" s="1" t="str">
        <f>+Assumptions!G138</f>
        <v>Expense Inflation</v>
      </c>
      <c r="K6" s="154">
        <f>+Assumptions!I138</f>
        <v>0.02</v>
      </c>
      <c r="M6" s="1" t="str">
        <f>+Assumptions!G137</f>
        <v>Amenity Inflation</v>
      </c>
      <c r="O6" s="154">
        <f>+Assumptions!I137</f>
        <v>0.02</v>
      </c>
      <c r="Q6" s="1" t="s">
        <v>288</v>
      </c>
      <c r="R6" s="24" cm="1">
        <f t="array" ref="R6">+INDEX('NOI Walk'!E64:EF64,,MATCH(Assumptions!G146,'NOI Walk'!E15:EF15,0))*12</f>
        <v>1482575.7627143404</v>
      </c>
      <c r="S6" s="154">
        <f>+R6/Assumptions!$O$3</f>
        <v>9.8838384180956029E-2</v>
      </c>
    </row>
    <row r="7" spans="2:137" x14ac:dyDescent="0.45">
      <c r="B7" s="2" t="str">
        <f>+Assumptions!I146</f>
        <v>Ongoing Lease-up Cost</v>
      </c>
      <c r="C7" s="471">
        <f>+Assumptions!K146</f>
        <v>1.6666666666666666E-2</v>
      </c>
      <c r="D7" s="6"/>
      <c r="E7" s="2" t="str">
        <f>+Assumptions!B130</f>
        <v>Gym / Amenity Space</v>
      </c>
      <c r="F7" s="469">
        <f>+Assumptions!H130</f>
        <v>100</v>
      </c>
      <c r="G7" s="470">
        <f>+Assumptions!E130</f>
        <v>0.5</v>
      </c>
    </row>
    <row r="9" spans="2:137" s="459" customFormat="1" ht="10.15" x14ac:dyDescent="0.45">
      <c r="B9" s="459" t="s">
        <v>68</v>
      </c>
      <c r="E9" s="460">
        <f>(1+(MAX($O$3:$O$5)/12))^E15</f>
        <v>1.0020833333333334</v>
      </c>
      <c r="F9" s="460">
        <f>(1+(MAX($O$3:$O$5)/12))^F15</f>
        <v>1.0041710069444447</v>
      </c>
      <c r="G9" s="460">
        <f>(1+(MAX($O$3:$O$5)/12))^G15</f>
        <v>1.006263029875579</v>
      </c>
      <c r="H9" s="460">
        <f>(1+(MAX($O$3:$O$5)/12))^H15</f>
        <v>1.00835941118782</v>
      </c>
      <c r="I9" s="460">
        <f>(1+(MAX($O$3:$O$5)/12))^I15</f>
        <v>1.010460159961128</v>
      </c>
      <c r="J9" s="460">
        <f>(1+(MAX($O$3:$O$5)/12))^J15</f>
        <v>1.0125652852943805</v>
      </c>
      <c r="K9" s="460">
        <f>(1+(MAX($O$3:$O$5)/12))^K15</f>
        <v>1.0146747963054106</v>
      </c>
      <c r="L9" s="460">
        <f>(1+(MAX($O$3:$O$5)/12))^L15</f>
        <v>1.0167887021310471</v>
      </c>
      <c r="M9" s="460">
        <f>(1+(MAX($O$3:$O$5)/12))^M15</f>
        <v>1.0189070119271535</v>
      </c>
      <c r="N9" s="460">
        <f>(1+(MAX($O$3:$O$5)/12))^N15</f>
        <v>1.0210297348686685</v>
      </c>
      <c r="O9" s="460">
        <f>(1+(MAX($O$3:$O$5)/12))^O15</f>
        <v>1.0231568801496451</v>
      </c>
      <c r="P9" s="460">
        <f>(1+(MAX($O$3:$O$5)/12))^P15</f>
        <v>1.0252884569832903</v>
      </c>
      <c r="Q9" s="460">
        <f>(1+(MAX($O$3:$O$5)/12))^Q15</f>
        <v>1.0274244746020056</v>
      </c>
      <c r="R9" s="460">
        <f>(1+(MAX($O$3:$O$5)/12))^R15</f>
        <v>1.0295649422574267</v>
      </c>
      <c r="S9" s="460">
        <f>(1+(MAX($O$3:$O$5)/12))^S15</f>
        <v>1.0317098692204629</v>
      </c>
      <c r="T9" s="460">
        <f>(1+(MAX($O$3:$O$5)/12))^T15</f>
        <v>1.0338592647813392</v>
      </c>
      <c r="U9" s="460">
        <f>(1+(MAX($O$3:$O$5)/12))^U15</f>
        <v>1.0360131382496338</v>
      </c>
      <c r="V9" s="460">
        <f>(1+(MAX($O$3:$O$5)/12))^V15</f>
        <v>1.0381714989543207</v>
      </c>
      <c r="W9" s="460">
        <f>(1+(MAX($O$3:$O$5)/12))^W15</f>
        <v>1.0403343562438088</v>
      </c>
      <c r="X9" s="460">
        <f>(1+(MAX($O$3:$O$5)/12))^X15</f>
        <v>1.0425017194859836</v>
      </c>
      <c r="Y9" s="460">
        <f>(1+(MAX($O$3:$O$5)/12))^Y15</f>
        <v>1.0446735980682462</v>
      </c>
      <c r="Z9" s="460">
        <f>(1+(MAX($O$3:$O$5)/12))^Z15</f>
        <v>1.0468500013975552</v>
      </c>
      <c r="AA9" s="460">
        <f>(1+(MAX($O$3:$O$5)/12))^AA15</f>
        <v>1.0490309389004668</v>
      </c>
      <c r="AB9" s="460">
        <f>(1+(MAX($O$3:$O$5)/12))^AB15</f>
        <v>1.0512164200231764</v>
      </c>
      <c r="AC9" s="460">
        <f>(1+(MAX($O$3:$O$5)/12))^AC15</f>
        <v>1.053406454231558</v>
      </c>
      <c r="AD9" s="460">
        <f>(1+(MAX($O$3:$O$5)/12))^AD15</f>
        <v>1.0556010510112073</v>
      </c>
      <c r="AE9" s="460">
        <f>(1+(MAX($O$3:$O$5)/12))^AE15</f>
        <v>1.057800219867481</v>
      </c>
      <c r="AF9" s="460">
        <f>(1+(MAX($O$3:$O$5)/12))^AF15</f>
        <v>1.0600039703255382</v>
      </c>
      <c r="AG9" s="460">
        <f>(1+(MAX($O$3:$O$5)/12))^AG15</f>
        <v>1.0622123119303832</v>
      </c>
      <c r="AH9" s="460">
        <f>(1+(MAX($O$3:$O$5)/12))^AH15</f>
        <v>1.064425254246905</v>
      </c>
      <c r="AI9" s="460">
        <f>(1+(MAX($O$3:$O$5)/12))^AI15</f>
        <v>1.0666428068599194</v>
      </c>
      <c r="AJ9" s="460">
        <f>(1+(MAX($O$3:$O$5)/12))^AJ15</f>
        <v>1.0688649793742111</v>
      </c>
      <c r="AK9" s="460">
        <f>(1+(MAX($O$3:$O$5)/12))^AK15</f>
        <v>1.0710917814145742</v>
      </c>
      <c r="AL9" s="460">
        <f>(1+(MAX($O$3:$O$5)/12))^AL15</f>
        <v>1.0733232226258547</v>
      </c>
      <c r="AM9" s="460">
        <f>(1+(MAX($O$3:$O$5)/12))^AM15</f>
        <v>1.0755593126729919</v>
      </c>
      <c r="AN9" s="460">
        <f>(1+(MAX($O$3:$O$5)/12))^AN15</f>
        <v>1.077800061241061</v>
      </c>
      <c r="AO9" s="460">
        <f>(1+(MAX($O$3:$O$5)/12))^AO15</f>
        <v>1.0800454780353133</v>
      </c>
      <c r="AP9" s="460">
        <f>(1+(MAX($O$3:$O$5)/12))^AP15</f>
        <v>1.0822955727812202</v>
      </c>
      <c r="AQ9" s="460">
        <f>(1+(MAX($O$3:$O$5)/12))^AQ15</f>
        <v>1.0845503552245146</v>
      </c>
      <c r="AR9" s="460">
        <f>(1+(MAX($O$3:$O$5)/12))^AR15</f>
        <v>1.0868098351312325</v>
      </c>
      <c r="AS9" s="460">
        <f>(1+(MAX($O$3:$O$5)/12))^AS15</f>
        <v>1.089074022287756</v>
      </c>
      <c r="AT9" s="460">
        <f>(1+(MAX($O$3:$O$5)/12))^AT15</f>
        <v>1.0913429265008556</v>
      </c>
      <c r="AU9" s="460">
        <f>(1+(MAX($O$3:$O$5)/12))^AU15</f>
        <v>1.0936165575977326</v>
      </c>
      <c r="AV9" s="460">
        <f>(1+(MAX($O$3:$O$5)/12))^AV15</f>
        <v>1.0958949254260613</v>
      </c>
      <c r="AW9" s="460">
        <f>(1+(MAX($O$3:$O$5)/12))^AW15</f>
        <v>1.0981780398540324</v>
      </c>
      <c r="AX9" s="460">
        <f>(1+(MAX($O$3:$O$5)/12))^AX15</f>
        <v>1.1004659107703951</v>
      </c>
      <c r="AY9" s="460">
        <f>(1+(MAX($O$3:$O$5)/12))^AY15</f>
        <v>1.1027585480845001</v>
      </c>
      <c r="AZ9" s="460">
        <f>(1+(MAX($O$3:$O$5)/12))^AZ15</f>
        <v>1.1050559617263431</v>
      </c>
      <c r="BA9" s="460">
        <f>(1+(MAX($O$3:$O$5)/12))^BA15</f>
        <v>1.1073581616466066</v>
      </c>
      <c r="BB9" s="460">
        <f>(1+(MAX($O$3:$O$5)/12))^BB15</f>
        <v>1.1096651578167038</v>
      </c>
      <c r="BC9" s="460">
        <f>(1+(MAX($O$3:$O$5)/12))^BC15</f>
        <v>1.1119769602288219</v>
      </c>
      <c r="BD9" s="460">
        <f>(1+(MAX($O$3:$O$5)/12))^BD15</f>
        <v>1.1142935788959654</v>
      </c>
      <c r="BE9" s="460">
        <f>(1+(MAX($O$3:$O$5)/12))^BE15</f>
        <v>1.116615023851999</v>
      </c>
      <c r="BF9" s="460">
        <f>(1+(MAX($O$3:$O$5)/12))^BF15</f>
        <v>1.1189413051516908</v>
      </c>
      <c r="BG9" s="460">
        <f>(1+(MAX($O$3:$O$5)/12))^BG15</f>
        <v>1.1212724328707568</v>
      </c>
      <c r="BH9" s="460">
        <f>(1+(MAX($O$3:$O$5)/12))^BH15</f>
        <v>1.1236084171059044</v>
      </c>
      <c r="BI9" s="460">
        <f>(1+(MAX($O$3:$O$5)/12))^BI15</f>
        <v>1.125949267974875</v>
      </c>
      <c r="BJ9" s="460">
        <f>(1+(MAX($O$3:$O$5)/12))^BJ15</f>
        <v>1.1282949956164896</v>
      </c>
      <c r="BK9" s="460">
        <f>(1+(MAX($O$3:$O$5)/12))^BK15</f>
        <v>1.130645610190691</v>
      </c>
      <c r="BL9" s="460">
        <f>(1+(MAX($O$3:$O$5)/12))^BL15</f>
        <v>1.1330011218785883</v>
      </c>
      <c r="BM9" s="460">
        <f>(1+(MAX($O$3:$O$5)/12))^BM15</f>
        <v>1.1353615408825022</v>
      </c>
      <c r="BN9" s="460">
        <f>(1+(MAX($O$3:$O$5)/12))^BN15</f>
        <v>1.1377268774260076</v>
      </c>
      <c r="BO9" s="460">
        <f>(1+(MAX($O$3:$O$5)/12))^BO15</f>
        <v>1.1400971417539785</v>
      </c>
      <c r="BP9" s="460">
        <f>(1+(MAX($O$3:$O$5)/12))^BP15</f>
        <v>1.1424723441326328</v>
      </c>
      <c r="BQ9" s="460">
        <f>(1+(MAX($O$3:$O$5)/12))^BQ15</f>
        <v>1.144852494849576</v>
      </c>
      <c r="BR9" s="460">
        <f>(1+(MAX($O$3:$O$5)/12))^BR15</f>
        <v>1.1472376042138459</v>
      </c>
      <c r="BS9" s="460">
        <f>(1+(MAX($O$3:$O$5)/12))^BS15</f>
        <v>1.1496276825559582</v>
      </c>
      <c r="BT9" s="460">
        <f>(1+(MAX($O$3:$O$5)/12))^BT15</f>
        <v>1.1520227402279501</v>
      </c>
      <c r="BU9" s="460">
        <f>(1+(MAX($O$3:$O$5)/12))^BU15</f>
        <v>1.154422787603425</v>
      </c>
      <c r="BV9" s="460">
        <f>(1+(MAX($O$3:$O$5)/12))^BV15</f>
        <v>1.1568278350775989</v>
      </c>
      <c r="BW9" s="460">
        <f>(1+(MAX($O$3:$O$5)/12))^BW15</f>
        <v>1.1592378930673441</v>
      </c>
      <c r="BX9" s="460">
        <f>(1+(MAX($O$3:$O$5)/12))^BX15</f>
        <v>1.1616529720112347</v>
      </c>
      <c r="BY9" s="460">
        <f>(1+(MAX($O$3:$O$5)/12))^BY15</f>
        <v>1.1640730823695915</v>
      </c>
      <c r="BZ9" s="460">
        <f>(1+(MAX($O$3:$O$5)/12))^BZ15</f>
        <v>1.1664982346245283</v>
      </c>
      <c r="CA9" s="460">
        <f>(1+(MAX($O$3:$O$5)/12))^CA15</f>
        <v>1.1689284392799963</v>
      </c>
      <c r="CB9" s="460">
        <f>(1+(MAX($O$3:$O$5)/12))^CB15</f>
        <v>1.1713637068618297</v>
      </c>
      <c r="CC9" s="460">
        <f>(1+(MAX($O$3:$O$5)/12))^CC15</f>
        <v>1.173804047917792</v>
      </c>
      <c r="CD9" s="460">
        <f>(1+(MAX($O$3:$O$5)/12))^CD15</f>
        <v>1.176249473017621</v>
      </c>
      <c r="CE9" s="460">
        <f>(1+(MAX($O$3:$O$5)/12))^CE15</f>
        <v>1.1786999927530744</v>
      </c>
      <c r="CF9" s="460">
        <f>(1+(MAX($O$3:$O$5)/12))^CF15</f>
        <v>1.1811556177379767</v>
      </c>
      <c r="CG9" s="460">
        <f>(1+(MAX($O$3:$O$5)/12))^CG15</f>
        <v>1.1836163586082644</v>
      </c>
      <c r="CH9" s="460">
        <f>(1+(MAX($O$3:$O$5)/12))^CH15</f>
        <v>1.1860822260220318</v>
      </c>
      <c r="CI9" s="460">
        <f>(1+(MAX($O$3:$O$5)/12))^CI15</f>
        <v>1.1885532306595776</v>
      </c>
      <c r="CJ9" s="460">
        <f>(1+(MAX($O$3:$O$5)/12))^CJ15</f>
        <v>1.191029383223452</v>
      </c>
      <c r="CK9" s="460">
        <f>(1+(MAX($O$3:$O$5)/12))^CK15</f>
        <v>1.193510694438501</v>
      </c>
      <c r="CL9" s="460">
        <f>(1+(MAX($O$3:$O$5)/12))^CL15</f>
        <v>1.1959971750519147</v>
      </c>
      <c r="CM9" s="460">
        <f>(1+(MAX($O$3:$O$5)/12))^CM15</f>
        <v>1.198488835833273</v>
      </c>
      <c r="CN9" s="460">
        <f>(1+(MAX($O$3:$O$5)/12))^CN15</f>
        <v>1.2009856875745926</v>
      </c>
      <c r="CO9" s="460">
        <f>(1+(MAX($O$3:$O$5)/12))^CO15</f>
        <v>1.203487741090373</v>
      </c>
      <c r="CP9" s="460">
        <f>(1+(MAX($O$3:$O$5)/12))^CP15</f>
        <v>1.2059950072176449</v>
      </c>
      <c r="CQ9" s="460">
        <f>(1+(MAX($O$3:$O$5)/12))^CQ15</f>
        <v>1.2085074968160152</v>
      </c>
      <c r="CR9" s="460">
        <f>(1+(MAX($O$3:$O$5)/12))^CR15</f>
        <v>1.2110252207677152</v>
      </c>
      <c r="CS9" s="460">
        <f>(1+(MAX($O$3:$O$5)/12))^CS15</f>
        <v>1.2135481899776484</v>
      </c>
      <c r="CT9" s="460">
        <f>(1+(MAX($O$3:$O$5)/12))^CT15</f>
        <v>1.2160764153734351</v>
      </c>
      <c r="CU9" s="460">
        <f>(1+(MAX($O$3:$O$5)/12))^CU15</f>
        <v>1.2186099079054633</v>
      </c>
      <c r="CV9" s="460">
        <f>(1+(MAX($O$3:$O$5)/12))^CV15</f>
        <v>1.2211486785469332</v>
      </c>
      <c r="CW9" s="460">
        <f>(1+(MAX($O$3:$O$5)/12))^CW15</f>
        <v>1.223692738293906</v>
      </c>
      <c r="CX9" s="460">
        <f>(1+(MAX($O$3:$O$5)/12))^CX15</f>
        <v>1.2262420981653519</v>
      </c>
      <c r="CY9" s="460">
        <f>(1+(MAX($O$3:$O$5)/12))^CY15</f>
        <v>1.2287967692031962</v>
      </c>
      <c r="CZ9" s="460">
        <f>(1+(MAX($O$3:$O$5)/12))^CZ15</f>
        <v>1.23135676247237</v>
      </c>
      <c r="DA9" s="460">
        <f>(1+(MAX($O$3:$O$5)/12))^DA15</f>
        <v>1.2339220890608542</v>
      </c>
      <c r="DB9" s="460">
        <f>(1+(MAX($O$3:$O$5)/12))^DB15</f>
        <v>1.2364927600797311</v>
      </c>
      <c r="DC9" s="460">
        <f>(1+(MAX($O$3:$O$5)/12))^DC15</f>
        <v>1.2390687866632308</v>
      </c>
      <c r="DD9" s="460">
        <f>(1+(MAX($O$3:$O$5)/12))^DD15</f>
        <v>1.2416501799687794</v>
      </c>
      <c r="DE9" s="460">
        <f>(1+(MAX($O$3:$O$5)/12))^DE15</f>
        <v>1.2442369511770477</v>
      </c>
      <c r="DF9" s="460">
        <f>(1+(MAX($O$3:$O$5)/12))^DF15</f>
        <v>1.246829111492</v>
      </c>
      <c r="DG9" s="460">
        <f>(1+(MAX($O$3:$O$5)/12))^DG15</f>
        <v>1.2494266721409419</v>
      </c>
      <c r="DH9" s="460">
        <f>(1+(MAX($O$3:$O$5)/12))^DH15</f>
        <v>1.2520296443745691</v>
      </c>
      <c r="DI9" s="460">
        <f>(1+(MAX($O$3:$O$5)/12))^DI15</f>
        <v>1.2546380394670162</v>
      </c>
      <c r="DJ9" s="460">
        <f>(1+(MAX($O$3:$O$5)/12))^DJ15</f>
        <v>1.257251868715906</v>
      </c>
      <c r="DK9" s="460">
        <f>(1+(MAX($O$3:$O$5)/12))^DK15</f>
        <v>1.2598711434423975</v>
      </c>
      <c r="DL9" s="460">
        <f>(1+(MAX($O$3:$O$5)/12))^DL15</f>
        <v>1.2624958749912361</v>
      </c>
      <c r="DM9" s="460">
        <f>(1+(MAX($O$3:$O$5)/12))^DM15</f>
        <v>1.2651260747308015</v>
      </c>
      <c r="DN9" s="460">
        <f>(1+(MAX($O$3:$O$5)/12))^DN15</f>
        <v>1.2677617540531576</v>
      </c>
      <c r="DO9" s="460">
        <f>(1+(MAX($O$3:$O$5)/12))^DO15</f>
        <v>1.2704029243741015</v>
      </c>
      <c r="DP9" s="460">
        <f>(1+(MAX($O$3:$O$5)/12))^DP15</f>
        <v>1.2730495971332143</v>
      </c>
      <c r="DQ9" s="460">
        <f>(1+(MAX($O$3:$O$5)/12))^DQ15</f>
        <v>1.2757017837939089</v>
      </c>
      <c r="DR9" s="460">
        <f>(1+(MAX($O$3:$O$5)/12))^DR15</f>
        <v>1.2783594958434796</v>
      </c>
      <c r="DS9" s="460">
        <f>(1+(MAX($O$3:$O$5)/12))^DS15</f>
        <v>1.2810227447931537</v>
      </c>
      <c r="DT9" s="460">
        <f>(1+(MAX($O$3:$O$5)/12))^DT15</f>
        <v>1.2836915421781396</v>
      </c>
      <c r="DU9" s="460">
        <f>(1+(MAX($O$3:$O$5)/12))^DU15</f>
        <v>1.2863658995576774</v>
      </c>
      <c r="DV9" s="460">
        <f>(1+(MAX($O$3:$O$5)/12))^DV15</f>
        <v>1.2890458285150894</v>
      </c>
      <c r="DW9" s="460">
        <f>(1+(MAX($O$3:$O$5)/12))^DW15</f>
        <v>1.2917313406578297</v>
      </c>
      <c r="DX9" s="460">
        <f>(1+(MAX($O$3:$O$5)/12))^DX15</f>
        <v>1.2944224476175334</v>
      </c>
      <c r="DY9" s="460">
        <f>(1+(MAX($O$3:$O$5)/12))^DY15</f>
        <v>1.2971191610500703</v>
      </c>
      <c r="DZ9" s="460">
        <f>(1+(MAX($O$3:$O$5)/12))^DZ15</f>
        <v>1.2998214926355915</v>
      </c>
      <c r="EA9" s="460">
        <f>(1+(MAX($O$3:$O$5)/12))^EA15</f>
        <v>1.3025294540785823</v>
      </c>
      <c r="EB9" s="460">
        <f>(1+(MAX($O$3:$O$5)/12))^EB15</f>
        <v>1.3052430571079128</v>
      </c>
      <c r="EC9" s="460">
        <f>(1+(MAX($O$3:$O$5)/12))^EC15</f>
        <v>1.3079623134768876</v>
      </c>
      <c r="ED9" s="460">
        <f>(1+(MAX($O$3:$O$5)/12))^ED15</f>
        <v>1.3106872349632981</v>
      </c>
      <c r="EE9" s="460">
        <f>(1+(MAX($O$3:$O$5)/12))^EE15</f>
        <v>1.3134178333694717</v>
      </c>
      <c r="EF9" s="460">
        <f>(1+(MAX($O$3:$O$5)/12))^EF15</f>
        <v>1.3161541205223251</v>
      </c>
    </row>
    <row r="10" spans="2:137" s="459" customFormat="1" ht="10.15" x14ac:dyDescent="0.45">
      <c r="B10" s="459" t="s">
        <v>69</v>
      </c>
      <c r="E10" s="460">
        <f>(1+($O$6/12))^E15</f>
        <v>1.0016666666666667</v>
      </c>
      <c r="F10" s="460">
        <f>(1+($O$6/12))^F15</f>
        <v>1.0033361111111112</v>
      </c>
      <c r="G10" s="460">
        <f>(1+($O$6/12))^G15</f>
        <v>1.0050083379629631</v>
      </c>
      <c r="H10" s="460">
        <f>(1+($O$6/12))^H15</f>
        <v>1.0066833518595681</v>
      </c>
      <c r="I10" s="460">
        <f>(1+($O$6/12))^I15</f>
        <v>1.0083611574460007</v>
      </c>
      <c r="J10" s="460">
        <f>(1+($O$6/12))^J15</f>
        <v>1.0100417593750775</v>
      </c>
      <c r="K10" s="460">
        <f>(1+($O$6/12))^K15</f>
        <v>1.0117251623073693</v>
      </c>
      <c r="L10" s="460">
        <f>(1+($O$6/12))^L15</f>
        <v>1.0134113709112151</v>
      </c>
      <c r="M10" s="460">
        <f>(1+($O$6/12))^M15</f>
        <v>1.0151003898627338</v>
      </c>
      <c r="N10" s="460">
        <f>(1+($O$6/12))^N15</f>
        <v>1.0167922238458384</v>
      </c>
      <c r="O10" s="460">
        <f>(1+($O$6/12))^O15</f>
        <v>1.0184868775522482</v>
      </c>
      <c r="P10" s="460">
        <f>(1+($O$6/12))^P15</f>
        <v>1.020184355681502</v>
      </c>
      <c r="Q10" s="460">
        <f>(1+($O$6/12))^Q15</f>
        <v>1.0218846629409712</v>
      </c>
      <c r="R10" s="460">
        <f>(1+($O$6/12))^R15</f>
        <v>1.023587804045873</v>
      </c>
      <c r="S10" s="460">
        <f>(1+($O$6/12))^S15</f>
        <v>1.0252937837192828</v>
      </c>
      <c r="T10" s="460">
        <f>(1+($O$6/12))^T15</f>
        <v>1.0270026066921485</v>
      </c>
      <c r="U10" s="460">
        <f>(1+($O$6/12))^U15</f>
        <v>1.028714277703302</v>
      </c>
      <c r="V10" s="460">
        <f>(1+($O$6/12))^V15</f>
        <v>1.0304288014994742</v>
      </c>
      <c r="W10" s="460">
        <f>(1+($O$6/12))^W15</f>
        <v>1.0321461828353069</v>
      </c>
      <c r="X10" s="460">
        <f>(1+($O$6/12))^X15</f>
        <v>1.0338664264733657</v>
      </c>
      <c r="Y10" s="460">
        <f>(1+($O$6/12))^Y15</f>
        <v>1.0355895371841548</v>
      </c>
      <c r="Z10" s="460">
        <f>(1+($O$6/12))^Z15</f>
        <v>1.0373155197461283</v>
      </c>
      <c r="AA10" s="460">
        <f>(1+($O$6/12))^AA15</f>
        <v>1.0390443789457053</v>
      </c>
      <c r="AB10" s="460">
        <f>(1+($O$6/12))^AB15</f>
        <v>1.0407761195772818</v>
      </c>
      <c r="AC10" s="460">
        <f>(1+($O$6/12))^AC15</f>
        <v>1.0425107464432437</v>
      </c>
      <c r="AD10" s="460">
        <f>(1+($O$6/12))^AD15</f>
        <v>1.0442482643539825</v>
      </c>
      <c r="AE10" s="460">
        <f>(1+($O$6/12))^AE15</f>
        <v>1.045988678127906</v>
      </c>
      <c r="AF10" s="460">
        <f>(1+($O$6/12))^AF15</f>
        <v>1.0477319925914526</v>
      </c>
      <c r="AG10" s="460">
        <f>(1+($O$6/12))^AG15</f>
        <v>1.0494782125791051</v>
      </c>
      <c r="AH10" s="460">
        <f>(1+($O$6/12))^AH15</f>
        <v>1.0512273429334036</v>
      </c>
      <c r="AI10" s="460">
        <f>(1+($O$6/12))^AI15</f>
        <v>1.0529793885049594</v>
      </c>
      <c r="AJ10" s="460">
        <f>(1+($O$6/12))^AJ15</f>
        <v>1.0547343541524679</v>
      </c>
      <c r="AK10" s="460">
        <f>(1+($O$6/12))^AK15</f>
        <v>1.0564922447427221</v>
      </c>
      <c r="AL10" s="460">
        <f>(1+($O$6/12))^AL15</f>
        <v>1.0582530651506266</v>
      </c>
      <c r="AM10" s="460">
        <f>(1+($O$6/12))^AM15</f>
        <v>1.0600168202592111</v>
      </c>
      <c r="AN10" s="460">
        <f>(1+($O$6/12))^AN15</f>
        <v>1.0617835149596431</v>
      </c>
      <c r="AO10" s="460">
        <f>(1+($O$6/12))^AO15</f>
        <v>1.0635531541512426</v>
      </c>
      <c r="AP10" s="460">
        <f>(1+($O$6/12))^AP15</f>
        <v>1.0653257427414946</v>
      </c>
      <c r="AQ10" s="460">
        <f>(1+($O$6/12))^AQ15</f>
        <v>1.067101285646064</v>
      </c>
      <c r="AR10" s="460">
        <f>(1+($O$6/12))^AR15</f>
        <v>1.0688797877888077</v>
      </c>
      <c r="AS10" s="460">
        <f>(1+($O$6/12))^AS15</f>
        <v>1.0706612541017888</v>
      </c>
      <c r="AT10" s="460">
        <f>(1+($O$6/12))^AT15</f>
        <v>1.0724456895252918</v>
      </c>
      <c r="AU10" s="460">
        <f>(1+($O$6/12))^AU15</f>
        <v>1.0742330990078341</v>
      </c>
      <c r="AV10" s="460">
        <f>(1+($O$6/12))^AV15</f>
        <v>1.0760234875061805</v>
      </c>
      <c r="AW10" s="460">
        <f>(1+($O$6/12))^AW15</f>
        <v>1.0778168599853577</v>
      </c>
      <c r="AX10" s="460">
        <f>(1+($O$6/12))^AX15</f>
        <v>1.0796132214186667</v>
      </c>
      <c r="AY10" s="460">
        <f>(1+($O$6/12))^AY15</f>
        <v>1.0814125767876979</v>
      </c>
      <c r="AZ10" s="460">
        <f>(1+($O$6/12))^AZ15</f>
        <v>1.0832149310823442</v>
      </c>
      <c r="BA10" s="460">
        <f>(1+($O$6/12))^BA15</f>
        <v>1.0850202893008147</v>
      </c>
      <c r="BB10" s="460">
        <f>(1+($O$6/12))^BB15</f>
        <v>1.0868286564496494</v>
      </c>
      <c r="BC10" s="460">
        <f>(1+($O$6/12))^BC15</f>
        <v>1.0886400375437324</v>
      </c>
      <c r="BD10" s="460">
        <f>(1+($O$6/12))^BD15</f>
        <v>1.0904544376063052</v>
      </c>
      <c r="BE10" s="460">
        <f>(1+($O$6/12))^BE15</f>
        <v>1.0922718616689826</v>
      </c>
      <c r="BF10" s="460">
        <f>(1+($O$6/12))^BF15</f>
        <v>1.0940923147717643</v>
      </c>
      <c r="BG10" s="460">
        <f>(1+($O$6/12))^BG15</f>
        <v>1.0959158019630506</v>
      </c>
      <c r="BH10" s="460">
        <f>(1+($O$6/12))^BH15</f>
        <v>1.0977423282996559</v>
      </c>
      <c r="BI10" s="460">
        <f>(1+($O$6/12))^BI15</f>
        <v>1.0995718988468219</v>
      </c>
      <c r="BJ10" s="460">
        <f>(1+($O$6/12))^BJ15</f>
        <v>1.1014045186782333</v>
      </c>
      <c r="BK10" s="460">
        <f>(1+($O$6/12))^BK15</f>
        <v>1.1032401928760305</v>
      </c>
      <c r="BL10" s="460">
        <f>(1+($O$6/12))^BL15</f>
        <v>1.1050789265308238</v>
      </c>
      <c r="BM10" s="460">
        <f>(1+($O$6/12))^BM15</f>
        <v>1.1069207247417088</v>
      </c>
      <c r="BN10" s="460">
        <f>(1+($O$6/12))^BN15</f>
        <v>1.1087655926162783</v>
      </c>
      <c r="BO10" s="460">
        <f>(1+($O$6/12))^BO15</f>
        <v>1.110613535270639</v>
      </c>
      <c r="BP10" s="460">
        <f>(1+($O$6/12))^BP15</f>
        <v>1.1124645578294234</v>
      </c>
      <c r="BQ10" s="460">
        <f>(1+($O$6/12))^BQ15</f>
        <v>1.1143186654258059</v>
      </c>
      <c r="BR10" s="460">
        <f>(1+($O$6/12))^BR15</f>
        <v>1.1161758632015155</v>
      </c>
      <c r="BS10" s="460">
        <f>(1+($O$6/12))^BS15</f>
        <v>1.1180361563068515</v>
      </c>
      <c r="BT10" s="460">
        <f>(1+($O$6/12))^BT15</f>
        <v>1.1198995499006963</v>
      </c>
      <c r="BU10" s="460">
        <f>(1+($O$6/12))^BU15</f>
        <v>1.1217660491505308</v>
      </c>
      <c r="BV10" s="460">
        <f>(1+($O$6/12))^BV15</f>
        <v>1.1236356592324483</v>
      </c>
      <c r="BW10" s="460">
        <f>(1+($O$6/12))^BW15</f>
        <v>1.1255083853311691</v>
      </c>
      <c r="BX10" s="460">
        <f>(1+($O$6/12))^BX15</f>
        <v>1.1273842326400547</v>
      </c>
      <c r="BY10" s="460">
        <f>(1+($O$6/12))^BY15</f>
        <v>1.1292632063611214</v>
      </c>
      <c r="BZ10" s="460">
        <f>(1+($O$6/12))^BZ15</f>
        <v>1.1311453117050567</v>
      </c>
      <c r="CA10" s="460">
        <f>(1+($O$6/12))^CA15</f>
        <v>1.133030553891232</v>
      </c>
      <c r="CB10" s="460">
        <f>(1+($O$6/12))^CB15</f>
        <v>1.1349189381477174</v>
      </c>
      <c r="CC10" s="460">
        <f>(1+($O$6/12))^CC15</f>
        <v>1.1368104697112971</v>
      </c>
      <c r="CD10" s="460">
        <f>(1+($O$6/12))^CD15</f>
        <v>1.1387051538274826</v>
      </c>
      <c r="CE10" s="460">
        <f>(1+($O$6/12))^CE15</f>
        <v>1.1406029957505284</v>
      </c>
      <c r="CF10" s="460">
        <f>(1+($O$6/12))^CF15</f>
        <v>1.1425040007434462</v>
      </c>
      <c r="CG10" s="460">
        <f>(1+($O$6/12))^CG15</f>
        <v>1.1444081740780185</v>
      </c>
      <c r="CH10" s="460">
        <f>(1+($O$6/12))^CH15</f>
        <v>1.1463155210348153</v>
      </c>
      <c r="CI10" s="460">
        <f>(1+($O$6/12))^CI15</f>
        <v>1.1482260469032068</v>
      </c>
      <c r="CJ10" s="460">
        <f>(1+($O$6/12))^CJ15</f>
        <v>1.1501397569813789</v>
      </c>
      <c r="CK10" s="460">
        <f>(1+($O$6/12))^CK15</f>
        <v>1.1520566565763481</v>
      </c>
      <c r="CL10" s="460">
        <f>(1+($O$6/12))^CL15</f>
        <v>1.1539767510039751</v>
      </c>
      <c r="CM10" s="460">
        <f>(1+($O$6/12))^CM15</f>
        <v>1.1559000455889821</v>
      </c>
      <c r="CN10" s="460">
        <f>(1+($O$6/12))^CN15</f>
        <v>1.1578265456649639</v>
      </c>
      <c r="CO10" s="460">
        <f>(1+($O$6/12))^CO15</f>
        <v>1.1597562565744053</v>
      </c>
      <c r="CP10" s="460">
        <f>(1+($O$6/12))^CP15</f>
        <v>1.161689183668696</v>
      </c>
      <c r="CQ10" s="460">
        <f>(1+($O$6/12))^CQ15</f>
        <v>1.163625332308144</v>
      </c>
      <c r="CR10" s="460">
        <f>(1+($O$6/12))^CR15</f>
        <v>1.1655647078619911</v>
      </c>
      <c r="CS10" s="460">
        <f>(1+($O$6/12))^CS15</f>
        <v>1.1675073157084279</v>
      </c>
      <c r="CT10" s="460">
        <f>(1+($O$6/12))^CT15</f>
        <v>1.1694531612346084</v>
      </c>
      <c r="CU10" s="460">
        <f>(1+($O$6/12))^CU15</f>
        <v>1.1714022498366663</v>
      </c>
      <c r="CV10" s="460">
        <f>(1+($O$6/12))^CV15</f>
        <v>1.1733545869197277</v>
      </c>
      <c r="CW10" s="460">
        <f>(1+($O$6/12))^CW15</f>
        <v>1.1753101778979274</v>
      </c>
      <c r="CX10" s="460">
        <f>(1+($O$6/12))^CX15</f>
        <v>1.1772690281944238</v>
      </c>
      <c r="CY10" s="460">
        <f>(1+($O$6/12))^CY15</f>
        <v>1.1792311432414146</v>
      </c>
      <c r="CZ10" s="460">
        <f>(1+($O$6/12))^CZ15</f>
        <v>1.1811965284801504</v>
      </c>
      <c r="DA10" s="460">
        <f>(1+($O$6/12))^DA15</f>
        <v>1.1831651893609507</v>
      </c>
      <c r="DB10" s="460">
        <f>(1+($O$6/12))^DB15</f>
        <v>1.1851371313432189</v>
      </c>
      <c r="DC10" s="460">
        <f>(1+($O$6/12))^DC15</f>
        <v>1.1871123598954578</v>
      </c>
      <c r="DD10" s="460">
        <f>(1+($O$6/12))^DD15</f>
        <v>1.1890908804952838</v>
      </c>
      <c r="DE10" s="460">
        <f>(1+($O$6/12))^DE15</f>
        <v>1.1910726986294424</v>
      </c>
      <c r="DF10" s="460">
        <f>(1+($O$6/12))^DF15</f>
        <v>1.1930578197938249</v>
      </c>
      <c r="DG10" s="460">
        <f>(1+($O$6/12))^DG15</f>
        <v>1.1950462494934815</v>
      </c>
      <c r="DH10" s="460">
        <f>(1+($O$6/12))^DH15</f>
        <v>1.1970379932426372</v>
      </c>
      <c r="DI10" s="460">
        <f>(1+($O$6/12))^DI15</f>
        <v>1.1990330565647085</v>
      </c>
      <c r="DJ10" s="460">
        <f>(1+($O$6/12))^DJ15</f>
        <v>1.2010314449923165</v>
      </c>
      <c r="DK10" s="460">
        <f>(1+($O$6/12))^DK15</f>
        <v>1.2030331640673038</v>
      </c>
      <c r="DL10" s="460">
        <f>(1+($O$6/12))^DL15</f>
        <v>1.2050382193407494</v>
      </c>
      <c r="DM10" s="460">
        <f>(1+($O$6/12))^DM15</f>
        <v>1.207046616372984</v>
      </c>
      <c r="DN10" s="460">
        <f>(1+($O$6/12))^DN15</f>
        <v>1.2090583607336056</v>
      </c>
      <c r="DO10" s="460">
        <f>(1+($O$6/12))^DO15</f>
        <v>1.2110734580014952</v>
      </c>
      <c r="DP10" s="460">
        <f>(1+($O$6/12))^DP15</f>
        <v>1.2130919137648311</v>
      </c>
      <c r="DQ10" s="460">
        <f>(1+($O$6/12))^DQ15</f>
        <v>1.215113733621106</v>
      </c>
      <c r="DR10" s="460">
        <f>(1+($O$6/12))^DR15</f>
        <v>1.217138923177141</v>
      </c>
      <c r="DS10" s="460">
        <f>(1+($O$6/12))^DS15</f>
        <v>1.219167488049103</v>
      </c>
      <c r="DT10" s="460">
        <f>(1+($O$6/12))^DT15</f>
        <v>1.2211994338625185</v>
      </c>
      <c r="DU10" s="460">
        <f>(1+($O$6/12))^DU15</f>
        <v>1.2232347662522893</v>
      </c>
      <c r="DV10" s="460">
        <f>(1+($O$6/12))^DV15</f>
        <v>1.2252734908627099</v>
      </c>
      <c r="DW10" s="460">
        <f>(1+($O$6/12))^DW15</f>
        <v>1.2273156133474812</v>
      </c>
      <c r="DX10" s="460">
        <f>(1+($O$6/12))^DX15</f>
        <v>1.2293611393697268</v>
      </c>
      <c r="DY10" s="460">
        <f>(1+($O$6/12))^DY15</f>
        <v>1.23141007460201</v>
      </c>
      <c r="DZ10" s="460">
        <f>(1+($O$6/12))^DZ15</f>
        <v>1.2334624247263466</v>
      </c>
      <c r="EA10" s="460">
        <f>(1+($O$6/12))^EA15</f>
        <v>1.2355181954342243</v>
      </c>
      <c r="EB10" s="460">
        <f>(1+($O$6/12))^EB15</f>
        <v>1.2375773924266147</v>
      </c>
      <c r="EC10" s="460">
        <f>(1+($O$6/12))^EC15</f>
        <v>1.2396400214139924</v>
      </c>
      <c r="ED10" s="460">
        <f>(1+($O$6/12))^ED15</f>
        <v>1.2417060881163491</v>
      </c>
      <c r="EE10" s="460">
        <f>(1+($O$6/12))^EE15</f>
        <v>1.2437755982632097</v>
      </c>
      <c r="EF10" s="460">
        <f>(1+($O$6/12))^EF15</f>
        <v>1.2458485575936487</v>
      </c>
    </row>
    <row r="11" spans="2:137" s="459" customFormat="1" ht="10.15" x14ac:dyDescent="0.45">
      <c r="B11" s="459" t="s">
        <v>89</v>
      </c>
      <c r="E11" s="460">
        <f>(1+($K$6/12))^E15</f>
        <v>1.0016666666666667</v>
      </c>
      <c r="F11" s="460">
        <f>(1+($K$6/12))^F15</f>
        <v>1.0033361111111112</v>
      </c>
      <c r="G11" s="460">
        <f>(1+($K$6/12))^G15</f>
        <v>1.0050083379629631</v>
      </c>
      <c r="H11" s="460">
        <f>(1+($K$6/12))^H15</f>
        <v>1.0066833518595681</v>
      </c>
      <c r="I11" s="460">
        <f>(1+($K$6/12))^I15</f>
        <v>1.0083611574460007</v>
      </c>
      <c r="J11" s="460">
        <f>(1+($K$6/12))^J15</f>
        <v>1.0100417593750775</v>
      </c>
      <c r="K11" s="460">
        <f>(1+($K$6/12))^K15</f>
        <v>1.0117251623073693</v>
      </c>
      <c r="L11" s="460">
        <f>(1+($K$6/12))^L15</f>
        <v>1.0134113709112151</v>
      </c>
      <c r="M11" s="460">
        <f>(1+($K$6/12))^M15</f>
        <v>1.0151003898627338</v>
      </c>
      <c r="N11" s="460">
        <f>(1+($K$6/12))^N15</f>
        <v>1.0167922238458384</v>
      </c>
      <c r="O11" s="460">
        <f>(1+($K$6/12))^O15</f>
        <v>1.0184868775522482</v>
      </c>
      <c r="P11" s="460">
        <f>(1+($K$6/12))^P15</f>
        <v>1.020184355681502</v>
      </c>
      <c r="Q11" s="460">
        <f>(1+($K$6/12))^Q15</f>
        <v>1.0218846629409712</v>
      </c>
      <c r="R11" s="460">
        <f>(1+($K$6/12))^R15</f>
        <v>1.023587804045873</v>
      </c>
      <c r="S11" s="460">
        <f>(1+($K$6/12))^S15</f>
        <v>1.0252937837192828</v>
      </c>
      <c r="T11" s="460">
        <f>(1+($K$6/12))^T15</f>
        <v>1.0270026066921485</v>
      </c>
      <c r="U11" s="460">
        <f>(1+($K$6/12))^U15</f>
        <v>1.028714277703302</v>
      </c>
      <c r="V11" s="460">
        <f>(1+($K$6/12))^V15</f>
        <v>1.0304288014994742</v>
      </c>
      <c r="W11" s="460">
        <f>(1+($K$6/12))^W15</f>
        <v>1.0321461828353069</v>
      </c>
      <c r="X11" s="460">
        <f>(1+($K$6/12))^X15</f>
        <v>1.0338664264733657</v>
      </c>
      <c r="Y11" s="460">
        <f>(1+($K$6/12))^Y15</f>
        <v>1.0355895371841548</v>
      </c>
      <c r="Z11" s="460">
        <f>(1+($K$6/12))^Z15</f>
        <v>1.0373155197461283</v>
      </c>
      <c r="AA11" s="460">
        <f>(1+($K$6/12))^AA15</f>
        <v>1.0390443789457053</v>
      </c>
      <c r="AB11" s="460">
        <f>(1+($K$6/12))^AB15</f>
        <v>1.0407761195772818</v>
      </c>
      <c r="AC11" s="460">
        <f>(1+($K$6/12))^AC15</f>
        <v>1.0425107464432437</v>
      </c>
      <c r="AD11" s="460">
        <f>(1+($K$6/12))^AD15</f>
        <v>1.0442482643539825</v>
      </c>
      <c r="AE11" s="460">
        <f>(1+($K$6/12))^AE15</f>
        <v>1.045988678127906</v>
      </c>
      <c r="AF11" s="460">
        <f>(1+($K$6/12))^AF15</f>
        <v>1.0477319925914526</v>
      </c>
      <c r="AG11" s="460">
        <f>(1+($K$6/12))^AG15</f>
        <v>1.0494782125791051</v>
      </c>
      <c r="AH11" s="460">
        <f>(1+($K$6/12))^AH15</f>
        <v>1.0512273429334036</v>
      </c>
      <c r="AI11" s="460">
        <f>(1+($K$6/12))^AI15</f>
        <v>1.0529793885049594</v>
      </c>
      <c r="AJ11" s="460">
        <f>(1+($K$6/12))^AJ15</f>
        <v>1.0547343541524679</v>
      </c>
      <c r="AK11" s="460">
        <f>(1+($K$6/12))^AK15</f>
        <v>1.0564922447427221</v>
      </c>
      <c r="AL11" s="460">
        <f>(1+($K$6/12))^AL15</f>
        <v>1.0582530651506266</v>
      </c>
      <c r="AM11" s="460">
        <f>(1+($K$6/12))^AM15</f>
        <v>1.0600168202592111</v>
      </c>
      <c r="AN11" s="460">
        <f>(1+($K$6/12))^AN15</f>
        <v>1.0617835149596431</v>
      </c>
      <c r="AO11" s="460">
        <f>(1+($K$6/12))^AO15</f>
        <v>1.0635531541512426</v>
      </c>
      <c r="AP11" s="460">
        <f>(1+($K$6/12))^AP15</f>
        <v>1.0653257427414946</v>
      </c>
      <c r="AQ11" s="460">
        <f>(1+($K$6/12))^AQ15</f>
        <v>1.067101285646064</v>
      </c>
      <c r="AR11" s="460">
        <f>(1+($K$6/12))^AR15</f>
        <v>1.0688797877888077</v>
      </c>
      <c r="AS11" s="460">
        <f>(1+($K$6/12))^AS15</f>
        <v>1.0706612541017888</v>
      </c>
      <c r="AT11" s="460">
        <f>(1+($K$6/12))^AT15</f>
        <v>1.0724456895252918</v>
      </c>
      <c r="AU11" s="460">
        <f>(1+($K$6/12))^AU15</f>
        <v>1.0742330990078341</v>
      </c>
      <c r="AV11" s="460">
        <f>(1+($K$6/12))^AV15</f>
        <v>1.0760234875061805</v>
      </c>
      <c r="AW11" s="460">
        <f>(1+($K$6/12))^AW15</f>
        <v>1.0778168599853577</v>
      </c>
      <c r="AX11" s="460">
        <f>(1+($K$6/12))^AX15</f>
        <v>1.0796132214186667</v>
      </c>
      <c r="AY11" s="460">
        <f>(1+($K$6/12))^AY15</f>
        <v>1.0814125767876979</v>
      </c>
      <c r="AZ11" s="460">
        <f>(1+($K$6/12))^AZ15</f>
        <v>1.0832149310823442</v>
      </c>
      <c r="BA11" s="460">
        <f>(1+($K$6/12))^BA15</f>
        <v>1.0850202893008147</v>
      </c>
      <c r="BB11" s="460">
        <f>(1+($K$6/12))^BB15</f>
        <v>1.0868286564496494</v>
      </c>
      <c r="BC11" s="460">
        <f>(1+($K$6/12))^BC15</f>
        <v>1.0886400375437324</v>
      </c>
      <c r="BD11" s="460">
        <f>(1+($K$6/12))^BD15</f>
        <v>1.0904544376063052</v>
      </c>
      <c r="BE11" s="460">
        <f>(1+($K$6/12))^BE15</f>
        <v>1.0922718616689826</v>
      </c>
      <c r="BF11" s="460">
        <f>(1+($K$6/12))^BF15</f>
        <v>1.0940923147717643</v>
      </c>
      <c r="BG11" s="460">
        <f>(1+($K$6/12))^BG15</f>
        <v>1.0959158019630506</v>
      </c>
      <c r="BH11" s="460">
        <f>(1+($K$6/12))^BH15</f>
        <v>1.0977423282996559</v>
      </c>
      <c r="BI11" s="460">
        <f>(1+($K$6/12))^BI15</f>
        <v>1.0995718988468219</v>
      </c>
      <c r="BJ11" s="460">
        <f>(1+($K$6/12))^BJ15</f>
        <v>1.1014045186782333</v>
      </c>
      <c r="BK11" s="460">
        <f>(1+($K$6/12))^BK15</f>
        <v>1.1032401928760305</v>
      </c>
      <c r="BL11" s="460">
        <f>(1+($K$6/12))^BL15</f>
        <v>1.1050789265308238</v>
      </c>
      <c r="BM11" s="460">
        <f>(1+($K$6/12))^BM15</f>
        <v>1.1069207247417088</v>
      </c>
      <c r="BN11" s="460">
        <f>(1+($K$6/12))^BN15</f>
        <v>1.1087655926162783</v>
      </c>
      <c r="BO11" s="460">
        <f>(1+($K$6/12))^BO15</f>
        <v>1.110613535270639</v>
      </c>
      <c r="BP11" s="460">
        <f>(1+($K$6/12))^BP15</f>
        <v>1.1124645578294234</v>
      </c>
      <c r="BQ11" s="460">
        <f>(1+($K$6/12))^BQ15</f>
        <v>1.1143186654258059</v>
      </c>
      <c r="BR11" s="460">
        <f>(1+($K$6/12))^BR15</f>
        <v>1.1161758632015155</v>
      </c>
      <c r="BS11" s="460">
        <f>(1+($K$6/12))^BS15</f>
        <v>1.1180361563068515</v>
      </c>
      <c r="BT11" s="460">
        <f>(1+($K$6/12))^BT15</f>
        <v>1.1198995499006963</v>
      </c>
      <c r="BU11" s="460">
        <f>(1+($K$6/12))^BU15</f>
        <v>1.1217660491505308</v>
      </c>
      <c r="BV11" s="460">
        <f>(1+($K$6/12))^BV15</f>
        <v>1.1236356592324483</v>
      </c>
      <c r="BW11" s="460">
        <f>(1+($K$6/12))^BW15</f>
        <v>1.1255083853311691</v>
      </c>
      <c r="BX11" s="460">
        <f>(1+($K$6/12))^BX15</f>
        <v>1.1273842326400547</v>
      </c>
      <c r="BY11" s="460">
        <f>(1+($K$6/12))^BY15</f>
        <v>1.1292632063611214</v>
      </c>
      <c r="BZ11" s="460">
        <f>(1+($K$6/12))^BZ15</f>
        <v>1.1311453117050567</v>
      </c>
      <c r="CA11" s="460">
        <f>(1+($K$6/12))^CA15</f>
        <v>1.133030553891232</v>
      </c>
      <c r="CB11" s="460">
        <f>(1+($K$6/12))^CB15</f>
        <v>1.1349189381477174</v>
      </c>
      <c r="CC11" s="460">
        <f>(1+($K$6/12))^CC15</f>
        <v>1.1368104697112971</v>
      </c>
      <c r="CD11" s="460">
        <f>(1+($K$6/12))^CD15</f>
        <v>1.1387051538274826</v>
      </c>
      <c r="CE11" s="460">
        <f>(1+($K$6/12))^CE15</f>
        <v>1.1406029957505284</v>
      </c>
      <c r="CF11" s="460">
        <f>(1+($K$6/12))^CF15</f>
        <v>1.1425040007434462</v>
      </c>
      <c r="CG11" s="460">
        <f>(1+($K$6/12))^CG15</f>
        <v>1.1444081740780185</v>
      </c>
      <c r="CH11" s="460">
        <f>(1+($K$6/12))^CH15</f>
        <v>1.1463155210348153</v>
      </c>
      <c r="CI11" s="460">
        <f>(1+($K$6/12))^CI15</f>
        <v>1.1482260469032068</v>
      </c>
      <c r="CJ11" s="460">
        <f>(1+($K$6/12))^CJ15</f>
        <v>1.1501397569813789</v>
      </c>
      <c r="CK11" s="460">
        <f>(1+($K$6/12))^CK15</f>
        <v>1.1520566565763481</v>
      </c>
      <c r="CL11" s="460">
        <f>(1+($K$6/12))^CL15</f>
        <v>1.1539767510039751</v>
      </c>
      <c r="CM11" s="460">
        <f>(1+($K$6/12))^CM15</f>
        <v>1.1559000455889821</v>
      </c>
      <c r="CN11" s="460">
        <f>(1+($K$6/12))^CN15</f>
        <v>1.1578265456649639</v>
      </c>
      <c r="CO11" s="460">
        <f>(1+($K$6/12))^CO15</f>
        <v>1.1597562565744053</v>
      </c>
      <c r="CP11" s="460">
        <f>(1+($K$6/12))^CP15</f>
        <v>1.161689183668696</v>
      </c>
      <c r="CQ11" s="460">
        <f>(1+($K$6/12))^CQ15</f>
        <v>1.163625332308144</v>
      </c>
      <c r="CR11" s="460">
        <f>(1+($K$6/12))^CR15</f>
        <v>1.1655647078619911</v>
      </c>
      <c r="CS11" s="460">
        <f>(1+($K$6/12))^CS15</f>
        <v>1.1675073157084279</v>
      </c>
      <c r="CT11" s="460">
        <f>(1+($K$6/12))^CT15</f>
        <v>1.1694531612346084</v>
      </c>
      <c r="CU11" s="460">
        <f>(1+($K$6/12))^CU15</f>
        <v>1.1714022498366663</v>
      </c>
      <c r="CV11" s="460">
        <f>(1+($K$6/12))^CV15</f>
        <v>1.1733545869197277</v>
      </c>
      <c r="CW11" s="460">
        <f>(1+($K$6/12))^CW15</f>
        <v>1.1753101778979274</v>
      </c>
      <c r="CX11" s="460">
        <f>(1+($K$6/12))^CX15</f>
        <v>1.1772690281944238</v>
      </c>
      <c r="CY11" s="460">
        <f>(1+($K$6/12))^CY15</f>
        <v>1.1792311432414146</v>
      </c>
      <c r="CZ11" s="460">
        <f>(1+($K$6/12))^CZ15</f>
        <v>1.1811965284801504</v>
      </c>
      <c r="DA11" s="460">
        <f>(1+($K$6/12))^DA15</f>
        <v>1.1831651893609507</v>
      </c>
      <c r="DB11" s="460">
        <f>(1+($K$6/12))^DB15</f>
        <v>1.1851371313432189</v>
      </c>
      <c r="DC11" s="460">
        <f>(1+($K$6/12))^DC15</f>
        <v>1.1871123598954578</v>
      </c>
      <c r="DD11" s="460">
        <f>(1+($K$6/12))^DD15</f>
        <v>1.1890908804952838</v>
      </c>
      <c r="DE11" s="460">
        <f>(1+($K$6/12))^DE15</f>
        <v>1.1910726986294424</v>
      </c>
      <c r="DF11" s="460">
        <f>(1+($K$6/12))^DF15</f>
        <v>1.1930578197938249</v>
      </c>
      <c r="DG11" s="460">
        <f>(1+($K$6/12))^DG15</f>
        <v>1.1950462494934815</v>
      </c>
      <c r="DH11" s="460">
        <f>(1+($K$6/12))^DH15</f>
        <v>1.1970379932426372</v>
      </c>
      <c r="DI11" s="460">
        <f>(1+($K$6/12))^DI15</f>
        <v>1.1990330565647085</v>
      </c>
      <c r="DJ11" s="460">
        <f>(1+($K$6/12))^DJ15</f>
        <v>1.2010314449923165</v>
      </c>
      <c r="DK11" s="460">
        <f>(1+($K$6/12))^DK15</f>
        <v>1.2030331640673038</v>
      </c>
      <c r="DL11" s="460">
        <f>(1+($K$6/12))^DL15</f>
        <v>1.2050382193407494</v>
      </c>
      <c r="DM11" s="460">
        <f>(1+($K$6/12))^DM15</f>
        <v>1.207046616372984</v>
      </c>
      <c r="DN11" s="460">
        <f>(1+($K$6/12))^DN15</f>
        <v>1.2090583607336056</v>
      </c>
      <c r="DO11" s="460">
        <f>(1+($K$6/12))^DO15</f>
        <v>1.2110734580014952</v>
      </c>
      <c r="DP11" s="460">
        <f>(1+($K$6/12))^DP15</f>
        <v>1.2130919137648311</v>
      </c>
      <c r="DQ11" s="460">
        <f>(1+($K$6/12))^DQ15</f>
        <v>1.215113733621106</v>
      </c>
      <c r="DR11" s="460">
        <f>(1+($K$6/12))^DR15</f>
        <v>1.217138923177141</v>
      </c>
      <c r="DS11" s="460">
        <f>(1+($K$6/12))^DS15</f>
        <v>1.219167488049103</v>
      </c>
      <c r="DT11" s="460">
        <f>(1+($K$6/12))^DT15</f>
        <v>1.2211994338625185</v>
      </c>
      <c r="DU11" s="460">
        <f>(1+($K$6/12))^DU15</f>
        <v>1.2232347662522893</v>
      </c>
      <c r="DV11" s="460">
        <f>(1+($K$6/12))^DV15</f>
        <v>1.2252734908627099</v>
      </c>
      <c r="DW11" s="460">
        <f>(1+($K$6/12))^DW15</f>
        <v>1.2273156133474812</v>
      </c>
      <c r="DX11" s="460">
        <f>(1+($K$6/12))^DX15</f>
        <v>1.2293611393697268</v>
      </c>
      <c r="DY11" s="460">
        <f>(1+($K$6/12))^DY15</f>
        <v>1.23141007460201</v>
      </c>
      <c r="DZ11" s="460">
        <f>(1+($K$6/12))^DZ15</f>
        <v>1.2334624247263466</v>
      </c>
      <c r="EA11" s="460">
        <f>(1+($K$6/12))^EA15</f>
        <v>1.2355181954342243</v>
      </c>
      <c r="EB11" s="460">
        <f>(1+($K$6/12))^EB15</f>
        <v>1.2375773924266147</v>
      </c>
      <c r="EC11" s="460">
        <f>(1+($K$6/12))^EC15</f>
        <v>1.2396400214139924</v>
      </c>
      <c r="ED11" s="460">
        <f>(1+($K$6/12))^ED15</f>
        <v>1.2417060881163491</v>
      </c>
      <c r="EE11" s="460">
        <f>(1+($K$6/12))^EE15</f>
        <v>1.2437755982632097</v>
      </c>
      <c r="EF11" s="460">
        <f>(1+($K$6/12))^EF15</f>
        <v>1.2458485575936487</v>
      </c>
    </row>
    <row r="12" spans="2:137" s="461" customFormat="1" ht="10.15" x14ac:dyDescent="0.45">
      <c r="B12" s="461" t="s">
        <v>66</v>
      </c>
      <c r="E12" s="462" t="str">
        <f>IF(E15&lt;$K$5,"Lease-up",IF(E15=$K$5,"Stabilization","-"))</f>
        <v>Lease-up</v>
      </c>
      <c r="F12" s="462" t="str">
        <f>IF(F15&lt;$K$5,"Lease-up",IF(F15=$K$5,"Stabilization","-"))</f>
        <v>Lease-up</v>
      </c>
      <c r="G12" s="462" t="str">
        <f>IF(G15&lt;$K$5,"Lease-up",IF(G15=$K$5,"Stabilization","-"))</f>
        <v>Lease-up</v>
      </c>
      <c r="H12" s="462" t="str">
        <f>IF(H15&lt;$K$5,"Lease-up",IF(H15=$K$5,"Stabilization","-"))</f>
        <v>Lease-up</v>
      </c>
      <c r="I12" s="462" t="str">
        <f>IF(I15&lt;$K$5,"Lease-up",IF(I15=$K$5,"Stabilization","-"))</f>
        <v>Lease-up</v>
      </c>
      <c r="J12" s="462" t="str">
        <f>IF(J15&lt;$K$5,"Lease-up",IF(J15=$K$5,"Stabilization","-"))</f>
        <v>Lease-up</v>
      </c>
      <c r="K12" s="462" t="str">
        <f>IF(K15&lt;$K$5,"Lease-up",IF(K15=$K$5,"Stabilization","-"))</f>
        <v>Lease-up</v>
      </c>
      <c r="L12" s="462" t="str">
        <f>IF(L15&lt;$K$5,"Lease-up",IF(L15=$K$5,"Stabilization","-"))</f>
        <v>Lease-up</v>
      </c>
      <c r="M12" s="462" t="str">
        <f>IF(M15&lt;$K$5,"Lease-up",IF(M15=$K$5,"Stabilization","-"))</f>
        <v>Lease-up</v>
      </c>
      <c r="N12" s="462" t="str">
        <f>IF(N15&lt;$K$5,"Lease-up",IF(N15=$K$5,"Stabilization","-"))</f>
        <v>Lease-up</v>
      </c>
      <c r="O12" s="462" t="str">
        <f>IF(O15&lt;$K$5,"Lease-up",IF(O15=$K$5,"Stabilization","-"))</f>
        <v>Lease-up</v>
      </c>
      <c r="P12" s="462" t="str">
        <f>IF(P15&lt;$K$5,"Lease-up",IF(P15=$K$5,"Stabilization","-"))</f>
        <v>Lease-up</v>
      </c>
      <c r="Q12" s="462" t="str">
        <f>IF(Q15&lt;$K$5,"Lease-up",IF(Q15=$K$5,"Stabilization","-"))</f>
        <v>Lease-up</v>
      </c>
      <c r="R12" s="462" t="str">
        <f>IF(R15&lt;$K$5,"Lease-up",IF(R15=$K$5,"Stabilization","-"))</f>
        <v>Lease-up</v>
      </c>
      <c r="S12" s="462" t="str">
        <f>IF(S15&lt;$K$5,"Lease-up",IF(S15=$K$5,"Stabilization","-"))</f>
        <v>Lease-up</v>
      </c>
      <c r="T12" s="462" t="str">
        <f>IF(T15&lt;$K$5,"Lease-up",IF(T15=$K$5,"Stabilization","-"))</f>
        <v>Lease-up</v>
      </c>
      <c r="U12" s="462" t="str">
        <f>IF(U15&lt;$K$5,"Lease-up",IF(U15=$K$5,"Stabilization","-"))</f>
        <v>Lease-up</v>
      </c>
      <c r="V12" s="462" t="str">
        <f>IF(V15&lt;$K$5,"Lease-up",IF(V15=$K$5,"Stabilization","-"))</f>
        <v>Lease-up</v>
      </c>
      <c r="W12" s="462" t="str">
        <f>IF(W15&lt;$K$5,"Lease-up",IF(W15=$K$5,"Stabilization","-"))</f>
        <v>Lease-up</v>
      </c>
      <c r="X12" s="462" t="str">
        <f>IF(X15&lt;$K$5,"Lease-up",IF(X15=$K$5,"Stabilization","-"))</f>
        <v>Lease-up</v>
      </c>
      <c r="Y12" s="462" t="str">
        <f>IF(Y15&lt;$K$5,"Lease-up",IF(Y15=$K$5,"Stabilization","-"))</f>
        <v>Lease-up</v>
      </c>
      <c r="Z12" s="462" t="str">
        <f>IF(Z15&lt;$K$5,"Lease-up",IF(Z15=$K$5,"Stabilization","-"))</f>
        <v>Lease-up</v>
      </c>
      <c r="AA12" s="462" t="str">
        <f>IF(AA15&lt;$K$5,"Lease-up",IF(AA15=$K$5,"Stabilization","-"))</f>
        <v>Lease-up</v>
      </c>
      <c r="AB12" s="462" t="str">
        <f>IF(AB15&lt;$K$5,"Lease-up",IF(AB15=$K$5,"Stabilization","-"))</f>
        <v>Lease-up</v>
      </c>
      <c r="AC12" s="462" t="str">
        <f>IF(AC15&lt;$K$5,"Lease-up",IF(AC15=$K$5,"Stabilization","-"))</f>
        <v>Lease-up</v>
      </c>
      <c r="AD12" s="462" t="str">
        <f>IF(AD15&lt;$K$5,"Lease-up",IF(AD15=$K$5,"Stabilization","-"))</f>
        <v>Lease-up</v>
      </c>
      <c r="AE12" s="462" t="str">
        <f>IF(AE15&lt;$K$5,"Lease-up",IF(AE15=$K$5,"Stabilization","-"))</f>
        <v>Lease-up</v>
      </c>
      <c r="AF12" s="462" t="str">
        <f>IF(AF15&lt;$K$5,"Lease-up",IF(AF15=$K$5,"Stabilization","-"))</f>
        <v>Lease-up</v>
      </c>
      <c r="AG12" s="462" t="str">
        <f>IF(AG15&lt;$K$5,"Lease-up",IF(AG15=$K$5,"Stabilization","-"))</f>
        <v>Lease-up</v>
      </c>
      <c r="AH12" s="462" t="str">
        <f>IF(AH15&lt;$K$5,"Lease-up",IF(AH15=$K$5,"Stabilization","-"))</f>
        <v>Lease-up</v>
      </c>
      <c r="AI12" s="462" t="str">
        <f>IF(AI15&lt;$K$5,"Lease-up",IF(AI15=$K$5,"Stabilization","-"))</f>
        <v>Stabilization</v>
      </c>
      <c r="AJ12" s="462" t="str">
        <f>IF(AJ15&lt;$K$5,"Lease-up",IF(AJ15=$K$5,"Stabilization","-"))</f>
        <v>-</v>
      </c>
      <c r="AK12" s="462" t="str">
        <f>IF(AK15&lt;$K$5,"Lease-up",IF(AK15=$K$5,"Stabilization","-"))</f>
        <v>-</v>
      </c>
      <c r="AL12" s="462" t="str">
        <f>IF(AL15&lt;$K$5,"Lease-up",IF(AL15=$K$5,"Stabilization","-"))</f>
        <v>-</v>
      </c>
      <c r="AM12" s="462" t="str">
        <f>IF(AM15&lt;$K$5,"Lease-up",IF(AM15=$K$5,"Stabilization","-"))</f>
        <v>-</v>
      </c>
      <c r="AN12" s="462" t="str">
        <f>IF(AN15&lt;$K$5,"Lease-up",IF(AN15=$K$5,"Stabilization","-"))</f>
        <v>-</v>
      </c>
      <c r="AO12" s="462" t="str">
        <f>IF(AO15&lt;$K$5,"Lease-up",IF(AO15=$K$5,"Stabilization","-"))</f>
        <v>-</v>
      </c>
      <c r="AP12" s="462" t="str">
        <f>IF(AP15&lt;$K$5,"Lease-up",IF(AP15=$K$5,"Stabilization","-"))</f>
        <v>-</v>
      </c>
      <c r="AQ12" s="462" t="str">
        <f>IF(AQ15&lt;$K$5,"Lease-up",IF(AQ15=$K$5,"Stabilization","-"))</f>
        <v>-</v>
      </c>
      <c r="AR12" s="462" t="str">
        <f>IF(AR15&lt;$K$5,"Lease-up",IF(AR15=$K$5,"Stabilization","-"))</f>
        <v>-</v>
      </c>
      <c r="AS12" s="462" t="str">
        <f>IF(AS15&lt;$K$5,"Lease-up",IF(AS15=$K$5,"Stabilization","-"))</f>
        <v>-</v>
      </c>
      <c r="AT12" s="462" t="str">
        <f>IF(AT15&lt;$K$5,"Lease-up",IF(AT15=$K$5,"Stabilization","-"))</f>
        <v>-</v>
      </c>
      <c r="AU12" s="462" t="str">
        <f>IF(AU15&lt;$K$5,"Lease-up",IF(AU15=$K$5,"Stabilization","-"))</f>
        <v>-</v>
      </c>
      <c r="AV12" s="462" t="str">
        <f>IF(AV15&lt;$K$5,"Lease-up",IF(AV15=$K$5,"Stabilization","-"))</f>
        <v>-</v>
      </c>
      <c r="AW12" s="462" t="str">
        <f>IF(AW15&lt;$K$5,"Lease-up",IF(AW15=$K$5,"Stabilization","-"))</f>
        <v>-</v>
      </c>
      <c r="AX12" s="462" t="str">
        <f>IF(AX15&lt;$K$5,"Lease-up",IF(AX15=$K$5,"Stabilization","-"))</f>
        <v>-</v>
      </c>
      <c r="AY12" s="462" t="str">
        <f>IF(AY15&lt;$K$5,"Lease-up",IF(AY15=$K$5,"Stabilization","-"))</f>
        <v>-</v>
      </c>
      <c r="AZ12" s="462" t="str">
        <f>IF(AZ15&lt;$K$5,"Lease-up",IF(AZ15=$K$5,"Stabilization","-"))</f>
        <v>-</v>
      </c>
      <c r="BA12" s="462" t="str">
        <f>IF(BA15&lt;$K$5,"Lease-up",IF(BA15=$K$5,"Stabilization","-"))</f>
        <v>-</v>
      </c>
      <c r="BB12" s="462" t="str">
        <f>IF(BB15&lt;$K$5,"Lease-up",IF(BB15=$K$5,"Stabilization","-"))</f>
        <v>-</v>
      </c>
      <c r="BC12" s="462" t="str">
        <f>IF(BC15&lt;$K$5,"Lease-up",IF(BC15=$K$5,"Stabilization","-"))</f>
        <v>-</v>
      </c>
      <c r="BD12" s="462" t="str">
        <f>IF(BD15&lt;$K$5,"Lease-up",IF(BD15=$K$5,"Stabilization","-"))</f>
        <v>-</v>
      </c>
      <c r="BE12" s="462" t="str">
        <f>IF(BE15&lt;$K$5,"Lease-up",IF(BE15=$K$5,"Stabilization","-"))</f>
        <v>-</v>
      </c>
      <c r="BF12" s="462" t="str">
        <f>IF(BF15&lt;$K$5,"Lease-up",IF(BF15=$K$5,"Stabilization","-"))</f>
        <v>-</v>
      </c>
      <c r="BG12" s="462" t="str">
        <f>IF(BG15&lt;$K$5,"Lease-up",IF(BG15=$K$5,"Stabilization","-"))</f>
        <v>-</v>
      </c>
      <c r="BH12" s="462" t="str">
        <f>IF(BH15&lt;$K$5,"Lease-up",IF(BH15=$K$5,"Stabilization","-"))</f>
        <v>-</v>
      </c>
      <c r="BI12" s="462" t="str">
        <f>IF(BI15&lt;$K$5,"Lease-up",IF(BI15=$K$5,"Stabilization","-"))</f>
        <v>-</v>
      </c>
      <c r="BJ12" s="462" t="str">
        <f>IF(BJ15&lt;$K$5,"Lease-up",IF(BJ15=$K$5,"Stabilization","-"))</f>
        <v>-</v>
      </c>
      <c r="BK12" s="462" t="str">
        <f>IF(BK15&lt;$K$5,"Lease-up",IF(BK15=$K$5,"Stabilization","-"))</f>
        <v>-</v>
      </c>
      <c r="BL12" s="462" t="str">
        <f>IF(BL15&lt;$K$5,"Lease-up",IF(BL15=$K$5,"Stabilization","-"))</f>
        <v>-</v>
      </c>
      <c r="BM12" s="462" t="str">
        <f>IF(BM15&lt;$K$5,"Lease-up",IF(BM15=$K$5,"Stabilization","-"))</f>
        <v>-</v>
      </c>
      <c r="BN12" s="462" t="str">
        <f>IF(BN15&lt;$K$5,"Lease-up",IF(BN15=$K$5,"Stabilization","-"))</f>
        <v>-</v>
      </c>
      <c r="BO12" s="462" t="str">
        <f>IF(BO15&lt;$K$5,"Lease-up",IF(BO15=$K$5,"Stabilization","-"))</f>
        <v>-</v>
      </c>
      <c r="BP12" s="462" t="str">
        <f>IF(BP15&lt;$K$5,"Lease-up",IF(BP15=$K$5,"Stabilization","-"))</f>
        <v>-</v>
      </c>
      <c r="BQ12" s="462" t="str">
        <f>IF(BQ15&lt;$K$5,"Lease-up",IF(BQ15=$K$5,"Stabilization","-"))</f>
        <v>-</v>
      </c>
      <c r="BR12" s="462" t="str">
        <f>IF(BR15&lt;$K$5,"Lease-up",IF(BR15=$K$5,"Stabilization","-"))</f>
        <v>-</v>
      </c>
      <c r="BS12" s="462" t="str">
        <f>IF(BS15&lt;$K$5,"Lease-up",IF(BS15=$K$5,"Stabilization","-"))</f>
        <v>-</v>
      </c>
      <c r="BT12" s="462" t="str">
        <f>IF(BT15&lt;$K$5,"Lease-up",IF(BT15=$K$5,"Stabilization","-"))</f>
        <v>-</v>
      </c>
      <c r="BU12" s="462" t="str">
        <f>IF(BU15&lt;$K$5,"Lease-up",IF(BU15=$K$5,"Stabilization","-"))</f>
        <v>-</v>
      </c>
      <c r="BV12" s="462" t="str">
        <f>IF(BV15&lt;$K$5,"Lease-up",IF(BV15=$K$5,"Stabilization","-"))</f>
        <v>-</v>
      </c>
      <c r="BW12" s="462" t="str">
        <f>IF(BW15&lt;$K$5,"Lease-up",IF(BW15=$K$5,"Stabilization","-"))</f>
        <v>-</v>
      </c>
      <c r="BX12" s="462" t="str">
        <f>IF(BX15&lt;$K$5,"Lease-up",IF(BX15=$K$5,"Stabilization","-"))</f>
        <v>-</v>
      </c>
      <c r="BY12" s="462" t="str">
        <f>IF(BY15&lt;$K$5,"Lease-up",IF(BY15=$K$5,"Stabilization","-"))</f>
        <v>-</v>
      </c>
      <c r="BZ12" s="462" t="str">
        <f>IF(BZ15&lt;$K$5,"Lease-up",IF(BZ15=$K$5,"Stabilization","-"))</f>
        <v>-</v>
      </c>
      <c r="CA12" s="462" t="str">
        <f>IF(CA15&lt;$K$5,"Lease-up",IF(CA15=$K$5,"Stabilization","-"))</f>
        <v>-</v>
      </c>
      <c r="CB12" s="462" t="str">
        <f>IF(CB15&lt;$K$5,"Lease-up",IF(CB15=$K$5,"Stabilization","-"))</f>
        <v>-</v>
      </c>
      <c r="CC12" s="462" t="str">
        <f>IF(CC15&lt;$K$5,"Lease-up",IF(CC15=$K$5,"Stabilization","-"))</f>
        <v>-</v>
      </c>
      <c r="CD12" s="462" t="str">
        <f>IF(CD15&lt;$K$5,"Lease-up",IF(CD15=$K$5,"Stabilization","-"))</f>
        <v>-</v>
      </c>
      <c r="CE12" s="462" t="str">
        <f>IF(CE15&lt;$K$5,"Lease-up",IF(CE15=$K$5,"Stabilization","-"))</f>
        <v>-</v>
      </c>
      <c r="CF12" s="462" t="str">
        <f>IF(CF15&lt;$K$5,"Lease-up",IF(CF15=$K$5,"Stabilization","-"))</f>
        <v>-</v>
      </c>
      <c r="CG12" s="462" t="str">
        <f>IF(CG15&lt;$K$5,"Lease-up",IF(CG15=$K$5,"Stabilization","-"))</f>
        <v>-</v>
      </c>
      <c r="CH12" s="462" t="str">
        <f>IF(CH15&lt;$K$5,"Lease-up",IF(CH15=$K$5,"Stabilization","-"))</f>
        <v>-</v>
      </c>
      <c r="CI12" s="462" t="str">
        <f>IF(CI15&lt;$K$5,"Lease-up",IF(CI15=$K$5,"Stabilization","-"))</f>
        <v>-</v>
      </c>
      <c r="CJ12" s="462" t="str">
        <f>IF(CJ15&lt;$K$5,"Lease-up",IF(CJ15=$K$5,"Stabilization","-"))</f>
        <v>-</v>
      </c>
      <c r="CK12" s="462" t="str">
        <f>IF(CK15&lt;$K$5,"Lease-up",IF(CK15=$K$5,"Stabilization","-"))</f>
        <v>-</v>
      </c>
      <c r="CL12" s="462" t="str">
        <f>IF(CL15&lt;$K$5,"Lease-up",IF(CL15=$K$5,"Stabilization","-"))</f>
        <v>-</v>
      </c>
      <c r="CM12" s="462" t="str">
        <f>IF(CM15&lt;$K$5,"Lease-up",IF(CM15=$K$5,"Stabilization","-"))</f>
        <v>-</v>
      </c>
      <c r="CN12" s="462" t="str">
        <f>IF(CN15&lt;$K$5,"Lease-up",IF(CN15=$K$5,"Stabilization","-"))</f>
        <v>-</v>
      </c>
      <c r="CO12" s="462" t="str">
        <f>IF(CO15&lt;$K$5,"Lease-up",IF(CO15=$K$5,"Stabilization","-"))</f>
        <v>-</v>
      </c>
      <c r="CP12" s="462" t="str">
        <f>IF(CP15&lt;$K$5,"Lease-up",IF(CP15=$K$5,"Stabilization","-"))</f>
        <v>-</v>
      </c>
      <c r="CQ12" s="462" t="str">
        <f>IF(CQ15&lt;$K$5,"Lease-up",IF(CQ15=$K$5,"Stabilization","-"))</f>
        <v>-</v>
      </c>
      <c r="CR12" s="462" t="str">
        <f>IF(CR15&lt;$K$5,"Lease-up",IF(CR15=$K$5,"Stabilization","-"))</f>
        <v>-</v>
      </c>
      <c r="CS12" s="462" t="str">
        <f>IF(CS15&lt;$K$5,"Lease-up",IF(CS15=$K$5,"Stabilization","-"))</f>
        <v>-</v>
      </c>
      <c r="CT12" s="462" t="str">
        <f>IF(CT15&lt;$K$5,"Lease-up",IF(CT15=$K$5,"Stabilization","-"))</f>
        <v>-</v>
      </c>
      <c r="CU12" s="462" t="str">
        <f>IF(CU15&lt;$K$5,"Lease-up",IF(CU15=$K$5,"Stabilization","-"))</f>
        <v>-</v>
      </c>
      <c r="CV12" s="462" t="str">
        <f>IF(CV15&lt;$K$5,"Lease-up",IF(CV15=$K$5,"Stabilization","-"))</f>
        <v>-</v>
      </c>
      <c r="CW12" s="462" t="str">
        <f>IF(CW15&lt;$K$5,"Lease-up",IF(CW15=$K$5,"Stabilization","-"))</f>
        <v>-</v>
      </c>
      <c r="CX12" s="462" t="str">
        <f>IF(CX15&lt;$K$5,"Lease-up",IF(CX15=$K$5,"Stabilization","-"))</f>
        <v>-</v>
      </c>
      <c r="CY12" s="462" t="str">
        <f>IF(CY15&lt;$K$5,"Lease-up",IF(CY15=$K$5,"Stabilization","-"))</f>
        <v>-</v>
      </c>
      <c r="CZ12" s="462" t="str">
        <f>IF(CZ15&lt;$K$5,"Lease-up",IF(CZ15=$K$5,"Stabilization","-"))</f>
        <v>-</v>
      </c>
      <c r="DA12" s="462" t="str">
        <f>IF(DA15&lt;$K$5,"Lease-up",IF(DA15=$K$5,"Stabilization","-"))</f>
        <v>-</v>
      </c>
      <c r="DB12" s="462" t="str">
        <f>IF(DB15&lt;$K$5,"Lease-up",IF(DB15=$K$5,"Stabilization","-"))</f>
        <v>-</v>
      </c>
      <c r="DC12" s="462" t="str">
        <f>IF(DC15&lt;$K$5,"Lease-up",IF(DC15=$K$5,"Stabilization","-"))</f>
        <v>-</v>
      </c>
      <c r="DD12" s="462" t="str">
        <f>IF(DD15&lt;$K$5,"Lease-up",IF(DD15=$K$5,"Stabilization","-"))</f>
        <v>-</v>
      </c>
      <c r="DE12" s="462" t="str">
        <f>IF(DE15&lt;$K$5,"Lease-up",IF(DE15=$K$5,"Stabilization","-"))</f>
        <v>-</v>
      </c>
      <c r="DF12" s="462" t="str">
        <f>IF(DF15&lt;$K$5,"Lease-up",IF(DF15=$K$5,"Stabilization","-"))</f>
        <v>-</v>
      </c>
      <c r="DG12" s="462" t="str">
        <f>IF(DG15&lt;$K$5,"Lease-up",IF(DG15=$K$5,"Stabilization","-"))</f>
        <v>-</v>
      </c>
      <c r="DH12" s="462" t="str">
        <f>IF(DH15&lt;$K$5,"Lease-up",IF(DH15=$K$5,"Stabilization","-"))</f>
        <v>-</v>
      </c>
      <c r="DI12" s="462" t="str">
        <f>IF(DI15&lt;$K$5,"Lease-up",IF(DI15=$K$5,"Stabilization","-"))</f>
        <v>-</v>
      </c>
      <c r="DJ12" s="462" t="str">
        <f>IF(DJ15&lt;$K$5,"Lease-up",IF(DJ15=$K$5,"Stabilization","-"))</f>
        <v>-</v>
      </c>
      <c r="DK12" s="462" t="str">
        <f>IF(DK15&lt;$K$5,"Lease-up",IF(DK15=$K$5,"Stabilization","-"))</f>
        <v>-</v>
      </c>
      <c r="DL12" s="462" t="str">
        <f>IF(DL15&lt;$K$5,"Lease-up",IF(DL15=$K$5,"Stabilization","-"))</f>
        <v>-</v>
      </c>
      <c r="DM12" s="462" t="str">
        <f>IF(DM15&lt;$K$5,"Lease-up",IF(DM15=$K$5,"Stabilization","-"))</f>
        <v>-</v>
      </c>
      <c r="DN12" s="462" t="str">
        <f>IF(DN15&lt;$K$5,"Lease-up",IF(DN15=$K$5,"Stabilization","-"))</f>
        <v>-</v>
      </c>
      <c r="DO12" s="462" t="str">
        <f>IF(DO15&lt;$K$5,"Lease-up",IF(DO15=$K$5,"Stabilization","-"))</f>
        <v>-</v>
      </c>
      <c r="DP12" s="462" t="str">
        <f>IF(DP15&lt;$K$5,"Lease-up",IF(DP15=$K$5,"Stabilization","-"))</f>
        <v>-</v>
      </c>
      <c r="DQ12" s="462" t="str">
        <f>IF(DQ15&lt;$K$5,"Lease-up",IF(DQ15=$K$5,"Stabilization","-"))</f>
        <v>-</v>
      </c>
      <c r="DR12" s="462" t="str">
        <f>IF(DR15&lt;$K$5,"Lease-up",IF(DR15=$K$5,"Stabilization","-"))</f>
        <v>-</v>
      </c>
      <c r="DS12" s="462" t="str">
        <f>IF(DS15&lt;$K$5,"Lease-up",IF(DS15=$K$5,"Stabilization","-"))</f>
        <v>-</v>
      </c>
      <c r="DT12" s="462" t="str">
        <f>IF(DT15&lt;$K$5,"Lease-up",IF(DT15=$K$5,"Stabilization","-"))</f>
        <v>-</v>
      </c>
      <c r="DU12" s="462" t="str">
        <f>IF(DU15&lt;$K$5,"Lease-up",IF(DU15=$K$5,"Stabilization","-"))</f>
        <v>-</v>
      </c>
      <c r="DV12" s="462" t="str">
        <f>IF(DV15&lt;$K$5,"Lease-up",IF(DV15=$K$5,"Stabilization","-"))</f>
        <v>-</v>
      </c>
      <c r="DW12" s="462" t="str">
        <f>IF(DW15&lt;$K$5,"Lease-up",IF(DW15=$K$5,"Stabilization","-"))</f>
        <v>-</v>
      </c>
      <c r="DX12" s="462" t="str">
        <f>IF(DX15&lt;$K$5,"Lease-up",IF(DX15=$K$5,"Stabilization","-"))</f>
        <v>-</v>
      </c>
      <c r="DY12" s="462" t="str">
        <f>IF(DY15&lt;$K$5,"Lease-up",IF(DY15=$K$5,"Stabilization","-"))</f>
        <v>-</v>
      </c>
      <c r="DZ12" s="462" t="str">
        <f>IF(DZ15&lt;$K$5,"Lease-up",IF(DZ15=$K$5,"Stabilization","-"))</f>
        <v>-</v>
      </c>
      <c r="EA12" s="462" t="str">
        <f>IF(EA15&lt;$K$5,"Lease-up",IF(EA15=$K$5,"Stabilization","-"))</f>
        <v>-</v>
      </c>
      <c r="EB12" s="462" t="str">
        <f>IF(EB15&lt;$K$5,"Lease-up",IF(EB15=$K$5,"Stabilization","-"))</f>
        <v>-</v>
      </c>
      <c r="EC12" s="462" t="str">
        <f>IF(EC15&lt;$K$5,"Lease-up",IF(EC15=$K$5,"Stabilization","-"))</f>
        <v>-</v>
      </c>
      <c r="ED12" s="462" t="str">
        <f>IF(ED15&lt;$K$5,"Lease-up",IF(ED15=$K$5,"Stabilization","-"))</f>
        <v>-</v>
      </c>
      <c r="EE12" s="462" t="str">
        <f>IF(EE15&lt;$K$5,"Lease-up",IF(EE15=$K$5,"Stabilization","-"))</f>
        <v>-</v>
      </c>
      <c r="EF12" s="462" t="str">
        <f>IF(EF15&lt;$K$5,"Lease-up",IF(EF15=$K$5,"Stabilization","-"))</f>
        <v>-</v>
      </c>
    </row>
    <row r="13" spans="2:137" s="463" customFormat="1" ht="10.15" x14ac:dyDescent="0.45">
      <c r="E13" s="464">
        <f>YEAR(Model!H2)</f>
        <v>2025</v>
      </c>
      <c r="F13" s="464">
        <f>YEAR(Model!I2)</f>
        <v>2025</v>
      </c>
      <c r="G13" s="464">
        <f>YEAR(Model!J2)</f>
        <v>2025</v>
      </c>
      <c r="H13" s="464">
        <f>YEAR(Model!K2)</f>
        <v>2025</v>
      </c>
      <c r="I13" s="464">
        <f>YEAR(Model!L2)</f>
        <v>2025</v>
      </c>
      <c r="J13" s="464">
        <f>YEAR(Model!M2)</f>
        <v>2025</v>
      </c>
      <c r="K13" s="464">
        <f>YEAR(Model!N2)</f>
        <v>2026</v>
      </c>
      <c r="L13" s="464">
        <f>YEAR(Model!O2)</f>
        <v>2026</v>
      </c>
      <c r="M13" s="464">
        <f>YEAR(Model!P2)</f>
        <v>2026</v>
      </c>
      <c r="N13" s="464">
        <f>YEAR(Model!Q2)</f>
        <v>2026</v>
      </c>
      <c r="O13" s="464">
        <f>YEAR(Model!R2)</f>
        <v>2026</v>
      </c>
      <c r="P13" s="464">
        <f>YEAR(Model!S2)</f>
        <v>2026</v>
      </c>
      <c r="Q13" s="464">
        <f>YEAR(Model!T2)</f>
        <v>2026</v>
      </c>
      <c r="R13" s="464">
        <f>YEAR(Model!U2)</f>
        <v>2026</v>
      </c>
      <c r="S13" s="464">
        <f>YEAR(Model!V2)</f>
        <v>2026</v>
      </c>
      <c r="T13" s="464">
        <f>YEAR(Model!W2)</f>
        <v>2026</v>
      </c>
      <c r="U13" s="464">
        <f>YEAR(Model!X2)</f>
        <v>2026</v>
      </c>
      <c r="V13" s="464">
        <f>YEAR(Model!Y2)</f>
        <v>2026</v>
      </c>
      <c r="W13" s="464">
        <f>YEAR(Model!Z2)</f>
        <v>2027</v>
      </c>
      <c r="X13" s="464">
        <f>YEAR(Model!AA2)</f>
        <v>2027</v>
      </c>
      <c r="Y13" s="464">
        <f>YEAR(Model!AB2)</f>
        <v>2027</v>
      </c>
      <c r="Z13" s="464">
        <f>YEAR(Model!AC2)</f>
        <v>2027</v>
      </c>
      <c r="AA13" s="464">
        <f>YEAR(Model!AD2)</f>
        <v>2027</v>
      </c>
      <c r="AB13" s="464">
        <f>YEAR(Model!AE2)</f>
        <v>2027</v>
      </c>
      <c r="AC13" s="464">
        <f>YEAR(Model!AF2)</f>
        <v>2027</v>
      </c>
      <c r="AD13" s="464">
        <f>YEAR(Model!AG2)</f>
        <v>2027</v>
      </c>
      <c r="AE13" s="464">
        <f>YEAR(Model!AH2)</f>
        <v>2027</v>
      </c>
      <c r="AF13" s="464">
        <f>YEAR(Model!AI2)</f>
        <v>2027</v>
      </c>
      <c r="AG13" s="464">
        <f>YEAR(Model!AJ2)</f>
        <v>2027</v>
      </c>
      <c r="AH13" s="464">
        <f>YEAR(Model!AK2)</f>
        <v>2027</v>
      </c>
      <c r="AI13" s="464">
        <f>YEAR(Model!AL2)</f>
        <v>2028</v>
      </c>
      <c r="AJ13" s="464">
        <f>YEAR(Model!AM2)</f>
        <v>2028</v>
      </c>
      <c r="AK13" s="464">
        <f>YEAR(Model!AN2)</f>
        <v>2028</v>
      </c>
      <c r="AL13" s="464">
        <f>YEAR(Model!AO2)</f>
        <v>2028</v>
      </c>
      <c r="AM13" s="464">
        <f>YEAR(Model!AP2)</f>
        <v>2028</v>
      </c>
      <c r="AN13" s="464">
        <f>YEAR(Model!AQ2)</f>
        <v>2028</v>
      </c>
      <c r="AO13" s="464">
        <f>YEAR(Model!AR2)</f>
        <v>2028</v>
      </c>
      <c r="AP13" s="464">
        <f>YEAR(Model!AS2)</f>
        <v>2028</v>
      </c>
      <c r="AQ13" s="464">
        <f>YEAR(Model!AT2)</f>
        <v>2028</v>
      </c>
      <c r="AR13" s="464">
        <f>YEAR(Model!AU2)</f>
        <v>2028</v>
      </c>
      <c r="AS13" s="464">
        <f>YEAR(Model!AV2)</f>
        <v>2028</v>
      </c>
      <c r="AT13" s="464">
        <f>YEAR(Model!AW2)</f>
        <v>2028</v>
      </c>
      <c r="AU13" s="464">
        <f>YEAR(Model!AX2)</f>
        <v>2029</v>
      </c>
      <c r="AV13" s="464">
        <f>YEAR(Model!AY2)</f>
        <v>2029</v>
      </c>
      <c r="AW13" s="464">
        <f>YEAR(Model!AZ2)</f>
        <v>2029</v>
      </c>
      <c r="AX13" s="464">
        <f>YEAR(Model!BA2)</f>
        <v>2029</v>
      </c>
      <c r="AY13" s="464">
        <f>YEAR(Model!BB2)</f>
        <v>2029</v>
      </c>
      <c r="AZ13" s="464">
        <f>YEAR(Model!BC2)</f>
        <v>2029</v>
      </c>
      <c r="BA13" s="464">
        <f>YEAR(Model!BD2)</f>
        <v>2029</v>
      </c>
      <c r="BB13" s="464">
        <f>YEAR(Model!BE2)</f>
        <v>2029</v>
      </c>
      <c r="BC13" s="464">
        <f>YEAR(Model!BF2)</f>
        <v>2029</v>
      </c>
      <c r="BD13" s="464">
        <f>YEAR(Model!BG2)</f>
        <v>2029</v>
      </c>
      <c r="BE13" s="464">
        <f>YEAR(Model!BH2)</f>
        <v>2029</v>
      </c>
      <c r="BF13" s="464">
        <f>YEAR(Model!BI2)</f>
        <v>2029</v>
      </c>
      <c r="BG13" s="464">
        <f>YEAR(Model!BJ2)</f>
        <v>2030</v>
      </c>
      <c r="BH13" s="464">
        <f>YEAR(Model!BK2)</f>
        <v>2030</v>
      </c>
      <c r="BI13" s="464">
        <f>YEAR(Model!BL2)</f>
        <v>2030</v>
      </c>
      <c r="BJ13" s="464">
        <f>YEAR(Model!BM2)</f>
        <v>2030</v>
      </c>
      <c r="BK13" s="464">
        <f>YEAR(Model!BN2)</f>
        <v>2030</v>
      </c>
      <c r="BL13" s="464">
        <f>YEAR(Model!BO2)</f>
        <v>2030</v>
      </c>
      <c r="BM13" s="464">
        <f>YEAR(Model!BP2)</f>
        <v>2030</v>
      </c>
      <c r="BN13" s="464">
        <f>YEAR(Model!BQ2)</f>
        <v>2030</v>
      </c>
      <c r="BO13" s="464">
        <f>YEAR(Model!BR2)</f>
        <v>2030</v>
      </c>
      <c r="BP13" s="464">
        <f>YEAR(Model!BS2)</f>
        <v>2030</v>
      </c>
      <c r="BQ13" s="464">
        <f>YEAR(Model!BT2)</f>
        <v>2030</v>
      </c>
      <c r="BR13" s="464">
        <f>YEAR(Model!BU2)</f>
        <v>2030</v>
      </c>
      <c r="BS13" s="464">
        <f>YEAR(Model!BV2)</f>
        <v>2031</v>
      </c>
      <c r="BT13" s="464">
        <f>YEAR(Model!BW2)</f>
        <v>2031</v>
      </c>
      <c r="BU13" s="464">
        <f>YEAR(Model!BX2)</f>
        <v>2031</v>
      </c>
      <c r="BV13" s="464">
        <f>YEAR(Model!BY2)</f>
        <v>2031</v>
      </c>
      <c r="BW13" s="464">
        <f>YEAR(Model!BZ2)</f>
        <v>2031</v>
      </c>
      <c r="BX13" s="464">
        <f>YEAR(Model!CA2)</f>
        <v>2031</v>
      </c>
      <c r="BY13" s="464">
        <f>YEAR(Model!CB2)</f>
        <v>2031</v>
      </c>
      <c r="BZ13" s="464">
        <f>YEAR(Model!CC2)</f>
        <v>2031</v>
      </c>
      <c r="CA13" s="464">
        <f>YEAR(Model!CD2)</f>
        <v>2031</v>
      </c>
      <c r="CB13" s="464">
        <f>YEAR(Model!CE2)</f>
        <v>2031</v>
      </c>
      <c r="CC13" s="464">
        <f>YEAR(Model!CF2)</f>
        <v>2031</v>
      </c>
      <c r="CD13" s="464">
        <f>YEAR(Model!CG2)</f>
        <v>2031</v>
      </c>
      <c r="CE13" s="464">
        <f>YEAR(Model!CH2)</f>
        <v>2032</v>
      </c>
      <c r="CF13" s="464">
        <f>YEAR(Model!CI2)</f>
        <v>2032</v>
      </c>
      <c r="CG13" s="464">
        <f>YEAR(Model!CJ2)</f>
        <v>2032</v>
      </c>
      <c r="CH13" s="464">
        <f>YEAR(Model!CK2)</f>
        <v>2032</v>
      </c>
      <c r="CI13" s="464">
        <f>YEAR(Model!CL2)</f>
        <v>2032</v>
      </c>
      <c r="CJ13" s="464">
        <f>YEAR(Model!CM2)</f>
        <v>2032</v>
      </c>
      <c r="CK13" s="464">
        <f>YEAR(Model!CN2)</f>
        <v>2032</v>
      </c>
      <c r="CL13" s="464">
        <f>YEAR(Model!CO2)</f>
        <v>2032</v>
      </c>
      <c r="CM13" s="464">
        <f>YEAR(Model!CP2)</f>
        <v>2032</v>
      </c>
      <c r="CN13" s="464">
        <f>YEAR(Model!CQ2)</f>
        <v>2032</v>
      </c>
      <c r="CO13" s="464">
        <f>YEAR(Model!CR2)</f>
        <v>2032</v>
      </c>
      <c r="CP13" s="464">
        <f>YEAR(Model!CS2)</f>
        <v>2032</v>
      </c>
      <c r="CQ13" s="464">
        <f>YEAR(Model!CT2)</f>
        <v>2033</v>
      </c>
      <c r="CR13" s="464">
        <f>YEAR(Model!CU2)</f>
        <v>2033</v>
      </c>
      <c r="CS13" s="464">
        <f>YEAR(Model!CV2)</f>
        <v>2033</v>
      </c>
      <c r="CT13" s="464">
        <f>YEAR(Model!CW2)</f>
        <v>2033</v>
      </c>
      <c r="CU13" s="464">
        <f>YEAR(Model!CX2)</f>
        <v>2033</v>
      </c>
      <c r="CV13" s="464">
        <f>YEAR(Model!CY2)</f>
        <v>2033</v>
      </c>
      <c r="CW13" s="464">
        <f>YEAR(Model!CZ2)</f>
        <v>2033</v>
      </c>
      <c r="CX13" s="464">
        <f>YEAR(Model!DA2)</f>
        <v>2033</v>
      </c>
      <c r="CY13" s="464">
        <f>YEAR(Model!DB2)</f>
        <v>2033</v>
      </c>
      <c r="CZ13" s="464">
        <f>YEAR(Model!DC2)</f>
        <v>2033</v>
      </c>
      <c r="DA13" s="464">
        <f>YEAR(Model!DD2)</f>
        <v>2033</v>
      </c>
      <c r="DB13" s="464">
        <f>YEAR(Model!DE2)</f>
        <v>2033</v>
      </c>
      <c r="DC13" s="464">
        <f>YEAR(Model!DF2)</f>
        <v>2034</v>
      </c>
      <c r="DD13" s="464">
        <f>YEAR(Model!DG2)</f>
        <v>2034</v>
      </c>
      <c r="DE13" s="464">
        <f>YEAR(Model!DH2)</f>
        <v>2034</v>
      </c>
      <c r="DF13" s="464">
        <f>YEAR(Model!DI2)</f>
        <v>2034</v>
      </c>
      <c r="DG13" s="464">
        <f>YEAR(Model!DJ2)</f>
        <v>2034</v>
      </c>
      <c r="DH13" s="464">
        <f>YEAR(Model!DK2)</f>
        <v>2034</v>
      </c>
      <c r="DI13" s="464">
        <f>YEAR(Model!DL2)</f>
        <v>2034</v>
      </c>
      <c r="DJ13" s="464">
        <f>YEAR(Model!DM2)</f>
        <v>2034</v>
      </c>
      <c r="DK13" s="464">
        <f>YEAR(Model!DN2)</f>
        <v>2034</v>
      </c>
      <c r="DL13" s="464">
        <f>YEAR(Model!DO2)</f>
        <v>2034</v>
      </c>
      <c r="DM13" s="464">
        <f>YEAR(Model!DP2)</f>
        <v>2034</v>
      </c>
      <c r="DN13" s="464">
        <f>YEAR(Model!DQ2)</f>
        <v>2034</v>
      </c>
      <c r="DO13" s="464">
        <f>YEAR(Model!DR2)</f>
        <v>2035</v>
      </c>
      <c r="DP13" s="464">
        <f>YEAR(Model!DS2)</f>
        <v>2035</v>
      </c>
      <c r="DQ13" s="464">
        <f>YEAR(Model!DT2)</f>
        <v>2035</v>
      </c>
      <c r="DR13" s="464">
        <f>YEAR(Model!DU2)</f>
        <v>2035</v>
      </c>
      <c r="DS13" s="464">
        <f>YEAR(Model!DV2)</f>
        <v>2035</v>
      </c>
      <c r="DT13" s="464" t="e">
        <f>YEAR(Model!#REF!)</f>
        <v>#REF!</v>
      </c>
      <c r="DU13" s="464">
        <f>YEAR(Model!EJ2)</f>
        <v>1900</v>
      </c>
      <c r="DV13" s="464">
        <f>YEAR(Model!EK2)</f>
        <v>1900</v>
      </c>
      <c r="DW13" s="464">
        <f>YEAR(Model!EL2)</f>
        <v>1900</v>
      </c>
      <c r="DX13" s="464" t="e">
        <f>YEAR(Model!EM2)</f>
        <v>#VALUE!</v>
      </c>
      <c r="DY13" s="464">
        <f>YEAR(Model!EN2)</f>
        <v>1900</v>
      </c>
      <c r="DZ13" s="464">
        <f>YEAR(Model!EO2)</f>
        <v>1900</v>
      </c>
      <c r="EA13" s="464">
        <f>YEAR(Model!EP2)</f>
        <v>1900</v>
      </c>
      <c r="EB13" s="464">
        <f>YEAR(Model!EQ2)</f>
        <v>1900</v>
      </c>
      <c r="EC13" s="464">
        <f>YEAR(Model!ER2)</f>
        <v>1900</v>
      </c>
      <c r="ED13" s="464">
        <f>YEAR(Model!ES2)</f>
        <v>1900</v>
      </c>
      <c r="EE13" s="464">
        <f>YEAR(Model!ET2)</f>
        <v>1900</v>
      </c>
      <c r="EF13" s="464">
        <f>YEAR(Model!EU2)</f>
        <v>1900</v>
      </c>
    </row>
    <row r="14" spans="2:137" s="463" customFormat="1" ht="10.15" x14ac:dyDescent="0.45">
      <c r="E14" s="465">
        <f>+ROUNDUP(E15/12,0)</f>
        <v>1</v>
      </c>
      <c r="F14" s="465">
        <f t="shared" ref="F14:BQ14" si="0">+ROUNDUP(F15/12,0)</f>
        <v>1</v>
      </c>
      <c r="G14" s="465">
        <f t="shared" si="0"/>
        <v>1</v>
      </c>
      <c r="H14" s="465">
        <f t="shared" si="0"/>
        <v>1</v>
      </c>
      <c r="I14" s="465">
        <f t="shared" si="0"/>
        <v>1</v>
      </c>
      <c r="J14" s="465">
        <f t="shared" si="0"/>
        <v>1</v>
      </c>
      <c r="K14" s="465">
        <f t="shared" si="0"/>
        <v>1</v>
      </c>
      <c r="L14" s="465">
        <f t="shared" si="0"/>
        <v>1</v>
      </c>
      <c r="M14" s="465">
        <f t="shared" si="0"/>
        <v>1</v>
      </c>
      <c r="N14" s="465">
        <f t="shared" si="0"/>
        <v>1</v>
      </c>
      <c r="O14" s="465">
        <f t="shared" si="0"/>
        <v>1</v>
      </c>
      <c r="P14" s="465">
        <f t="shared" si="0"/>
        <v>1</v>
      </c>
      <c r="Q14" s="465">
        <f t="shared" si="0"/>
        <v>2</v>
      </c>
      <c r="R14" s="465">
        <f t="shared" si="0"/>
        <v>2</v>
      </c>
      <c r="S14" s="465">
        <f t="shared" si="0"/>
        <v>2</v>
      </c>
      <c r="T14" s="465">
        <f t="shared" si="0"/>
        <v>2</v>
      </c>
      <c r="U14" s="465">
        <f t="shared" si="0"/>
        <v>2</v>
      </c>
      <c r="V14" s="465">
        <f t="shared" si="0"/>
        <v>2</v>
      </c>
      <c r="W14" s="465">
        <f t="shared" si="0"/>
        <v>2</v>
      </c>
      <c r="X14" s="465">
        <f t="shared" si="0"/>
        <v>2</v>
      </c>
      <c r="Y14" s="465">
        <f t="shared" si="0"/>
        <v>2</v>
      </c>
      <c r="Z14" s="465">
        <f t="shared" si="0"/>
        <v>2</v>
      </c>
      <c r="AA14" s="465">
        <f t="shared" si="0"/>
        <v>2</v>
      </c>
      <c r="AB14" s="465">
        <f t="shared" si="0"/>
        <v>2</v>
      </c>
      <c r="AC14" s="465">
        <f t="shared" si="0"/>
        <v>3</v>
      </c>
      <c r="AD14" s="465">
        <f t="shared" si="0"/>
        <v>3</v>
      </c>
      <c r="AE14" s="465">
        <f t="shared" si="0"/>
        <v>3</v>
      </c>
      <c r="AF14" s="465">
        <f t="shared" si="0"/>
        <v>3</v>
      </c>
      <c r="AG14" s="465">
        <f t="shared" si="0"/>
        <v>3</v>
      </c>
      <c r="AH14" s="465">
        <f t="shared" si="0"/>
        <v>3</v>
      </c>
      <c r="AI14" s="465">
        <f t="shared" si="0"/>
        <v>3</v>
      </c>
      <c r="AJ14" s="465">
        <f t="shared" si="0"/>
        <v>3</v>
      </c>
      <c r="AK14" s="465">
        <f t="shared" si="0"/>
        <v>3</v>
      </c>
      <c r="AL14" s="465">
        <f t="shared" si="0"/>
        <v>3</v>
      </c>
      <c r="AM14" s="465">
        <f t="shared" si="0"/>
        <v>3</v>
      </c>
      <c r="AN14" s="465">
        <f t="shared" si="0"/>
        <v>3</v>
      </c>
      <c r="AO14" s="465">
        <f t="shared" si="0"/>
        <v>4</v>
      </c>
      <c r="AP14" s="465">
        <f t="shared" si="0"/>
        <v>4</v>
      </c>
      <c r="AQ14" s="465">
        <f t="shared" si="0"/>
        <v>4</v>
      </c>
      <c r="AR14" s="465">
        <f t="shared" si="0"/>
        <v>4</v>
      </c>
      <c r="AS14" s="465">
        <f t="shared" si="0"/>
        <v>4</v>
      </c>
      <c r="AT14" s="465">
        <f t="shared" si="0"/>
        <v>4</v>
      </c>
      <c r="AU14" s="465">
        <f t="shared" si="0"/>
        <v>4</v>
      </c>
      <c r="AV14" s="465">
        <f t="shared" si="0"/>
        <v>4</v>
      </c>
      <c r="AW14" s="465">
        <f t="shared" si="0"/>
        <v>4</v>
      </c>
      <c r="AX14" s="465">
        <f t="shared" si="0"/>
        <v>4</v>
      </c>
      <c r="AY14" s="465">
        <f t="shared" si="0"/>
        <v>4</v>
      </c>
      <c r="AZ14" s="465">
        <f t="shared" si="0"/>
        <v>4</v>
      </c>
      <c r="BA14" s="465">
        <f t="shared" si="0"/>
        <v>5</v>
      </c>
      <c r="BB14" s="465">
        <f t="shared" si="0"/>
        <v>5</v>
      </c>
      <c r="BC14" s="465">
        <f t="shared" si="0"/>
        <v>5</v>
      </c>
      <c r="BD14" s="465">
        <f t="shared" si="0"/>
        <v>5</v>
      </c>
      <c r="BE14" s="465">
        <f t="shared" si="0"/>
        <v>5</v>
      </c>
      <c r="BF14" s="465">
        <f t="shared" si="0"/>
        <v>5</v>
      </c>
      <c r="BG14" s="465">
        <f t="shared" si="0"/>
        <v>5</v>
      </c>
      <c r="BH14" s="465">
        <f t="shared" si="0"/>
        <v>5</v>
      </c>
      <c r="BI14" s="465">
        <f t="shared" si="0"/>
        <v>5</v>
      </c>
      <c r="BJ14" s="465">
        <f t="shared" si="0"/>
        <v>5</v>
      </c>
      <c r="BK14" s="465">
        <f t="shared" si="0"/>
        <v>5</v>
      </c>
      <c r="BL14" s="465">
        <f t="shared" si="0"/>
        <v>5</v>
      </c>
      <c r="BM14" s="465">
        <f t="shared" si="0"/>
        <v>6</v>
      </c>
      <c r="BN14" s="465">
        <f t="shared" si="0"/>
        <v>6</v>
      </c>
      <c r="BO14" s="465">
        <f t="shared" si="0"/>
        <v>6</v>
      </c>
      <c r="BP14" s="465">
        <f t="shared" si="0"/>
        <v>6</v>
      </c>
      <c r="BQ14" s="465">
        <f t="shared" si="0"/>
        <v>6</v>
      </c>
      <c r="BR14" s="465">
        <f t="shared" ref="BR14:EC14" si="1">+ROUNDUP(BR15/12,0)</f>
        <v>6</v>
      </c>
      <c r="BS14" s="465">
        <f t="shared" si="1"/>
        <v>6</v>
      </c>
      <c r="BT14" s="465">
        <f t="shared" si="1"/>
        <v>6</v>
      </c>
      <c r="BU14" s="465">
        <f t="shared" si="1"/>
        <v>6</v>
      </c>
      <c r="BV14" s="465">
        <f t="shared" si="1"/>
        <v>6</v>
      </c>
      <c r="BW14" s="465">
        <f t="shared" si="1"/>
        <v>6</v>
      </c>
      <c r="BX14" s="465">
        <f t="shared" si="1"/>
        <v>6</v>
      </c>
      <c r="BY14" s="465">
        <f t="shared" si="1"/>
        <v>7</v>
      </c>
      <c r="BZ14" s="465">
        <f t="shared" si="1"/>
        <v>7</v>
      </c>
      <c r="CA14" s="465">
        <f t="shared" si="1"/>
        <v>7</v>
      </c>
      <c r="CB14" s="465">
        <f t="shared" si="1"/>
        <v>7</v>
      </c>
      <c r="CC14" s="465">
        <f t="shared" si="1"/>
        <v>7</v>
      </c>
      <c r="CD14" s="465">
        <f t="shared" si="1"/>
        <v>7</v>
      </c>
      <c r="CE14" s="465">
        <f t="shared" si="1"/>
        <v>7</v>
      </c>
      <c r="CF14" s="465">
        <f t="shared" si="1"/>
        <v>7</v>
      </c>
      <c r="CG14" s="465">
        <f t="shared" si="1"/>
        <v>7</v>
      </c>
      <c r="CH14" s="465">
        <f t="shared" si="1"/>
        <v>7</v>
      </c>
      <c r="CI14" s="465">
        <f t="shared" si="1"/>
        <v>7</v>
      </c>
      <c r="CJ14" s="465">
        <f t="shared" si="1"/>
        <v>7</v>
      </c>
      <c r="CK14" s="465">
        <f t="shared" si="1"/>
        <v>8</v>
      </c>
      <c r="CL14" s="465">
        <f t="shared" si="1"/>
        <v>8</v>
      </c>
      <c r="CM14" s="465">
        <f t="shared" si="1"/>
        <v>8</v>
      </c>
      <c r="CN14" s="465">
        <f t="shared" si="1"/>
        <v>8</v>
      </c>
      <c r="CO14" s="465">
        <f t="shared" si="1"/>
        <v>8</v>
      </c>
      <c r="CP14" s="465">
        <f t="shared" si="1"/>
        <v>8</v>
      </c>
      <c r="CQ14" s="465">
        <f t="shared" si="1"/>
        <v>8</v>
      </c>
      <c r="CR14" s="465">
        <f t="shared" si="1"/>
        <v>8</v>
      </c>
      <c r="CS14" s="465">
        <f t="shared" si="1"/>
        <v>8</v>
      </c>
      <c r="CT14" s="465">
        <f t="shared" si="1"/>
        <v>8</v>
      </c>
      <c r="CU14" s="465">
        <f t="shared" si="1"/>
        <v>8</v>
      </c>
      <c r="CV14" s="465">
        <f t="shared" si="1"/>
        <v>8</v>
      </c>
      <c r="CW14" s="465">
        <f t="shared" si="1"/>
        <v>9</v>
      </c>
      <c r="CX14" s="465">
        <f t="shared" si="1"/>
        <v>9</v>
      </c>
      <c r="CY14" s="465">
        <f t="shared" si="1"/>
        <v>9</v>
      </c>
      <c r="CZ14" s="465">
        <f t="shared" si="1"/>
        <v>9</v>
      </c>
      <c r="DA14" s="465">
        <f t="shared" si="1"/>
        <v>9</v>
      </c>
      <c r="DB14" s="465">
        <f t="shared" si="1"/>
        <v>9</v>
      </c>
      <c r="DC14" s="465">
        <f t="shared" si="1"/>
        <v>9</v>
      </c>
      <c r="DD14" s="465">
        <f t="shared" si="1"/>
        <v>9</v>
      </c>
      <c r="DE14" s="465">
        <f t="shared" si="1"/>
        <v>9</v>
      </c>
      <c r="DF14" s="465">
        <f t="shared" si="1"/>
        <v>9</v>
      </c>
      <c r="DG14" s="465">
        <f t="shared" si="1"/>
        <v>9</v>
      </c>
      <c r="DH14" s="465">
        <f t="shared" si="1"/>
        <v>9</v>
      </c>
      <c r="DI14" s="465">
        <f t="shared" si="1"/>
        <v>10</v>
      </c>
      <c r="DJ14" s="465">
        <f t="shared" si="1"/>
        <v>10</v>
      </c>
      <c r="DK14" s="465">
        <f t="shared" si="1"/>
        <v>10</v>
      </c>
      <c r="DL14" s="465">
        <f t="shared" si="1"/>
        <v>10</v>
      </c>
      <c r="DM14" s="465">
        <f t="shared" si="1"/>
        <v>10</v>
      </c>
      <c r="DN14" s="465">
        <f t="shared" si="1"/>
        <v>10</v>
      </c>
      <c r="DO14" s="465">
        <f t="shared" si="1"/>
        <v>10</v>
      </c>
      <c r="DP14" s="465">
        <f t="shared" si="1"/>
        <v>10</v>
      </c>
      <c r="DQ14" s="465">
        <f t="shared" si="1"/>
        <v>10</v>
      </c>
      <c r="DR14" s="465">
        <f t="shared" si="1"/>
        <v>10</v>
      </c>
      <c r="DS14" s="465">
        <f t="shared" si="1"/>
        <v>10</v>
      </c>
      <c r="DT14" s="465">
        <f t="shared" si="1"/>
        <v>10</v>
      </c>
      <c r="DU14" s="465">
        <f t="shared" si="1"/>
        <v>11</v>
      </c>
      <c r="DV14" s="465">
        <f t="shared" si="1"/>
        <v>11</v>
      </c>
      <c r="DW14" s="465">
        <f t="shared" si="1"/>
        <v>11</v>
      </c>
      <c r="DX14" s="465">
        <f t="shared" si="1"/>
        <v>11</v>
      </c>
      <c r="DY14" s="465">
        <f t="shared" si="1"/>
        <v>11</v>
      </c>
      <c r="DZ14" s="465">
        <f t="shared" si="1"/>
        <v>11</v>
      </c>
      <c r="EA14" s="465">
        <f t="shared" si="1"/>
        <v>11</v>
      </c>
      <c r="EB14" s="465">
        <f t="shared" si="1"/>
        <v>11</v>
      </c>
      <c r="EC14" s="465">
        <f t="shared" si="1"/>
        <v>11</v>
      </c>
      <c r="ED14" s="465">
        <f>+ROUNDUP(ED15/12,0)</f>
        <v>11</v>
      </c>
      <c r="EE14" s="465">
        <f>+ROUNDUP(EE15/12,0)</f>
        <v>11</v>
      </c>
      <c r="EF14" s="465">
        <f>+ROUNDUP(EF15/12,0)</f>
        <v>11</v>
      </c>
    </row>
    <row r="15" spans="2:137" x14ac:dyDescent="0.45">
      <c r="B15" s="2"/>
      <c r="C15" s="2"/>
      <c r="D15" s="2"/>
      <c r="E15" s="466">
        <v>1</v>
      </c>
      <c r="F15" s="18">
        <f>+E15+1</f>
        <v>2</v>
      </c>
      <c r="G15" s="18">
        <f t="shared" ref="G15:AY15" si="2">+F15+1</f>
        <v>3</v>
      </c>
      <c r="H15" s="18">
        <f t="shared" si="2"/>
        <v>4</v>
      </c>
      <c r="I15" s="18">
        <f t="shared" si="2"/>
        <v>5</v>
      </c>
      <c r="J15" s="18">
        <f t="shared" si="2"/>
        <v>6</v>
      </c>
      <c r="K15" s="18">
        <f t="shared" si="2"/>
        <v>7</v>
      </c>
      <c r="L15" s="18">
        <f t="shared" si="2"/>
        <v>8</v>
      </c>
      <c r="M15" s="18">
        <f t="shared" si="2"/>
        <v>9</v>
      </c>
      <c r="N15" s="18">
        <f t="shared" si="2"/>
        <v>10</v>
      </c>
      <c r="O15" s="18">
        <f t="shared" si="2"/>
        <v>11</v>
      </c>
      <c r="P15" s="18">
        <f t="shared" si="2"/>
        <v>12</v>
      </c>
      <c r="Q15" s="18">
        <f t="shared" si="2"/>
        <v>13</v>
      </c>
      <c r="R15" s="18">
        <f t="shared" si="2"/>
        <v>14</v>
      </c>
      <c r="S15" s="18">
        <f t="shared" si="2"/>
        <v>15</v>
      </c>
      <c r="T15" s="18">
        <f t="shared" si="2"/>
        <v>16</v>
      </c>
      <c r="U15" s="18">
        <f t="shared" si="2"/>
        <v>17</v>
      </c>
      <c r="V15" s="18">
        <f t="shared" si="2"/>
        <v>18</v>
      </c>
      <c r="W15" s="18">
        <f t="shared" si="2"/>
        <v>19</v>
      </c>
      <c r="X15" s="18">
        <f t="shared" si="2"/>
        <v>20</v>
      </c>
      <c r="Y15" s="18">
        <f t="shared" si="2"/>
        <v>21</v>
      </c>
      <c r="Z15" s="18">
        <f t="shared" si="2"/>
        <v>22</v>
      </c>
      <c r="AA15" s="18">
        <f t="shared" si="2"/>
        <v>23</v>
      </c>
      <c r="AB15" s="18">
        <f t="shared" si="2"/>
        <v>24</v>
      </c>
      <c r="AC15" s="18">
        <f t="shared" si="2"/>
        <v>25</v>
      </c>
      <c r="AD15" s="18">
        <f t="shared" si="2"/>
        <v>26</v>
      </c>
      <c r="AE15" s="18">
        <f t="shared" si="2"/>
        <v>27</v>
      </c>
      <c r="AF15" s="18">
        <f t="shared" si="2"/>
        <v>28</v>
      </c>
      <c r="AG15" s="18">
        <f t="shared" si="2"/>
        <v>29</v>
      </c>
      <c r="AH15" s="18">
        <f t="shared" si="2"/>
        <v>30</v>
      </c>
      <c r="AI15" s="18">
        <f t="shared" si="2"/>
        <v>31</v>
      </c>
      <c r="AJ15" s="18">
        <f t="shared" si="2"/>
        <v>32</v>
      </c>
      <c r="AK15" s="18">
        <f t="shared" si="2"/>
        <v>33</v>
      </c>
      <c r="AL15" s="18">
        <f t="shared" si="2"/>
        <v>34</v>
      </c>
      <c r="AM15" s="18">
        <f t="shared" si="2"/>
        <v>35</v>
      </c>
      <c r="AN15" s="18">
        <f t="shared" si="2"/>
        <v>36</v>
      </c>
      <c r="AO15" s="18">
        <f t="shared" si="2"/>
        <v>37</v>
      </c>
      <c r="AP15" s="18">
        <f t="shared" si="2"/>
        <v>38</v>
      </c>
      <c r="AQ15" s="18">
        <f t="shared" si="2"/>
        <v>39</v>
      </c>
      <c r="AR15" s="18">
        <f t="shared" si="2"/>
        <v>40</v>
      </c>
      <c r="AS15" s="18">
        <f t="shared" si="2"/>
        <v>41</v>
      </c>
      <c r="AT15" s="18">
        <f t="shared" si="2"/>
        <v>42</v>
      </c>
      <c r="AU15" s="18">
        <f t="shared" si="2"/>
        <v>43</v>
      </c>
      <c r="AV15" s="18">
        <f t="shared" si="2"/>
        <v>44</v>
      </c>
      <c r="AW15" s="18">
        <f t="shared" si="2"/>
        <v>45</v>
      </c>
      <c r="AX15" s="18">
        <f t="shared" si="2"/>
        <v>46</v>
      </c>
      <c r="AY15" s="18">
        <f t="shared" si="2"/>
        <v>47</v>
      </c>
      <c r="AZ15" s="18">
        <f t="shared" ref="AZ15:CE15" si="3">+AY15+1</f>
        <v>48</v>
      </c>
      <c r="BA15" s="18">
        <f t="shared" si="3"/>
        <v>49</v>
      </c>
      <c r="BB15" s="18">
        <f t="shared" si="3"/>
        <v>50</v>
      </c>
      <c r="BC15" s="18">
        <f t="shared" si="3"/>
        <v>51</v>
      </c>
      <c r="BD15" s="18">
        <f t="shared" si="3"/>
        <v>52</v>
      </c>
      <c r="BE15" s="18">
        <f t="shared" si="3"/>
        <v>53</v>
      </c>
      <c r="BF15" s="18">
        <f t="shared" si="3"/>
        <v>54</v>
      </c>
      <c r="BG15" s="18">
        <f t="shared" si="3"/>
        <v>55</v>
      </c>
      <c r="BH15" s="18">
        <f t="shared" si="3"/>
        <v>56</v>
      </c>
      <c r="BI15" s="18">
        <f t="shared" si="3"/>
        <v>57</v>
      </c>
      <c r="BJ15" s="18">
        <f t="shared" si="3"/>
        <v>58</v>
      </c>
      <c r="BK15" s="18">
        <f t="shared" si="3"/>
        <v>59</v>
      </c>
      <c r="BL15" s="18">
        <f t="shared" si="3"/>
        <v>60</v>
      </c>
      <c r="BM15" s="18">
        <f t="shared" si="3"/>
        <v>61</v>
      </c>
      <c r="BN15" s="18">
        <f t="shared" si="3"/>
        <v>62</v>
      </c>
      <c r="BO15" s="18">
        <f t="shared" si="3"/>
        <v>63</v>
      </c>
      <c r="BP15" s="18">
        <f t="shared" si="3"/>
        <v>64</v>
      </c>
      <c r="BQ15" s="18">
        <f t="shared" si="3"/>
        <v>65</v>
      </c>
      <c r="BR15" s="18">
        <f t="shared" si="3"/>
        <v>66</v>
      </c>
      <c r="BS15" s="18">
        <f t="shared" si="3"/>
        <v>67</v>
      </c>
      <c r="BT15" s="18">
        <f t="shared" si="3"/>
        <v>68</v>
      </c>
      <c r="BU15" s="18">
        <f t="shared" si="3"/>
        <v>69</v>
      </c>
      <c r="BV15" s="18">
        <f t="shared" si="3"/>
        <v>70</v>
      </c>
      <c r="BW15" s="18">
        <f t="shared" si="3"/>
        <v>71</v>
      </c>
      <c r="BX15" s="18">
        <f t="shared" si="3"/>
        <v>72</v>
      </c>
      <c r="BY15" s="18">
        <f t="shared" si="3"/>
        <v>73</v>
      </c>
      <c r="BZ15" s="18">
        <f t="shared" si="3"/>
        <v>74</v>
      </c>
      <c r="CA15" s="18">
        <f t="shared" si="3"/>
        <v>75</v>
      </c>
      <c r="CB15" s="18">
        <f t="shared" si="3"/>
        <v>76</v>
      </c>
      <c r="CC15" s="18">
        <f t="shared" si="3"/>
        <v>77</v>
      </c>
      <c r="CD15" s="18">
        <f t="shared" si="3"/>
        <v>78</v>
      </c>
      <c r="CE15" s="18">
        <f t="shared" si="3"/>
        <v>79</v>
      </c>
      <c r="CF15" s="18">
        <f t="shared" ref="CF15:DK15" si="4">+CE15+1</f>
        <v>80</v>
      </c>
      <c r="CG15" s="18">
        <f t="shared" si="4"/>
        <v>81</v>
      </c>
      <c r="CH15" s="18">
        <f t="shared" si="4"/>
        <v>82</v>
      </c>
      <c r="CI15" s="18">
        <f t="shared" si="4"/>
        <v>83</v>
      </c>
      <c r="CJ15" s="18">
        <f t="shared" si="4"/>
        <v>84</v>
      </c>
      <c r="CK15" s="18">
        <f t="shared" si="4"/>
        <v>85</v>
      </c>
      <c r="CL15" s="18">
        <f t="shared" si="4"/>
        <v>86</v>
      </c>
      <c r="CM15" s="18">
        <f t="shared" si="4"/>
        <v>87</v>
      </c>
      <c r="CN15" s="18">
        <f t="shared" si="4"/>
        <v>88</v>
      </c>
      <c r="CO15" s="18">
        <f t="shared" si="4"/>
        <v>89</v>
      </c>
      <c r="CP15" s="18">
        <f t="shared" si="4"/>
        <v>90</v>
      </c>
      <c r="CQ15" s="18">
        <f t="shared" si="4"/>
        <v>91</v>
      </c>
      <c r="CR15" s="18">
        <f t="shared" si="4"/>
        <v>92</v>
      </c>
      <c r="CS15" s="18">
        <f t="shared" si="4"/>
        <v>93</v>
      </c>
      <c r="CT15" s="18">
        <f t="shared" si="4"/>
        <v>94</v>
      </c>
      <c r="CU15" s="18">
        <f t="shared" si="4"/>
        <v>95</v>
      </c>
      <c r="CV15" s="18">
        <f t="shared" si="4"/>
        <v>96</v>
      </c>
      <c r="CW15" s="18">
        <f t="shared" si="4"/>
        <v>97</v>
      </c>
      <c r="CX15" s="18">
        <f t="shared" si="4"/>
        <v>98</v>
      </c>
      <c r="CY15" s="18">
        <f t="shared" si="4"/>
        <v>99</v>
      </c>
      <c r="CZ15" s="18">
        <f t="shared" si="4"/>
        <v>100</v>
      </c>
      <c r="DA15" s="18">
        <f t="shared" si="4"/>
        <v>101</v>
      </c>
      <c r="DB15" s="18">
        <f t="shared" si="4"/>
        <v>102</v>
      </c>
      <c r="DC15" s="18">
        <f t="shared" si="4"/>
        <v>103</v>
      </c>
      <c r="DD15" s="18">
        <f t="shared" si="4"/>
        <v>104</v>
      </c>
      <c r="DE15" s="18">
        <f t="shared" si="4"/>
        <v>105</v>
      </c>
      <c r="DF15" s="18">
        <f t="shared" si="4"/>
        <v>106</v>
      </c>
      <c r="DG15" s="18">
        <f t="shared" si="4"/>
        <v>107</v>
      </c>
      <c r="DH15" s="18">
        <f t="shared" si="4"/>
        <v>108</v>
      </c>
      <c r="DI15" s="18">
        <f t="shared" si="4"/>
        <v>109</v>
      </c>
      <c r="DJ15" s="18">
        <f t="shared" si="4"/>
        <v>110</v>
      </c>
      <c r="DK15" s="18">
        <f t="shared" si="4"/>
        <v>111</v>
      </c>
      <c r="DL15" s="18">
        <f t="shared" ref="DL15:EF15" si="5">+DK15+1</f>
        <v>112</v>
      </c>
      <c r="DM15" s="18">
        <f t="shared" si="5"/>
        <v>113</v>
      </c>
      <c r="DN15" s="18">
        <f t="shared" si="5"/>
        <v>114</v>
      </c>
      <c r="DO15" s="18">
        <f t="shared" si="5"/>
        <v>115</v>
      </c>
      <c r="DP15" s="18">
        <f t="shared" si="5"/>
        <v>116</v>
      </c>
      <c r="DQ15" s="18">
        <f t="shared" si="5"/>
        <v>117</v>
      </c>
      <c r="DR15" s="18">
        <f t="shared" si="5"/>
        <v>118</v>
      </c>
      <c r="DS15" s="18">
        <f t="shared" si="5"/>
        <v>119</v>
      </c>
      <c r="DT15" s="18">
        <f t="shared" si="5"/>
        <v>120</v>
      </c>
      <c r="DU15" s="18">
        <f t="shared" si="5"/>
        <v>121</v>
      </c>
      <c r="DV15" s="18">
        <f t="shared" si="5"/>
        <v>122</v>
      </c>
      <c r="DW15" s="18">
        <f t="shared" si="5"/>
        <v>123</v>
      </c>
      <c r="DX15" s="18">
        <f t="shared" si="5"/>
        <v>124</v>
      </c>
      <c r="DY15" s="18">
        <f t="shared" si="5"/>
        <v>125</v>
      </c>
      <c r="DZ15" s="18">
        <f t="shared" si="5"/>
        <v>126</v>
      </c>
      <c r="EA15" s="18">
        <f t="shared" si="5"/>
        <v>127</v>
      </c>
      <c r="EB15" s="18">
        <f t="shared" si="5"/>
        <v>128</v>
      </c>
      <c r="EC15" s="18">
        <f t="shared" si="5"/>
        <v>129</v>
      </c>
      <c r="ED15" s="18">
        <f t="shared" si="5"/>
        <v>130</v>
      </c>
      <c r="EE15" s="18">
        <f t="shared" si="5"/>
        <v>131</v>
      </c>
      <c r="EF15" s="18">
        <f t="shared" si="5"/>
        <v>132</v>
      </c>
      <c r="EG15" s="20"/>
    </row>
    <row r="16" spans="2:137" x14ac:dyDescent="0.45">
      <c r="B16" s="1" t="s">
        <v>408</v>
      </c>
      <c r="E16" s="24">
        <f>+COUNTIF('Rent Roll Model'!J9:J86,"&gt;0")</f>
        <v>78</v>
      </c>
      <c r="F16" s="24">
        <f>+COUNTIF('Rent Roll Model'!K9:K86,"&gt;0")</f>
        <v>75</v>
      </c>
      <c r="G16" s="24">
        <f>+COUNTIF('Rent Roll Model'!L9:L86,"&gt;0")</f>
        <v>75</v>
      </c>
      <c r="H16" s="24">
        <f>+COUNTIF('Rent Roll Model'!M9:M86,"&gt;0")</f>
        <v>73</v>
      </c>
      <c r="I16" s="24">
        <f>+COUNTIF('Rent Roll Model'!N9:N86,"&gt;0")</f>
        <v>70</v>
      </c>
      <c r="J16" s="24">
        <f>+COUNTIF('Rent Roll Model'!O9:O86,"&gt;0")</f>
        <v>71</v>
      </c>
      <c r="K16" s="24">
        <f>+COUNTIF('Rent Roll Model'!P9:P86,"&gt;0")</f>
        <v>68</v>
      </c>
      <c r="L16" s="24">
        <f>+COUNTIF('Rent Roll Model'!Q9:Q86,"&gt;0")</f>
        <v>68</v>
      </c>
      <c r="M16" s="24">
        <f>+COUNTIF('Rent Roll Model'!R9:R86,"&gt;0")</f>
        <v>68</v>
      </c>
      <c r="N16" s="24">
        <f>+COUNTIF('Rent Roll Model'!S9:S86,"&gt;0")</f>
        <v>67</v>
      </c>
      <c r="O16" s="24">
        <f>+COUNTIF('Rent Roll Model'!T9:T86,"&gt;0")</f>
        <v>67</v>
      </c>
      <c r="P16" s="24">
        <f>+COUNTIF('Rent Roll Model'!U9:U86,"&gt;0")</f>
        <v>67</v>
      </c>
      <c r="Q16" s="24">
        <f>+COUNTIF('Rent Roll Model'!V9:V86,"&gt;0")</f>
        <v>68</v>
      </c>
      <c r="R16" s="24">
        <f>+COUNTIF('Rent Roll Model'!W9:W86,"&gt;0")</f>
        <v>69</v>
      </c>
      <c r="S16" s="24">
        <f>+COUNTIF('Rent Roll Model'!X9:X86,"&gt;0")</f>
        <v>70</v>
      </c>
      <c r="T16" s="24">
        <f>+COUNTIF('Rent Roll Model'!Y9:Y86,"&gt;0")</f>
        <v>70</v>
      </c>
      <c r="U16" s="24">
        <f>+COUNTIF('Rent Roll Model'!Z9:Z86,"&gt;0")</f>
        <v>69</v>
      </c>
      <c r="V16" s="24">
        <f>+COUNTIF('Rent Roll Model'!AA9:AA86,"&gt;0")</f>
        <v>68</v>
      </c>
      <c r="W16" s="24">
        <f>+COUNTIF('Rent Roll Model'!AB9:AB86,"&gt;0")</f>
        <v>67</v>
      </c>
      <c r="X16" s="24">
        <f>+COUNTIF('Rent Roll Model'!AC9:AC86,"&gt;0")</f>
        <v>66</v>
      </c>
      <c r="Y16" s="24">
        <f>+COUNTIF('Rent Roll Model'!AD9:AD86,"&gt;0")</f>
        <v>67</v>
      </c>
      <c r="Z16" s="24">
        <f>+COUNTIF('Rent Roll Model'!AE9:AE86,"&gt;0")</f>
        <v>69</v>
      </c>
      <c r="AA16" s="24">
        <f>+COUNTIF('Rent Roll Model'!AF9:AF86,"&gt;0")</f>
        <v>70</v>
      </c>
      <c r="AB16" s="24">
        <f>+COUNTIF('Rent Roll Model'!AG9:AG86,"&gt;0")</f>
        <v>70</v>
      </c>
      <c r="AC16" s="24">
        <f>+COUNTIF('Rent Roll Model'!AH9:AH86,"&gt;0")</f>
        <v>69</v>
      </c>
      <c r="AD16" s="24">
        <f>+COUNTIF('Rent Roll Model'!AI9:AI86,"&gt;0")</f>
        <v>67</v>
      </c>
      <c r="AE16" s="24">
        <f>+COUNTIF('Rent Roll Model'!AJ9:AJ86,"&gt;0")</f>
        <v>67</v>
      </c>
      <c r="AF16" s="24">
        <f>+COUNTIF('Rent Roll Model'!AK9:AK86,"&gt;0")</f>
        <v>70</v>
      </c>
      <c r="AG16" s="24">
        <f>+COUNTIF('Rent Roll Model'!AL9:AL86,"&gt;0")</f>
        <v>73</v>
      </c>
      <c r="AH16" s="24">
        <f>+COUNTIF('Rent Roll Model'!AM9:AM86,"&gt;0")</f>
        <v>76</v>
      </c>
      <c r="AI16" s="24">
        <f>+COUNTIF('Rent Roll Model'!AN9:AN86,"&gt;0")</f>
        <v>78</v>
      </c>
      <c r="AJ16" s="24">
        <f>+COUNTIF('Rent Roll Model'!AO9:AO86,"&gt;0")</f>
        <v>78</v>
      </c>
      <c r="AK16" s="24">
        <f>+COUNTIF('Rent Roll Model'!AP9:AP86,"&gt;0")</f>
        <v>78</v>
      </c>
      <c r="AL16" s="24">
        <f>+COUNTIF('Rent Roll Model'!AQ9:AQ86,"&gt;0")</f>
        <v>78</v>
      </c>
      <c r="AM16" s="24">
        <f>+COUNTIF('Rent Roll Model'!AR9:AR86,"&gt;0")</f>
        <v>78</v>
      </c>
      <c r="AN16" s="24">
        <f>+COUNTIF('Rent Roll Model'!AS9:AS86,"&gt;0")</f>
        <v>78</v>
      </c>
      <c r="AO16" s="24">
        <f>+COUNTIF('Rent Roll Model'!AT9:AT86,"&gt;0")</f>
        <v>78</v>
      </c>
      <c r="AP16" s="24">
        <f>+COUNTIF('Rent Roll Model'!AU9:AU86,"&gt;0")</f>
        <v>78</v>
      </c>
      <c r="AQ16" s="24">
        <f>+COUNTIF('Rent Roll Model'!AV9:AV86,"&gt;0")</f>
        <v>78</v>
      </c>
      <c r="AR16" s="24">
        <f>+COUNTIF('Rent Roll Model'!AW9:AW86,"&gt;0")</f>
        <v>78</v>
      </c>
      <c r="AS16" s="24">
        <f>+COUNTIF('Rent Roll Model'!AX9:AX86,"&gt;0")</f>
        <v>78</v>
      </c>
      <c r="AT16" s="24">
        <f>+COUNTIF('Rent Roll Model'!AY9:AY86,"&gt;0")</f>
        <v>78</v>
      </c>
      <c r="AU16" s="24">
        <f>+COUNTIF('Rent Roll Model'!AZ9:AZ86,"&gt;0")</f>
        <v>78</v>
      </c>
      <c r="AV16" s="24">
        <f>+COUNTIF('Rent Roll Model'!BA9:BA86,"&gt;0")</f>
        <v>78</v>
      </c>
      <c r="AW16" s="24">
        <f>+COUNTIF('Rent Roll Model'!BB9:BB86,"&gt;0")</f>
        <v>78</v>
      </c>
      <c r="AX16" s="24">
        <f>+COUNTIF('Rent Roll Model'!BC9:BC86,"&gt;0")</f>
        <v>78</v>
      </c>
      <c r="AY16" s="24">
        <f>+COUNTIF('Rent Roll Model'!BD9:BD86,"&gt;0")</f>
        <v>78</v>
      </c>
      <c r="AZ16" s="24">
        <f>+COUNTIF('Rent Roll Model'!BE9:BE86,"&gt;0")</f>
        <v>78</v>
      </c>
      <c r="BA16" s="24">
        <f>+COUNTIF('Rent Roll Model'!BF9:BF86,"&gt;0")</f>
        <v>78</v>
      </c>
      <c r="BB16" s="24">
        <f>+COUNTIF('Rent Roll Model'!BG9:BG86,"&gt;0")</f>
        <v>78</v>
      </c>
      <c r="BC16" s="24">
        <f>+COUNTIF('Rent Roll Model'!BH9:BH86,"&gt;0")</f>
        <v>78</v>
      </c>
      <c r="BD16" s="24">
        <f>+COUNTIF('Rent Roll Model'!BI9:BI86,"&gt;0")</f>
        <v>78</v>
      </c>
      <c r="BE16" s="24">
        <f>+COUNTIF('Rent Roll Model'!BJ9:BJ86,"&gt;0")</f>
        <v>78</v>
      </c>
      <c r="BF16" s="24">
        <f>+COUNTIF('Rent Roll Model'!BK9:BK86,"&gt;0")</f>
        <v>78</v>
      </c>
      <c r="BG16" s="24">
        <f>+COUNTIF('Rent Roll Model'!BL9:BL86,"&gt;0")</f>
        <v>78</v>
      </c>
      <c r="BH16" s="24">
        <f>+COUNTIF('Rent Roll Model'!BM9:BM86,"&gt;0")</f>
        <v>78</v>
      </c>
      <c r="BI16" s="24">
        <f>+COUNTIF('Rent Roll Model'!BN9:BN86,"&gt;0")</f>
        <v>78</v>
      </c>
      <c r="BJ16" s="24">
        <f>+COUNTIF('Rent Roll Model'!BO9:BO86,"&gt;0")</f>
        <v>78</v>
      </c>
      <c r="BK16" s="24">
        <f>+COUNTIF('Rent Roll Model'!BP9:BP86,"&gt;0")</f>
        <v>78</v>
      </c>
      <c r="BL16" s="24">
        <f>+COUNTIF('Rent Roll Model'!BQ9:BQ86,"&gt;0")</f>
        <v>78</v>
      </c>
      <c r="BM16" s="24">
        <f>+COUNTIF('Rent Roll Model'!BR9:BR86,"&gt;0")</f>
        <v>78</v>
      </c>
      <c r="BN16" s="24">
        <f>+COUNTIF('Rent Roll Model'!BS9:BS86,"&gt;0")</f>
        <v>78</v>
      </c>
      <c r="BO16" s="24">
        <f>+COUNTIF('Rent Roll Model'!BT9:BT86,"&gt;0")</f>
        <v>78</v>
      </c>
      <c r="BP16" s="24">
        <f>+COUNTIF('Rent Roll Model'!BU9:BU86,"&gt;0")</f>
        <v>78</v>
      </c>
      <c r="BQ16" s="24">
        <f>+COUNTIF('Rent Roll Model'!BV9:BV86,"&gt;0")</f>
        <v>78</v>
      </c>
      <c r="BR16" s="24">
        <f>+COUNTIF('Rent Roll Model'!BW9:BW86,"&gt;0")</f>
        <v>78</v>
      </c>
      <c r="BS16" s="24">
        <f>+COUNTIF('Rent Roll Model'!BX9:BX86,"&gt;0")</f>
        <v>78</v>
      </c>
      <c r="BT16" s="24">
        <f>+COUNTIF('Rent Roll Model'!BY9:BY86,"&gt;0")</f>
        <v>78</v>
      </c>
      <c r="BU16" s="24">
        <f>+COUNTIF('Rent Roll Model'!BZ9:BZ86,"&gt;0")</f>
        <v>78</v>
      </c>
      <c r="BV16" s="24">
        <f>+COUNTIF('Rent Roll Model'!CA9:CA86,"&gt;0")</f>
        <v>78</v>
      </c>
      <c r="BW16" s="24">
        <f>+COUNTIF('Rent Roll Model'!CB9:CB86,"&gt;0")</f>
        <v>78</v>
      </c>
      <c r="BX16" s="24">
        <f>+COUNTIF('Rent Roll Model'!CC9:CC86,"&gt;0")</f>
        <v>78</v>
      </c>
      <c r="BY16" s="24">
        <f>+COUNTIF('Rent Roll Model'!CD9:CD86,"&gt;0")</f>
        <v>78</v>
      </c>
      <c r="BZ16" s="24">
        <f>+COUNTIF('Rent Roll Model'!CE9:CE86,"&gt;0")</f>
        <v>78</v>
      </c>
      <c r="CA16" s="24">
        <f>+COUNTIF('Rent Roll Model'!CF9:CF86,"&gt;0")</f>
        <v>78</v>
      </c>
      <c r="CB16" s="24">
        <f>+COUNTIF('Rent Roll Model'!CG9:CG86,"&gt;0")</f>
        <v>78</v>
      </c>
      <c r="CC16" s="24">
        <f>+COUNTIF('Rent Roll Model'!CH9:CH86,"&gt;0")</f>
        <v>78</v>
      </c>
      <c r="CD16" s="24">
        <f>+COUNTIF('Rent Roll Model'!CI9:CI86,"&gt;0")</f>
        <v>78</v>
      </c>
      <c r="CE16" s="24">
        <f>+COUNTIF('Rent Roll Model'!CJ9:CJ86,"&gt;0")</f>
        <v>78</v>
      </c>
      <c r="CF16" s="24">
        <f>+COUNTIF('Rent Roll Model'!CK9:CK86,"&gt;0")</f>
        <v>78</v>
      </c>
      <c r="CG16" s="24">
        <f>+COUNTIF('Rent Roll Model'!CL9:CL86,"&gt;0")</f>
        <v>78</v>
      </c>
      <c r="CH16" s="24">
        <f>+COUNTIF('Rent Roll Model'!CM9:CM86,"&gt;0")</f>
        <v>78</v>
      </c>
      <c r="CI16" s="24">
        <f>+COUNTIF('Rent Roll Model'!CN9:CN86,"&gt;0")</f>
        <v>78</v>
      </c>
      <c r="CJ16" s="24">
        <f>+COUNTIF('Rent Roll Model'!CO9:CO86,"&gt;0")</f>
        <v>78</v>
      </c>
      <c r="CK16" s="24">
        <f>+COUNTIF('Rent Roll Model'!CP9:CP86,"&gt;0")</f>
        <v>78</v>
      </c>
      <c r="CL16" s="24">
        <f>+COUNTIF('Rent Roll Model'!CQ9:CQ86,"&gt;0")</f>
        <v>78</v>
      </c>
      <c r="CM16" s="24">
        <f>+COUNTIF('Rent Roll Model'!CR9:CR86,"&gt;0")</f>
        <v>78</v>
      </c>
      <c r="CN16" s="24">
        <f>+COUNTIF('Rent Roll Model'!CS9:CS86,"&gt;0")</f>
        <v>78</v>
      </c>
      <c r="CO16" s="24">
        <f>+COUNTIF('Rent Roll Model'!CT9:CT86,"&gt;0")</f>
        <v>78</v>
      </c>
      <c r="CP16" s="24">
        <f>+COUNTIF('Rent Roll Model'!CU9:CU86,"&gt;0")</f>
        <v>78</v>
      </c>
      <c r="CQ16" s="24">
        <f>+COUNTIF('Rent Roll Model'!CV9:CV86,"&gt;0")</f>
        <v>78</v>
      </c>
      <c r="CR16" s="24">
        <f>+COUNTIF('Rent Roll Model'!CW9:CW86,"&gt;0")</f>
        <v>78</v>
      </c>
      <c r="CS16" s="24">
        <f>+COUNTIF('Rent Roll Model'!CX9:CX86,"&gt;0")</f>
        <v>78</v>
      </c>
      <c r="CT16" s="24">
        <f>+COUNTIF('Rent Roll Model'!CY9:CY86,"&gt;0")</f>
        <v>78</v>
      </c>
      <c r="CU16" s="24">
        <f>+COUNTIF('Rent Roll Model'!CZ9:CZ86,"&gt;0")</f>
        <v>78</v>
      </c>
      <c r="CV16" s="24">
        <f>+COUNTIF('Rent Roll Model'!DA9:DA86,"&gt;0")</f>
        <v>78</v>
      </c>
      <c r="CW16" s="24">
        <f>+COUNTIF('Rent Roll Model'!DB9:DB86,"&gt;0")</f>
        <v>78</v>
      </c>
      <c r="CX16" s="24">
        <f>+COUNTIF('Rent Roll Model'!DC9:DC86,"&gt;0")</f>
        <v>78</v>
      </c>
      <c r="CY16" s="24">
        <f>+COUNTIF('Rent Roll Model'!DD9:DD86,"&gt;0")</f>
        <v>78</v>
      </c>
      <c r="CZ16" s="24">
        <f>+COUNTIF('Rent Roll Model'!DE9:DE86,"&gt;0")</f>
        <v>78</v>
      </c>
      <c r="DA16" s="24">
        <f>+COUNTIF('Rent Roll Model'!DF9:DF86,"&gt;0")</f>
        <v>78</v>
      </c>
      <c r="DB16" s="24">
        <f>+COUNTIF('Rent Roll Model'!DG9:DG86,"&gt;0")</f>
        <v>78</v>
      </c>
      <c r="DC16" s="24">
        <f>+COUNTIF('Rent Roll Model'!DH9:DH86,"&gt;0")</f>
        <v>78</v>
      </c>
      <c r="DD16" s="24">
        <f>+COUNTIF('Rent Roll Model'!DI9:DI86,"&gt;0")</f>
        <v>78</v>
      </c>
      <c r="DE16" s="24">
        <f>+COUNTIF('Rent Roll Model'!DJ9:DJ86,"&gt;0")</f>
        <v>78</v>
      </c>
      <c r="DF16" s="24">
        <f>+COUNTIF('Rent Roll Model'!DK9:DK86,"&gt;0")</f>
        <v>78</v>
      </c>
      <c r="DG16" s="24">
        <f>+COUNTIF('Rent Roll Model'!DL9:DL86,"&gt;0")</f>
        <v>78</v>
      </c>
      <c r="DH16" s="24">
        <f>+COUNTIF('Rent Roll Model'!DM9:DM86,"&gt;0")</f>
        <v>78</v>
      </c>
      <c r="DI16" s="24">
        <f>+COUNTIF('Rent Roll Model'!DN9:DN86,"&gt;0")</f>
        <v>78</v>
      </c>
      <c r="DJ16" s="24">
        <f>+COUNTIF('Rent Roll Model'!DO9:DO86,"&gt;0")</f>
        <v>78</v>
      </c>
      <c r="DK16" s="24">
        <f>+COUNTIF('Rent Roll Model'!DP9:DP86,"&gt;0")</f>
        <v>78</v>
      </c>
      <c r="DL16" s="24">
        <f>+COUNTIF('Rent Roll Model'!DQ9:DQ86,"&gt;0")</f>
        <v>78</v>
      </c>
      <c r="DM16" s="24">
        <f>+COUNTIF('Rent Roll Model'!DR9:DR86,"&gt;0")</f>
        <v>78</v>
      </c>
      <c r="DN16" s="24">
        <f>+COUNTIF('Rent Roll Model'!DS9:DS86,"&gt;0")</f>
        <v>78</v>
      </c>
      <c r="DO16" s="24">
        <f>+COUNTIF('Rent Roll Model'!DT9:DT86,"&gt;0")</f>
        <v>78</v>
      </c>
      <c r="DP16" s="24">
        <f>+COUNTIF('Rent Roll Model'!DU9:DU86,"&gt;0")</f>
        <v>78</v>
      </c>
      <c r="DQ16" s="24">
        <f>+COUNTIF('Rent Roll Model'!DV9:DV86,"&gt;0")</f>
        <v>78</v>
      </c>
      <c r="DR16" s="24">
        <f>+COUNTIF('Rent Roll Model'!DW9:DW86,"&gt;0")</f>
        <v>78</v>
      </c>
      <c r="DS16" s="24">
        <f>+COUNTIF('Rent Roll Model'!DX9:DX86,"&gt;0")</f>
        <v>78</v>
      </c>
      <c r="DT16" s="24">
        <f>+COUNTIF('Rent Roll Model'!DY9:DY86,"&gt;0")</f>
        <v>78</v>
      </c>
      <c r="DU16" s="24">
        <f>+COUNTIF('Rent Roll Model'!DZ9:DZ86,"&gt;0")</f>
        <v>78</v>
      </c>
      <c r="DV16" s="24">
        <f>+COUNTIF('Rent Roll Model'!EA9:EA86,"&gt;0")</f>
        <v>78</v>
      </c>
      <c r="DW16" s="24">
        <f>+COUNTIF('Rent Roll Model'!EB9:EB86,"&gt;0")</f>
        <v>78</v>
      </c>
      <c r="DX16" s="24">
        <f>+COUNTIF('Rent Roll Model'!EC9:EC86,"&gt;0")</f>
        <v>78</v>
      </c>
      <c r="DY16" s="24">
        <f>+COUNTIF('Rent Roll Model'!ED9:ED86,"&gt;0")</f>
        <v>78</v>
      </c>
      <c r="DZ16" s="24">
        <f>+COUNTIF('Rent Roll Model'!EE9:EE86,"&gt;0")</f>
        <v>78</v>
      </c>
      <c r="EA16" s="24">
        <f>+COUNTIF('Rent Roll Model'!EF9:EF86,"&gt;0")</f>
        <v>78</v>
      </c>
      <c r="EB16" s="24">
        <f>+COUNTIF('Rent Roll Model'!EG9:EG86,"&gt;0")</f>
        <v>78</v>
      </c>
      <c r="EC16" s="24">
        <f>+COUNTIF('Rent Roll Model'!EH9:EH86,"&gt;0")</f>
        <v>78</v>
      </c>
      <c r="ED16" s="24">
        <f>+COUNTIF('Rent Roll Model'!EI9:EI86,"&gt;0")</f>
        <v>78</v>
      </c>
      <c r="EE16" s="24">
        <f>+COUNTIF('Rent Roll Model'!EJ9:EJ86,"&gt;0")</f>
        <v>78</v>
      </c>
      <c r="EF16" s="24">
        <f>+COUNTIF('Rent Roll Model'!EK9:EK86,"&gt;0")</f>
        <v>78</v>
      </c>
    </row>
    <row r="17" spans="2:136" x14ac:dyDescent="0.45">
      <c r="B17" s="1" t="s">
        <v>407</v>
      </c>
      <c r="E17" s="24">
        <f>-COUNTIF('Rent Roll Model'!J9:J86,0)</f>
        <v>0</v>
      </c>
      <c r="F17" s="24">
        <f>-COUNTIF('Rent Roll Model'!K9:K86,0)</f>
        <v>-3</v>
      </c>
      <c r="G17" s="24">
        <f>-COUNTIF('Rent Roll Model'!L9:L86,0)</f>
        <v>-3</v>
      </c>
      <c r="H17" s="24">
        <f>-COUNTIF('Rent Roll Model'!M9:M86,0)</f>
        <v>-5</v>
      </c>
      <c r="I17" s="24">
        <f>-COUNTIF('Rent Roll Model'!N9:N86,0)</f>
        <v>-8</v>
      </c>
      <c r="J17" s="24">
        <f>-COUNTIF('Rent Roll Model'!O9:O86,0)</f>
        <v>-7</v>
      </c>
      <c r="K17" s="24">
        <f>-COUNTIF('Rent Roll Model'!P9:P86,0)</f>
        <v>-10</v>
      </c>
      <c r="L17" s="24">
        <f>-COUNTIF('Rent Roll Model'!Q9:Q86,0)</f>
        <v>-10</v>
      </c>
      <c r="M17" s="24">
        <f>-COUNTIF('Rent Roll Model'!R9:R86,0)</f>
        <v>-10</v>
      </c>
      <c r="N17" s="24">
        <f>-COUNTIF('Rent Roll Model'!S9:S86,0)</f>
        <v>-11</v>
      </c>
      <c r="O17" s="24">
        <f>-COUNTIF('Rent Roll Model'!T9:T86,0)</f>
        <v>-11</v>
      </c>
      <c r="P17" s="24">
        <f>-COUNTIF('Rent Roll Model'!U9:U86,0)</f>
        <v>-11</v>
      </c>
      <c r="Q17" s="24">
        <f>-COUNTIF('Rent Roll Model'!V9:V86,0)</f>
        <v>-10</v>
      </c>
      <c r="R17" s="24">
        <f>-COUNTIF('Rent Roll Model'!W9:W86,0)</f>
        <v>-9</v>
      </c>
      <c r="S17" s="24">
        <f>-COUNTIF('Rent Roll Model'!X9:X86,0)</f>
        <v>-8</v>
      </c>
      <c r="T17" s="24">
        <f>-COUNTIF('Rent Roll Model'!Y9:Y86,0)</f>
        <v>-8</v>
      </c>
      <c r="U17" s="24">
        <f>-COUNTIF('Rent Roll Model'!Z9:Z86,0)</f>
        <v>-9</v>
      </c>
      <c r="V17" s="24">
        <f>-COUNTIF('Rent Roll Model'!AA9:AA86,0)</f>
        <v>-10</v>
      </c>
      <c r="W17" s="24">
        <f>-COUNTIF('Rent Roll Model'!AB9:AB86,0)</f>
        <v>-11</v>
      </c>
      <c r="X17" s="24">
        <f>-COUNTIF('Rent Roll Model'!AC9:AC86,0)</f>
        <v>-12</v>
      </c>
      <c r="Y17" s="24">
        <f>-COUNTIF('Rent Roll Model'!AD9:AD86,0)</f>
        <v>-11</v>
      </c>
      <c r="Z17" s="24">
        <f>-COUNTIF('Rent Roll Model'!AE9:AE86,0)</f>
        <v>-9</v>
      </c>
      <c r="AA17" s="24">
        <f>-COUNTIF('Rent Roll Model'!AF9:AF86,0)</f>
        <v>-8</v>
      </c>
      <c r="AB17" s="24">
        <f>-COUNTIF('Rent Roll Model'!AG9:AG86,0)</f>
        <v>-8</v>
      </c>
      <c r="AC17" s="24">
        <f>-COUNTIF('Rent Roll Model'!AH9:AH86,0)</f>
        <v>-9</v>
      </c>
      <c r="AD17" s="24">
        <f>-COUNTIF('Rent Roll Model'!AI9:AI86,0)</f>
        <v>-11</v>
      </c>
      <c r="AE17" s="24">
        <f>-COUNTIF('Rent Roll Model'!AJ9:AJ86,0)</f>
        <v>-11</v>
      </c>
      <c r="AF17" s="24">
        <f>-COUNTIF('Rent Roll Model'!AK9:AK86,0)</f>
        <v>-8</v>
      </c>
      <c r="AG17" s="24">
        <f>-COUNTIF('Rent Roll Model'!AL9:AL86,0)</f>
        <v>-5</v>
      </c>
      <c r="AH17" s="24">
        <f>-COUNTIF('Rent Roll Model'!AM9:AM86,0)</f>
        <v>-2</v>
      </c>
      <c r="AI17" s="24">
        <f>-COUNTIF('Rent Roll Model'!AN9:AN86,0)</f>
        <v>0</v>
      </c>
      <c r="AJ17" s="24">
        <f>-COUNTIF('Rent Roll Model'!AO9:AO86,0)</f>
        <v>0</v>
      </c>
      <c r="AK17" s="24">
        <f>-COUNTIF('Rent Roll Model'!AP9:AP86,0)</f>
        <v>0</v>
      </c>
      <c r="AL17" s="24">
        <f>-COUNTIF('Rent Roll Model'!AQ9:AQ86,0)</f>
        <v>0</v>
      </c>
      <c r="AM17" s="24">
        <f>-COUNTIF('Rent Roll Model'!AR9:AR86,0)</f>
        <v>0</v>
      </c>
      <c r="AN17" s="24">
        <f>-COUNTIF('Rent Roll Model'!AS9:AS86,0)</f>
        <v>0</v>
      </c>
      <c r="AO17" s="24">
        <f>-COUNTIF('Rent Roll Model'!AT9:AT86,0)</f>
        <v>0</v>
      </c>
      <c r="AP17" s="24">
        <f>-COUNTIF('Rent Roll Model'!AU9:AU86,0)</f>
        <v>0</v>
      </c>
      <c r="AQ17" s="24">
        <f>-COUNTIF('Rent Roll Model'!AV9:AV86,0)</f>
        <v>0</v>
      </c>
      <c r="AR17" s="24">
        <f>-COUNTIF('Rent Roll Model'!AW9:AW86,0)</f>
        <v>0</v>
      </c>
      <c r="AS17" s="24">
        <f>-COUNTIF('Rent Roll Model'!AX9:AX86,0)</f>
        <v>0</v>
      </c>
      <c r="AT17" s="24">
        <f>-COUNTIF('Rent Roll Model'!AY9:AY86,0)</f>
        <v>0</v>
      </c>
      <c r="AU17" s="24">
        <f>-COUNTIF('Rent Roll Model'!AZ9:AZ86,0)</f>
        <v>0</v>
      </c>
      <c r="AV17" s="24">
        <f>-COUNTIF('Rent Roll Model'!BA9:BA86,0)</f>
        <v>0</v>
      </c>
      <c r="AW17" s="24">
        <f>-COUNTIF('Rent Roll Model'!BB9:BB86,0)</f>
        <v>0</v>
      </c>
      <c r="AX17" s="24">
        <f>-COUNTIF('Rent Roll Model'!BC9:BC86,0)</f>
        <v>0</v>
      </c>
      <c r="AY17" s="24">
        <f>-COUNTIF('Rent Roll Model'!BD9:BD86,0)</f>
        <v>0</v>
      </c>
      <c r="AZ17" s="24">
        <f>-COUNTIF('Rent Roll Model'!BE9:BE86,0)</f>
        <v>0</v>
      </c>
      <c r="BA17" s="24">
        <f>-COUNTIF('Rent Roll Model'!BF9:BF86,0)</f>
        <v>0</v>
      </c>
      <c r="BB17" s="24">
        <f>-COUNTIF('Rent Roll Model'!BG9:BG86,0)</f>
        <v>0</v>
      </c>
      <c r="BC17" s="24">
        <f>-COUNTIF('Rent Roll Model'!BH9:BH86,0)</f>
        <v>0</v>
      </c>
      <c r="BD17" s="24">
        <f>-COUNTIF('Rent Roll Model'!BI9:BI86,0)</f>
        <v>0</v>
      </c>
      <c r="BE17" s="24">
        <f>-COUNTIF('Rent Roll Model'!BJ9:BJ86,0)</f>
        <v>0</v>
      </c>
      <c r="BF17" s="24">
        <f>-COUNTIF('Rent Roll Model'!BK9:BK86,0)</f>
        <v>0</v>
      </c>
      <c r="BG17" s="24">
        <f>-COUNTIF('Rent Roll Model'!BL9:BL86,0)</f>
        <v>0</v>
      </c>
      <c r="BH17" s="24">
        <f>-COUNTIF('Rent Roll Model'!BM9:BM86,0)</f>
        <v>0</v>
      </c>
      <c r="BI17" s="24">
        <f>-COUNTIF('Rent Roll Model'!BN9:BN86,0)</f>
        <v>0</v>
      </c>
      <c r="BJ17" s="24">
        <f>-COUNTIF('Rent Roll Model'!BO9:BO86,0)</f>
        <v>0</v>
      </c>
      <c r="BK17" s="24">
        <f>-COUNTIF('Rent Roll Model'!BP9:BP86,0)</f>
        <v>0</v>
      </c>
      <c r="BL17" s="24">
        <f>-COUNTIF('Rent Roll Model'!BQ9:BQ86,0)</f>
        <v>0</v>
      </c>
      <c r="BM17" s="24">
        <f>-COUNTIF('Rent Roll Model'!BR9:BR86,0)</f>
        <v>0</v>
      </c>
      <c r="BN17" s="24">
        <f>-COUNTIF('Rent Roll Model'!BS9:BS86,0)</f>
        <v>0</v>
      </c>
      <c r="BO17" s="24">
        <f>-COUNTIF('Rent Roll Model'!BT9:BT86,0)</f>
        <v>0</v>
      </c>
      <c r="BP17" s="24">
        <f>-COUNTIF('Rent Roll Model'!BU9:BU86,0)</f>
        <v>0</v>
      </c>
      <c r="BQ17" s="24">
        <f>-COUNTIF('Rent Roll Model'!BV9:BV86,0)</f>
        <v>0</v>
      </c>
      <c r="BR17" s="24">
        <f>-COUNTIF('Rent Roll Model'!BW9:BW86,0)</f>
        <v>0</v>
      </c>
      <c r="BS17" s="24">
        <f>-COUNTIF('Rent Roll Model'!BX9:BX86,0)</f>
        <v>0</v>
      </c>
      <c r="BT17" s="24">
        <f>-COUNTIF('Rent Roll Model'!BY9:BY86,0)</f>
        <v>0</v>
      </c>
      <c r="BU17" s="24">
        <f>-COUNTIF('Rent Roll Model'!BZ9:BZ86,0)</f>
        <v>0</v>
      </c>
      <c r="BV17" s="24">
        <f>-COUNTIF('Rent Roll Model'!CA9:CA86,0)</f>
        <v>0</v>
      </c>
      <c r="BW17" s="24">
        <f>-COUNTIF('Rent Roll Model'!CB9:CB86,0)</f>
        <v>0</v>
      </c>
      <c r="BX17" s="24">
        <f>-COUNTIF('Rent Roll Model'!CC9:CC86,0)</f>
        <v>0</v>
      </c>
      <c r="BY17" s="24">
        <f>-COUNTIF('Rent Roll Model'!CD9:CD86,0)</f>
        <v>0</v>
      </c>
      <c r="BZ17" s="24">
        <f>-COUNTIF('Rent Roll Model'!CE9:CE86,0)</f>
        <v>0</v>
      </c>
      <c r="CA17" s="24">
        <f>-COUNTIF('Rent Roll Model'!CF9:CF86,0)</f>
        <v>0</v>
      </c>
      <c r="CB17" s="24">
        <f>-COUNTIF('Rent Roll Model'!CG9:CG86,0)</f>
        <v>0</v>
      </c>
      <c r="CC17" s="24">
        <f>-COUNTIF('Rent Roll Model'!CH9:CH86,0)</f>
        <v>0</v>
      </c>
      <c r="CD17" s="24">
        <f>-COUNTIF('Rent Roll Model'!CI9:CI86,0)</f>
        <v>0</v>
      </c>
      <c r="CE17" s="24">
        <f>-COUNTIF('Rent Roll Model'!CJ9:CJ86,0)</f>
        <v>0</v>
      </c>
      <c r="CF17" s="24">
        <f>-COUNTIF('Rent Roll Model'!CK9:CK86,0)</f>
        <v>0</v>
      </c>
      <c r="CG17" s="24">
        <f>-COUNTIF('Rent Roll Model'!CL9:CL86,0)</f>
        <v>0</v>
      </c>
      <c r="CH17" s="24">
        <f>-COUNTIF('Rent Roll Model'!CM9:CM86,0)</f>
        <v>0</v>
      </c>
      <c r="CI17" s="24">
        <f>-COUNTIF('Rent Roll Model'!CN9:CN86,0)</f>
        <v>0</v>
      </c>
      <c r="CJ17" s="24">
        <f>-COUNTIF('Rent Roll Model'!CO9:CO86,0)</f>
        <v>0</v>
      </c>
      <c r="CK17" s="24">
        <f>-COUNTIF('Rent Roll Model'!CP9:CP86,0)</f>
        <v>0</v>
      </c>
      <c r="CL17" s="24">
        <f>-COUNTIF('Rent Roll Model'!CQ9:CQ86,0)</f>
        <v>0</v>
      </c>
      <c r="CM17" s="24">
        <f>-COUNTIF('Rent Roll Model'!CR9:CR86,0)</f>
        <v>0</v>
      </c>
      <c r="CN17" s="24">
        <f>-COUNTIF('Rent Roll Model'!CS9:CS86,0)</f>
        <v>0</v>
      </c>
      <c r="CO17" s="24">
        <f>-COUNTIF('Rent Roll Model'!CT9:CT86,0)</f>
        <v>0</v>
      </c>
      <c r="CP17" s="24">
        <f>-COUNTIF('Rent Roll Model'!CU9:CU86,0)</f>
        <v>0</v>
      </c>
      <c r="CQ17" s="24">
        <f>-COUNTIF('Rent Roll Model'!CV9:CV86,0)</f>
        <v>0</v>
      </c>
      <c r="CR17" s="24">
        <f>-COUNTIF('Rent Roll Model'!CW9:CW86,0)</f>
        <v>0</v>
      </c>
      <c r="CS17" s="24">
        <f>-COUNTIF('Rent Roll Model'!CX9:CX86,0)</f>
        <v>0</v>
      </c>
      <c r="CT17" s="24">
        <f>-COUNTIF('Rent Roll Model'!CY9:CY86,0)</f>
        <v>0</v>
      </c>
      <c r="CU17" s="24">
        <f>-COUNTIF('Rent Roll Model'!CZ9:CZ86,0)</f>
        <v>0</v>
      </c>
      <c r="CV17" s="24">
        <f>-COUNTIF('Rent Roll Model'!DA9:DA86,0)</f>
        <v>0</v>
      </c>
      <c r="CW17" s="24">
        <f>-COUNTIF('Rent Roll Model'!DB9:DB86,0)</f>
        <v>0</v>
      </c>
      <c r="CX17" s="24">
        <f>-COUNTIF('Rent Roll Model'!DC9:DC86,0)</f>
        <v>0</v>
      </c>
      <c r="CY17" s="24">
        <f>-COUNTIF('Rent Roll Model'!DD9:DD86,0)</f>
        <v>0</v>
      </c>
      <c r="CZ17" s="24">
        <f>-COUNTIF('Rent Roll Model'!DE9:DE86,0)</f>
        <v>0</v>
      </c>
      <c r="DA17" s="24">
        <f>-COUNTIF('Rent Roll Model'!DF9:DF86,0)</f>
        <v>0</v>
      </c>
      <c r="DB17" s="24">
        <f>-COUNTIF('Rent Roll Model'!DG9:DG86,0)</f>
        <v>0</v>
      </c>
      <c r="DC17" s="24">
        <f>-COUNTIF('Rent Roll Model'!DH9:DH86,0)</f>
        <v>0</v>
      </c>
      <c r="DD17" s="24">
        <f>-COUNTIF('Rent Roll Model'!DI9:DI86,0)</f>
        <v>0</v>
      </c>
      <c r="DE17" s="24">
        <f>-COUNTIF('Rent Roll Model'!DJ9:DJ86,0)</f>
        <v>0</v>
      </c>
      <c r="DF17" s="24">
        <f>-COUNTIF('Rent Roll Model'!DK9:DK86,0)</f>
        <v>0</v>
      </c>
      <c r="DG17" s="24">
        <f>-COUNTIF('Rent Roll Model'!DL9:DL86,0)</f>
        <v>0</v>
      </c>
      <c r="DH17" s="24">
        <f>-COUNTIF('Rent Roll Model'!DM9:DM86,0)</f>
        <v>0</v>
      </c>
      <c r="DI17" s="24">
        <f>-COUNTIF('Rent Roll Model'!DN9:DN86,0)</f>
        <v>0</v>
      </c>
      <c r="DJ17" s="24">
        <f>-COUNTIF('Rent Roll Model'!DO9:DO86,0)</f>
        <v>0</v>
      </c>
      <c r="DK17" s="24">
        <f>-COUNTIF('Rent Roll Model'!DP9:DP86,0)</f>
        <v>0</v>
      </c>
      <c r="DL17" s="24">
        <f>-COUNTIF('Rent Roll Model'!DQ9:DQ86,0)</f>
        <v>0</v>
      </c>
      <c r="DM17" s="24">
        <f>-COUNTIF('Rent Roll Model'!DR9:DR86,0)</f>
        <v>0</v>
      </c>
      <c r="DN17" s="24">
        <f>-COUNTIF('Rent Roll Model'!DS9:DS86,0)</f>
        <v>0</v>
      </c>
      <c r="DO17" s="24">
        <f>-COUNTIF('Rent Roll Model'!DT9:DT86,0)</f>
        <v>0</v>
      </c>
      <c r="DP17" s="24">
        <f>-COUNTIF('Rent Roll Model'!DU9:DU86,0)</f>
        <v>0</v>
      </c>
      <c r="DQ17" s="24">
        <f>-COUNTIF('Rent Roll Model'!DV9:DV86,0)</f>
        <v>0</v>
      </c>
      <c r="DR17" s="24">
        <f>-COUNTIF('Rent Roll Model'!DW9:DW86,0)</f>
        <v>0</v>
      </c>
      <c r="DS17" s="24">
        <f>-COUNTIF('Rent Roll Model'!DX9:DX86,0)</f>
        <v>0</v>
      </c>
      <c r="DT17" s="24">
        <f>-COUNTIF('Rent Roll Model'!DY9:DY86,0)</f>
        <v>0</v>
      </c>
      <c r="DU17" s="24">
        <f>-COUNTIF('Rent Roll Model'!DZ9:DZ86,0)</f>
        <v>0</v>
      </c>
      <c r="DV17" s="24">
        <f>-COUNTIF('Rent Roll Model'!EA9:EA86,0)</f>
        <v>0</v>
      </c>
      <c r="DW17" s="24">
        <f>-COUNTIF('Rent Roll Model'!EB9:EB86,0)</f>
        <v>0</v>
      </c>
      <c r="DX17" s="24">
        <f>-COUNTIF('Rent Roll Model'!EC9:EC86,0)</f>
        <v>0</v>
      </c>
      <c r="DY17" s="24">
        <f>-COUNTIF('Rent Roll Model'!ED9:ED86,0)</f>
        <v>0</v>
      </c>
      <c r="DZ17" s="24">
        <f>-COUNTIF('Rent Roll Model'!EE9:EE86,0)</f>
        <v>0</v>
      </c>
      <c r="EA17" s="24">
        <f>-COUNTIF('Rent Roll Model'!EF9:EF86,0)</f>
        <v>0</v>
      </c>
      <c r="EB17" s="24">
        <f>-COUNTIF('Rent Roll Model'!EG9:EG86,0)</f>
        <v>0</v>
      </c>
      <c r="EC17" s="24">
        <f>-COUNTIF('Rent Roll Model'!EH9:EH86,0)</f>
        <v>0</v>
      </c>
      <c r="ED17" s="24">
        <f>-COUNTIF('Rent Roll Model'!EI9:EI86,0)</f>
        <v>0</v>
      </c>
      <c r="EE17" s="24">
        <f>-COUNTIF('Rent Roll Model'!EJ9:EJ86,0)</f>
        <v>0</v>
      </c>
      <c r="EF17" s="24">
        <f>-COUNTIF('Rent Roll Model'!EK9:EK86,0)</f>
        <v>0</v>
      </c>
    </row>
    <row r="18" spans="2:136" x14ac:dyDescent="0.45">
      <c r="B18" s="1" t="s">
        <v>409</v>
      </c>
      <c r="E18" s="24">
        <f>COUNTIFS('Rent Roll Model'!$F$9:$F$86,'NOI Walk'!E15,'Rent Roll Model'!$D$9:$D$86,1)</f>
        <v>0</v>
      </c>
      <c r="F18" s="24">
        <f>COUNTIFS('Rent Roll Model'!$F$9:$F$86,'NOI Walk'!F15,'Rent Roll Model'!$D$9:$D$86,1)</f>
        <v>0</v>
      </c>
      <c r="G18" s="24">
        <f>COUNTIFS('Rent Roll Model'!$F$9:$F$86,'NOI Walk'!G15,'Rent Roll Model'!$D$9:$D$86,1)</f>
        <v>0</v>
      </c>
      <c r="H18" s="24">
        <f>COUNTIFS('Rent Roll Model'!$F$9:$F$86,'NOI Walk'!H15,'Rent Roll Model'!$D$9:$D$86,1)</f>
        <v>0</v>
      </c>
      <c r="I18" s="24">
        <f>COUNTIFS('Rent Roll Model'!$F$9:$F$86,'NOI Walk'!I15,'Rent Roll Model'!$D$9:$D$86,1)</f>
        <v>0</v>
      </c>
      <c r="J18" s="24">
        <f>COUNTIFS('Rent Roll Model'!$F$9:$F$86,'NOI Walk'!J15,'Rent Roll Model'!$D$9:$D$86,1)</f>
        <v>3</v>
      </c>
      <c r="K18" s="24">
        <f>COUNTIFS('Rent Roll Model'!$F$9:$F$86,'NOI Walk'!K15,'Rent Roll Model'!$D$9:$D$86,1)</f>
        <v>0</v>
      </c>
      <c r="L18" s="24">
        <f>COUNTIFS('Rent Roll Model'!$F$9:$F$86,'NOI Walk'!L15,'Rent Roll Model'!$D$9:$D$86,1)</f>
        <v>2</v>
      </c>
      <c r="M18" s="24">
        <f>COUNTIFS('Rent Roll Model'!$F$9:$F$86,'NOI Walk'!M15,'Rent Roll Model'!$D$9:$D$86,1)</f>
        <v>3</v>
      </c>
      <c r="N18" s="24">
        <f>COUNTIFS('Rent Roll Model'!$F$9:$F$86,'NOI Walk'!N15,'Rent Roll Model'!$D$9:$D$86,1)</f>
        <v>2</v>
      </c>
      <c r="O18" s="24">
        <f>COUNTIFS('Rent Roll Model'!$F$9:$F$86,'NOI Walk'!O15,'Rent Roll Model'!$D$9:$D$86,1)</f>
        <v>3</v>
      </c>
      <c r="P18" s="24">
        <f>COUNTIFS('Rent Roll Model'!$F$9:$F$86,'NOI Walk'!P15,'Rent Roll Model'!$D$9:$D$86,1)</f>
        <v>2</v>
      </c>
      <c r="Q18" s="24">
        <f>COUNTIFS('Rent Roll Model'!$F$9:$F$86,'NOI Walk'!Q15,'Rent Roll Model'!$D$9:$D$86,1)</f>
        <v>3</v>
      </c>
      <c r="R18" s="24">
        <f>COUNTIFS('Rent Roll Model'!$F$9:$F$86,'NOI Walk'!R15,'Rent Roll Model'!$D$9:$D$86,1)</f>
        <v>3</v>
      </c>
      <c r="S18" s="24">
        <f>COUNTIFS('Rent Roll Model'!$F$9:$F$86,'NOI Walk'!S15,'Rent Roll Model'!$D$9:$D$86,1)</f>
        <v>3</v>
      </c>
      <c r="T18" s="24">
        <f>COUNTIFS('Rent Roll Model'!$F$9:$F$86,'NOI Walk'!T15,'Rent Roll Model'!$D$9:$D$86,1)</f>
        <v>2</v>
      </c>
      <c r="U18" s="24">
        <f>COUNTIFS('Rent Roll Model'!$F$9:$F$86,'NOI Walk'!U15,'Rent Roll Model'!$D$9:$D$86,1)</f>
        <v>2</v>
      </c>
      <c r="V18" s="24">
        <f>COUNTIFS('Rent Roll Model'!$F$9:$F$86,'NOI Walk'!V15,'Rent Roll Model'!$D$9:$D$86,1)</f>
        <v>2</v>
      </c>
      <c r="W18" s="24">
        <f>COUNTIFS('Rent Roll Model'!$F$9:$F$86,'NOI Walk'!W15,'Rent Roll Model'!$D$9:$D$86,1)</f>
        <v>2</v>
      </c>
      <c r="X18" s="24">
        <f>COUNTIFS('Rent Roll Model'!$F$9:$F$86,'NOI Walk'!X15,'Rent Roll Model'!$D$9:$D$86,1)</f>
        <v>2</v>
      </c>
      <c r="Y18" s="24">
        <f>COUNTIFS('Rent Roll Model'!$F$9:$F$86,'NOI Walk'!Y15,'Rent Roll Model'!$D$9:$D$86,1)</f>
        <v>3</v>
      </c>
      <c r="Z18" s="24">
        <f>COUNTIFS('Rent Roll Model'!$F$9:$F$86,'NOI Walk'!Z15,'Rent Roll Model'!$D$9:$D$86,1)</f>
        <v>3</v>
      </c>
      <c r="AA18" s="24">
        <f>COUNTIFS('Rent Roll Model'!$F$9:$F$86,'NOI Walk'!AA15,'Rent Roll Model'!$D$9:$D$86,1)</f>
        <v>3</v>
      </c>
      <c r="AB18" s="24">
        <f>COUNTIFS('Rent Roll Model'!$F$9:$F$86,'NOI Walk'!AB15,'Rent Roll Model'!$D$9:$D$86,1)</f>
        <v>3</v>
      </c>
      <c r="AC18" s="24">
        <f>COUNTIFS('Rent Roll Model'!$F$9:$F$86,'NOI Walk'!AC15,'Rent Roll Model'!$D$9:$D$86,1)</f>
        <v>2</v>
      </c>
      <c r="AD18" s="24">
        <f>COUNTIFS('Rent Roll Model'!$F$9:$F$86,'NOI Walk'!AD15,'Rent Roll Model'!$D$9:$D$86,1)</f>
        <v>1</v>
      </c>
      <c r="AE18" s="24">
        <f>COUNTIFS('Rent Roll Model'!$F$9:$F$86,'NOI Walk'!AE15,'Rent Roll Model'!$D$9:$D$86,1)</f>
        <v>2</v>
      </c>
      <c r="AF18" s="24">
        <f>COUNTIFS('Rent Roll Model'!$F$9:$F$86,'NOI Walk'!AF15,'Rent Roll Model'!$D$9:$D$86,1)</f>
        <v>3</v>
      </c>
      <c r="AG18" s="24">
        <f>COUNTIFS('Rent Roll Model'!$F$9:$F$86,'NOI Walk'!AG15,'Rent Roll Model'!$D$9:$D$86,1)</f>
        <v>3</v>
      </c>
      <c r="AH18" s="24">
        <f>COUNTIFS('Rent Roll Model'!$F$9:$F$86,'NOI Walk'!AH15,'Rent Roll Model'!$D$9:$D$86,1)</f>
        <v>3</v>
      </c>
      <c r="AI18" s="24">
        <f>COUNTIFS('Rent Roll Model'!$F$9:$F$86,'NOI Walk'!AI15,'Rent Roll Model'!$D$9:$D$86,1)</f>
        <v>2</v>
      </c>
      <c r="AJ18" s="24">
        <f>COUNTIFS('Rent Roll Model'!$F$9:$F$86,'NOI Walk'!AJ15,'Rent Roll Model'!$D$9:$D$86,1)</f>
        <v>0</v>
      </c>
      <c r="AK18" s="24">
        <f>COUNTIFS('Rent Roll Model'!$F$9:$F$86,'NOI Walk'!AK15,'Rent Roll Model'!$D$9:$D$86,1)</f>
        <v>0</v>
      </c>
      <c r="AL18" s="24">
        <f>COUNTIFS('Rent Roll Model'!$F$9:$F$86,'NOI Walk'!AL15,'Rent Roll Model'!$D$9:$D$86,1)</f>
        <v>0</v>
      </c>
      <c r="AM18" s="24">
        <f>COUNTIFS('Rent Roll Model'!$F$9:$F$86,'NOI Walk'!AM15,'Rent Roll Model'!$D$9:$D$86,1)</f>
        <v>0</v>
      </c>
      <c r="AN18" s="24">
        <f>COUNTIFS('Rent Roll Model'!$F$9:$F$86,'NOI Walk'!AN15,'Rent Roll Model'!$D$9:$D$86,1)</f>
        <v>0</v>
      </c>
      <c r="AO18" s="24">
        <f>COUNTIFS('Rent Roll Model'!$F$9:$F$86,'NOI Walk'!AO15,'Rent Roll Model'!$D$9:$D$86,1)</f>
        <v>0</v>
      </c>
      <c r="AP18" s="24">
        <f>COUNTIFS('Rent Roll Model'!$F$9:$F$86,'NOI Walk'!AP15,'Rent Roll Model'!$D$9:$D$86,1)</f>
        <v>0</v>
      </c>
      <c r="AQ18" s="24">
        <f>COUNTIFS('Rent Roll Model'!$F$9:$F$86,'NOI Walk'!AQ15,'Rent Roll Model'!$D$9:$D$86,1)</f>
        <v>0</v>
      </c>
      <c r="AR18" s="24">
        <f>COUNTIFS('Rent Roll Model'!$F$9:$F$86,'NOI Walk'!AR15,'Rent Roll Model'!$D$9:$D$86,1)</f>
        <v>0</v>
      </c>
      <c r="AS18" s="24">
        <f>COUNTIFS('Rent Roll Model'!$F$9:$F$86,'NOI Walk'!AS15,'Rent Roll Model'!$D$9:$D$86,1)</f>
        <v>0</v>
      </c>
      <c r="AT18" s="24">
        <f>COUNTIFS('Rent Roll Model'!$F$9:$F$86,'NOI Walk'!AT15,'Rent Roll Model'!$D$9:$D$86,1)</f>
        <v>0</v>
      </c>
      <c r="AU18" s="24">
        <f>COUNTIFS('Rent Roll Model'!$F$9:$F$86,'NOI Walk'!AU15,'Rent Roll Model'!$D$9:$D$86,1)</f>
        <v>0</v>
      </c>
      <c r="AV18" s="24">
        <f>COUNTIFS('Rent Roll Model'!$F$9:$F$86,'NOI Walk'!AV15,'Rent Roll Model'!$D$9:$D$86,1)</f>
        <v>0</v>
      </c>
      <c r="AW18" s="24">
        <f>COUNTIFS('Rent Roll Model'!$F$9:$F$86,'NOI Walk'!AW15,'Rent Roll Model'!$D$9:$D$86,1)</f>
        <v>0</v>
      </c>
      <c r="AX18" s="24">
        <f>COUNTIFS('Rent Roll Model'!$F$9:$F$86,'NOI Walk'!AX15,'Rent Roll Model'!$D$9:$D$86,1)</f>
        <v>0</v>
      </c>
      <c r="AY18" s="24">
        <f>COUNTIFS('Rent Roll Model'!$F$9:$F$86,'NOI Walk'!AY15,'Rent Roll Model'!$D$9:$D$86,1)</f>
        <v>0</v>
      </c>
      <c r="AZ18" s="24">
        <f>COUNTIFS('Rent Roll Model'!$F$9:$F$86,'NOI Walk'!AZ15,'Rent Roll Model'!$D$9:$D$86,1)</f>
        <v>0</v>
      </c>
      <c r="BA18" s="24">
        <f>COUNTIFS('Rent Roll Model'!$F$9:$F$86,'NOI Walk'!BA15,'Rent Roll Model'!$D$9:$D$86,1)</f>
        <v>0</v>
      </c>
      <c r="BB18" s="24">
        <f>COUNTIFS('Rent Roll Model'!$F$9:$F$86,'NOI Walk'!BB15,'Rent Roll Model'!$D$9:$D$86,1)</f>
        <v>0</v>
      </c>
      <c r="BC18" s="24">
        <f>COUNTIFS('Rent Roll Model'!$F$9:$F$86,'NOI Walk'!BC15,'Rent Roll Model'!$D$9:$D$86,1)</f>
        <v>0</v>
      </c>
      <c r="BD18" s="24">
        <f>COUNTIFS('Rent Roll Model'!$F$9:$F$86,'NOI Walk'!BD15,'Rent Roll Model'!$D$9:$D$86,1)</f>
        <v>0</v>
      </c>
      <c r="BE18" s="24">
        <f>COUNTIFS('Rent Roll Model'!$F$9:$F$86,'NOI Walk'!BE15,'Rent Roll Model'!$D$9:$D$86,1)</f>
        <v>0</v>
      </c>
      <c r="BF18" s="24">
        <f>COUNTIFS('Rent Roll Model'!$F$9:$F$86,'NOI Walk'!BF15,'Rent Roll Model'!$D$9:$D$86,1)</f>
        <v>0</v>
      </c>
      <c r="BG18" s="24">
        <f>COUNTIFS('Rent Roll Model'!$F$9:$F$86,'NOI Walk'!BG15,'Rent Roll Model'!$D$9:$D$86,1)</f>
        <v>0</v>
      </c>
      <c r="BH18" s="24">
        <f>COUNTIFS('Rent Roll Model'!$F$9:$F$86,'NOI Walk'!BH15,'Rent Roll Model'!$D$9:$D$86,1)</f>
        <v>0</v>
      </c>
      <c r="BI18" s="24">
        <f>COUNTIFS('Rent Roll Model'!$F$9:$F$86,'NOI Walk'!BI15,'Rent Roll Model'!$D$9:$D$86,1)</f>
        <v>0</v>
      </c>
      <c r="BJ18" s="24">
        <f>COUNTIFS('Rent Roll Model'!$F$9:$F$86,'NOI Walk'!BJ15,'Rent Roll Model'!$D$9:$D$86,1)</f>
        <v>0</v>
      </c>
      <c r="BK18" s="24">
        <f>COUNTIFS('Rent Roll Model'!$F$9:$F$86,'NOI Walk'!BK15,'Rent Roll Model'!$D$9:$D$86,1)</f>
        <v>0</v>
      </c>
      <c r="BL18" s="24">
        <f>COUNTIFS('Rent Roll Model'!$F$9:$F$86,'NOI Walk'!BL15,'Rent Roll Model'!$D$9:$D$86,1)</f>
        <v>0</v>
      </c>
      <c r="BM18" s="24">
        <f>COUNTIFS('Rent Roll Model'!$F$9:$F$86,'NOI Walk'!BM15,'Rent Roll Model'!$D$9:$D$86,1)</f>
        <v>0</v>
      </c>
      <c r="BN18" s="24">
        <f>COUNTIFS('Rent Roll Model'!$F$9:$F$86,'NOI Walk'!BN15,'Rent Roll Model'!$D$9:$D$86,1)</f>
        <v>0</v>
      </c>
      <c r="BO18" s="24">
        <f>COUNTIFS('Rent Roll Model'!$F$9:$F$86,'NOI Walk'!BO15,'Rent Roll Model'!$D$9:$D$86,1)</f>
        <v>0</v>
      </c>
      <c r="BP18" s="24">
        <f>COUNTIFS('Rent Roll Model'!$F$9:$F$86,'NOI Walk'!BP15,'Rent Roll Model'!$D$9:$D$86,1)</f>
        <v>0</v>
      </c>
      <c r="BQ18" s="24">
        <f>COUNTIFS('Rent Roll Model'!$F$9:$F$86,'NOI Walk'!BQ15,'Rent Roll Model'!$D$9:$D$86,1)</f>
        <v>0</v>
      </c>
      <c r="BR18" s="24">
        <f>COUNTIFS('Rent Roll Model'!$F$9:$F$86,'NOI Walk'!BR15,'Rent Roll Model'!$D$9:$D$86,1)</f>
        <v>0</v>
      </c>
      <c r="BS18" s="24">
        <f>COUNTIFS('Rent Roll Model'!$F$9:$F$86,'NOI Walk'!BS15,'Rent Roll Model'!$D$9:$D$86,1)</f>
        <v>0</v>
      </c>
      <c r="BT18" s="24">
        <f>COUNTIFS('Rent Roll Model'!$F$9:$F$86,'NOI Walk'!BT15,'Rent Roll Model'!$D$9:$D$86,1)</f>
        <v>0</v>
      </c>
      <c r="BU18" s="24">
        <f>COUNTIFS('Rent Roll Model'!$F$9:$F$86,'NOI Walk'!BU15,'Rent Roll Model'!$D$9:$D$86,1)</f>
        <v>0</v>
      </c>
      <c r="BV18" s="24">
        <f>COUNTIFS('Rent Roll Model'!$F$9:$F$86,'NOI Walk'!BV15,'Rent Roll Model'!$D$9:$D$86,1)</f>
        <v>0</v>
      </c>
      <c r="BW18" s="24">
        <f>COUNTIFS('Rent Roll Model'!$F$9:$F$86,'NOI Walk'!BW15,'Rent Roll Model'!$D$9:$D$86,1)</f>
        <v>0</v>
      </c>
      <c r="BX18" s="24">
        <f>COUNTIFS('Rent Roll Model'!$F$9:$F$86,'NOI Walk'!BX15,'Rent Roll Model'!$D$9:$D$86,1)</f>
        <v>0</v>
      </c>
      <c r="BY18" s="24">
        <f>COUNTIFS('Rent Roll Model'!$F$9:$F$86,'NOI Walk'!BY15,'Rent Roll Model'!$D$9:$D$86,1)</f>
        <v>0</v>
      </c>
      <c r="BZ18" s="24">
        <f>COUNTIFS('Rent Roll Model'!$F$9:$F$86,'NOI Walk'!BZ15,'Rent Roll Model'!$D$9:$D$86,1)</f>
        <v>0</v>
      </c>
      <c r="CA18" s="24">
        <f>COUNTIFS('Rent Roll Model'!$F$9:$F$86,'NOI Walk'!CA15,'Rent Roll Model'!$D$9:$D$86,1)</f>
        <v>0</v>
      </c>
      <c r="CB18" s="24">
        <f>COUNTIFS('Rent Roll Model'!$F$9:$F$86,'NOI Walk'!CB15,'Rent Roll Model'!$D$9:$D$86,1)</f>
        <v>0</v>
      </c>
      <c r="CC18" s="24">
        <f>COUNTIFS('Rent Roll Model'!$F$9:$F$86,'NOI Walk'!CC15,'Rent Roll Model'!$D$9:$D$86,1)</f>
        <v>0</v>
      </c>
      <c r="CD18" s="24">
        <f>COUNTIFS('Rent Roll Model'!$F$9:$F$86,'NOI Walk'!CD15,'Rent Roll Model'!$D$9:$D$86,1)</f>
        <v>0</v>
      </c>
      <c r="CE18" s="24">
        <f>COUNTIFS('Rent Roll Model'!$F$9:$F$86,'NOI Walk'!CE15,'Rent Roll Model'!$D$9:$D$86,1)</f>
        <v>0</v>
      </c>
      <c r="CF18" s="24">
        <f>COUNTIFS('Rent Roll Model'!$F$9:$F$86,'NOI Walk'!CF15,'Rent Roll Model'!$D$9:$D$86,1)</f>
        <v>0</v>
      </c>
      <c r="CG18" s="24">
        <f>COUNTIFS('Rent Roll Model'!$F$9:$F$86,'NOI Walk'!CG15,'Rent Roll Model'!$D$9:$D$86,1)</f>
        <v>0</v>
      </c>
      <c r="CH18" s="24">
        <f>COUNTIFS('Rent Roll Model'!$F$9:$F$86,'NOI Walk'!CH15,'Rent Roll Model'!$D$9:$D$86,1)</f>
        <v>0</v>
      </c>
      <c r="CI18" s="24">
        <f>COUNTIFS('Rent Roll Model'!$F$9:$F$86,'NOI Walk'!CI15,'Rent Roll Model'!$D$9:$D$86,1)</f>
        <v>0</v>
      </c>
      <c r="CJ18" s="24">
        <f>COUNTIFS('Rent Roll Model'!$F$9:$F$86,'NOI Walk'!CJ15,'Rent Roll Model'!$D$9:$D$86,1)</f>
        <v>0</v>
      </c>
      <c r="CK18" s="24">
        <f>COUNTIFS('Rent Roll Model'!$F$9:$F$86,'NOI Walk'!CK15,'Rent Roll Model'!$D$9:$D$86,1)</f>
        <v>0</v>
      </c>
      <c r="CL18" s="24">
        <f>COUNTIFS('Rent Roll Model'!$F$9:$F$86,'NOI Walk'!CL15,'Rent Roll Model'!$D$9:$D$86,1)</f>
        <v>0</v>
      </c>
      <c r="CM18" s="24">
        <f>COUNTIFS('Rent Roll Model'!$F$9:$F$86,'NOI Walk'!CM15,'Rent Roll Model'!$D$9:$D$86,1)</f>
        <v>0</v>
      </c>
      <c r="CN18" s="24">
        <f>COUNTIFS('Rent Roll Model'!$F$9:$F$86,'NOI Walk'!CN15,'Rent Roll Model'!$D$9:$D$86,1)</f>
        <v>0</v>
      </c>
      <c r="CO18" s="24">
        <f>COUNTIFS('Rent Roll Model'!$F$9:$F$86,'NOI Walk'!CO15,'Rent Roll Model'!$D$9:$D$86,1)</f>
        <v>0</v>
      </c>
      <c r="CP18" s="24">
        <f>COUNTIFS('Rent Roll Model'!$F$9:$F$86,'NOI Walk'!CP15,'Rent Roll Model'!$D$9:$D$86,1)</f>
        <v>0</v>
      </c>
      <c r="CQ18" s="24">
        <f>COUNTIFS('Rent Roll Model'!$F$9:$F$86,'NOI Walk'!CQ15,'Rent Roll Model'!$D$9:$D$86,1)</f>
        <v>0</v>
      </c>
      <c r="CR18" s="24">
        <f>COUNTIFS('Rent Roll Model'!$F$9:$F$86,'NOI Walk'!CR15,'Rent Roll Model'!$D$9:$D$86,1)</f>
        <v>0</v>
      </c>
      <c r="CS18" s="24">
        <f>COUNTIFS('Rent Roll Model'!$F$9:$F$86,'NOI Walk'!CS15,'Rent Roll Model'!$D$9:$D$86,1)</f>
        <v>0</v>
      </c>
      <c r="CT18" s="24">
        <f>COUNTIFS('Rent Roll Model'!$F$9:$F$86,'NOI Walk'!CT15,'Rent Roll Model'!$D$9:$D$86,1)</f>
        <v>0</v>
      </c>
      <c r="CU18" s="24">
        <f>COUNTIFS('Rent Roll Model'!$F$9:$F$86,'NOI Walk'!CU15,'Rent Roll Model'!$D$9:$D$86,1)</f>
        <v>0</v>
      </c>
      <c r="CV18" s="24">
        <f>COUNTIFS('Rent Roll Model'!$F$9:$F$86,'NOI Walk'!CV15,'Rent Roll Model'!$D$9:$D$86,1)</f>
        <v>0</v>
      </c>
      <c r="CW18" s="24">
        <f>COUNTIFS('Rent Roll Model'!$F$9:$F$86,'NOI Walk'!CW15,'Rent Roll Model'!$D$9:$D$86,1)</f>
        <v>0</v>
      </c>
      <c r="CX18" s="24">
        <f>COUNTIFS('Rent Roll Model'!$F$9:$F$86,'NOI Walk'!CX15,'Rent Roll Model'!$D$9:$D$86,1)</f>
        <v>0</v>
      </c>
      <c r="CY18" s="24">
        <f>COUNTIFS('Rent Roll Model'!$F$9:$F$86,'NOI Walk'!CY15,'Rent Roll Model'!$D$9:$D$86,1)</f>
        <v>0</v>
      </c>
      <c r="CZ18" s="24">
        <f>COUNTIFS('Rent Roll Model'!$F$9:$F$86,'NOI Walk'!CZ15,'Rent Roll Model'!$D$9:$D$86,1)</f>
        <v>0</v>
      </c>
      <c r="DA18" s="24">
        <f>COUNTIFS('Rent Roll Model'!$F$9:$F$86,'NOI Walk'!DA15,'Rent Roll Model'!$D$9:$D$86,1)</f>
        <v>0</v>
      </c>
      <c r="DB18" s="24">
        <f>COUNTIFS('Rent Roll Model'!$F$9:$F$86,'NOI Walk'!DB15,'Rent Roll Model'!$D$9:$D$86,1)</f>
        <v>0</v>
      </c>
      <c r="DC18" s="24">
        <f>COUNTIFS('Rent Roll Model'!$F$9:$F$86,'NOI Walk'!DC15,'Rent Roll Model'!$D$9:$D$86,1)</f>
        <v>0</v>
      </c>
      <c r="DD18" s="24">
        <f>COUNTIFS('Rent Roll Model'!$F$9:$F$86,'NOI Walk'!DD15,'Rent Roll Model'!$D$9:$D$86,1)</f>
        <v>0</v>
      </c>
      <c r="DE18" s="24">
        <f>COUNTIFS('Rent Roll Model'!$F$9:$F$86,'NOI Walk'!DE15,'Rent Roll Model'!$D$9:$D$86,1)</f>
        <v>0</v>
      </c>
      <c r="DF18" s="24">
        <f>COUNTIFS('Rent Roll Model'!$F$9:$F$86,'NOI Walk'!DF15,'Rent Roll Model'!$D$9:$D$86,1)</f>
        <v>0</v>
      </c>
      <c r="DG18" s="24">
        <f>COUNTIFS('Rent Roll Model'!$F$9:$F$86,'NOI Walk'!DG15,'Rent Roll Model'!$D$9:$D$86,1)</f>
        <v>0</v>
      </c>
      <c r="DH18" s="24">
        <f>COUNTIFS('Rent Roll Model'!$F$9:$F$86,'NOI Walk'!DH15,'Rent Roll Model'!$D$9:$D$86,1)</f>
        <v>0</v>
      </c>
      <c r="DI18" s="24">
        <f>COUNTIFS('Rent Roll Model'!$F$9:$F$86,'NOI Walk'!DI15,'Rent Roll Model'!$D$9:$D$86,1)</f>
        <v>0</v>
      </c>
      <c r="DJ18" s="24">
        <f>COUNTIFS('Rent Roll Model'!$F$9:$F$86,'NOI Walk'!DJ15,'Rent Roll Model'!$D$9:$D$86,1)</f>
        <v>0</v>
      </c>
      <c r="DK18" s="24">
        <f>COUNTIFS('Rent Roll Model'!$F$9:$F$86,'NOI Walk'!DK15,'Rent Roll Model'!$D$9:$D$86,1)</f>
        <v>0</v>
      </c>
      <c r="DL18" s="24">
        <f>COUNTIFS('Rent Roll Model'!$F$9:$F$86,'NOI Walk'!DL15,'Rent Roll Model'!$D$9:$D$86,1)</f>
        <v>0</v>
      </c>
      <c r="DM18" s="24">
        <f>COUNTIFS('Rent Roll Model'!$F$9:$F$86,'NOI Walk'!DM15,'Rent Roll Model'!$D$9:$D$86,1)</f>
        <v>0</v>
      </c>
      <c r="DN18" s="24">
        <f>COUNTIFS('Rent Roll Model'!$F$9:$F$86,'NOI Walk'!DN15,'Rent Roll Model'!$D$9:$D$86,1)</f>
        <v>0</v>
      </c>
      <c r="DO18" s="24">
        <f>COUNTIFS('Rent Roll Model'!$F$9:$F$86,'NOI Walk'!DO15,'Rent Roll Model'!$D$9:$D$86,1)</f>
        <v>0</v>
      </c>
      <c r="DP18" s="24">
        <f>COUNTIFS('Rent Roll Model'!$F$9:$F$86,'NOI Walk'!DP15,'Rent Roll Model'!$D$9:$D$86,1)</f>
        <v>0</v>
      </c>
      <c r="DQ18" s="24">
        <f>COUNTIFS('Rent Roll Model'!$F$9:$F$86,'NOI Walk'!DQ15,'Rent Roll Model'!$D$9:$D$86,1)</f>
        <v>0</v>
      </c>
      <c r="DR18" s="24">
        <f>COUNTIFS('Rent Roll Model'!$F$9:$F$86,'NOI Walk'!DR15,'Rent Roll Model'!$D$9:$D$86,1)</f>
        <v>0</v>
      </c>
      <c r="DS18" s="24">
        <f>COUNTIFS('Rent Roll Model'!$F$9:$F$86,'NOI Walk'!DS15,'Rent Roll Model'!$D$9:$D$86,1)</f>
        <v>0</v>
      </c>
      <c r="DT18" s="24">
        <f>COUNTIFS('Rent Roll Model'!$F$9:$F$86,'NOI Walk'!DT15,'Rent Roll Model'!$D$9:$D$86,1)</f>
        <v>0</v>
      </c>
      <c r="DU18" s="24">
        <f>COUNTIFS('Rent Roll Model'!$F$9:$F$86,'NOI Walk'!DU15,'Rent Roll Model'!$D$9:$D$86,1)</f>
        <v>0</v>
      </c>
      <c r="DV18" s="24">
        <f>COUNTIFS('Rent Roll Model'!$F$9:$F$86,'NOI Walk'!DV15,'Rent Roll Model'!$D$9:$D$86,1)</f>
        <v>0</v>
      </c>
      <c r="DW18" s="24">
        <f>COUNTIFS('Rent Roll Model'!$F$9:$F$86,'NOI Walk'!DW15,'Rent Roll Model'!$D$9:$D$86,1)</f>
        <v>0</v>
      </c>
      <c r="DX18" s="24">
        <f>COUNTIFS('Rent Roll Model'!$F$9:$F$86,'NOI Walk'!DX15,'Rent Roll Model'!$D$9:$D$86,1)</f>
        <v>0</v>
      </c>
      <c r="DY18" s="24">
        <f>COUNTIFS('Rent Roll Model'!$F$9:$F$86,'NOI Walk'!DY15,'Rent Roll Model'!$D$9:$D$86,1)</f>
        <v>0</v>
      </c>
      <c r="DZ18" s="24">
        <f>COUNTIFS('Rent Roll Model'!$F$9:$F$86,'NOI Walk'!DZ15,'Rent Roll Model'!$D$9:$D$86,1)</f>
        <v>0</v>
      </c>
      <c r="EA18" s="24">
        <f>COUNTIFS('Rent Roll Model'!$F$9:$F$86,'NOI Walk'!EA15,'Rent Roll Model'!$D$9:$D$86,1)</f>
        <v>0</v>
      </c>
      <c r="EB18" s="24">
        <f>COUNTIFS('Rent Roll Model'!$F$9:$F$86,'NOI Walk'!EB15,'Rent Roll Model'!$D$9:$D$86,1)</f>
        <v>0</v>
      </c>
      <c r="EC18" s="24">
        <f>COUNTIFS('Rent Roll Model'!$F$9:$F$86,'NOI Walk'!EC15,'Rent Roll Model'!$D$9:$D$86,1)</f>
        <v>0</v>
      </c>
      <c r="ED18" s="24">
        <f>COUNTIFS('Rent Roll Model'!$F$9:$F$86,'NOI Walk'!ED15,'Rent Roll Model'!$D$9:$D$86,1)</f>
        <v>0</v>
      </c>
      <c r="EE18" s="24">
        <f>COUNTIFS('Rent Roll Model'!$F$9:$F$86,'NOI Walk'!EE15,'Rent Roll Model'!$D$9:$D$86,1)</f>
        <v>0</v>
      </c>
      <c r="EF18" s="24">
        <f>COUNTIFS('Rent Roll Model'!$F$9:$F$86,'NOI Walk'!EF15,'Rent Roll Model'!$D$9:$D$86,1)</f>
        <v>0</v>
      </c>
    </row>
    <row r="19" spans="2:136" x14ac:dyDescent="0.45"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</row>
    <row r="20" spans="2:136" x14ac:dyDescent="0.45">
      <c r="B20" s="1" t="s">
        <v>70</v>
      </c>
      <c r="E20" s="24">
        <f>+$C$5*$C$3*E9</f>
        <v>165656.47014583336</v>
      </c>
      <c r="F20" s="24">
        <f>+$C$5*$C$3*F9</f>
        <v>166001.58779197055</v>
      </c>
      <c r="G20" s="24">
        <f>+$C$5*$C$3*G9</f>
        <v>166347.42443320382</v>
      </c>
      <c r="H20" s="24">
        <f>+$C$5*$C$3*H9</f>
        <v>166693.98156743968</v>
      </c>
      <c r="I20" s="24">
        <f>+$C$5*$C$3*I9</f>
        <v>167041.26069570519</v>
      </c>
      <c r="J20" s="24">
        <f>+$C$5*$C$3*J9</f>
        <v>167389.26332215461</v>
      </c>
      <c r="K20" s="24">
        <f>+$C$5*$C$3*K9</f>
        <v>167737.99095407579</v>
      </c>
      <c r="L20" s="24">
        <f>+$C$5*$C$3*L9</f>
        <v>168087.44510189682</v>
      </c>
      <c r="M20" s="24">
        <f>+$C$5*$C$3*M9</f>
        <v>168437.62727919244</v>
      </c>
      <c r="N20" s="24">
        <f>+$C$5*$C$3*N9</f>
        <v>168788.53900269078</v>
      </c>
      <c r="O20" s="24">
        <f>+$C$5*$C$3*O9</f>
        <v>169140.18179227976</v>
      </c>
      <c r="P20" s="24">
        <f>+$C$5*$C$3*P9</f>
        <v>169492.55717101367</v>
      </c>
      <c r="Q20" s="24">
        <f>+$C$5*$C$3*Q9</f>
        <v>169845.66666511996</v>
      </c>
      <c r="R20" s="24">
        <f>+$C$5*$C$3*R9</f>
        <v>170199.51180400568</v>
      </c>
      <c r="S20" s="24">
        <f>+$C$5*$C$3*S9</f>
        <v>170554.09412026402</v>
      </c>
      <c r="T20" s="24">
        <f>+$C$5*$C$3*T9</f>
        <v>170909.41514968127</v>
      </c>
      <c r="U20" s="24">
        <f>+$C$5*$C$3*U9</f>
        <v>171265.47643124315</v>
      </c>
      <c r="V20" s="24">
        <f>+$C$5*$C$3*V9</f>
        <v>171622.27950714159</v>
      </c>
      <c r="W20" s="24">
        <f>+$C$5*$C$3*W9</f>
        <v>171979.82592278146</v>
      </c>
      <c r="X20" s="24">
        <f>+$C$5*$C$3*X9</f>
        <v>172338.11722678729</v>
      </c>
      <c r="Y20" s="24">
        <f>+$C$5*$C$3*Y9</f>
        <v>172697.15497100979</v>
      </c>
      <c r="Z20" s="24">
        <f>+$C$5*$C$3*Z9</f>
        <v>173056.94071053277</v>
      </c>
      <c r="AA20" s="24">
        <f>+$C$5*$C$3*AA9</f>
        <v>173417.47600367971</v>
      </c>
      <c r="AB20" s="24">
        <f>+$C$5*$C$3*AB9</f>
        <v>173778.76241202073</v>
      </c>
      <c r="AC20" s="24">
        <f>+$C$5*$C$3*AC9</f>
        <v>174140.80150037911</v>
      </c>
      <c r="AD20" s="24">
        <f>+$C$5*$C$3*AD9</f>
        <v>174503.59483683828</v>
      </c>
      <c r="AE20" s="24">
        <f>+$C$5*$C$3*AE9</f>
        <v>174867.1439927484</v>
      </c>
      <c r="AF20" s="24">
        <f>+$C$5*$C$3*AF9</f>
        <v>175231.45054273331</v>
      </c>
      <c r="AG20" s="24">
        <f>+$C$5*$C$3*AG9</f>
        <v>175596.51606469735</v>
      </c>
      <c r="AH20" s="24">
        <f>+$C$5*$C$3*AH9</f>
        <v>175962.34213983218</v>
      </c>
      <c r="AI20" s="24">
        <f>+$C$5*$C$3*AI9</f>
        <v>176328.93035262349</v>
      </c>
      <c r="AJ20" s="24">
        <f>+$C$5*$C$3*AJ9</f>
        <v>176696.28229085816</v>
      </c>
      <c r="AK20" s="24">
        <f>+$C$5*$C$3*AK9</f>
        <v>177064.39954563079</v>
      </c>
      <c r="AL20" s="24">
        <f>+$C$5*$C$3*AL9</f>
        <v>177433.28371135087</v>
      </c>
      <c r="AM20" s="24">
        <f>+$C$5*$C$3*AM9</f>
        <v>177802.93638574952</v>
      </c>
      <c r="AN20" s="24">
        <f>+$C$5*$C$3*AN9</f>
        <v>178173.35916988656</v>
      </c>
      <c r="AO20" s="24">
        <f>+$C$5*$C$3*AO9</f>
        <v>178544.55366815717</v>
      </c>
      <c r="AP20" s="24">
        <f>+$C$5*$C$3*AP9</f>
        <v>178916.52148829919</v>
      </c>
      <c r="AQ20" s="24">
        <f>+$C$5*$C$3*AQ9</f>
        <v>179289.26424139983</v>
      </c>
      <c r="AR20" s="24">
        <f>+$C$5*$C$3*AR9</f>
        <v>179662.78354190278</v>
      </c>
      <c r="AS20" s="24">
        <f>+$C$5*$C$3*AS9</f>
        <v>180037.08100761508</v>
      </c>
      <c r="AT20" s="24">
        <f>+$C$5*$C$3*AT9</f>
        <v>180412.15825971431</v>
      </c>
      <c r="AU20" s="24">
        <f>+$C$5*$C$3*AU9</f>
        <v>180788.0169227554</v>
      </c>
      <c r="AV20" s="24">
        <f>+$C$5*$C$3*AV9</f>
        <v>181164.65862467783</v>
      </c>
      <c r="AW20" s="24">
        <f>+$C$5*$C$3*AW9</f>
        <v>181542.0849968126</v>
      </c>
      <c r="AX20" s="24">
        <f>+$C$5*$C$3*AX9</f>
        <v>181920.29767388932</v>
      </c>
      <c r="AY20" s="24">
        <f>+$C$5*$C$3*AY9</f>
        <v>182299.29829404326</v>
      </c>
      <c r="AZ20" s="24">
        <f>+$C$5*$C$3*AZ9</f>
        <v>182679.08849882256</v>
      </c>
      <c r="BA20" s="24">
        <f>+$C$5*$C$3*BA9</f>
        <v>183059.66993319517</v>
      </c>
      <c r="BB20" s="24">
        <f>+$C$5*$C$3*BB9</f>
        <v>183441.044245556</v>
      </c>
      <c r="BC20" s="24">
        <f>+$C$5*$C$3*BC9</f>
        <v>183823.21308773421</v>
      </c>
      <c r="BD20" s="24">
        <f>+$C$5*$C$3*BD9</f>
        <v>184206.17811500037</v>
      </c>
      <c r="BE20" s="24">
        <f>+$C$5*$C$3*BE9</f>
        <v>184589.94098607334</v>
      </c>
      <c r="BF20" s="24">
        <f>+$C$5*$C$3*BF9</f>
        <v>184974.50336312767</v>
      </c>
      <c r="BG20" s="24">
        <f>+$C$5*$C$3*BG9</f>
        <v>185359.86691180087</v>
      </c>
      <c r="BH20" s="24">
        <f>+$C$5*$C$3*BH9</f>
        <v>185746.03330120048</v>
      </c>
      <c r="BI20" s="24">
        <f>+$C$5*$C$3*BI9</f>
        <v>186133.00420391132</v>
      </c>
      <c r="BJ20" s="24">
        <f>+$C$5*$C$3*BJ9</f>
        <v>186520.78129600282</v>
      </c>
      <c r="BK20" s="24">
        <f>+$C$5*$C$3*BK9</f>
        <v>186909.36625703622</v>
      </c>
      <c r="BL20" s="24">
        <f>+$C$5*$C$3*BL9</f>
        <v>187298.76077007173</v>
      </c>
      <c r="BM20" s="24">
        <f>+$C$5*$C$3*BM9</f>
        <v>187688.96652167608</v>
      </c>
      <c r="BN20" s="24">
        <f>+$C$5*$C$3*BN9</f>
        <v>188079.98520192961</v>
      </c>
      <c r="BO20" s="24">
        <f>+$C$5*$C$3*BO9</f>
        <v>188471.81850443361</v>
      </c>
      <c r="BP20" s="24">
        <f>+$C$5*$C$3*BP9</f>
        <v>188864.46812631789</v>
      </c>
      <c r="BQ20" s="24">
        <f>+$C$5*$C$3*BQ9</f>
        <v>189257.93576824776</v>
      </c>
      <c r="BR20" s="24">
        <f>+$C$5*$C$3*BR9</f>
        <v>189652.22313443161</v>
      </c>
      <c r="BS20" s="24">
        <f>+$C$5*$C$3*BS9</f>
        <v>190047.33193262835</v>
      </c>
      <c r="BT20" s="24">
        <f>+$C$5*$C$3*BT9</f>
        <v>190443.26387415471</v>
      </c>
      <c r="BU20" s="24">
        <f>+$C$5*$C$3*BU9</f>
        <v>190840.02067389252</v>
      </c>
      <c r="BV20" s="24">
        <f>+$C$5*$C$3*BV9</f>
        <v>191237.6040502965</v>
      </c>
      <c r="BW20" s="24">
        <f>+$C$5*$C$3*BW9</f>
        <v>191636.01572540132</v>
      </c>
      <c r="BX20" s="24">
        <f>+$C$5*$C$3*BX9</f>
        <v>192035.25742482929</v>
      </c>
      <c r="BY20" s="24">
        <f>+$C$5*$C$3*BY9</f>
        <v>192435.33087779768</v>
      </c>
      <c r="BZ20" s="24">
        <f>+$C$5*$C$3*BZ9</f>
        <v>192836.23781712644</v>
      </c>
      <c r="CA20" s="24">
        <f>+$C$5*$C$3*CA9</f>
        <v>193237.97997924552</v>
      </c>
      <c r="CB20" s="24">
        <f>+$C$5*$C$3*CB9</f>
        <v>193640.55910420229</v>
      </c>
      <c r="CC20" s="24">
        <f>+$C$5*$C$3*CC9</f>
        <v>194043.9769356694</v>
      </c>
      <c r="CD20" s="24">
        <f>+$C$5*$C$3*CD9</f>
        <v>194448.23522095208</v>
      </c>
      <c r="CE20" s="24">
        <f>+$C$5*$C$3*CE9</f>
        <v>194853.33571099571</v>
      </c>
      <c r="CF20" s="24">
        <f>+$C$5*$C$3*CF9</f>
        <v>195259.28016039365</v>
      </c>
      <c r="CG20" s="24">
        <f>+$C$5*$C$3*CG9</f>
        <v>195666.07032739453</v>
      </c>
      <c r="CH20" s="24">
        <f>+$C$5*$C$3*CH9</f>
        <v>196073.70797390994</v>
      </c>
      <c r="CI20" s="24">
        <f>+$C$5*$C$3*CI9</f>
        <v>196482.19486552227</v>
      </c>
      <c r="CJ20" s="24">
        <f>+$C$5*$C$3*CJ9</f>
        <v>196891.53277149211</v>
      </c>
      <c r="CK20" s="24">
        <f>+$C$5*$C$3*CK9</f>
        <v>197301.72346476611</v>
      </c>
      <c r="CL20" s="24">
        <f>+$C$5*$C$3*CL9</f>
        <v>197712.76872198438</v>
      </c>
      <c r="CM20" s="24">
        <f>+$C$5*$C$3*CM9</f>
        <v>198124.67032348854</v>
      </c>
      <c r="CN20" s="24">
        <f>+$C$5*$C$3*CN9</f>
        <v>198537.43005332918</v>
      </c>
      <c r="CO20" s="24">
        <f>+$C$5*$C$3*CO9</f>
        <v>198951.04969927363</v>
      </c>
      <c r="CP20" s="24">
        <f>+$C$5*$C$3*CP9</f>
        <v>199365.53105281381</v>
      </c>
      <c r="CQ20" s="24">
        <f>+$C$5*$C$3*CQ9</f>
        <v>199780.87590917389</v>
      </c>
      <c r="CR20" s="24">
        <f>+$C$5*$C$3*CR9</f>
        <v>200197.08606731801</v>
      </c>
      <c r="CS20" s="24">
        <f>+$C$5*$C$3*CS9</f>
        <v>200614.1633299583</v>
      </c>
      <c r="CT20" s="24">
        <f>+$C$5*$C$3*CT9</f>
        <v>201032.10950356239</v>
      </c>
      <c r="CU20" s="24">
        <f>+$C$5*$C$3*CU9</f>
        <v>201450.92639836151</v>
      </c>
      <c r="CV20" s="24">
        <f>+$C$5*$C$3*CV9</f>
        <v>201870.61582835813</v>
      </c>
      <c r="CW20" s="24">
        <f>+$C$5*$C$3*CW9</f>
        <v>202291.17961133388</v>
      </c>
      <c r="CX20" s="24">
        <f>+$C$5*$C$3*CX9</f>
        <v>202712.61956885754</v>
      </c>
      <c r="CY20" s="24">
        <f>+$C$5*$C$3*CY9</f>
        <v>203134.93752629263</v>
      </c>
      <c r="CZ20" s="24">
        <f>+$C$5*$C$3*CZ9</f>
        <v>203558.13531280583</v>
      </c>
      <c r="DA20" s="24">
        <f>+$C$5*$C$3*DA9</f>
        <v>203982.21476137417</v>
      </c>
      <c r="DB20" s="24">
        <f>+$C$5*$C$3*DB9</f>
        <v>204407.17770879372</v>
      </c>
      <c r="DC20" s="24">
        <f>+$C$5*$C$3*DC9</f>
        <v>204833.02599568709</v>
      </c>
      <c r="DD20" s="24">
        <f>+$C$5*$C$3*DD9</f>
        <v>205259.76146651147</v>
      </c>
      <c r="DE20" s="24">
        <f>+$C$5*$C$3*DE9</f>
        <v>205687.38596956671</v>
      </c>
      <c r="DF20" s="24">
        <f>+$C$5*$C$3*DF9</f>
        <v>206115.90135700331</v>
      </c>
      <c r="DG20" s="24">
        <f>+$C$5*$C$3*DG9</f>
        <v>206545.30948483045</v>
      </c>
      <c r="DH20" s="24">
        <f>+$C$5*$C$3*DH9</f>
        <v>206975.61221292388</v>
      </c>
      <c r="DI20" s="24">
        <f>+$C$5*$C$3*DI9</f>
        <v>207406.81140503415</v>
      </c>
      <c r="DJ20" s="24">
        <f>+$C$5*$C$3*DJ9</f>
        <v>207838.90892879467</v>
      </c>
      <c r="DK20" s="24">
        <f>+$C$5*$C$3*DK9</f>
        <v>208271.90665572966</v>
      </c>
      <c r="DL20" s="24">
        <f>+$C$5*$C$3*DL9</f>
        <v>208705.80646126249</v>
      </c>
      <c r="DM20" s="24">
        <f>+$C$5*$C$3*DM9</f>
        <v>209140.6102247235</v>
      </c>
      <c r="DN20" s="24">
        <f>+$C$5*$C$3*DN9</f>
        <v>209576.31982935837</v>
      </c>
      <c r="DO20" s="24">
        <f>+$C$5*$C$3*DO9</f>
        <v>210012.93716233619</v>
      </c>
      <c r="DP20" s="24">
        <f>+$C$5*$C$3*DP9</f>
        <v>210450.46411475772</v>
      </c>
      <c r="DQ20" s="24">
        <f>+$C$5*$C$3*DQ9</f>
        <v>210888.90258166354</v>
      </c>
      <c r="DR20" s="24">
        <f>+$C$5*$C$3*DR9</f>
        <v>211328.25446204201</v>
      </c>
      <c r="DS20" s="24">
        <f>+$C$5*$C$3*DS9</f>
        <v>211768.52165883797</v>
      </c>
      <c r="DT20" s="24">
        <f>+$C$5*$C$3*DT9</f>
        <v>212209.70607896059</v>
      </c>
      <c r="DU20" s="24">
        <f>+$C$5*$C$3*DU9</f>
        <v>212651.80963329176</v>
      </c>
      <c r="DV20" s="24">
        <f>+$C$5*$C$3*DV9</f>
        <v>213094.83423669447</v>
      </c>
      <c r="DW20" s="24">
        <f>+$C$5*$C$3*DW9</f>
        <v>213538.78180802098</v>
      </c>
      <c r="DX20" s="24">
        <f>+$C$5*$C$3*DX9</f>
        <v>213983.65427012104</v>
      </c>
      <c r="DY20" s="24">
        <f>+$C$5*$C$3*DY9</f>
        <v>214429.4535498505</v>
      </c>
      <c r="DZ20" s="24">
        <f>+$C$5*$C$3*DZ9</f>
        <v>214876.18157807941</v>
      </c>
      <c r="EA20" s="24">
        <f>+$C$5*$C$3*EA9</f>
        <v>215323.8402897004</v>
      </c>
      <c r="EB20" s="24">
        <f>+$C$5*$C$3*EB9</f>
        <v>215772.43162363727</v>
      </c>
      <c r="EC20" s="24">
        <f>+$C$5*$C$3*EC9</f>
        <v>216221.95752285319</v>
      </c>
      <c r="ED20" s="24">
        <f>+$C$5*$C$3*ED9</f>
        <v>216672.41993435918</v>
      </c>
      <c r="EE20" s="24">
        <f>+$C$5*$C$3*EE9</f>
        <v>217123.82080922247</v>
      </c>
      <c r="EF20" s="24">
        <f>+$C$5*$C$3*EF9</f>
        <v>217576.16210257504</v>
      </c>
    </row>
    <row r="21" spans="2:136" x14ac:dyDescent="0.45">
      <c r="B21" s="1" t="s">
        <v>345</v>
      </c>
      <c r="E21" s="24">
        <f t="shared" ref="E21:AJ21" si="6">+E24-E22-E20</f>
        <v>-43138.83014583333</v>
      </c>
      <c r="F21" s="24">
        <f t="shared" si="6"/>
        <v>-43263.964992152993</v>
      </c>
      <c r="G21" s="24">
        <f t="shared" si="6"/>
        <v>-43355.986345941419</v>
      </c>
      <c r="H21" s="24">
        <f t="shared" si="6"/>
        <v>-43026.658997351886</v>
      </c>
      <c r="I21" s="24">
        <f t="shared" si="6"/>
        <v>-42537.835903898493</v>
      </c>
      <c r="J21" s="24">
        <f t="shared" si="6"/>
        <v>-39710.547856438614</v>
      </c>
      <c r="K21" s="24">
        <f t="shared" si="6"/>
        <v>-39335.529793833179</v>
      </c>
      <c r="L21" s="24">
        <f t="shared" si="6"/>
        <v>-37088.400156003248</v>
      </c>
      <c r="M21" s="24">
        <f t="shared" si="6"/>
        <v>-34796.279423855012</v>
      </c>
      <c r="N21" s="24">
        <f t="shared" si="6"/>
        <v>-33294.829383567703</v>
      </c>
      <c r="O21" s="24">
        <f t="shared" si="6"/>
        <v>-30809.247863678844</v>
      </c>
      <c r="P21" s="24">
        <f t="shared" si="6"/>
        <v>-29202.942097841878</v>
      </c>
      <c r="Q21" s="24">
        <f t="shared" si="6"/>
        <v>-27361.085312178911</v>
      </c>
      <c r="R21" s="24">
        <f t="shared" si="6"/>
        <v>-25664.0883077693</v>
      </c>
      <c r="S21" s="24">
        <f t="shared" si="6"/>
        <v>-24718.450635809044</v>
      </c>
      <c r="T21" s="24">
        <f t="shared" si="6"/>
        <v>-22678.970293007878</v>
      </c>
      <c r="U21" s="24">
        <f t="shared" si="6"/>
        <v>-20807.328789036779</v>
      </c>
      <c r="V21" s="24">
        <f t="shared" si="6"/>
        <v>-19355.056956921617</v>
      </c>
      <c r="W21" s="24">
        <f t="shared" si="6"/>
        <v>-16808.142186544981</v>
      </c>
      <c r="X21" s="24">
        <f t="shared" si="6"/>
        <v>-14620.228192092472</v>
      </c>
      <c r="Y21" s="24">
        <f t="shared" si="6"/>
        <v>-12919.633780684846</v>
      </c>
      <c r="Z21" s="24">
        <f t="shared" si="6"/>
        <v>-11553.183452560916</v>
      </c>
      <c r="AA21" s="24">
        <f t="shared" si="6"/>
        <v>-9329.0220491059008</v>
      </c>
      <c r="AB21" s="24">
        <f t="shared" si="6"/>
        <v>-7109.9557991599722</v>
      </c>
      <c r="AC21" s="24">
        <f t="shared" si="6"/>
        <v>-5106.233740596741</v>
      </c>
      <c r="AD21" s="24">
        <f t="shared" si="6"/>
        <v>-3027.2757013692753</v>
      </c>
      <c r="AE21" s="24">
        <f t="shared" si="6"/>
        <v>-2152.1113468613476</v>
      </c>
      <c r="AF21" s="24">
        <f t="shared" si="6"/>
        <v>-1806.1144768887607</v>
      </c>
      <c r="AG21" s="24">
        <f t="shared" si="6"/>
        <v>-1487.8048910720099</v>
      </c>
      <c r="AH21" s="24">
        <f t="shared" si="6"/>
        <v>-1193.9028466998134</v>
      </c>
      <c r="AI21" s="24">
        <f t="shared" si="6"/>
        <v>8199.2242002362327</v>
      </c>
      <c r="AJ21" s="24">
        <f t="shared" si="6"/>
        <v>8208.5187551866402</v>
      </c>
      <c r="AK21" s="24">
        <f t="shared" ref="AK21:BP21" si="7">+AK24-AK22-AK20</f>
        <v>8217.8171679155494</v>
      </c>
      <c r="AL21" s="24">
        <f t="shared" si="7"/>
        <v>8227.1194233128917</v>
      </c>
      <c r="AM21" s="24">
        <f t="shared" si="7"/>
        <v>8236.4255061950535</v>
      </c>
      <c r="AN21" s="24">
        <f t="shared" si="7"/>
        <v>8245.7354013032746</v>
      </c>
      <c r="AO21" s="24">
        <f t="shared" si="7"/>
        <v>8255.0490933029214</v>
      </c>
      <c r="AP21" s="24">
        <f t="shared" si="7"/>
        <v>8264.3665667842724</v>
      </c>
      <c r="AQ21" s="24">
        <f t="shared" si="7"/>
        <v>8273.6878062600153</v>
      </c>
      <c r="AR21" s="24">
        <f t="shared" si="7"/>
        <v>8283.0127961685939</v>
      </c>
      <c r="AS21" s="24">
        <f t="shared" si="7"/>
        <v>8292.3415208710067</v>
      </c>
      <c r="AT21" s="24">
        <f t="shared" si="7"/>
        <v>8301.6739646509232</v>
      </c>
      <c r="AU21" s="24">
        <f t="shared" si="7"/>
        <v>8311.010111716605</v>
      </c>
      <c r="AV21" s="24">
        <f t="shared" si="7"/>
        <v>8320.3499461969477</v>
      </c>
      <c r="AW21" s="24">
        <f t="shared" si="7"/>
        <v>8329.6934521457588</v>
      </c>
      <c r="AX21" s="24">
        <f t="shared" si="7"/>
        <v>8339.0406135380617</v>
      </c>
      <c r="AY21" s="24">
        <f t="shared" si="7"/>
        <v>8348.3914142702706</v>
      </c>
      <c r="AZ21" s="24">
        <f t="shared" si="7"/>
        <v>8357.7458381609176</v>
      </c>
      <c r="BA21" s="24">
        <f t="shared" si="7"/>
        <v>8367.1038689512352</v>
      </c>
      <c r="BB21" s="24">
        <f t="shared" si="7"/>
        <v>8376.4654903023911</v>
      </c>
      <c r="BC21" s="24">
        <f t="shared" si="7"/>
        <v>8385.8306857970892</v>
      </c>
      <c r="BD21" s="24">
        <f t="shared" si="7"/>
        <v>8395.1994389389583</v>
      </c>
      <c r="BE21" s="24">
        <f t="shared" si="7"/>
        <v>8404.5717331519991</v>
      </c>
      <c r="BF21" s="24">
        <f t="shared" si="7"/>
        <v>8413.9475517801184</v>
      </c>
      <c r="BG21" s="24">
        <f t="shared" si="7"/>
        <v>8423.3268780881772</v>
      </c>
      <c r="BH21" s="24">
        <f t="shared" si="7"/>
        <v>8432.7096952595457</v>
      </c>
      <c r="BI21" s="24">
        <f t="shared" si="7"/>
        <v>8442.0959863981989</v>
      </c>
      <c r="BJ21" s="24">
        <f t="shared" si="7"/>
        <v>8451.4857345274359</v>
      </c>
      <c r="BK21" s="24">
        <f t="shared" si="7"/>
        <v>8460.8789225879882</v>
      </c>
      <c r="BL21" s="24">
        <f t="shared" si="7"/>
        <v>8470.275533441396</v>
      </c>
      <c r="BM21" s="24">
        <f t="shared" si="7"/>
        <v>8479.6755498666025</v>
      </c>
      <c r="BN21" s="24">
        <f t="shared" si="7"/>
        <v>8489.0789545601292</v>
      </c>
      <c r="BO21" s="24">
        <f t="shared" si="7"/>
        <v>8498.4857301379088</v>
      </c>
      <c r="BP21" s="24">
        <f t="shared" si="7"/>
        <v>8507.8958591324626</v>
      </c>
      <c r="BQ21" s="24">
        <f t="shared" ref="BQ21:CV21" si="8">+BQ24-BQ22-BQ20</f>
        <v>8517.3093239942682</v>
      </c>
      <c r="BR21" s="24">
        <f t="shared" si="8"/>
        <v>8526.7261070912646</v>
      </c>
      <c r="BS21" s="24">
        <f t="shared" si="8"/>
        <v>8536.1461907078046</v>
      </c>
      <c r="BT21" s="24">
        <f t="shared" si="8"/>
        <v>8545.5695570443932</v>
      </c>
      <c r="BU21" s="24">
        <f t="shared" si="8"/>
        <v>8554.9961882191419</v>
      </c>
      <c r="BV21" s="24">
        <f t="shared" si="8"/>
        <v>8564.4260662648303</v>
      </c>
      <c r="BW21" s="24">
        <f t="shared" si="8"/>
        <v>8573.8591731321358</v>
      </c>
      <c r="BX21" s="24">
        <f t="shared" si="8"/>
        <v>8583.2954906849191</v>
      </c>
      <c r="BY21" s="24">
        <f t="shared" si="8"/>
        <v>8592.7350007045898</v>
      </c>
      <c r="BZ21" s="24">
        <f t="shared" si="8"/>
        <v>8602.1776848857407</v>
      </c>
      <c r="CA21" s="24">
        <f t="shared" si="8"/>
        <v>8611.6235248385638</v>
      </c>
      <c r="CB21" s="24">
        <f t="shared" si="8"/>
        <v>8621.0725020885584</v>
      </c>
      <c r="CC21" s="24">
        <f t="shared" si="8"/>
        <v>8630.5245980738255</v>
      </c>
      <c r="CD21" s="24">
        <f t="shared" si="8"/>
        <v>8639.9797941474535</v>
      </c>
      <c r="CE21" s="24">
        <f t="shared" si="8"/>
        <v>8649.438071576209</v>
      </c>
      <c r="CF21" s="24">
        <f t="shared" si="8"/>
        <v>8658.8994115397509</v>
      </c>
      <c r="CG21" s="24">
        <f t="shared" si="8"/>
        <v>8668.3637951312703</v>
      </c>
      <c r="CH21" s="24">
        <f t="shared" si="8"/>
        <v>8677.8312033577531</v>
      </c>
      <c r="CI21" s="24">
        <f t="shared" si="8"/>
        <v>8687.3016171366035</v>
      </c>
      <c r="CJ21" s="24">
        <f t="shared" si="8"/>
        <v>8696.7750172991655</v>
      </c>
      <c r="CK21" s="24">
        <f t="shared" si="8"/>
        <v>8706.2513845885987</v>
      </c>
      <c r="CL21" s="24">
        <f t="shared" si="8"/>
        <v>8715.7306996594125</v>
      </c>
      <c r="CM21" s="24">
        <f t="shared" si="8"/>
        <v>8725.2129430786008</v>
      </c>
      <c r="CN21" s="24">
        <f t="shared" si="8"/>
        <v>8734.6980953222956</v>
      </c>
      <c r="CO21" s="24">
        <f t="shared" si="8"/>
        <v>8744.1861367802776</v>
      </c>
      <c r="CP21" s="24">
        <f t="shared" si="8"/>
        <v>8753.6770477505634</v>
      </c>
      <c r="CQ21" s="24">
        <f t="shared" si="8"/>
        <v>8763.1708084431593</v>
      </c>
      <c r="CR21" s="24">
        <f t="shared" si="8"/>
        <v>8772.667398976977</v>
      </c>
      <c r="CS21" s="24">
        <f t="shared" si="8"/>
        <v>8782.1667993823066</v>
      </c>
      <c r="CT21" s="24">
        <f t="shared" si="8"/>
        <v>8791.6689895969175</v>
      </c>
      <c r="CU21" s="24">
        <f t="shared" si="8"/>
        <v>8801.1739494693757</v>
      </c>
      <c r="CV21" s="24">
        <f t="shared" si="8"/>
        <v>8810.6816587565118</v>
      </c>
      <c r="CW21" s="24">
        <f t="shared" ref="CW21:EB21" si="9">+CW24-CW22-CW20</f>
        <v>8820.1920971245563</v>
      </c>
      <c r="CX21" s="24">
        <f t="shared" si="9"/>
        <v>8829.7052441464621</v>
      </c>
      <c r="CY21" s="24">
        <f t="shared" si="9"/>
        <v>8839.2210793060367</v>
      </c>
      <c r="CZ21" s="24">
        <f t="shared" si="9"/>
        <v>8848.7395819913363</v>
      </c>
      <c r="DA21" s="24">
        <f t="shared" si="9"/>
        <v>8858.2607315010973</v>
      </c>
      <c r="DB21" s="24">
        <f t="shared" si="9"/>
        <v>8867.7845070393232</v>
      </c>
      <c r="DC21" s="24">
        <f t="shared" si="9"/>
        <v>8877.3108877184859</v>
      </c>
      <c r="DD21" s="24">
        <f t="shared" si="9"/>
        <v>8886.8398525560042</v>
      </c>
      <c r="DE21" s="24">
        <f t="shared" si="9"/>
        <v>8896.3713804761937</v>
      </c>
      <c r="DF21" s="24">
        <f t="shared" si="9"/>
        <v>8905.9054503111693</v>
      </c>
      <c r="DG21" s="24">
        <f t="shared" si="9"/>
        <v>8915.4420407958387</v>
      </c>
      <c r="DH21" s="24">
        <f t="shared" si="9"/>
        <v>8924.9811305725598</v>
      </c>
      <c r="DI21" s="24">
        <f t="shared" si="9"/>
        <v>8934.5226981890155</v>
      </c>
      <c r="DJ21" s="24">
        <f t="shared" si="9"/>
        <v>8944.0667220964679</v>
      </c>
      <c r="DK21" s="24">
        <f t="shared" si="9"/>
        <v>8953.6131806521735</v>
      </c>
      <c r="DL21" s="24">
        <f t="shared" si="9"/>
        <v>8963.1620521151053</v>
      </c>
      <c r="DM21" s="24">
        <f t="shared" si="9"/>
        <v>8972.7133146523556</v>
      </c>
      <c r="DN21" s="24">
        <f t="shared" si="9"/>
        <v>8982.2669463307247</v>
      </c>
      <c r="DO21" s="24">
        <f t="shared" si="9"/>
        <v>8991.8229251224548</v>
      </c>
      <c r="DP21" s="24">
        <f t="shared" si="9"/>
        <v>9001.3812289025227</v>
      </c>
      <c r="DQ21" s="24">
        <f t="shared" si="9"/>
        <v>9010.9418354486115</v>
      </c>
      <c r="DR21" s="24">
        <f t="shared" si="9"/>
        <v>9020.5047224417212</v>
      </c>
      <c r="DS21" s="24">
        <f t="shared" si="9"/>
        <v>9030.0698674624437</v>
      </c>
      <c r="DT21" s="24">
        <f t="shared" si="9"/>
        <v>9039.6372479956481</v>
      </c>
      <c r="DU21" s="24">
        <f t="shared" si="9"/>
        <v>9049.2068414279784</v>
      </c>
      <c r="DV21" s="24">
        <f t="shared" si="9"/>
        <v>9058.7786250455247</v>
      </c>
      <c r="DW21" s="24">
        <f t="shared" si="9"/>
        <v>9068.3525760359189</v>
      </c>
      <c r="DX21" s="24">
        <f t="shared" si="9"/>
        <v>9077.9286714885675</v>
      </c>
      <c r="DY21" s="24">
        <f t="shared" si="9"/>
        <v>9087.5068883924396</v>
      </c>
      <c r="DZ21" s="24">
        <f t="shared" si="9"/>
        <v>9097.0872036351648</v>
      </c>
      <c r="EA21" s="24">
        <f t="shared" si="9"/>
        <v>9106.669594006642</v>
      </c>
      <c r="EB21" s="24">
        <f t="shared" si="9"/>
        <v>9116.2540361944411</v>
      </c>
      <c r="EC21" s="24">
        <f t="shared" ref="EC21:EF21" si="10">+EC24-EC22-EC20</f>
        <v>9125.8405067865096</v>
      </c>
      <c r="ED21" s="24">
        <f t="shared" si="10"/>
        <v>9135.4289822667197</v>
      </c>
      <c r="EE21" s="24">
        <f t="shared" si="10"/>
        <v>9145.0194390214165</v>
      </c>
      <c r="EF21" s="24">
        <f t="shared" si="10"/>
        <v>9154.6118533315603</v>
      </c>
    </row>
    <row r="22" spans="2:136" x14ac:dyDescent="0.45">
      <c r="B22" s="1" t="s">
        <v>55</v>
      </c>
      <c r="E22" s="24">
        <f>+'Rent Roll Model'!J89</f>
        <v>0</v>
      </c>
      <c r="F22" s="24">
        <f>+'Rent Roll Model'!K89</f>
        <v>-4720.6008769160599</v>
      </c>
      <c r="G22" s="24">
        <f>+'Rent Roll Model'!L89</f>
        <v>-4730.3245418177848</v>
      </c>
      <c r="H22" s="24">
        <f>+'Rent Roll Model'!M89</f>
        <v>-7927.1360621851145</v>
      </c>
      <c r="I22" s="24">
        <f>+'Rent Roll Model'!N89</f>
        <v>-12769.069209416071</v>
      </c>
      <c r="J22" s="24">
        <f>+'Rent Roll Model'!O89</f>
        <v>-11457.807798205282</v>
      </c>
      <c r="K22" s="24">
        <f>+'Rent Roll Model'!P89</f>
        <v>-16460.956559005463</v>
      </c>
      <c r="L22" s="24">
        <f>+'Rent Roll Model'!Q89</f>
        <v>-16793.723711011997</v>
      </c>
      <c r="M22" s="24">
        <f>+'Rent Roll Model'!R89</f>
        <v>-17132.352289145827</v>
      </c>
      <c r="N22" s="24">
        <f>+'Rent Roll Model'!S89</f>
        <v>-19106.67699756864</v>
      </c>
      <c r="O22" s="24">
        <f>+'Rent Roll Model'!T89</f>
        <v>-19506.657348905257</v>
      </c>
      <c r="P22" s="24">
        <f>+'Rent Roll Model'!U89</f>
        <v>-19782.740587242177</v>
      </c>
      <c r="Q22" s="24">
        <f>+'Rent Roll Model'!V89</f>
        <v>-18265.587352941162</v>
      </c>
      <c r="R22" s="24">
        <f>+'Rent Roll Model'!W89</f>
        <v>-16675.548864950353</v>
      </c>
      <c r="S22" s="24">
        <f>+'Rent Roll Model'!X89</f>
        <v>-14955.963434303074</v>
      </c>
      <c r="T22" s="24">
        <f>+'Rent Roll Model'!Y89</f>
        <v>-15201.481523761373</v>
      </c>
      <c r="U22" s="24">
        <f>+'Rent Roll Model'!Z89</f>
        <v>-17358.593958716123</v>
      </c>
      <c r="V22" s="24">
        <f>+'Rent Roll Model'!AA89</f>
        <v>-19519.131096182049</v>
      </c>
      <c r="W22" s="24">
        <f>+'Rent Roll Model'!AB89</f>
        <v>-21880.506680751296</v>
      </c>
      <c r="X22" s="24">
        <f>+'Rent Roll Model'!AC89</f>
        <v>-24261.213697645358</v>
      </c>
      <c r="Y22" s="24">
        <f>+'Rent Roll Model'!AD89</f>
        <v>-22529.765808891978</v>
      </c>
      <c r="Z22" s="24">
        <f>+'Rent Roll Model'!AE89</f>
        <v>-18632.510452842907</v>
      </c>
      <c r="AA22" s="24">
        <f>+'Rent Roll Model'!AF89</f>
        <v>-16827.226046622953</v>
      </c>
      <c r="AB22" s="24">
        <f>+'Rent Roll Model'!AG89</f>
        <v>-17091.775037216488</v>
      </c>
      <c r="AC22" s="24">
        <f>+'Rent Roll Model'!AH89</f>
        <v>-19501.103972282581</v>
      </c>
      <c r="AD22" s="24">
        <f>+'Rent Roll Model'!AI89</f>
        <v>-24178.891160130246</v>
      </c>
      <c r="AE22" s="24">
        <f>+'Rent Roll Model'!AJ89</f>
        <v>-24353.440501343044</v>
      </c>
      <c r="AF22" s="24">
        <f>+'Rent Roll Model'!AK89</f>
        <v>-17784.342160599441</v>
      </c>
      <c r="AG22" s="24">
        <f>+'Rent Roll Model'!AL89</f>
        <v>-11158.955844463162</v>
      </c>
      <c r="AH22" s="24">
        <f>+'Rent Roll Model'!AM89</f>
        <v>-4480.4728023880089</v>
      </c>
      <c r="AI22" s="24">
        <f>+'Rent Roll Model'!AN89</f>
        <v>-8787.054978707607</v>
      </c>
      <c r="AJ22" s="24">
        <f>+'Rent Roll Model'!AO89</f>
        <v>-8804.9905260021333</v>
      </c>
      <c r="AK22" s="24">
        <f>+'Rent Roll Model'!AP89</f>
        <v>-8822.9627006450646</v>
      </c>
      <c r="AL22" s="24">
        <f>+'Rent Roll Model'!AQ89</f>
        <v>-8840.9715778411319</v>
      </c>
      <c r="AM22" s="24">
        <f>+'Rent Roll Model'!AR89</f>
        <v>-8859.0172329497418</v>
      </c>
      <c r="AN22" s="24">
        <f>+'Rent Roll Model'!AS89</f>
        <v>-8877.09974148523</v>
      </c>
      <c r="AO22" s="24">
        <f>+'Rent Roll Model'!AT89</f>
        <v>-8895.2191791171481</v>
      </c>
      <c r="AP22" s="24">
        <f>+'Rent Roll Model'!AU89</f>
        <v>-8913.3756216706406</v>
      </c>
      <c r="AQ22" s="24">
        <f>+'Rent Roll Model'!AV89</f>
        <v>-8931.5691451266594</v>
      </c>
      <c r="AR22" s="24">
        <f>+'Rent Roll Model'!AW89</f>
        <v>-8949.7998256224473</v>
      </c>
      <c r="AS22" s="24">
        <f>+'Rent Roll Model'!AX89</f>
        <v>-8968.0677394517188</v>
      </c>
      <c r="AT22" s="24">
        <f>+'Rent Roll Model'!AY89</f>
        <v>-8986.3729630650105</v>
      </c>
      <c r="AU22" s="24">
        <f>+'Rent Roll Model'!AZ89</f>
        <v>-9004.7155730700961</v>
      </c>
      <c r="AV22" s="24">
        <f>+'Rent Roll Model'!BA89</f>
        <v>-9023.0956462321319</v>
      </c>
      <c r="AW22" s="24">
        <f>+'Rent Roll Model'!BB89</f>
        <v>-9041.5132594742081</v>
      </c>
      <c r="AX22" s="24">
        <f>+'Rent Roll Model'!BC89</f>
        <v>-9059.968489877494</v>
      </c>
      <c r="AY22" s="24">
        <f>+'Rent Roll Model'!BD89</f>
        <v>-9078.4614146815966</v>
      </c>
      <c r="AZ22" s="24">
        <f>+'Rent Roll Model'!BE89</f>
        <v>-9096.9921112849279</v>
      </c>
      <c r="BA22" s="24">
        <f>+'Rent Roll Model'!BF89</f>
        <v>-9115.560657245067</v>
      </c>
      <c r="BB22" s="24">
        <f>+'Rent Roll Model'!BG89</f>
        <v>-9134.1671302789709</v>
      </c>
      <c r="BC22" s="24">
        <f>+'Rent Roll Model'!BH89</f>
        <v>-9152.8116082633951</v>
      </c>
      <c r="BD22" s="24">
        <f>+'Rent Roll Model'!BI89</f>
        <v>-9171.4941692352058</v>
      </c>
      <c r="BE22" s="24">
        <f>+'Rent Roll Model'!BJ89</f>
        <v>-9190.2148913916826</v>
      </c>
      <c r="BF22" s="24">
        <f>+'Rent Roll Model'!BK89</f>
        <v>-9208.9738530908489</v>
      </c>
      <c r="BG22" s="24">
        <f>+'Rent Roll Model'!BL89</f>
        <v>-9227.7711328518599</v>
      </c>
      <c r="BH22" s="24">
        <f>+'Rent Roll Model'!BM89</f>
        <v>-9246.6068093552403</v>
      </c>
      <c r="BI22" s="24">
        <f>+'Rent Roll Model'!BN89</f>
        <v>-9265.4809614433107</v>
      </c>
      <c r="BJ22" s="24">
        <f>+'Rent Roll Model'!BO89</f>
        <v>-9284.3936681204887</v>
      </c>
      <c r="BK22" s="24">
        <f>+'Rent Roll Model'!BP89</f>
        <v>-9303.3450085535351</v>
      </c>
      <c r="BL22" s="24">
        <f>+'Rent Roll Model'!BQ89</f>
        <v>-9322.3350620720539</v>
      </c>
      <c r="BM22" s="24">
        <f>+'Rent Roll Model'!BR89</f>
        <v>-9341.3639081686997</v>
      </c>
      <c r="BN22" s="24">
        <f>+'Rent Roll Model'!BS89</f>
        <v>-9360.4316264995123</v>
      </c>
      <c r="BO22" s="24">
        <f>+'Rent Roll Model'!BT89</f>
        <v>-9379.5382968843587</v>
      </c>
      <c r="BP22" s="24">
        <f>+'Rent Roll Model'!BU89</f>
        <v>-9398.6839993071608</v>
      </c>
      <c r="BQ22" s="24">
        <f>+'Rent Roll Model'!BV89</f>
        <v>-9417.8688139162878</v>
      </c>
      <c r="BR22" s="24">
        <f>+'Rent Roll Model'!BW89</f>
        <v>-9437.0928210248985</v>
      </c>
      <c r="BS22" s="24">
        <f>+'Rent Roll Model'!BX89</f>
        <v>-9456.3561011112452</v>
      </c>
      <c r="BT22" s="24">
        <f>+'Rent Roll Model'!BY89</f>
        <v>-9475.658734819006</v>
      </c>
      <c r="BU22" s="24">
        <f>+'Rent Roll Model'!BZ89</f>
        <v>-9495.0008029576984</v>
      </c>
      <c r="BV22" s="24">
        <f>+'Rent Roll Model'!CA89</f>
        <v>-9514.3823865029208</v>
      </c>
      <c r="BW22" s="24">
        <f>+'Rent Roll Model'!CB89</f>
        <v>-9533.8035665968328</v>
      </c>
      <c r="BX22" s="24">
        <f>+'Rent Roll Model'!CC89</f>
        <v>-9553.2644245482952</v>
      </c>
      <c r="BY22" s="24">
        <f>+'Rent Roll Model'!CD89</f>
        <v>-9572.7650418334415</v>
      </c>
      <c r="BZ22" s="24">
        <f>+'Rent Roll Model'!CE89</f>
        <v>-9592.3055000958175</v>
      </c>
      <c r="CA22" s="24">
        <f>+'Rent Roll Model'!CF89</f>
        <v>-9611.8858811468617</v>
      </c>
      <c r="CB22" s="24">
        <f>+'Rent Roll Model'!CG89</f>
        <v>-9631.5062669662311</v>
      </c>
      <c r="CC22" s="24">
        <f>+'Rent Roll Model'!CH89</f>
        <v>-9651.1667397020592</v>
      </c>
      <c r="CD22" s="24">
        <f>+'Rent Roll Model'!CI89</f>
        <v>-9670.8673816714054</v>
      </c>
      <c r="CE22" s="24">
        <f>+'Rent Roll Model'!CJ89</f>
        <v>-9690.6082753605679</v>
      </c>
      <c r="CF22" s="24">
        <f>+'Rent Roll Model'!CK89</f>
        <v>-9710.3895034254001</v>
      </c>
      <c r="CG22" s="24">
        <f>+'Rent Roll Model'!CL89</f>
        <v>-9730.2111486917038</v>
      </c>
      <c r="CH22" s="24">
        <f>+'Rent Roll Model'!CM89</f>
        <v>-9750.0732941556053</v>
      </c>
      <c r="CI22" s="24">
        <f>+'Rent Roll Model'!CN89</f>
        <v>-9769.9760229837557</v>
      </c>
      <c r="CJ22" s="24">
        <f>+'Rent Roll Model'!CO89</f>
        <v>-9789.9194185138713</v>
      </c>
      <c r="CK22" s="24">
        <f>+'Rent Roll Model'!CP89</f>
        <v>-9809.9035642549861</v>
      </c>
      <c r="CL22" s="24">
        <f>+'Rent Roll Model'!CQ89</f>
        <v>-9829.9285438877996</v>
      </c>
      <c r="CM22" s="24">
        <f>+'Rent Roll Model'!CR89</f>
        <v>-9849.9944412651021</v>
      </c>
      <c r="CN22" s="24">
        <f>+'Rent Roll Model'!CS89</f>
        <v>-9870.1013404119749</v>
      </c>
      <c r="CO22" s="24">
        <f>+'Rent Roll Model'!CT89</f>
        <v>-9890.2493255263762</v>
      </c>
      <c r="CP22" s="24">
        <f>+'Rent Roll Model'!CU89</f>
        <v>-9910.4384809792555</v>
      </c>
      <c r="CQ22" s="24">
        <f>+'Rent Roll Model'!CV89</f>
        <v>-9930.6688913150992</v>
      </c>
      <c r="CR22" s="24">
        <f>+'Rent Roll Model'!CW89</f>
        <v>-9950.9406412521421</v>
      </c>
      <c r="CS22" s="24">
        <f>+'Rent Roll Model'!CX89</f>
        <v>-9971.2538156828869</v>
      </c>
      <c r="CT22" s="24">
        <f>+'Rent Roll Model'!CY89</f>
        <v>-9991.6084996742538</v>
      </c>
      <c r="CU22" s="24">
        <f>+'Rent Roll Model'!CZ89</f>
        <v>-10012.004778468137</v>
      </c>
      <c r="CV22" s="24">
        <f>+'Rent Roll Model'!DA89</f>
        <v>-10032.442737481651</v>
      </c>
      <c r="CW22" s="24">
        <f>+'Rent Roll Model'!DB89</f>
        <v>-10052.922462307544</v>
      </c>
      <c r="CX22" s="24">
        <f>+'Rent Roll Model'!DC89</f>
        <v>-10073.444038714477</v>
      </c>
      <c r="CY22" s="24">
        <f>+'Rent Roll Model'!DD89</f>
        <v>-10094.007552647556</v>
      </c>
      <c r="CZ22" s="24">
        <f>+'Rent Roll Model'!DE89</f>
        <v>-10114.613090228437</v>
      </c>
      <c r="DA22" s="24">
        <f>+'Rent Roll Model'!DF89</f>
        <v>-10135.260737755965</v>
      </c>
      <c r="DB22" s="24">
        <f>+'Rent Roll Model'!DG89</f>
        <v>-10155.950581706336</v>
      </c>
      <c r="DC22" s="24">
        <f>+'Rent Roll Model'!DH89</f>
        <v>-10176.682708733599</v>
      </c>
      <c r="DD22" s="24">
        <f>+'Rent Roll Model'!DI89</f>
        <v>-10197.457205669882</v>
      </c>
      <c r="DE22" s="24">
        <f>+'Rent Roll Model'!DJ89</f>
        <v>-10218.274159525854</v>
      </c>
      <c r="DF22" s="24">
        <f>+'Rent Roll Model'!DK89</f>
        <v>-10239.133657491167</v>
      </c>
      <c r="DG22" s="24">
        <f>+'Rent Roll Model'!DL89</f>
        <v>-10260.035786934586</v>
      </c>
      <c r="DH22" s="24">
        <f>+'Rent Roll Model'!DM89</f>
        <v>-10280.980635404594</v>
      </c>
      <c r="DI22" s="24">
        <f>+'Rent Roll Model'!DN89</f>
        <v>-10301.968290629675</v>
      </c>
      <c r="DJ22" s="24">
        <f>+'Rent Roll Model'!DO89</f>
        <v>-10322.998840518627</v>
      </c>
      <c r="DK22" s="24">
        <f>+'Rent Roll Model'!DP89</f>
        <v>-10344.072373161041</v>
      </c>
      <c r="DL22" s="24">
        <f>+'Rent Roll Model'!DQ89</f>
        <v>-10365.188976827505</v>
      </c>
      <c r="DM22" s="24">
        <f>+'Rent Roll Model'!DR89</f>
        <v>-10386.348739970279</v>
      </c>
      <c r="DN22" s="24">
        <f>+'Rent Roll Model'!DS89</f>
        <v>-10407.551751223291</v>
      </c>
      <c r="DO22" s="24">
        <f>+'Rent Roll Model'!DT89</f>
        <v>-10428.798099402793</v>
      </c>
      <c r="DP22" s="24">
        <f>+'Rent Roll Model'!DU89</f>
        <v>-10450.087873507631</v>
      </c>
      <c r="DQ22" s="24">
        <f>+'Rent Roll Model'!DV89</f>
        <v>-10471.421162719627</v>
      </c>
      <c r="DR22" s="24">
        <f>+'Rent Roll Model'!DW89</f>
        <v>-10492.798056403988</v>
      </c>
      <c r="DS22" s="24">
        <f>+'Rent Roll Model'!DX89</f>
        <v>-10514.218644109544</v>
      </c>
      <c r="DT22" s="24">
        <f>+'Rent Roll Model'!DY89</f>
        <v>-10535.683015569346</v>
      </c>
      <c r="DU22" s="24">
        <f>+'Rent Roll Model'!DZ89</f>
        <v>-10557.191260700942</v>
      </c>
      <c r="DV22" s="24">
        <f>+'Rent Roll Model'!EA89</f>
        <v>-10578.743469606667</v>
      </c>
      <c r="DW22" s="24">
        <f>+'Rent Roll Model'!EB89</f>
        <v>-10600.339732574139</v>
      </c>
      <c r="DX22" s="24">
        <f>+'Rent Roll Model'!EC89</f>
        <v>-10621.980140076648</v>
      </c>
      <c r="DY22" s="24">
        <f>+'Rent Roll Model'!ED89</f>
        <v>-10643.664782773474</v>
      </c>
      <c r="DZ22" s="24">
        <f>+'Rent Roll Model'!EE89</f>
        <v>-10665.393751510219</v>
      </c>
      <c r="EA22" s="24">
        <f>+'Rent Roll Model'!EF89</f>
        <v>-10687.167137319382</v>
      </c>
      <c r="EB22" s="24">
        <f>+'Rent Roll Model'!EG89</f>
        <v>-10708.985031420558</v>
      </c>
      <c r="EC22" s="24">
        <f>+'Rent Roll Model'!EH89</f>
        <v>-10730.847525220939</v>
      </c>
      <c r="ED22" s="24">
        <f>+'Rent Roll Model'!EI89</f>
        <v>-10752.754710315519</v>
      </c>
      <c r="EE22" s="24">
        <f>+'Rent Roll Model'!EJ89</f>
        <v>-10774.706678487804</v>
      </c>
      <c r="EF22" s="24">
        <f>+'Rent Roll Model'!EK89</f>
        <v>-10796.703521709838</v>
      </c>
    </row>
    <row r="23" spans="2:136" s="78" customFormat="1" x14ac:dyDescent="0.45">
      <c r="B23" s="78" t="s">
        <v>55</v>
      </c>
      <c r="E23" s="236">
        <f>-E22/(E20+E21)</f>
        <v>0</v>
      </c>
      <c r="F23" s="236">
        <f>-F22/(F20+F21)</f>
        <v>3.846091173376609E-2</v>
      </c>
      <c r="G23" s="236">
        <f>-G22/(G20+G21)</f>
        <v>3.8460600309930683E-2</v>
      </c>
      <c r="H23" s="236">
        <f>-H22/(H20+H21)</f>
        <v>6.4100490715261124E-2</v>
      </c>
      <c r="I23" s="236">
        <f>-I22/(I20+I21)</f>
        <v>0.1025599836371439</v>
      </c>
      <c r="J23" s="236">
        <f>-J22/(J20+J21)</f>
        <v>8.9739372427207004E-2</v>
      </c>
      <c r="K23" s="236">
        <f>-K22/(K20+K21)</f>
        <v>0.12819813896294915</v>
      </c>
      <c r="L23" s="236">
        <f>-L22/(L20+L21)</f>
        <v>0.12819729882724179</v>
      </c>
      <c r="M23" s="236">
        <f>-M22/(M20+M21)</f>
        <v>0.12819649430422583</v>
      </c>
      <c r="N23" s="236">
        <f>-N22/(N20+N21)</f>
        <v>0.14101523274606687</v>
      </c>
      <c r="O23" s="236">
        <f>-O22/(O20+O21)</f>
        <v>0.14101442674401055</v>
      </c>
      <c r="P23" s="236">
        <f>-P22/(P20+P21)</f>
        <v>0.14101357806794151</v>
      </c>
      <c r="Q23" s="236">
        <f>-Q22/(Q20+Q21)</f>
        <v>0.12819343103304937</v>
      </c>
      <c r="R23" s="236">
        <f>-R22/(R20+R21)</f>
        <v>0.11537343899216911</v>
      </c>
      <c r="S23" s="236">
        <f>-S22/(S20+S21)</f>
        <v>0.10255355328066469</v>
      </c>
      <c r="T23" s="236">
        <f>-T22/(T20+T21)</f>
        <v>0.10255303179087097</v>
      </c>
      <c r="U23" s="236">
        <f>-U22/(U20+U21)</f>
        <v>0.11537157828099372</v>
      </c>
      <c r="V23" s="236">
        <f>-V22/(V20+V21)</f>
        <v>0.12818997266298959</v>
      </c>
      <c r="W23" s="236">
        <f>-W22/(W20+W21)</f>
        <v>0.14100837313813105</v>
      </c>
      <c r="X23" s="236">
        <f>-X22/(X20+X21)</f>
        <v>0.15382664481584821</v>
      </c>
      <c r="Y23" s="236">
        <f>-Y22/(Y20+Y21)</f>
        <v>0.1410071056369363</v>
      </c>
      <c r="Z23" s="236">
        <f>-Z22/(Z20+Z21)</f>
        <v>0.11536889772218104</v>
      </c>
      <c r="AA23" s="236">
        <f>-AA22/(AA20+AA21)</f>
        <v>0.10254972632798037</v>
      </c>
      <c r="AB23" s="236">
        <f>-AB22/(AB20+AB21)</f>
        <v>0.10254933352296305</v>
      </c>
      <c r="AC23" s="236">
        <f>-AC22/(AC20+AC21)</f>
        <v>0.11536755014510346</v>
      </c>
      <c r="AD23" s="236">
        <f>-AD22/(AD20+AD21)</f>
        <v>0.14100425809250394</v>
      </c>
      <c r="AE23" s="236">
        <f>-AE22/(AE20+AE21)</f>
        <v>0.14100359492896164</v>
      </c>
      <c r="AF23" s="236">
        <f>-AF22/(AF20+AF21)</f>
        <v>0.10254754330617093</v>
      </c>
      <c r="AG23" s="236">
        <f>-AG22/(AG20+AG21)</f>
        <v>6.4091887012679025E-2</v>
      </c>
      <c r="AH23" s="236">
        <f>-AH22/(AH20+AH21)</f>
        <v>2.5636624212642217E-2</v>
      </c>
      <c r="AI23" s="236">
        <f>-AI22/(AI20+AI21)</f>
        <v>4.7619047619047623E-2</v>
      </c>
      <c r="AJ23" s="236">
        <f>-AJ22/(AJ20+AJ21)</f>
        <v>4.7619047619047616E-2</v>
      </c>
      <c r="AK23" s="236">
        <f>-AK22/(AK20+AK21)</f>
        <v>4.7619047619047623E-2</v>
      </c>
      <c r="AL23" s="236">
        <f>-AL22/(AL20+AL21)</f>
        <v>4.7619047619047623E-2</v>
      </c>
      <c r="AM23" s="236">
        <f>-AM22/(AM20+AM21)</f>
        <v>4.7619047619047623E-2</v>
      </c>
      <c r="AN23" s="236">
        <f>-AN22/(AN20+AN21)</f>
        <v>4.7619047619047616E-2</v>
      </c>
      <c r="AO23" s="236">
        <f>-AO22/(AO20+AO21)</f>
        <v>4.7619047619047623E-2</v>
      </c>
      <c r="AP23" s="236">
        <f>-AP22/(AP20+AP21)</f>
        <v>4.7619047619047616E-2</v>
      </c>
      <c r="AQ23" s="236">
        <f>-AQ22/(AQ20+AQ21)</f>
        <v>4.7619047619047623E-2</v>
      </c>
      <c r="AR23" s="236">
        <f>-AR22/(AR20+AR21)</f>
        <v>4.7619047619047623E-2</v>
      </c>
      <c r="AS23" s="236">
        <f>-AS22/(AS20+AS21)</f>
        <v>4.7619047619047623E-2</v>
      </c>
      <c r="AT23" s="236">
        <f>-AT22/(AT20+AT21)</f>
        <v>4.7619047619047616E-2</v>
      </c>
      <c r="AU23" s="236">
        <f>-AU22/(AU20+AU21)</f>
        <v>4.7619047619047623E-2</v>
      </c>
      <c r="AV23" s="236">
        <f>-AV22/(AV20+AV21)</f>
        <v>4.7619047619047616E-2</v>
      </c>
      <c r="AW23" s="236">
        <f>-AW22/(AW20+AW21)</f>
        <v>4.7619047619047623E-2</v>
      </c>
      <c r="AX23" s="236">
        <f>-AX22/(AX20+AX21)</f>
        <v>4.7619047619047616E-2</v>
      </c>
      <c r="AY23" s="236">
        <f>-AY22/(AY20+AY21)</f>
        <v>4.7619047619047616E-2</v>
      </c>
      <c r="AZ23" s="236">
        <f>-AZ22/(AZ20+AZ21)</f>
        <v>4.7619047619047623E-2</v>
      </c>
      <c r="BA23" s="236">
        <f>-BA22/(BA20+BA21)</f>
        <v>4.7619047619047623E-2</v>
      </c>
      <c r="BB23" s="236">
        <f>-BB22/(BB20+BB21)</f>
        <v>4.7619047619047616E-2</v>
      </c>
      <c r="BC23" s="236">
        <f>-BC22/(BC20+BC21)</f>
        <v>4.7619047619047616E-2</v>
      </c>
      <c r="BD23" s="236">
        <f>-BD22/(BD20+BD21)</f>
        <v>4.7619047619047616E-2</v>
      </c>
      <c r="BE23" s="236">
        <f>-BE22/(BE20+BE21)</f>
        <v>4.7619047619047616E-2</v>
      </c>
      <c r="BF23" s="236">
        <f>-BF22/(BF20+BF21)</f>
        <v>4.761904761904763E-2</v>
      </c>
      <c r="BG23" s="236">
        <f>-BG22/(BG20+BG21)</f>
        <v>4.7619047619047623E-2</v>
      </c>
      <c r="BH23" s="236">
        <f>-BH22/(BH20+BH21)</f>
        <v>4.7619047619047623E-2</v>
      </c>
      <c r="BI23" s="236">
        <f>-BI22/(BI20+BI21)</f>
        <v>4.7619047619047623E-2</v>
      </c>
      <c r="BJ23" s="236">
        <f>-BJ22/(BJ20+BJ21)</f>
        <v>4.7619047619047616E-2</v>
      </c>
      <c r="BK23" s="236">
        <f>-BK22/(BK20+BK21)</f>
        <v>4.7619047619047623E-2</v>
      </c>
      <c r="BL23" s="236">
        <f>-BL22/(BL20+BL21)</f>
        <v>4.7619047619047616E-2</v>
      </c>
      <c r="BM23" s="236">
        <f>-BM22/(BM20+BM21)</f>
        <v>4.7619047619047623E-2</v>
      </c>
      <c r="BN23" s="236">
        <f>-BN22/(BN20+BN21)</f>
        <v>4.7619047619047623E-2</v>
      </c>
      <c r="BO23" s="236">
        <f>-BO22/(BO20+BO21)</f>
        <v>4.7619047619047623E-2</v>
      </c>
      <c r="BP23" s="236">
        <f>-BP22/(BP20+BP21)</f>
        <v>4.7619047619047623E-2</v>
      </c>
      <c r="BQ23" s="236">
        <f>-BQ22/(BQ20+BQ21)</f>
        <v>4.7619047619047623E-2</v>
      </c>
      <c r="BR23" s="236">
        <f>-BR22/(BR20+BR21)</f>
        <v>4.7619047619047616E-2</v>
      </c>
      <c r="BS23" s="236">
        <f>-BS22/(BS20+BS21)</f>
        <v>4.7619047619047616E-2</v>
      </c>
      <c r="BT23" s="236">
        <f>-BT22/(BT20+BT21)</f>
        <v>4.7619047619047623E-2</v>
      </c>
      <c r="BU23" s="236">
        <f>-BU22/(BU20+BU21)</f>
        <v>4.7619047619047623E-2</v>
      </c>
      <c r="BV23" s="236">
        <f>-BV22/(BV20+BV21)</f>
        <v>4.7619047619047616E-2</v>
      </c>
      <c r="BW23" s="236">
        <f>-BW22/(BW20+BW21)</f>
        <v>4.761904761904763E-2</v>
      </c>
      <c r="BX23" s="236">
        <f>-BX22/(BX20+BX21)</f>
        <v>4.7619047619047616E-2</v>
      </c>
      <c r="BY23" s="236">
        <f>-BY22/(BY20+BY21)</f>
        <v>4.7619047619047623E-2</v>
      </c>
      <c r="BZ23" s="236">
        <f>-BZ22/(BZ20+BZ21)</f>
        <v>4.7619047619047616E-2</v>
      </c>
      <c r="CA23" s="236">
        <f>-CA22/(CA20+CA21)</f>
        <v>4.7619047619047623E-2</v>
      </c>
      <c r="CB23" s="236">
        <f>-CB22/(CB20+CB21)</f>
        <v>4.7619047619047623E-2</v>
      </c>
      <c r="CC23" s="236">
        <f>-CC22/(CC20+CC21)</f>
        <v>4.7619047619047623E-2</v>
      </c>
      <c r="CD23" s="236">
        <f>-CD22/(CD20+CD21)</f>
        <v>4.7619047619047616E-2</v>
      </c>
      <c r="CE23" s="236">
        <f>-CE22/(CE20+CE21)</f>
        <v>4.7619047619047616E-2</v>
      </c>
      <c r="CF23" s="236">
        <f>-CF22/(CF20+CF21)</f>
        <v>4.7619047619047616E-2</v>
      </c>
      <c r="CG23" s="236">
        <f>-CG22/(CG20+CG21)</f>
        <v>4.7619047619047616E-2</v>
      </c>
      <c r="CH23" s="236">
        <f>-CH22/(CH20+CH21)</f>
        <v>4.7619047619047623E-2</v>
      </c>
      <c r="CI23" s="236">
        <f>-CI22/(CI20+CI21)</f>
        <v>4.7619047619047616E-2</v>
      </c>
      <c r="CJ23" s="236">
        <f>-CJ22/(CJ20+CJ21)</f>
        <v>4.7619047619047623E-2</v>
      </c>
      <c r="CK23" s="236">
        <f>-CK22/(CK20+CK21)</f>
        <v>4.7619047619047616E-2</v>
      </c>
      <c r="CL23" s="236">
        <f>-CL22/(CL20+CL21)</f>
        <v>4.7619047619047616E-2</v>
      </c>
      <c r="CM23" s="236">
        <f>-CM22/(CM20+CM21)</f>
        <v>4.7619047619047623E-2</v>
      </c>
      <c r="CN23" s="236">
        <f>-CN22/(CN20+CN21)</f>
        <v>4.7619047619047616E-2</v>
      </c>
      <c r="CO23" s="236">
        <f>-CO22/(CO20+CO21)</f>
        <v>4.7619047619047616E-2</v>
      </c>
      <c r="CP23" s="236">
        <f>-CP22/(CP20+CP21)</f>
        <v>4.7619047619047616E-2</v>
      </c>
      <c r="CQ23" s="236">
        <f>-CQ22/(CQ20+CQ21)</f>
        <v>4.761904761904763E-2</v>
      </c>
      <c r="CR23" s="236">
        <f>-CR22/(CR20+CR21)</f>
        <v>4.7619047619047616E-2</v>
      </c>
      <c r="CS23" s="236">
        <f>-CS22/(CS20+CS21)</f>
        <v>4.7619047619047623E-2</v>
      </c>
      <c r="CT23" s="236">
        <f>-CT22/(CT20+CT21)</f>
        <v>4.7619047619047623E-2</v>
      </c>
      <c r="CU23" s="236">
        <f>-CU22/(CU20+CU21)</f>
        <v>4.7619047619047616E-2</v>
      </c>
      <c r="CV23" s="236">
        <f>-CV22/(CV20+CV21)</f>
        <v>4.761904761904763E-2</v>
      </c>
      <c r="CW23" s="236">
        <f>-CW22/(CW20+CW21)</f>
        <v>4.7619047619047616E-2</v>
      </c>
      <c r="CX23" s="236">
        <f>-CX22/(CX20+CX21)</f>
        <v>4.7619047619047623E-2</v>
      </c>
      <c r="CY23" s="236">
        <f>-CY22/(CY20+CY21)</f>
        <v>4.7619047619047616E-2</v>
      </c>
      <c r="CZ23" s="236">
        <f>-CZ22/(CZ20+CZ21)</f>
        <v>4.7619047619047623E-2</v>
      </c>
      <c r="DA23" s="236">
        <f>-DA22/(DA20+DA21)</f>
        <v>4.7619047619047616E-2</v>
      </c>
      <c r="DB23" s="236">
        <f>-DB22/(DB20+DB21)</f>
        <v>4.7619047619047623E-2</v>
      </c>
      <c r="DC23" s="236">
        <f>-DC22/(DC20+DC21)</f>
        <v>4.7619047619047616E-2</v>
      </c>
      <c r="DD23" s="236">
        <f>-DD22/(DD20+DD21)</f>
        <v>4.761904761904763E-2</v>
      </c>
      <c r="DE23" s="236">
        <f>-DE22/(DE20+DE21)</f>
        <v>4.7619047619047623E-2</v>
      </c>
      <c r="DF23" s="236">
        <f>-DF22/(DF20+DF21)</f>
        <v>4.7619047619047623E-2</v>
      </c>
      <c r="DG23" s="236">
        <f>-DG22/(DG20+DG21)</f>
        <v>4.7619047619047623E-2</v>
      </c>
      <c r="DH23" s="236">
        <f>-DH22/(DH20+DH21)</f>
        <v>4.761904761904763E-2</v>
      </c>
      <c r="DI23" s="236">
        <f>-DI22/(DI20+DI21)</f>
        <v>4.7619047619047616E-2</v>
      </c>
      <c r="DJ23" s="236">
        <f>-DJ22/(DJ20+DJ21)</f>
        <v>4.7619047619047623E-2</v>
      </c>
      <c r="DK23" s="236">
        <f>-DK22/(DK20+DK21)</f>
        <v>4.761904761904763E-2</v>
      </c>
      <c r="DL23" s="236">
        <f>-DL22/(DL20+DL21)</f>
        <v>4.7619047619047623E-2</v>
      </c>
      <c r="DM23" s="236">
        <f>-DM22/(DM20+DM21)</f>
        <v>4.7619047619047623E-2</v>
      </c>
      <c r="DN23" s="236">
        <f>-DN22/(DN20+DN21)</f>
        <v>4.7619047619047623E-2</v>
      </c>
      <c r="DO23" s="236">
        <f>-DO22/(DO20+DO21)</f>
        <v>4.7619047619047616E-2</v>
      </c>
      <c r="DP23" s="236">
        <f>-DP22/(DP20+DP21)</f>
        <v>4.7619047619047623E-2</v>
      </c>
      <c r="DQ23" s="236">
        <f>-DQ22/(DQ20+DQ21)</f>
        <v>4.7619047619047623E-2</v>
      </c>
      <c r="DR23" s="236">
        <f>-DR22/(DR20+DR21)</f>
        <v>4.7619047619047623E-2</v>
      </c>
      <c r="DS23" s="236">
        <f>-DS22/(DS20+DS21)</f>
        <v>4.7619047619047616E-2</v>
      </c>
      <c r="DT23" s="236">
        <f>-DT22/(DT20+DT21)</f>
        <v>4.7619047619047623E-2</v>
      </c>
      <c r="DU23" s="236">
        <f>-DU22/(DU20+DU21)</f>
        <v>4.7619047619047623E-2</v>
      </c>
      <c r="DV23" s="236">
        <f>-DV22/(DV20+DV21)</f>
        <v>4.7619047619047616E-2</v>
      </c>
      <c r="DW23" s="236">
        <f>-DW22/(DW20+DW21)</f>
        <v>4.7619047619047623E-2</v>
      </c>
      <c r="DX23" s="236">
        <f>-DX22/(DX20+DX21)</f>
        <v>4.7619047619047616E-2</v>
      </c>
      <c r="DY23" s="236">
        <f>-DY22/(DY20+DY21)</f>
        <v>4.7619047619047623E-2</v>
      </c>
      <c r="DZ23" s="236">
        <f>-DZ22/(DZ20+DZ21)</f>
        <v>4.7619047619047623E-2</v>
      </c>
      <c r="EA23" s="236">
        <f>-EA22/(EA20+EA21)</f>
        <v>4.7619047619047616E-2</v>
      </c>
      <c r="EB23" s="236">
        <f>-EB22/(EB20+EB21)</f>
        <v>4.7619047619047616E-2</v>
      </c>
      <c r="EC23" s="236">
        <f>-EC22/(EC20+EC21)</f>
        <v>4.7619047619047623E-2</v>
      </c>
      <c r="ED23" s="236">
        <f>-ED22/(ED20+ED21)</f>
        <v>4.7619047619047623E-2</v>
      </c>
      <c r="EE23" s="236">
        <f>-EE22/(EE20+EE21)</f>
        <v>4.7619047619047623E-2</v>
      </c>
      <c r="EF23" s="236">
        <f>-EF22/(EF20+EF21)</f>
        <v>4.7619047619047623E-2</v>
      </c>
    </row>
    <row r="24" spans="2:136" x14ac:dyDescent="0.45">
      <c r="B24" s="1" t="s">
        <v>324</v>
      </c>
      <c r="E24" s="24">
        <f>+'Rent Roll Model'!J87</f>
        <v>122517.64000000003</v>
      </c>
      <c r="F24" s="24">
        <f>+'Rent Roll Model'!K87</f>
        <v>118017.02192290151</v>
      </c>
      <c r="G24" s="24">
        <f>+'Rent Roll Model'!L87</f>
        <v>118261.11354544462</v>
      </c>
      <c r="H24" s="24">
        <f>+'Rent Roll Model'!M87</f>
        <v>115740.18650790268</v>
      </c>
      <c r="I24" s="24">
        <f>+'Rent Roll Model'!N87</f>
        <v>111734.35558239062</v>
      </c>
      <c r="J24" s="24">
        <f>+'Rent Roll Model'!O87</f>
        <v>116220.90766751072</v>
      </c>
      <c r="K24" s="24">
        <f>+'Rent Roll Model'!P87</f>
        <v>111941.50460123715</v>
      </c>
      <c r="L24" s="24">
        <f>+'Rent Roll Model'!Q87</f>
        <v>114205.32123488157</v>
      </c>
      <c r="M24" s="24">
        <f>+'Rent Roll Model'!R87</f>
        <v>116508.99556619162</v>
      </c>
      <c r="N24" s="24">
        <f>+'Rent Roll Model'!S87</f>
        <v>116387.03262155443</v>
      </c>
      <c r="O24" s="24">
        <f>+'Rent Roll Model'!T87</f>
        <v>118824.27657969567</v>
      </c>
      <c r="P24" s="24">
        <f>+'Rent Roll Model'!U87</f>
        <v>120506.87448592961</v>
      </c>
      <c r="Q24" s="24">
        <f>+'Rent Roll Model'!V87</f>
        <v>124218.9939999999</v>
      </c>
      <c r="R24" s="24">
        <f>+'Rent Roll Model'!W87</f>
        <v>127859.87463128605</v>
      </c>
      <c r="S24" s="24">
        <f>+'Rent Roll Model'!X87</f>
        <v>130879.6800501519</v>
      </c>
      <c r="T24" s="24">
        <f>+'Rent Roll Model'!Y87</f>
        <v>133028.96333291201</v>
      </c>
      <c r="U24" s="24">
        <f>+'Rent Roll Model'!Z87</f>
        <v>133099.55368349026</v>
      </c>
      <c r="V24" s="24">
        <f>+'Rent Roll Model'!AA87</f>
        <v>132748.09145403793</v>
      </c>
      <c r="W24" s="24">
        <f>+'Rent Roll Model'!AB87</f>
        <v>133291.17705548517</v>
      </c>
      <c r="X24" s="24">
        <f>+'Rent Roll Model'!AC87</f>
        <v>133456.67533704947</v>
      </c>
      <c r="Y24" s="24">
        <f>+'Rent Roll Model'!AD87</f>
        <v>137247.75538143297</v>
      </c>
      <c r="Z24" s="24">
        <f>+'Rent Roll Model'!AE87</f>
        <v>142871.24680512896</v>
      </c>
      <c r="AA24" s="24">
        <f>+'Rent Roll Model'!AF87</f>
        <v>147261.22790795084</v>
      </c>
      <c r="AB24" s="24">
        <f>+'Rent Roll Model'!AG87</f>
        <v>149577.03157564427</v>
      </c>
      <c r="AC24" s="24">
        <f>+'Rent Roll Model'!AH87</f>
        <v>149533.46378749979</v>
      </c>
      <c r="AD24" s="24">
        <f>+'Rent Roll Model'!AI87</f>
        <v>147297.42797533877</v>
      </c>
      <c r="AE24" s="24">
        <f>+'Rent Roll Model'!AJ87</f>
        <v>148361.592144544</v>
      </c>
      <c r="AF24" s="24">
        <f>+'Rent Roll Model'!AK87</f>
        <v>155640.99390524509</v>
      </c>
      <c r="AG24" s="24">
        <f>+'Rent Roll Model'!AL87</f>
        <v>162949.75532916217</v>
      </c>
      <c r="AH24" s="24">
        <f>+'Rent Roll Model'!AM87</f>
        <v>170287.96649074435</v>
      </c>
      <c r="AI24" s="24">
        <f>+'Rent Roll Model'!AN87</f>
        <v>175741.09957415212</v>
      </c>
      <c r="AJ24" s="24">
        <f>+'Rent Roll Model'!AO87</f>
        <v>176099.81052004267</v>
      </c>
      <c r="AK24" s="24">
        <f>+'Rent Roll Model'!AP87</f>
        <v>176459.25401290128</v>
      </c>
      <c r="AL24" s="24">
        <f>+'Rent Roll Model'!AQ87</f>
        <v>176819.43155682264</v>
      </c>
      <c r="AM24" s="24">
        <f>+'Rent Roll Model'!AR87</f>
        <v>177180.34465899484</v>
      </c>
      <c r="AN24" s="24">
        <f>+'Rent Roll Model'!AS87</f>
        <v>177541.99482970461</v>
      </c>
      <c r="AO24" s="24">
        <f>+'Rent Roll Model'!AT87</f>
        <v>177904.38358234294</v>
      </c>
      <c r="AP24" s="24">
        <f>+'Rent Roll Model'!AU87</f>
        <v>178267.5124334128</v>
      </c>
      <c r="AQ24" s="24">
        <f>+'Rent Roll Model'!AV87</f>
        <v>178631.38290253319</v>
      </c>
      <c r="AR24" s="24">
        <f>+'Rent Roll Model'!AW87</f>
        <v>178995.99651244894</v>
      </c>
      <c r="AS24" s="24">
        <f>+'Rent Roll Model'!AX87</f>
        <v>179361.35478903438</v>
      </c>
      <c r="AT24" s="24">
        <f>+'Rent Roll Model'!AY87</f>
        <v>179727.45926130022</v>
      </c>
      <c r="AU24" s="24">
        <f>+'Rent Roll Model'!AZ87</f>
        <v>180094.3114614019</v>
      </c>
      <c r="AV24" s="24">
        <f>+'Rent Roll Model'!BA87</f>
        <v>180461.91292464265</v>
      </c>
      <c r="AW24" s="24">
        <f>+'Rent Roll Model'!BB87</f>
        <v>180830.26518948414</v>
      </c>
      <c r="AX24" s="24">
        <f>+'Rent Roll Model'!BC87</f>
        <v>181199.36979754988</v>
      </c>
      <c r="AY24" s="24">
        <f>+'Rent Roll Model'!BD87</f>
        <v>181569.22829363192</v>
      </c>
      <c r="AZ24" s="24">
        <f>+'Rent Roll Model'!BE87</f>
        <v>181939.84222569855</v>
      </c>
      <c r="BA24" s="24">
        <f>+'Rent Roll Model'!BF87</f>
        <v>182311.21314490132</v>
      </c>
      <c r="BB24" s="24">
        <f>+'Rent Roll Model'!BG87</f>
        <v>182683.34260557941</v>
      </c>
      <c r="BC24" s="24">
        <f>+'Rent Roll Model'!BH87</f>
        <v>183056.23216526789</v>
      </c>
      <c r="BD24" s="24">
        <f>+'Rent Roll Model'!BI87</f>
        <v>183429.88338470412</v>
      </c>
      <c r="BE24" s="24">
        <f>+'Rent Roll Model'!BJ87</f>
        <v>183804.29782783365</v>
      </c>
      <c r="BF24" s="24">
        <f>+'Rent Roll Model'!BK87</f>
        <v>184179.47706181696</v>
      </c>
      <c r="BG24" s="24">
        <f>+'Rent Roll Model'!BL87</f>
        <v>184555.42265703718</v>
      </c>
      <c r="BH24" s="24">
        <f>+'Rent Roll Model'!BM87</f>
        <v>184932.1361871048</v>
      </c>
      <c r="BI24" s="24">
        <f>+'Rent Roll Model'!BN87</f>
        <v>185309.61922886621</v>
      </c>
      <c r="BJ24" s="24">
        <f>+'Rent Roll Model'!BO87</f>
        <v>185687.87336240977</v>
      </c>
      <c r="BK24" s="24">
        <f>+'Rent Roll Model'!BP87</f>
        <v>186066.90017107068</v>
      </c>
      <c r="BL24" s="24">
        <f>+'Rent Roll Model'!BQ87</f>
        <v>186446.70124144107</v>
      </c>
      <c r="BM24" s="24">
        <f>+'Rent Roll Model'!BR87</f>
        <v>186827.27816337399</v>
      </c>
      <c r="BN24" s="24">
        <f>+'Rent Roll Model'!BS87</f>
        <v>187208.63252999022</v>
      </c>
      <c r="BO24" s="24">
        <f>+'Rent Roll Model'!BT87</f>
        <v>187590.76593768716</v>
      </c>
      <c r="BP24" s="24">
        <f>+'Rent Roll Model'!BU87</f>
        <v>187973.67998614319</v>
      </c>
      <c r="BQ24" s="24">
        <f>+'Rent Roll Model'!BV87</f>
        <v>188357.37627832574</v>
      </c>
      <c r="BR24" s="24">
        <f>+'Rent Roll Model'!BW87</f>
        <v>188741.85642049796</v>
      </c>
      <c r="BS24" s="24">
        <f>+'Rent Roll Model'!BX87</f>
        <v>189127.12202222491</v>
      </c>
      <c r="BT24" s="24">
        <f>+'Rent Roll Model'!BY87</f>
        <v>189513.1746963801</v>
      </c>
      <c r="BU24" s="24">
        <f>+'Rent Roll Model'!BZ87</f>
        <v>189900.01605915398</v>
      </c>
      <c r="BV24" s="24">
        <f>+'Rent Roll Model'!CA87</f>
        <v>190287.64773005841</v>
      </c>
      <c r="BW24" s="24">
        <f>+'Rent Roll Model'!CB87</f>
        <v>190676.07133193663</v>
      </c>
      <c r="BX24" s="24">
        <f>+'Rent Roll Model'!CC87</f>
        <v>191065.2884909659</v>
      </c>
      <c r="BY24" s="24">
        <f>+'Rent Roll Model'!CD87</f>
        <v>191455.30083666882</v>
      </c>
      <c r="BZ24" s="24">
        <f>+'Rent Roll Model'!CE87</f>
        <v>191846.11000191636</v>
      </c>
      <c r="CA24" s="24">
        <f>+'Rent Roll Model'!CF87</f>
        <v>192237.71762293723</v>
      </c>
      <c r="CB24" s="24">
        <f>+'Rent Roll Model'!CG87</f>
        <v>192630.12533932462</v>
      </c>
      <c r="CC24" s="24">
        <f>+'Rent Roll Model'!CH87</f>
        <v>193023.33479404118</v>
      </c>
      <c r="CD24" s="24">
        <f>+'Rent Roll Model'!CI87</f>
        <v>193417.34763342811</v>
      </c>
      <c r="CE24" s="24">
        <f>+'Rent Roll Model'!CJ87</f>
        <v>193812.16550721135</v>
      </c>
      <c r="CF24" s="24">
        <f>+'Rent Roll Model'!CK87</f>
        <v>194207.79006850801</v>
      </c>
      <c r="CG24" s="24">
        <f>+'Rent Roll Model'!CL87</f>
        <v>194604.22297383408</v>
      </c>
      <c r="CH24" s="24">
        <f>+'Rent Roll Model'!CM87</f>
        <v>195001.46588311211</v>
      </c>
      <c r="CI24" s="24">
        <f>+'Rent Roll Model'!CN87</f>
        <v>195399.52045967511</v>
      </c>
      <c r="CJ24" s="24">
        <f>+'Rent Roll Model'!CO87</f>
        <v>195798.38837027742</v>
      </c>
      <c r="CK24" s="24">
        <f>+'Rent Roll Model'!CP87</f>
        <v>196198.07128509972</v>
      </c>
      <c r="CL24" s="24">
        <f>+'Rent Roll Model'!CQ87</f>
        <v>196598.57087775599</v>
      </c>
      <c r="CM24" s="24">
        <f>+'Rent Roll Model'!CR87</f>
        <v>196999.88882530204</v>
      </c>
      <c r="CN24" s="24">
        <f>+'Rent Roll Model'!CS87</f>
        <v>197402.02680823949</v>
      </c>
      <c r="CO24" s="24">
        <f>+'Rent Roll Model'!CT87</f>
        <v>197804.98651052752</v>
      </c>
      <c r="CP24" s="24">
        <f>+'Rent Roll Model'!CU87</f>
        <v>198208.7696195851</v>
      </c>
      <c r="CQ24" s="24">
        <f>+'Rent Roll Model'!CV87</f>
        <v>198613.37782630196</v>
      </c>
      <c r="CR24" s="24">
        <f>+'Rent Roll Model'!CW87</f>
        <v>199018.81282504284</v>
      </c>
      <c r="CS24" s="24">
        <f>+'Rent Roll Model'!CX87</f>
        <v>199425.07631365772</v>
      </c>
      <c r="CT24" s="24">
        <f>+'Rent Roll Model'!CY87</f>
        <v>199832.16999348506</v>
      </c>
      <c r="CU24" s="24">
        <f>+'Rent Roll Model'!CZ87</f>
        <v>200240.09556936275</v>
      </c>
      <c r="CV24" s="24">
        <f>+'Rent Roll Model'!DA87</f>
        <v>200648.854749633</v>
      </c>
      <c r="CW24" s="24">
        <f>+'Rent Roll Model'!DB87</f>
        <v>201058.44924615088</v>
      </c>
      <c r="CX24" s="24">
        <f>+'Rent Roll Model'!DC87</f>
        <v>201468.88077428952</v>
      </c>
      <c r="CY24" s="24">
        <f>+'Rent Roll Model'!DD87</f>
        <v>201880.15105295111</v>
      </c>
      <c r="CZ24" s="24">
        <f>+'Rent Roll Model'!DE87</f>
        <v>202292.26180456873</v>
      </c>
      <c r="DA24" s="24">
        <f>+'Rent Roll Model'!DF87</f>
        <v>202705.21475511929</v>
      </c>
      <c r="DB24" s="24">
        <f>+'Rent Roll Model'!DG87</f>
        <v>203119.01163412671</v>
      </c>
      <c r="DC24" s="24">
        <f>+'Rent Roll Model'!DH87</f>
        <v>203533.65417467197</v>
      </c>
      <c r="DD24" s="24">
        <f>+'Rent Roll Model'!DI87</f>
        <v>203949.1441133976</v>
      </c>
      <c r="DE24" s="24">
        <f>+'Rent Roll Model'!DJ87</f>
        <v>204365.48319051706</v>
      </c>
      <c r="DF24" s="24">
        <f>+'Rent Roll Model'!DK87</f>
        <v>204782.67314982333</v>
      </c>
      <c r="DG24" s="24">
        <f>+'Rent Roll Model'!DL87</f>
        <v>205200.71573869171</v>
      </c>
      <c r="DH24" s="24">
        <f>+'Rent Roll Model'!DM87</f>
        <v>205619.61270809185</v>
      </c>
      <c r="DI24" s="24">
        <f>+'Rent Roll Model'!DN87</f>
        <v>206039.36581259349</v>
      </c>
      <c r="DJ24" s="24">
        <f>+'Rent Roll Model'!DO87</f>
        <v>206459.97681037252</v>
      </c>
      <c r="DK24" s="24">
        <f>+'Rent Roll Model'!DP87</f>
        <v>206881.4474632208</v>
      </c>
      <c r="DL24" s="24">
        <f>+'Rent Roll Model'!DQ87</f>
        <v>207303.77953655008</v>
      </c>
      <c r="DM24" s="24">
        <f>+'Rent Roll Model'!DR87</f>
        <v>207726.97479940558</v>
      </c>
      <c r="DN24" s="24">
        <f>+'Rent Roll Model'!DS87</f>
        <v>208151.03502446579</v>
      </c>
      <c r="DO24" s="24">
        <f>+'Rent Roll Model'!DT87</f>
        <v>208575.96198805585</v>
      </c>
      <c r="DP24" s="24">
        <f>+'Rent Roll Model'!DU87</f>
        <v>209001.7574701526</v>
      </c>
      <c r="DQ24" s="24">
        <f>+'Rent Roll Model'!DV87</f>
        <v>209428.42325439252</v>
      </c>
      <c r="DR24" s="24">
        <f>+'Rent Roll Model'!DW87</f>
        <v>209855.96112807974</v>
      </c>
      <c r="DS24" s="24">
        <f>+'Rent Roll Model'!DX87</f>
        <v>210284.37288219086</v>
      </c>
      <c r="DT24" s="24">
        <f>+'Rent Roll Model'!DY87</f>
        <v>210713.66031138689</v>
      </c>
      <c r="DU24" s="24">
        <f>+'Rent Roll Model'!DZ87</f>
        <v>211143.82521401881</v>
      </c>
      <c r="DV24" s="24">
        <f>+'Rent Roll Model'!EA87</f>
        <v>211574.86939213332</v>
      </c>
      <c r="DW24" s="24">
        <f>+'Rent Roll Model'!EB87</f>
        <v>212006.79465148278</v>
      </c>
      <c r="DX24" s="24">
        <f>+'Rent Roll Model'!EC87</f>
        <v>212439.60280153295</v>
      </c>
      <c r="DY24" s="24">
        <f>+'Rent Roll Model'!ED87</f>
        <v>212873.29565546947</v>
      </c>
      <c r="DZ24" s="24">
        <f>+'Rent Roll Model'!EE87</f>
        <v>213307.87503020436</v>
      </c>
      <c r="EA24" s="24">
        <f>+'Rent Roll Model'!EF87</f>
        <v>213743.34274638764</v>
      </c>
      <c r="EB24" s="24">
        <f>+'Rent Roll Model'!EG87</f>
        <v>214179.70062841114</v>
      </c>
      <c r="EC24" s="24">
        <f>+'Rent Roll Model'!EH87</f>
        <v>214616.95050441875</v>
      </c>
      <c r="ED24" s="24">
        <f>+'Rent Roll Model'!EI87</f>
        <v>215055.09420631037</v>
      </c>
      <c r="EE24" s="24">
        <f>+'Rent Roll Model'!EJ87</f>
        <v>215494.13356975609</v>
      </c>
      <c r="EF24" s="24">
        <f>+'Rent Roll Model'!EK87</f>
        <v>215934.07043419676</v>
      </c>
    </row>
    <row r="25" spans="2:136" x14ac:dyDescent="0.45">
      <c r="B25" s="1" t="str">
        <f>E4&amp;" Income"</f>
        <v>Parking Income</v>
      </c>
      <c r="E25" s="24">
        <f>IF(E$15&lt;Assumptions!$D127,0,$F4*E$16*E$10*$G4)</f>
        <v>0</v>
      </c>
      <c r="F25" s="24">
        <f>IF(F$15&lt;Assumptions!$D127,0,$F4*F$16*F$10*$G4)</f>
        <v>0</v>
      </c>
      <c r="G25" s="24">
        <f>IF(G$15&lt;Assumptions!$D127,0,$F4*G$16*G$10*$G4)</f>
        <v>0</v>
      </c>
      <c r="H25" s="24">
        <f>IF(H$15&lt;Assumptions!$D127,0,$F4*H$16*H$10*$G4)</f>
        <v>0</v>
      </c>
      <c r="I25" s="24">
        <f>IF(I$15&lt;Assumptions!$D127,0,$F4*I$16*I$10*$G4)</f>
        <v>0</v>
      </c>
      <c r="J25" s="24">
        <f>IF(J$15&lt;Assumptions!$D127,0,$F4*J$16*J$10*$G4)</f>
        <v>0</v>
      </c>
      <c r="K25" s="24">
        <f>IF(K$15&lt;Assumptions!$D127,0,$F4*K$16*K$10*$G4)</f>
        <v>0</v>
      </c>
      <c r="L25" s="24">
        <f>IF(L$15&lt;Assumptions!$D127,0,$F4*L$16*L$10*$G4)</f>
        <v>0</v>
      </c>
      <c r="M25" s="24">
        <f>IF(M$15&lt;Assumptions!$D127,0,$F4*M$16*M$10*$G4)</f>
        <v>0</v>
      </c>
      <c r="N25" s="24">
        <f>IF(N$15&lt;Assumptions!$D127,0,$F4*N$16*N$10*$G4)</f>
        <v>0</v>
      </c>
      <c r="O25" s="24">
        <f>IF(O$15&lt;Assumptions!$D127,0,$F4*O$16*O$10*$G4)</f>
        <v>0</v>
      </c>
      <c r="P25" s="24">
        <f>IF(P$15&lt;Assumptions!$D127,0,$F4*P$16*P$10*$G4)</f>
        <v>4870.1050679345699</v>
      </c>
      <c r="Q25" s="24">
        <f>IF(Q$15&lt;Assumptions!$D127,0,$F4*Q$16*Q$10*$G4)</f>
        <v>4951.0311919490059</v>
      </c>
      <c r="R25" s="24">
        <f>IF(R$15&lt;Assumptions!$D127,0,$F4*R$16*R$10*$G4)</f>
        <v>5032.2135416405226</v>
      </c>
      <c r="S25" s="24">
        <f>IF(S$15&lt;Assumptions!$D127,0,$F4*S$16*S$10*$G4)</f>
        <v>5113.6527462999229</v>
      </c>
      <c r="T25" s="24">
        <f>IF(T$15&lt;Assumptions!$D127,0,$F4*T$16*T$10*$G4)</f>
        <v>5122.1755008770897</v>
      </c>
      <c r="U25" s="24">
        <f>IF(U$15&lt;Assumptions!$D127,0,$F4*U$16*U$10*$G4)</f>
        <v>5057.416567758858</v>
      </c>
      <c r="V25" s="24">
        <f>IF(V$15&lt;Assumptions!$D127,0,$F4*V$16*V$10*$G4)</f>
        <v>4992.4275432649529</v>
      </c>
      <c r="W25" s="24">
        <f>IF(W$15&lt;Assumptions!$D127,0,$F4*W$16*W$10*$G4)</f>
        <v>4927.2078403100459</v>
      </c>
      <c r="X25" s="24">
        <f>IF(X$15&lt;Assumptions!$D127,0,$F4*X$16*X$10*$G4)</f>
        <v>4861.7568704910018</v>
      </c>
      <c r="Y25" s="24">
        <f>IF(Y$15&lt;Assumptions!$D127,0,$F4*Y$16*Y$10*$G4)</f>
        <v>4943.6455531328584</v>
      </c>
      <c r="Z25" s="24">
        <f>IF(Z$15&lt;Assumptions!$D127,0,$F4*Z$16*Z$10*$G4)</f>
        <v>5099.7024239519033</v>
      </c>
      <c r="AA25" s="24">
        <f>IF(AA$15&lt;Assumptions!$D127,0,$F4*AA$16*AA$10*$G4)</f>
        <v>5182.2338399917053</v>
      </c>
      <c r="AB25" s="24">
        <f>IF(AB$15&lt;Assumptions!$D127,0,$F4*AB$16*AB$10*$G4)</f>
        <v>5190.8708963916924</v>
      </c>
      <c r="AC25" s="24">
        <f>IF(AC$15&lt;Assumptions!$D127,0,$F4*AC$16*AC$10*$G4)</f>
        <v>5125.2434572015973</v>
      </c>
      <c r="AD25" s="24">
        <f>IF(AD$15&lt;Assumptions!$D127,0,$F4*AD$16*AD$10*$G4)</f>
        <v>4984.9801519598241</v>
      </c>
      <c r="AE25" s="24">
        <f>IF(AE$15&lt;Assumptions!$D127,0,$F4*AE$16*AE$10*$G4)</f>
        <v>4993.2884522130907</v>
      </c>
      <c r="AF25" s="24">
        <f>IF(AF$15&lt;Assumptions!$D127,0,$F4*AF$16*AF$10*$G4)</f>
        <v>5225.5633130498691</v>
      </c>
      <c r="AG25" s="24">
        <f>IF(AG$15&lt;Assumptions!$D127,0,$F4*AG$16*AG$10*$G4)</f>
        <v>5458.5985531770702</v>
      </c>
      <c r="AH25" s="24">
        <f>IF(AH$15&lt;Assumptions!$D127,0,$F4*AH$16*AH$10*$G4)</f>
        <v>5692.3960619843801</v>
      </c>
      <c r="AI25" s="24">
        <f>IF(AI$15&lt;Assumptions!$D127,0,$F4*AI$16*AI$10*$G4)</f>
        <v>5851.9329516163116</v>
      </c>
      <c r="AJ25" s="24">
        <f>IF(AJ$15&lt;Assumptions!$D127,0,$F4*AJ$16*AJ$10*$G4)</f>
        <v>5861.6861732023399</v>
      </c>
      <c r="AK25" s="24">
        <f>IF(AK$15&lt;Assumptions!$D127,0,$F4*AK$16*AK$10*$G4)</f>
        <v>5871.4556501576781</v>
      </c>
      <c r="AL25" s="24">
        <f>IF(AL$15&lt;Assumptions!$D127,0,$F4*AL$16*AL$10*$G4)</f>
        <v>5881.2414095746071</v>
      </c>
      <c r="AM25" s="24">
        <f>IF(AM$15&lt;Assumptions!$D127,0,$F4*AM$16*AM$10*$G4)</f>
        <v>5891.0434785905654</v>
      </c>
      <c r="AN25" s="24">
        <f>IF(AN$15&lt;Assumptions!$D127,0,$F4*AN$16*AN$10*$G4)</f>
        <v>5900.8618843882159</v>
      </c>
      <c r="AO25" s="24">
        <f>IF(AO$15&lt;Assumptions!$D127,0,$F4*AO$16*AO$10*$G4)</f>
        <v>5910.6966541955308</v>
      </c>
      <c r="AP25" s="24">
        <f>IF(AP$15&lt;Assumptions!$D127,0,$F4*AP$16*AP$10*$G4)</f>
        <v>5920.5478152858559</v>
      </c>
      <c r="AQ25" s="24">
        <f>IF(AQ$15&lt;Assumptions!$D127,0,$F4*AQ$16*AQ$10*$G4)</f>
        <v>5930.4153949780002</v>
      </c>
      <c r="AR25" s="24">
        <f>IF(AR$15&lt;Assumptions!$D127,0,$F4*AR$16*AR$10*$G4)</f>
        <v>5940.2994206362982</v>
      </c>
      <c r="AS25" s="24">
        <f>IF(AS$15&lt;Assumptions!$D127,0,$F4*AS$16*AS$10*$G4)</f>
        <v>5950.1999196706902</v>
      </c>
      <c r="AT25" s="24">
        <f>IF(AT$15&lt;Assumptions!$D127,0,$F4*AT$16*AT$10*$G4)</f>
        <v>5960.1169195368093</v>
      </c>
      <c r="AU25" s="24">
        <f>IF(AU$15&lt;Assumptions!$D127,0,$F4*AU$16*AU$10*$G4)</f>
        <v>5970.0504477360382</v>
      </c>
      <c r="AV25" s="24">
        <f>IF(AV$15&lt;Assumptions!$D127,0,$F4*AV$16*AV$10*$G4)</f>
        <v>5980.0005318155972</v>
      </c>
      <c r="AW25" s="24">
        <f>IF(AW$15&lt;Assumptions!$D127,0,$F4*AW$16*AW$10*$G4)</f>
        <v>5989.9671993686252</v>
      </c>
      <c r="AX25" s="24">
        <f>IF(AX$15&lt;Assumptions!$D127,0,$F4*AX$16*AX$10*$G4)</f>
        <v>5999.9504780342395</v>
      </c>
      <c r="AY25" s="24">
        <f>IF(AY$15&lt;Assumptions!$D127,0,$F4*AY$16*AY$10*$G4)</f>
        <v>6009.9503954976308</v>
      </c>
      <c r="AZ25" s="24">
        <f>IF(AZ$15&lt;Assumptions!$D127,0,$F4*AZ$16*AZ$10*$G4)</f>
        <v>6019.9669794901274</v>
      </c>
      <c r="BA25" s="24">
        <f>IF(BA$15&lt;Assumptions!$D127,0,$F4*BA$16*BA$10*$G4)</f>
        <v>6030.0002577892783</v>
      </c>
      <c r="BB25" s="24">
        <f>IF(BB$15&lt;Assumptions!$D127,0,$F4*BB$16*BB$10*$G4)</f>
        <v>6040.0502582189265</v>
      </c>
      <c r="BC25" s="24">
        <f>IF(BC$15&lt;Assumptions!$D127,0,$F4*BC$16*BC$10*$G4)</f>
        <v>6050.117008649293</v>
      </c>
      <c r="BD25" s="24">
        <f>IF(BD$15&lt;Assumptions!$D127,0,$F4*BD$16*BD$10*$G4)</f>
        <v>6060.2005369970411</v>
      </c>
      <c r="BE25" s="24">
        <f>IF(BE$15&lt;Assumptions!$D127,0,$F4*BE$16*BE$10*$G4)</f>
        <v>6070.3008712253704</v>
      </c>
      <c r="BF25" s="24">
        <f>IF(BF$15&lt;Assumptions!$D127,0,$F4*BF$16*BF$10*$G4)</f>
        <v>6080.4180393440802</v>
      </c>
      <c r="BG25" s="24">
        <f>IF(BG$15&lt;Assumptions!$D127,0,$F4*BG$16*BG$10*$G4)</f>
        <v>6090.5520694096531</v>
      </c>
      <c r="BH25" s="24">
        <f>IF(BH$15&lt;Assumptions!$D127,0,$F4*BH$16*BH$10*$G4)</f>
        <v>6100.7029895253372</v>
      </c>
      <c r="BI25" s="24">
        <f>IF(BI$15&lt;Assumptions!$D127,0,$F4*BI$16*BI$10*$G4)</f>
        <v>6110.8708278412123</v>
      </c>
      <c r="BJ25" s="24">
        <f>IF(BJ$15&lt;Assumptions!$D127,0,$F4*BJ$16*BJ$10*$G4)</f>
        <v>6121.0556125542817</v>
      </c>
      <c r="BK25" s="24">
        <f>IF(BK$15&lt;Assumptions!$D127,0,$F4*BK$16*BK$10*$G4)</f>
        <v>6131.2573719085394</v>
      </c>
      <c r="BL25" s="24">
        <f>IF(BL$15&lt;Assumptions!$D127,0,$F4*BL$16*BL$10*$G4)</f>
        <v>6141.4761341950534</v>
      </c>
      <c r="BM25" s="24">
        <f>IF(BM$15&lt;Assumptions!$D127,0,$F4*BM$16*BM$10*$G4)</f>
        <v>6151.711927752046</v>
      </c>
      <c r="BN25" s="24">
        <f>IF(BN$15&lt;Assumptions!$D127,0,$F4*BN$16*BN$10*$G4)</f>
        <v>6161.9647809649668</v>
      </c>
      <c r="BO25" s="24">
        <f>IF(BO$15&lt;Assumptions!$D127,0,$F4*BO$16*BO$10*$G4)</f>
        <v>6172.2347222665758</v>
      </c>
      <c r="BP25" s="24">
        <f>IF(BP$15&lt;Assumptions!$D127,0,$F4*BP$16*BP$10*$G4)</f>
        <v>6182.52178013702</v>
      </c>
      <c r="BQ25" s="24">
        <f>IF(BQ$15&lt;Assumptions!$D127,0,$F4*BQ$16*BQ$10*$G4)</f>
        <v>6192.8259831039168</v>
      </c>
      <c r="BR25" s="24">
        <f>IF(BR$15&lt;Assumptions!$D127,0,$F4*BR$16*BR$10*$G4)</f>
        <v>6203.1473597424219</v>
      </c>
      <c r="BS25" s="24">
        <f>IF(BS$15&lt;Assumptions!$D127,0,$F4*BS$16*BS$10*$G4)</f>
        <v>6213.4859386753269</v>
      </c>
      <c r="BT25" s="24">
        <f>IF(BT$15&lt;Assumptions!$D127,0,$F4*BT$16*BT$10*$G4)</f>
        <v>6223.8417485731188</v>
      </c>
      <c r="BU25" s="24">
        <f>IF(BU$15&lt;Assumptions!$D127,0,$F4*BU$16*BU$10*$G4)</f>
        <v>6234.2148181540742</v>
      </c>
      <c r="BV25" s="24">
        <f>IF(BV$15&lt;Assumptions!$D127,0,$F4*BV$16*BV$10*$G4)</f>
        <v>6244.6051761843319</v>
      </c>
      <c r="BW25" s="24">
        <f>IF(BW$15&lt;Assumptions!$D127,0,$F4*BW$16*BW$10*$G4)</f>
        <v>6255.0128514779726</v>
      </c>
      <c r="BX25" s="24">
        <f>IF(BX$15&lt;Assumptions!$D127,0,$F4*BX$16*BX$10*$G4)</f>
        <v>6265.4378728971042</v>
      </c>
      <c r="BY25" s="24">
        <f>IF(BY$15&lt;Assumptions!$D127,0,$F4*BY$16*BY$10*$G4)</f>
        <v>6275.8802693519319</v>
      </c>
      <c r="BZ25" s="24">
        <f>IF(BZ$15&lt;Assumptions!$D127,0,$F4*BZ$16*BZ$10*$G4)</f>
        <v>6286.3400698008518</v>
      </c>
      <c r="CA25" s="24">
        <f>IF(CA$15&lt;Assumptions!$D127,0,$F4*CA$16*CA$10*$G4)</f>
        <v>6296.817303250521</v>
      </c>
      <c r="CB25" s="24">
        <f>IF(CB$15&lt;Assumptions!$D127,0,$F4*CB$16*CB$10*$G4)</f>
        <v>6307.3119987559385</v>
      </c>
      <c r="CC25" s="24">
        <f>IF(CC$15&lt;Assumptions!$D127,0,$F4*CC$16*CC$10*$G4)</f>
        <v>6317.8241854205326</v>
      </c>
      <c r="CD25" s="24">
        <f>IF(CD$15&lt;Assumptions!$D127,0,$F4*CD$16*CD$10*$G4)</f>
        <v>6328.3538923962342</v>
      </c>
      <c r="CE25" s="24">
        <f>IF(CE$15&lt;Assumptions!$D127,0,$F4*CE$16*CE$10*$G4)</f>
        <v>6338.9011488835613</v>
      </c>
      <c r="CF25" s="24">
        <f>IF(CF$15&lt;Assumptions!$D127,0,$F4*CF$16*CF$10*$G4)</f>
        <v>6349.4659841317016</v>
      </c>
      <c r="CG25" s="24">
        <f>IF(CG$15&lt;Assumptions!$D127,0,$F4*CG$16*CG$10*$G4)</f>
        <v>6360.0484274385872</v>
      </c>
      <c r="CH25" s="24">
        <f>IF(CH$15&lt;Assumptions!$D127,0,$F4*CH$16*CH$10*$G4)</f>
        <v>6370.6485081509854</v>
      </c>
      <c r="CI25" s="24">
        <f>IF(CI$15&lt;Assumptions!$D127,0,$F4*CI$16*CI$10*$G4)</f>
        <v>6381.2662556645719</v>
      </c>
      <c r="CJ25" s="24">
        <f>IF(CJ$15&lt;Assumptions!$D127,0,$F4*CJ$16*CJ$10*$G4)</f>
        <v>6391.9016994240137</v>
      </c>
      <c r="CK25" s="24">
        <f>IF(CK$15&lt;Assumptions!$D127,0,$F4*CK$16*CK$10*$G4)</f>
        <v>6402.5548689230545</v>
      </c>
      <c r="CL25" s="24">
        <f>IF(CL$15&lt;Assumptions!$D127,0,$F4*CL$16*CL$10*$G4)</f>
        <v>6413.2257937045915</v>
      </c>
      <c r="CM25" s="24">
        <f>IF(CM$15&lt;Assumptions!$D127,0,$F4*CM$16*CM$10*$G4)</f>
        <v>6423.9145033607683</v>
      </c>
      <c r="CN25" s="24">
        <f>IF(CN$15&lt;Assumptions!$D127,0,$F4*CN$16*CN$10*$G4)</f>
        <v>6434.6210275330368</v>
      </c>
      <c r="CO25" s="24">
        <f>IF(CO$15&lt;Assumptions!$D127,0,$F4*CO$16*CO$10*$G4)</f>
        <v>6445.3453959122571</v>
      </c>
      <c r="CP25" s="24">
        <f>IF(CP$15&lt;Assumptions!$D127,0,$F4*CP$16*CP$10*$G4)</f>
        <v>6456.0876382387778</v>
      </c>
      <c r="CQ25" s="24">
        <f>IF(CQ$15&lt;Assumptions!$D127,0,$F4*CQ$16*CQ$10*$G4)</f>
        <v>6466.8477843025103</v>
      </c>
      <c r="CR25" s="24">
        <f>IF(CR$15&lt;Assumptions!$D127,0,$F4*CR$16*CR$10*$G4)</f>
        <v>6477.6258639430152</v>
      </c>
      <c r="CS25" s="24">
        <f>IF(CS$15&lt;Assumptions!$D127,0,$F4*CS$16*CS$10*$G4)</f>
        <v>6488.4219070495874</v>
      </c>
      <c r="CT25" s="24">
        <f>IF(CT$15&lt;Assumptions!$D127,0,$F4*CT$16*CT$10*$G4)</f>
        <v>6499.2359435613362</v>
      </c>
      <c r="CU25" s="24">
        <f>IF(CU$15&lt;Assumptions!$D127,0,$F4*CU$16*CU$10*$G4)</f>
        <v>6510.0680034672723</v>
      </c>
      <c r="CV25" s="24">
        <f>IF(CV$15&lt;Assumptions!$D127,0,$F4*CV$16*CV$10*$G4)</f>
        <v>6520.9181168063869</v>
      </c>
      <c r="CW25" s="24">
        <f>IF(CW$15&lt;Assumptions!$D127,0,$F4*CW$16*CW$10*$G4)</f>
        <v>6531.7863136677306</v>
      </c>
      <c r="CX25" s="24">
        <f>IF(CX$15&lt;Assumptions!$D127,0,$F4*CX$16*CX$10*$G4)</f>
        <v>6542.6726241905099</v>
      </c>
      <c r="CY25" s="24">
        <f>IF(CY$15&lt;Assumptions!$D127,0,$F4*CY$16*CY$10*$G4)</f>
        <v>6553.5770785641616</v>
      </c>
      <c r="CZ25" s="24">
        <f>IF(CZ$15&lt;Assumptions!$D127,0,$F4*CZ$16*CZ$10*$G4)</f>
        <v>6564.4997070284362</v>
      </c>
      <c r="DA25" s="24">
        <f>IF(DA$15&lt;Assumptions!$D127,0,$F4*DA$16*DA$10*$G4)</f>
        <v>6575.4405398734825</v>
      </c>
      <c r="DB25" s="24">
        <f>IF(DB$15&lt;Assumptions!$D127,0,$F4*DB$16*DB$10*$G4)</f>
        <v>6586.3996074399383</v>
      </c>
      <c r="DC25" s="24">
        <f>IF(DC$15&lt;Assumptions!$D127,0,$F4*DC$16*DC$10*$G4)</f>
        <v>6597.3769401190066</v>
      </c>
      <c r="DD25" s="24">
        <f>IF(DD$15&lt;Assumptions!$D127,0,$F4*DD$16*DD$10*$G4)</f>
        <v>6608.372568352539</v>
      </c>
      <c r="DE25" s="24">
        <f>IF(DE$15&lt;Assumptions!$D127,0,$F4*DE$16*DE$10*$G4)</f>
        <v>6619.3865226331254</v>
      </c>
      <c r="DF25" s="24">
        <f>IF(DF$15&lt;Assumptions!$D127,0,$F4*DF$16*DF$10*$G4)</f>
        <v>6630.4188335041808</v>
      </c>
      <c r="DG25" s="24">
        <f>IF(DG$15&lt;Assumptions!$D127,0,$F4*DG$16*DG$10*$G4)</f>
        <v>6641.4695315600238</v>
      </c>
      <c r="DH25" s="24">
        <f>IF(DH$15&lt;Assumptions!$D127,0,$F4*DH$16*DH$10*$G4)</f>
        <v>6652.5386474459565</v>
      </c>
      <c r="DI25" s="24">
        <f>IF(DI$15&lt;Assumptions!$D127,0,$F4*DI$16*DI$10*$G4)</f>
        <v>6663.6262118583672</v>
      </c>
      <c r="DJ25" s="24">
        <f>IF(DJ$15&lt;Assumptions!$D127,0,$F4*DJ$16*DJ$10*$G4)</f>
        <v>6674.7322555447981</v>
      </c>
      <c r="DK25" s="24">
        <f>IF(DK$15&lt;Assumptions!$D127,0,$F4*DK$16*DK$10*$G4)</f>
        <v>6685.8568093040403</v>
      </c>
      <c r="DL25" s="24">
        <f>IF(DL$15&lt;Assumptions!$D127,0,$F4*DL$16*DL$10*$G4)</f>
        <v>6696.9999039862141</v>
      </c>
      <c r="DM25" s="24">
        <f>IF(DM$15&lt;Assumptions!$D127,0,$F4*DM$16*DM$10*$G4)</f>
        <v>6708.1615704928581</v>
      </c>
      <c r="DN25" s="24">
        <f>IF(DN$15&lt;Assumptions!$D127,0,$F4*DN$16*DN$10*$G4)</f>
        <v>6719.3418397770129</v>
      </c>
      <c r="DO25" s="24">
        <f>IF(DO$15&lt;Assumptions!$D127,0,$F4*DO$16*DO$10*$G4)</f>
        <v>6730.5407428433091</v>
      </c>
      <c r="DP25" s="24">
        <f>IF(DP$15&lt;Assumptions!$D127,0,$F4*DP$16*DP$10*$G4)</f>
        <v>6741.7583107480486</v>
      </c>
      <c r="DQ25" s="24">
        <f>IF(DQ$15&lt;Assumptions!$D127,0,$F4*DQ$16*DQ$10*$G4)</f>
        <v>6752.9945745992964</v>
      </c>
      <c r="DR25" s="24">
        <f>IF(DR$15&lt;Assumptions!$D127,0,$F4*DR$16*DR$10*$G4)</f>
        <v>6764.249565556961</v>
      </c>
      <c r="DS25" s="24">
        <f>IF(DS$15&lt;Assumptions!$D127,0,$F4*DS$16*DS$10*$G4)</f>
        <v>6775.5233148328898</v>
      </c>
      <c r="DT25" s="24">
        <f>IF(DT$15&lt;Assumptions!$D127,0,$F4*DT$16*DT$10*$G4)</f>
        <v>6786.8158536909459</v>
      </c>
      <c r="DU25" s="24">
        <f>IF(DU$15&lt;Assumptions!$D127,0,$F4*DU$16*DU$10*$G4)</f>
        <v>6798.1272134470983</v>
      </c>
      <c r="DV25" s="24">
        <f>IF(DV$15&lt;Assumptions!$D127,0,$F4*DV$16*DV$10*$G4)</f>
        <v>6809.4574254695099</v>
      </c>
      <c r="DW25" s="24">
        <f>IF(DW$15&lt;Assumptions!$D127,0,$F4*DW$16*DW$10*$G4)</f>
        <v>6820.8065211786261</v>
      </c>
      <c r="DX25" s="24">
        <f>IF(DX$15&lt;Assumptions!$D127,0,$F4*DX$16*DX$10*$G4)</f>
        <v>6832.1745320472564</v>
      </c>
      <c r="DY25" s="24">
        <f>IF(DY$15&lt;Assumptions!$D127,0,$F4*DY$16*DY$10*$G4)</f>
        <v>6843.5614896006709</v>
      </c>
      <c r="DZ25" s="24">
        <f>IF(DZ$15&lt;Assumptions!$D127,0,$F4*DZ$16*DZ$10*$G4)</f>
        <v>6854.9674254166712</v>
      </c>
      <c r="EA25" s="24">
        <f>IF(EA$15&lt;Assumptions!$D127,0,$F4*EA$16*EA$10*$G4)</f>
        <v>6866.3923711257012</v>
      </c>
      <c r="EB25" s="24">
        <f>IF(EB$15&lt;Assumptions!$D127,0,$F4*EB$16*EB$10*$G4)</f>
        <v>6877.8363584109102</v>
      </c>
      <c r="EC25" s="24">
        <f>IF(EC$15&lt;Assumptions!$D127,0,$F4*EC$16*EC$10*$G4)</f>
        <v>6889.2994190082627</v>
      </c>
      <c r="ED25" s="24">
        <f>IF(ED$15&lt;Assumptions!$D127,0,$F4*ED$16*ED$10*$G4)</f>
        <v>6900.7815847066095</v>
      </c>
      <c r="EE25" s="24">
        <f>IF(EE$15&lt;Assumptions!$D127,0,$F4*EE$16*EE$10*$G4)</f>
        <v>6912.2828873477874</v>
      </c>
      <c r="EF25" s="24">
        <f>IF(EF$15&lt;Assumptions!$D127,0,$F4*EF$16*EF$10*$G4)</f>
        <v>6923.8033588267026</v>
      </c>
    </row>
    <row r="26" spans="2:136" x14ac:dyDescent="0.45">
      <c r="B26" s="1" t="str">
        <f>E5&amp;" Income"</f>
        <v>Storage Income</v>
      </c>
      <c r="E26" s="24">
        <f>IF(E$15&lt;Assumptions!$D128,0,$F5*E$16*E$10*$G5)</f>
        <v>0</v>
      </c>
      <c r="F26" s="24">
        <f>IF(F$15&lt;Assumptions!$D128,0,$F5*F$16*F$10*$G5)</f>
        <v>0</v>
      </c>
      <c r="G26" s="24">
        <f>IF(G$15&lt;Assumptions!$D128,0,$F5*G$16*G$10*$G5)</f>
        <v>0</v>
      </c>
      <c r="H26" s="24">
        <f>IF(H$15&lt;Assumptions!$D128,0,$F5*H$16*H$10*$G5)</f>
        <v>0</v>
      </c>
      <c r="I26" s="24">
        <f>IF(I$15&lt;Assumptions!$D128,0,$F5*I$16*I$10*$G5)</f>
        <v>0</v>
      </c>
      <c r="J26" s="24">
        <f>IF(J$15&lt;Assumptions!$D128,0,$F5*J$16*J$10*$G5)</f>
        <v>0</v>
      </c>
      <c r="K26" s="24">
        <f>IF(K$15&lt;Assumptions!$D128,0,$F5*K$16*K$10*$G5)</f>
        <v>0</v>
      </c>
      <c r="L26" s="24">
        <f>IF(L$15&lt;Assumptions!$D128,0,$F5*L$16*L$10*$G5)</f>
        <v>0</v>
      </c>
      <c r="M26" s="24">
        <f>IF(M$15&lt;Assumptions!$D128,0,$F5*M$16*M$10*$G5)</f>
        <v>0</v>
      </c>
      <c r="N26" s="24">
        <f>IF(N$15&lt;Assumptions!$D128,0,$F5*N$16*N$10*$G5)</f>
        <v>0</v>
      </c>
      <c r="O26" s="24">
        <f>IF(O$15&lt;Assumptions!$D128,0,$F5*O$16*O$10*$G5)</f>
        <v>0</v>
      </c>
      <c r="P26" s="24">
        <f>IF(P$15&lt;Assumptions!$D128,0,$F5*P$16*P$10*$G5)</f>
        <v>2597.3893695651041</v>
      </c>
      <c r="Q26" s="24">
        <f>IF(Q$15&lt;Assumptions!$D128,0,$F5*Q$16*Q$10*$G5)</f>
        <v>2640.5499690394695</v>
      </c>
      <c r="R26" s="24">
        <f>IF(R$15&lt;Assumptions!$D128,0,$F5*R$16*R$10*$G5)</f>
        <v>2683.8472222082787</v>
      </c>
      <c r="S26" s="24">
        <f>IF(S$15&lt;Assumptions!$D128,0,$F5*S$16*S$10*$G5)</f>
        <v>2727.281464693292</v>
      </c>
      <c r="T26" s="24">
        <f>IF(T$15&lt;Assumptions!$D128,0,$F5*T$16*T$10*$G5)</f>
        <v>2731.826933801115</v>
      </c>
      <c r="U26" s="24">
        <f>IF(U$15&lt;Assumptions!$D128,0,$F5*U$16*U$10*$G5)</f>
        <v>2697.2888361380578</v>
      </c>
      <c r="V26" s="24">
        <f>IF(V$15&lt;Assumptions!$D128,0,$F5*V$16*V$10*$G5)</f>
        <v>2662.6280230746415</v>
      </c>
      <c r="W26" s="24">
        <f>IF(W$15&lt;Assumptions!$D128,0,$F5*W$16*W$10*$G5)</f>
        <v>2627.8441814986913</v>
      </c>
      <c r="X26" s="24">
        <f>IF(X$15&lt;Assumptions!$D128,0,$F5*X$16*X$10*$G5)</f>
        <v>2592.9369975952009</v>
      </c>
      <c r="Y26" s="24">
        <f>IF(Y$15&lt;Assumptions!$D128,0,$F5*Y$16*Y$10*$G5)</f>
        <v>2636.6109616708582</v>
      </c>
      <c r="Z26" s="24">
        <f>IF(Z$15&lt;Assumptions!$D128,0,$F5*Z$16*Z$10*$G5)</f>
        <v>2719.8412927743484</v>
      </c>
      <c r="AA26" s="24">
        <f>IF(AA$15&lt;Assumptions!$D128,0,$F5*AA$16*AA$10*$G5)</f>
        <v>2763.8580479955763</v>
      </c>
      <c r="AB26" s="24">
        <f>IF(AB$15&lt;Assumptions!$D128,0,$F5*AB$16*AB$10*$G5)</f>
        <v>2768.4644780755693</v>
      </c>
      <c r="AC26" s="24">
        <f>IF(AC$15&lt;Assumptions!$D128,0,$F5*AC$16*AC$10*$G5)</f>
        <v>2733.4631771741847</v>
      </c>
      <c r="AD26" s="24">
        <f>IF(AD$15&lt;Assumptions!$D128,0,$F5*AD$16*AD$10*$G5)</f>
        <v>2658.6560810452393</v>
      </c>
      <c r="AE26" s="24">
        <f>IF(AE$15&lt;Assumptions!$D128,0,$F5*AE$16*AE$10*$G5)</f>
        <v>2663.0871745136483</v>
      </c>
      <c r="AF26" s="24">
        <f>IF(AF$15&lt;Assumptions!$D128,0,$F5*AF$16*AF$10*$G5)</f>
        <v>2786.9671002932637</v>
      </c>
      <c r="AG26" s="24">
        <f>IF(AG$15&lt;Assumptions!$D128,0,$F5*AG$16*AG$10*$G5)</f>
        <v>2911.2525616944372</v>
      </c>
      <c r="AH26" s="24">
        <f>IF(AH$15&lt;Assumptions!$D128,0,$F5*AH$16*AH$10*$G5)</f>
        <v>3035.9445663916695</v>
      </c>
      <c r="AI26" s="24">
        <f>IF(AI$15&lt;Assumptions!$D128,0,$F5*AI$16*AI$10*$G5)</f>
        <v>3121.0309075286996</v>
      </c>
      <c r="AJ26" s="24">
        <f>IF(AJ$15&lt;Assumptions!$D128,0,$F5*AJ$16*AJ$10*$G5)</f>
        <v>3126.2326257079148</v>
      </c>
      <c r="AK26" s="24">
        <f>IF(AK$15&lt;Assumptions!$D128,0,$F5*AK$16*AK$10*$G5)</f>
        <v>3131.4430134174281</v>
      </c>
      <c r="AL26" s="24">
        <f>IF(AL$15&lt;Assumptions!$D128,0,$F5*AL$16*AL$10*$G5)</f>
        <v>3136.6620851064567</v>
      </c>
      <c r="AM26" s="24">
        <f>IF(AM$15&lt;Assumptions!$D128,0,$F5*AM$16*AM$10*$G5)</f>
        <v>3141.8898552483015</v>
      </c>
      <c r="AN26" s="24">
        <f>IF(AN$15&lt;Assumptions!$D128,0,$F5*AN$16*AN$10*$G5)</f>
        <v>3147.1263383403821</v>
      </c>
      <c r="AO26" s="24">
        <f>IF(AO$15&lt;Assumptions!$D128,0,$F5*AO$16*AO$10*$G5)</f>
        <v>3152.3715489042834</v>
      </c>
      <c r="AP26" s="24">
        <f>IF(AP$15&lt;Assumptions!$D128,0,$F5*AP$16*AP$10*$G5)</f>
        <v>3157.6255014857898</v>
      </c>
      <c r="AQ26" s="24">
        <f>IF(AQ$15&lt;Assumptions!$D128,0,$F5*AQ$16*AQ$10*$G5)</f>
        <v>3162.8882106549336</v>
      </c>
      <c r="AR26" s="24">
        <f>IF(AR$15&lt;Assumptions!$D128,0,$F5*AR$16*AR$10*$G5)</f>
        <v>3168.1596910060257</v>
      </c>
      <c r="AS26" s="24">
        <f>IF(AS$15&lt;Assumptions!$D128,0,$F5*AS$16*AS$10*$G5)</f>
        <v>3173.4399571577019</v>
      </c>
      <c r="AT26" s="24">
        <f>IF(AT$15&lt;Assumptions!$D128,0,$F5*AT$16*AT$10*$G5)</f>
        <v>3178.7290237529646</v>
      </c>
      <c r="AU26" s="24">
        <f>IF(AU$15&lt;Assumptions!$D128,0,$F5*AU$16*AU$10*$G5)</f>
        <v>3184.0269054592204</v>
      </c>
      <c r="AV26" s="24">
        <f>IF(AV$15&lt;Assumptions!$D128,0,$F5*AV$16*AV$10*$G5)</f>
        <v>3189.3336169683184</v>
      </c>
      <c r="AW26" s="24">
        <f>IF(AW$15&lt;Assumptions!$D128,0,$F5*AW$16*AW$10*$G5)</f>
        <v>3194.6491729966001</v>
      </c>
      <c r="AX26" s="24">
        <f>IF(AX$15&lt;Assumptions!$D128,0,$F5*AX$16*AX$10*$G5)</f>
        <v>3199.9735882849282</v>
      </c>
      <c r="AY26" s="24">
        <f>IF(AY$15&lt;Assumptions!$D128,0,$F5*AY$16*AY$10*$G5)</f>
        <v>3205.3068775987363</v>
      </c>
      <c r="AZ26" s="24">
        <f>IF(AZ$15&lt;Assumptions!$D128,0,$F5*AZ$16*AZ$10*$G5)</f>
        <v>3210.6490557280681</v>
      </c>
      <c r="BA26" s="24">
        <f>IF(BA$15&lt;Assumptions!$D128,0,$F5*BA$16*BA$10*$G5)</f>
        <v>3216.0001374876151</v>
      </c>
      <c r="BB26" s="24">
        <f>IF(BB$15&lt;Assumptions!$D128,0,$F5*BB$16*BB$10*$G5)</f>
        <v>3221.3601377167606</v>
      </c>
      <c r="BC26" s="24">
        <f>IF(BC$15&lt;Assumptions!$D128,0,$F5*BC$16*BC$10*$G5)</f>
        <v>3226.7290712796225</v>
      </c>
      <c r="BD26" s="24">
        <f>IF(BD$15&lt;Assumptions!$D128,0,$F5*BD$16*BD$10*$G5)</f>
        <v>3232.1069530650884</v>
      </c>
      <c r="BE26" s="24">
        <f>IF(BE$15&lt;Assumptions!$D128,0,$F5*BE$16*BE$10*$G5)</f>
        <v>3237.4937979868641</v>
      </c>
      <c r="BF26" s="24">
        <f>IF(BF$15&lt;Assumptions!$D128,0,$F5*BF$16*BF$10*$G5)</f>
        <v>3242.8896209835088</v>
      </c>
      <c r="BG26" s="24">
        <f>IF(BG$15&lt;Assumptions!$D128,0,$F5*BG$16*BG$10*$G5)</f>
        <v>3248.2944370184819</v>
      </c>
      <c r="BH26" s="24">
        <f>IF(BH$15&lt;Assumptions!$D128,0,$F5*BH$16*BH$10*$G5)</f>
        <v>3253.7082610801799</v>
      </c>
      <c r="BI26" s="24">
        <f>IF(BI$15&lt;Assumptions!$D128,0,$F5*BI$16*BI$10*$G5)</f>
        <v>3259.1311081819799</v>
      </c>
      <c r="BJ26" s="24">
        <f>IF(BJ$15&lt;Assumptions!$D128,0,$F5*BJ$16*BJ$10*$G5)</f>
        <v>3264.5629933622836</v>
      </c>
      <c r="BK26" s="24">
        <f>IF(BK$15&lt;Assumptions!$D128,0,$F5*BK$16*BK$10*$G5)</f>
        <v>3270.0039316845546</v>
      </c>
      <c r="BL26" s="24">
        <f>IF(BL$15&lt;Assumptions!$D128,0,$F5*BL$16*BL$10*$G5)</f>
        <v>3275.4539382373619</v>
      </c>
      <c r="BM26" s="24">
        <f>IF(BM$15&lt;Assumptions!$D128,0,$F5*BM$16*BM$10*$G5)</f>
        <v>3280.9130281344246</v>
      </c>
      <c r="BN26" s="24">
        <f>IF(BN$15&lt;Assumptions!$D128,0,$F5*BN$16*BN$10*$G5)</f>
        <v>3286.3812165146487</v>
      </c>
      <c r="BO26" s="24">
        <f>IF(BO$15&lt;Assumptions!$D128,0,$F5*BO$16*BO$10*$G5)</f>
        <v>3291.8585185421734</v>
      </c>
      <c r="BP26" s="24">
        <f>IF(BP$15&lt;Assumptions!$D128,0,$F5*BP$16*BP$10*$G5)</f>
        <v>3297.3449494064112</v>
      </c>
      <c r="BQ26" s="24">
        <f>IF(BQ$15&lt;Assumptions!$D128,0,$F5*BQ$16*BQ$10*$G5)</f>
        <v>3302.8405243220886</v>
      </c>
      <c r="BR26" s="24">
        <f>IF(BR$15&lt;Assumptions!$D128,0,$F5*BR$16*BR$10*$G5)</f>
        <v>3308.3452585292921</v>
      </c>
      <c r="BS26" s="24">
        <f>IF(BS$15&lt;Assumptions!$D128,0,$F5*BS$16*BS$10*$G5)</f>
        <v>3313.8591672935077</v>
      </c>
      <c r="BT26" s="24">
        <f>IF(BT$15&lt;Assumptions!$D128,0,$F5*BT$16*BT$10*$G5)</f>
        <v>3319.3822659056636</v>
      </c>
      <c r="BU26" s="24">
        <f>IF(BU$15&lt;Assumptions!$D128,0,$F5*BU$16*BU$10*$G5)</f>
        <v>3324.9145696821734</v>
      </c>
      <c r="BV26" s="24">
        <f>IF(BV$15&lt;Assumptions!$D128,0,$F5*BV$16*BV$10*$G5)</f>
        <v>3330.4560939649768</v>
      </c>
      <c r="BW26" s="24">
        <f>IF(BW$15&lt;Assumptions!$D128,0,$F5*BW$16*BW$10*$G5)</f>
        <v>3336.0068541215851</v>
      </c>
      <c r="BX26" s="24">
        <f>IF(BX$15&lt;Assumptions!$D128,0,$F5*BX$16*BX$10*$G5)</f>
        <v>3341.5668655451223</v>
      </c>
      <c r="BY26" s="24">
        <f>IF(BY$15&lt;Assumptions!$D128,0,$F5*BY$16*BY$10*$G5)</f>
        <v>3347.1361436543639</v>
      </c>
      <c r="BZ26" s="24">
        <f>IF(BZ$15&lt;Assumptions!$D128,0,$F5*BZ$16*BZ$10*$G5)</f>
        <v>3352.7147038937878</v>
      </c>
      <c r="CA26" s="24">
        <f>IF(CA$15&lt;Assumptions!$D128,0,$F5*CA$16*CA$10*$G5)</f>
        <v>3358.3025617336116</v>
      </c>
      <c r="CB26" s="24">
        <f>IF(CB$15&lt;Assumptions!$D128,0,$F5*CB$16*CB$10*$G5)</f>
        <v>3363.8997326698345</v>
      </c>
      <c r="CC26" s="24">
        <f>IF(CC$15&lt;Assumptions!$D128,0,$F5*CC$16*CC$10*$G5)</f>
        <v>3369.5062322242843</v>
      </c>
      <c r="CD26" s="24">
        <f>IF(CD$15&lt;Assumptions!$D128,0,$F5*CD$16*CD$10*$G5)</f>
        <v>3375.1220759446583</v>
      </c>
      <c r="CE26" s="24">
        <f>IF(CE$15&lt;Assumptions!$D128,0,$F5*CE$16*CE$10*$G5)</f>
        <v>3380.7472794045661</v>
      </c>
      <c r="CF26" s="24">
        <f>IF(CF$15&lt;Assumptions!$D128,0,$F5*CF$16*CF$10*$G5)</f>
        <v>3386.3818582035742</v>
      </c>
      <c r="CG26" s="24">
        <f>IF(CG$15&lt;Assumptions!$D128,0,$F5*CG$16*CG$10*$G5)</f>
        <v>3392.0258279672466</v>
      </c>
      <c r="CH26" s="24">
        <f>IF(CH$15&lt;Assumptions!$D128,0,$F5*CH$16*CH$10*$G5)</f>
        <v>3397.6792043471924</v>
      </c>
      <c r="CI26" s="24">
        <f>IF(CI$15&lt;Assumptions!$D128,0,$F5*CI$16*CI$10*$G5)</f>
        <v>3403.3420030211046</v>
      </c>
      <c r="CJ26" s="24">
        <f>IF(CJ$15&lt;Assumptions!$D128,0,$F5*CJ$16*CJ$10*$G5)</f>
        <v>3409.0142396928068</v>
      </c>
      <c r="CK26" s="24">
        <f>IF(CK$15&lt;Assumptions!$D128,0,$F5*CK$16*CK$10*$G5)</f>
        <v>3414.6959300922954</v>
      </c>
      <c r="CL26" s="24">
        <f>IF(CL$15&lt;Assumptions!$D128,0,$F5*CL$16*CL$10*$G5)</f>
        <v>3420.3870899757821</v>
      </c>
      <c r="CM26" s="24">
        <f>IF(CM$15&lt;Assumptions!$D128,0,$F5*CM$16*CM$10*$G5)</f>
        <v>3426.0877351257427</v>
      </c>
      <c r="CN26" s="24">
        <f>IF(CN$15&lt;Assumptions!$D128,0,$F5*CN$16*CN$10*$G5)</f>
        <v>3431.7978813509526</v>
      </c>
      <c r="CO26" s="24">
        <f>IF(CO$15&lt;Assumptions!$D128,0,$F5*CO$16*CO$10*$G5)</f>
        <v>3437.5175444865372</v>
      </c>
      <c r="CP26" s="24">
        <f>IF(CP$15&lt;Assumptions!$D128,0,$F5*CP$16*CP$10*$G5)</f>
        <v>3443.2467403940145</v>
      </c>
      <c r="CQ26" s="24">
        <f>IF(CQ$15&lt;Assumptions!$D128,0,$F5*CQ$16*CQ$10*$G5)</f>
        <v>3448.9854849613389</v>
      </c>
      <c r="CR26" s="24">
        <f>IF(CR$15&lt;Assumptions!$D128,0,$F5*CR$16*CR$10*$G5)</f>
        <v>3454.7337941029414</v>
      </c>
      <c r="CS26" s="24">
        <f>IF(CS$15&lt;Assumptions!$D128,0,$F5*CS$16*CS$10*$G5)</f>
        <v>3460.4916837597802</v>
      </c>
      <c r="CT26" s="24">
        <f>IF(CT$15&lt;Assumptions!$D128,0,$F5*CT$16*CT$10*$G5)</f>
        <v>3466.2591698993788</v>
      </c>
      <c r="CU26" s="24">
        <f>IF(CU$15&lt;Assumptions!$D128,0,$F5*CU$16*CU$10*$G5)</f>
        <v>3472.0362685158789</v>
      </c>
      <c r="CV26" s="24">
        <f>IF(CV$15&lt;Assumptions!$D128,0,$F5*CV$16*CV$10*$G5)</f>
        <v>3477.8229956300725</v>
      </c>
      <c r="CW26" s="24">
        <f>IF(CW$15&lt;Assumptions!$D128,0,$F5*CW$16*CW$10*$G5)</f>
        <v>3483.6193672894569</v>
      </c>
      <c r="CX26" s="24">
        <f>IF(CX$15&lt;Assumptions!$D128,0,$F5*CX$16*CX$10*$G5)</f>
        <v>3489.425399568272</v>
      </c>
      <c r="CY26" s="24">
        <f>IF(CY$15&lt;Assumptions!$D128,0,$F5*CY$16*CY$10*$G5)</f>
        <v>3495.2411085675531</v>
      </c>
      <c r="CZ26" s="24">
        <f>IF(CZ$15&lt;Assumptions!$D128,0,$F5*CZ$16*CZ$10*$G5)</f>
        <v>3501.0665104151658</v>
      </c>
      <c r="DA26" s="24">
        <f>IF(DA$15&lt;Assumptions!$D128,0,$F5*DA$16*DA$10*$G5)</f>
        <v>3506.9016212658576</v>
      </c>
      <c r="DB26" s="24">
        <f>IF(DB$15&lt;Assumptions!$D128,0,$F5*DB$16*DB$10*$G5)</f>
        <v>3512.7464573013008</v>
      </c>
      <c r="DC26" s="24">
        <f>IF(DC$15&lt;Assumptions!$D128,0,$F5*DC$16*DC$10*$G5)</f>
        <v>3518.6010347301371</v>
      </c>
      <c r="DD26" s="24">
        <f>IF(DD$15&lt;Assumptions!$D128,0,$F5*DD$16*DD$10*$G5)</f>
        <v>3524.4653697880208</v>
      </c>
      <c r="DE26" s="24">
        <f>IF(DE$15&lt;Assumptions!$D128,0,$F5*DE$16*DE$10*$G5)</f>
        <v>3530.3394787376674</v>
      </c>
      <c r="DF26" s="24">
        <f>IF(DF$15&lt;Assumptions!$D128,0,$F5*DF$16*DF$10*$G5)</f>
        <v>3536.2233778688969</v>
      </c>
      <c r="DG26" s="24">
        <f>IF(DG$15&lt;Assumptions!$D128,0,$F5*DG$16*DG$10*$G5)</f>
        <v>3542.1170834986788</v>
      </c>
      <c r="DH26" s="24">
        <f>IF(DH$15&lt;Assumptions!$D128,0,$F5*DH$16*DH$10*$G5)</f>
        <v>3548.0206119711765</v>
      </c>
      <c r="DI26" s="24">
        <f>IF(DI$15&lt;Assumptions!$D128,0,$F5*DI$16*DI$10*$G5)</f>
        <v>3553.933979657796</v>
      </c>
      <c r="DJ26" s="24">
        <f>IF(DJ$15&lt;Assumptions!$D128,0,$F5*DJ$16*DJ$10*$G5)</f>
        <v>3559.857202957226</v>
      </c>
      <c r="DK26" s="24">
        <f>IF(DK$15&lt;Assumptions!$D128,0,$F5*DK$16*DK$10*$G5)</f>
        <v>3565.7902982954884</v>
      </c>
      <c r="DL26" s="24">
        <f>IF(DL$15&lt;Assumptions!$D128,0,$F5*DL$16*DL$10*$G5)</f>
        <v>3571.7332821259811</v>
      </c>
      <c r="DM26" s="24">
        <f>IF(DM$15&lt;Assumptions!$D128,0,$F5*DM$16*DM$10*$G5)</f>
        <v>3577.6861709295249</v>
      </c>
      <c r="DN26" s="24">
        <f>IF(DN$15&lt;Assumptions!$D128,0,$F5*DN$16*DN$10*$G5)</f>
        <v>3583.6489812144068</v>
      </c>
      <c r="DO26" s="24">
        <f>IF(DO$15&lt;Assumptions!$D128,0,$F5*DO$16*DO$10*$G5)</f>
        <v>3589.6217295164315</v>
      </c>
      <c r="DP26" s="24">
        <f>IF(DP$15&lt;Assumptions!$D128,0,$F5*DP$16*DP$10*$G5)</f>
        <v>3595.604432398959</v>
      </c>
      <c r="DQ26" s="24">
        <f>IF(DQ$15&lt;Assumptions!$D128,0,$F5*DQ$16*DQ$10*$G5)</f>
        <v>3601.5971064529581</v>
      </c>
      <c r="DR26" s="24">
        <f>IF(DR$15&lt;Assumptions!$D128,0,$F5*DR$16*DR$10*$G5)</f>
        <v>3607.5997682970456</v>
      </c>
      <c r="DS26" s="24">
        <f>IF(DS$15&lt;Assumptions!$D128,0,$F5*DS$16*DS$10*$G5)</f>
        <v>3613.6124345775411</v>
      </c>
      <c r="DT26" s="24">
        <f>IF(DT$15&lt;Assumptions!$D128,0,$F5*DT$16*DT$10*$G5)</f>
        <v>3619.6351219685048</v>
      </c>
      <c r="DU26" s="24">
        <f>IF(DU$15&lt;Assumptions!$D128,0,$F5*DU$16*DU$10*$G5)</f>
        <v>3625.6678471717855</v>
      </c>
      <c r="DV26" s="24">
        <f>IF(DV$15&lt;Assumptions!$D128,0,$F5*DV$16*DV$10*$G5)</f>
        <v>3631.7106269170722</v>
      </c>
      <c r="DW26" s="24">
        <f>IF(DW$15&lt;Assumptions!$D128,0,$F5*DW$16*DW$10*$G5)</f>
        <v>3637.7634779619343</v>
      </c>
      <c r="DX26" s="24">
        <f>IF(DX$15&lt;Assumptions!$D128,0,$F5*DX$16*DX$10*$G5)</f>
        <v>3643.8264170918701</v>
      </c>
      <c r="DY26" s="24">
        <f>IF(DY$15&lt;Assumptions!$D128,0,$F5*DY$16*DY$10*$G5)</f>
        <v>3649.8994611203575</v>
      </c>
      <c r="DZ26" s="24">
        <f>IF(DZ$15&lt;Assumptions!$D128,0,$F5*DZ$16*DZ$10*$G5)</f>
        <v>3655.9826268888914</v>
      </c>
      <c r="EA26" s="24">
        <f>IF(EA$15&lt;Assumptions!$D128,0,$F5*EA$16*EA$10*$G5)</f>
        <v>3662.0759312670407</v>
      </c>
      <c r="EB26" s="24">
        <f>IF(EB$15&lt;Assumptions!$D128,0,$F5*EB$16*EB$10*$G5)</f>
        <v>3668.1793911524856</v>
      </c>
      <c r="EC26" s="24">
        <f>IF(EC$15&lt;Assumptions!$D128,0,$F5*EC$16*EC$10*$G5)</f>
        <v>3674.2930234710734</v>
      </c>
      <c r="ED26" s="24">
        <f>IF(ED$15&lt;Assumptions!$D128,0,$F5*ED$16*ED$10*$G5)</f>
        <v>3680.4168451768587</v>
      </c>
      <c r="EE26" s="24">
        <f>IF(EE$15&lt;Assumptions!$D128,0,$F5*EE$16*EE$10*$G5)</f>
        <v>3686.5508732521535</v>
      </c>
      <c r="EF26" s="24">
        <f>IF(EF$15&lt;Assumptions!$D128,0,$F5*EF$16*EF$10*$G5)</f>
        <v>3692.6951247075745</v>
      </c>
    </row>
    <row r="27" spans="2:136" x14ac:dyDescent="0.45">
      <c r="B27" s="1" t="str">
        <f>E6&amp;" Income"</f>
        <v>Laundry Income</v>
      </c>
      <c r="E27" s="24">
        <f>IF(E$15&lt;Assumptions!$D129,0,$F6*E$16*E$10*$G6)</f>
        <v>171.88600000000002</v>
      </c>
      <c r="F27" s="24">
        <f>IF(F$15&lt;Assumptions!$D129,0,$F6*F$16*F$10*$G6)</f>
        <v>165.55045833333338</v>
      </c>
      <c r="G27" s="24">
        <f>IF(G$15&lt;Assumptions!$D129,0,$F6*G$16*G$10*$G6)</f>
        <v>165.8263757638889</v>
      </c>
      <c r="H27" s="24">
        <f>IF(H$15&lt;Assumptions!$D129,0,$F6*H$16*H$10*$G6)</f>
        <v>161.67334630864664</v>
      </c>
      <c r="I27" s="24">
        <f>IF(I$15&lt;Assumptions!$D129,0,$F6*I$16*I$10*$G6)</f>
        <v>155.28761824668413</v>
      </c>
      <c r="J27" s="24">
        <f>IF(J$15&lt;Assumptions!$D129,0,$F6*J$16*J$10*$G6)</f>
        <v>157.7685228143871</v>
      </c>
      <c r="K27" s="24">
        <f>IF(K$15&lt;Assumptions!$D129,0,$F6*K$16*K$10*$G6)</f>
        <v>151.35408428118245</v>
      </c>
      <c r="L27" s="24">
        <f>IF(L$15&lt;Assumptions!$D129,0,$F6*L$16*L$10*$G6)</f>
        <v>151.60634108831778</v>
      </c>
      <c r="M27" s="24">
        <f>IF(M$15&lt;Assumptions!$D129,0,$F6*M$16*M$10*$G6)</f>
        <v>151.85901832346497</v>
      </c>
      <c r="N27" s="24">
        <f>IF(N$15&lt;Assumptions!$D129,0,$F6*N$16*N$10*$G6)</f>
        <v>149.87517379487659</v>
      </c>
      <c r="O27" s="24">
        <f>IF(O$15&lt;Assumptions!$D129,0,$F6*O$16*O$10*$G6)</f>
        <v>150.12496575120139</v>
      </c>
      <c r="P27" s="24">
        <f>IF(P$15&lt;Assumptions!$D129,0,$F6*P$16*P$10*$G6)</f>
        <v>150.3751740274534</v>
      </c>
      <c r="Q27" s="24">
        <f>IF(Q$15&lt;Assumptions!$D129,0,$F6*Q$16*Q$10*$G6)</f>
        <v>152.87394557596929</v>
      </c>
      <c r="R27" s="24">
        <f>IF(R$15&lt;Assumptions!$D129,0,$F6*R$16*R$10*$G6)</f>
        <v>155.38062865416353</v>
      </c>
      <c r="S27" s="24">
        <f>IF(S$15&lt;Assumptions!$D129,0,$F6*S$16*S$10*$G6)</f>
        <v>157.89524269276956</v>
      </c>
      <c r="T27" s="24">
        <f>IF(T$15&lt;Assumptions!$D129,0,$F6*T$16*T$10*$G6)</f>
        <v>158.15840143059086</v>
      </c>
      <c r="U27" s="24">
        <f>IF(U$15&lt;Assumptions!$D129,0,$F6*U$16*U$10*$G6)</f>
        <v>156.15882735536127</v>
      </c>
      <c r="V27" s="24">
        <f>IF(V$15&lt;Assumptions!$D129,0,$F6*V$16*V$10*$G6)</f>
        <v>154.15214870432135</v>
      </c>
      <c r="W27" s="24">
        <f>IF(W$15&lt;Assumptions!$D129,0,$F6*W$16*W$10*$G6)</f>
        <v>152.13834734992426</v>
      </c>
      <c r="X27" s="24">
        <f>IF(X$15&lt;Assumptions!$D129,0,$F6*X$16*X$10*$G6)</f>
        <v>150.11740512393268</v>
      </c>
      <c r="Y27" s="24">
        <f>IF(Y$15&lt;Assumptions!$D129,0,$F6*Y$16*Y$10*$G6)</f>
        <v>152.64589778094441</v>
      </c>
      <c r="Z27" s="24">
        <f>IF(Z$15&lt;Assumptions!$D129,0,$F6*Z$16*Z$10*$G6)</f>
        <v>157.46449589746229</v>
      </c>
      <c r="AA27" s="24">
        <f>IF(AA$15&lt;Assumptions!$D129,0,$F6*AA$16*AA$10*$G6)</f>
        <v>160.01283435763864</v>
      </c>
      <c r="AB27" s="24">
        <f>IF(AB$15&lt;Assumptions!$D129,0,$F6*AB$16*AB$10*$G6)</f>
        <v>160.27952241490141</v>
      </c>
      <c r="AC27" s="24">
        <f>IF(AC$15&lt;Assumptions!$D129,0,$F6*AC$16*AC$10*$G6)</f>
        <v>158.25313131008443</v>
      </c>
      <c r="AD27" s="24">
        <f>IF(AD$15&lt;Assumptions!$D129,0,$F6*AD$16*AD$10*$G6)</f>
        <v>153.92219416577703</v>
      </c>
      <c r="AE27" s="24">
        <f>IF(AE$15&lt;Assumptions!$D129,0,$F6*AE$16*AE$10*$G6)</f>
        <v>154.17873115605335</v>
      </c>
      <c r="AF27" s="24">
        <f>IF(AF$15&lt;Assumptions!$D129,0,$F6*AF$16*AF$10*$G6)</f>
        <v>161.35072685908369</v>
      </c>
      <c r="AG27" s="24">
        <f>IF(AG$15&lt;Assumptions!$D129,0,$F6*AG$16*AG$10*$G6)</f>
        <v>168.5462009402043</v>
      </c>
      <c r="AH27" s="24">
        <f>IF(AH$15&lt;Assumptions!$D129,0,$F6*AH$16*AH$10*$G6)</f>
        <v>175.7652117384651</v>
      </c>
      <c r="AI27" s="24">
        <f>IF(AI$15&lt;Assumptions!$D129,0,$F6*AI$16*AI$10*$G6)</f>
        <v>180.69126306745105</v>
      </c>
      <c r="AJ27" s="24">
        <f>IF(AJ$15&lt;Assumptions!$D129,0,$F6*AJ$16*AJ$10*$G6)</f>
        <v>180.99241517256348</v>
      </c>
      <c r="AK27" s="24">
        <f>IF(AK$15&lt;Assumptions!$D129,0,$F6*AK$16*AK$10*$G6)</f>
        <v>181.29406919785112</v>
      </c>
      <c r="AL27" s="24">
        <f>IF(AL$15&lt;Assumptions!$D129,0,$F6*AL$16*AL$10*$G6)</f>
        <v>181.59622597984753</v>
      </c>
      <c r="AM27" s="24">
        <f>IF(AM$15&lt;Assumptions!$D129,0,$F6*AM$16*AM$10*$G6)</f>
        <v>181.89888635648063</v>
      </c>
      <c r="AN27" s="24">
        <f>IF(AN$15&lt;Assumptions!$D129,0,$F6*AN$16*AN$10*$G6)</f>
        <v>182.20205116707476</v>
      </c>
      <c r="AO27" s="24">
        <f>IF(AO$15&lt;Assumptions!$D129,0,$F6*AO$16*AO$10*$G6)</f>
        <v>182.50572125235325</v>
      </c>
      <c r="AP27" s="24">
        <f>IF(AP$15&lt;Assumptions!$D129,0,$F6*AP$16*AP$10*$G6)</f>
        <v>182.80989745444049</v>
      </c>
      <c r="AQ27" s="24">
        <f>IF(AQ$15&lt;Assumptions!$D129,0,$F6*AQ$16*AQ$10*$G6)</f>
        <v>183.1145806168646</v>
      </c>
      <c r="AR27" s="24">
        <f>IF(AR$15&lt;Assumptions!$D129,0,$F6*AR$16*AR$10*$G6)</f>
        <v>183.41977158455938</v>
      </c>
      <c r="AS27" s="24">
        <f>IF(AS$15&lt;Assumptions!$D129,0,$F6*AS$16*AS$10*$G6)</f>
        <v>183.72547120386696</v>
      </c>
      <c r="AT27" s="24">
        <f>IF(AT$15&lt;Assumptions!$D129,0,$F6*AT$16*AT$10*$G6)</f>
        <v>184.0316803225401</v>
      </c>
      <c r="AU27" s="24">
        <f>IF(AU$15&lt;Assumptions!$D129,0,$F6*AU$16*AU$10*$G6)</f>
        <v>184.33839978974436</v>
      </c>
      <c r="AV27" s="24">
        <f>IF(AV$15&lt;Assumptions!$D129,0,$F6*AV$16*AV$10*$G6)</f>
        <v>184.64563045606059</v>
      </c>
      <c r="AW27" s="24">
        <f>IF(AW$15&lt;Assumptions!$D129,0,$F6*AW$16*AW$10*$G6)</f>
        <v>184.95337317348739</v>
      </c>
      <c r="AX27" s="24">
        <f>IF(AX$15&lt;Assumptions!$D129,0,$F6*AX$16*AX$10*$G6)</f>
        <v>185.26162879544322</v>
      </c>
      <c r="AY27" s="24">
        <f>IF(AY$15&lt;Assumptions!$D129,0,$F6*AY$16*AY$10*$G6)</f>
        <v>185.57039817676898</v>
      </c>
      <c r="AZ27" s="24">
        <f>IF(AZ$15&lt;Assumptions!$D129,0,$F6*AZ$16*AZ$10*$G6)</f>
        <v>185.87968217373029</v>
      </c>
      <c r="BA27" s="24">
        <f>IF(BA$15&lt;Assumptions!$D129,0,$F6*BA$16*BA$10*$G6)</f>
        <v>186.18948164401982</v>
      </c>
      <c r="BB27" s="24">
        <f>IF(BB$15&lt;Assumptions!$D129,0,$F6*BB$16*BB$10*$G6)</f>
        <v>186.49979744675986</v>
      </c>
      <c r="BC27" s="24">
        <f>IF(BC$15&lt;Assumptions!$D129,0,$F6*BC$16*BC$10*$G6)</f>
        <v>186.81063044250448</v>
      </c>
      <c r="BD27" s="24">
        <f>IF(BD$15&lt;Assumptions!$D129,0,$F6*BD$16*BD$10*$G6)</f>
        <v>187.12198149324198</v>
      </c>
      <c r="BE27" s="24">
        <f>IF(BE$15&lt;Assumptions!$D129,0,$F6*BE$16*BE$10*$G6)</f>
        <v>187.43385146239743</v>
      </c>
      <c r="BF27" s="24">
        <f>IF(BF$15&lt;Assumptions!$D129,0,$F6*BF$16*BF$10*$G6)</f>
        <v>187.74624121483475</v>
      </c>
      <c r="BG27" s="24">
        <f>IF(BG$15&lt;Assumptions!$D129,0,$F6*BG$16*BG$10*$G6)</f>
        <v>188.05915161685948</v>
      </c>
      <c r="BH27" s="24">
        <f>IF(BH$15&lt;Assumptions!$D129,0,$F6*BH$16*BH$10*$G6)</f>
        <v>188.37258353622099</v>
      </c>
      <c r="BI27" s="24">
        <f>IF(BI$15&lt;Assumptions!$D129,0,$F6*BI$16*BI$10*$G6)</f>
        <v>188.68653784211466</v>
      </c>
      <c r="BJ27" s="24">
        <f>IF(BJ$15&lt;Assumptions!$D129,0,$F6*BJ$16*BJ$10*$G6)</f>
        <v>189.00101540518483</v>
      </c>
      <c r="BK27" s="24">
        <f>IF(BK$15&lt;Assumptions!$D129,0,$F6*BK$16*BK$10*$G6)</f>
        <v>189.31601709752684</v>
      </c>
      <c r="BL27" s="24">
        <f>IF(BL$15&lt;Assumptions!$D129,0,$F6*BL$16*BL$10*$G6)</f>
        <v>189.6315437926894</v>
      </c>
      <c r="BM27" s="24">
        <f>IF(BM$15&lt;Assumptions!$D129,0,$F6*BM$16*BM$10*$G6)</f>
        <v>189.94759636567724</v>
      </c>
      <c r="BN27" s="24">
        <f>IF(BN$15&lt;Assumptions!$D129,0,$F6*BN$16*BN$10*$G6)</f>
        <v>190.26417569295336</v>
      </c>
      <c r="BO27" s="24">
        <f>IF(BO$15&lt;Assumptions!$D129,0,$F6*BO$16*BO$10*$G6)</f>
        <v>190.58128265244167</v>
      </c>
      <c r="BP27" s="24">
        <f>IF(BP$15&lt;Assumptions!$D129,0,$F6*BP$16*BP$10*$G6)</f>
        <v>190.89891812352906</v>
      </c>
      <c r="BQ27" s="24">
        <f>IF(BQ$15&lt;Assumptions!$D129,0,$F6*BQ$16*BQ$10*$G6)</f>
        <v>191.21708298706832</v>
      </c>
      <c r="BR27" s="24">
        <f>IF(BR$15&lt;Assumptions!$D129,0,$F6*BR$16*BR$10*$G6)</f>
        <v>191.53577812538006</v>
      </c>
      <c r="BS27" s="24">
        <f>IF(BS$15&lt;Assumptions!$D129,0,$F6*BS$16*BS$10*$G6)</f>
        <v>191.85500442225572</v>
      </c>
      <c r="BT27" s="24">
        <f>IF(BT$15&lt;Assumptions!$D129,0,$F6*BT$16*BT$10*$G6)</f>
        <v>192.17476276295952</v>
      </c>
      <c r="BU27" s="24">
        <f>IF(BU$15&lt;Assumptions!$D129,0,$F6*BU$16*BU$10*$G6)</f>
        <v>192.49505403423109</v>
      </c>
      <c r="BV27" s="24">
        <f>IF(BV$15&lt;Assumptions!$D129,0,$F6*BV$16*BV$10*$G6)</f>
        <v>192.81587912428813</v>
      </c>
      <c r="BW27" s="24">
        <f>IF(BW$15&lt;Assumptions!$D129,0,$F6*BW$16*BW$10*$G6)</f>
        <v>193.13723892282863</v>
      </c>
      <c r="BX27" s="24">
        <f>IF(BX$15&lt;Assumptions!$D129,0,$F6*BX$16*BX$10*$G6)</f>
        <v>193.45913432103339</v>
      </c>
      <c r="BY27" s="24">
        <f>IF(BY$15&lt;Assumptions!$D129,0,$F6*BY$16*BY$10*$G6)</f>
        <v>193.78156621156845</v>
      </c>
      <c r="BZ27" s="24">
        <f>IF(BZ$15&lt;Assumptions!$D129,0,$F6*BZ$16*BZ$10*$G6)</f>
        <v>194.10453548858774</v>
      </c>
      <c r="CA27" s="24">
        <f>IF(CA$15&lt;Assumptions!$D129,0,$F6*CA$16*CA$10*$G6)</f>
        <v>194.4280430477354</v>
      </c>
      <c r="CB27" s="24">
        <f>IF(CB$15&lt;Assumptions!$D129,0,$F6*CB$16*CB$10*$G6)</f>
        <v>194.7520897861483</v>
      </c>
      <c r="CC27" s="24">
        <f>IF(CC$15&lt;Assumptions!$D129,0,$F6*CC$16*CC$10*$G6)</f>
        <v>195.0766766024586</v>
      </c>
      <c r="CD27" s="24">
        <f>IF(CD$15&lt;Assumptions!$D129,0,$F6*CD$16*CD$10*$G6)</f>
        <v>195.40180439679602</v>
      </c>
      <c r="CE27" s="24">
        <f>IF(CE$15&lt;Assumptions!$D129,0,$F6*CE$16*CE$10*$G6)</f>
        <v>195.72747407079066</v>
      </c>
      <c r="CF27" s="24">
        <f>IF(CF$15&lt;Assumptions!$D129,0,$F6*CF$16*CF$10*$G6)</f>
        <v>196.05368652757537</v>
      </c>
      <c r="CG27" s="24">
        <f>IF(CG$15&lt;Assumptions!$D129,0,$F6*CG$16*CG$10*$G6)</f>
        <v>196.38044267178799</v>
      </c>
      <c r="CH27" s="24">
        <f>IF(CH$15&lt;Assumptions!$D129,0,$F6*CH$16*CH$10*$G6)</f>
        <v>196.70774340957431</v>
      </c>
      <c r="CI27" s="24">
        <f>IF(CI$15&lt;Assumptions!$D129,0,$F6*CI$16*CI$10*$G6)</f>
        <v>197.0355896485903</v>
      </c>
      <c r="CJ27" s="24">
        <f>IF(CJ$15&lt;Assumptions!$D129,0,$F6*CJ$16*CJ$10*$G6)</f>
        <v>197.36398229800466</v>
      </c>
      <c r="CK27" s="24">
        <f>IF(CK$15&lt;Assumptions!$D129,0,$F6*CK$16*CK$10*$G6)</f>
        <v>197.69292226850135</v>
      </c>
      <c r="CL27" s="24">
        <f>IF(CL$15&lt;Assumptions!$D129,0,$F6*CL$16*CL$10*$G6)</f>
        <v>198.02241047228213</v>
      </c>
      <c r="CM27" s="24">
        <f>IF(CM$15&lt;Assumptions!$D129,0,$F6*CM$16*CM$10*$G6)</f>
        <v>198.35244782306933</v>
      </c>
      <c r="CN27" s="24">
        <f>IF(CN$15&lt;Assumptions!$D129,0,$F6*CN$16*CN$10*$G6)</f>
        <v>198.6830352361078</v>
      </c>
      <c r="CO27" s="24">
        <f>IF(CO$15&lt;Assumptions!$D129,0,$F6*CO$16*CO$10*$G6)</f>
        <v>199.01417362816795</v>
      </c>
      <c r="CP27" s="24">
        <f>IF(CP$15&lt;Assumptions!$D129,0,$F6*CP$16*CP$10*$G6)</f>
        <v>199.34586391754826</v>
      </c>
      <c r="CQ27" s="24">
        <f>IF(CQ$15&lt;Assumptions!$D129,0,$F6*CQ$16*CQ$10*$G6)</f>
        <v>199.67810702407752</v>
      </c>
      <c r="CR27" s="24">
        <f>IF(CR$15&lt;Assumptions!$D129,0,$F6*CR$16*CR$10*$G6)</f>
        <v>200.01090386911767</v>
      </c>
      <c r="CS27" s="24">
        <f>IF(CS$15&lt;Assumptions!$D129,0,$F6*CS$16*CS$10*$G6)</f>
        <v>200.34425537556626</v>
      </c>
      <c r="CT27" s="24">
        <f>IF(CT$15&lt;Assumptions!$D129,0,$F6*CT$16*CT$10*$G6)</f>
        <v>200.67816246785881</v>
      </c>
      <c r="CU27" s="24">
        <f>IF(CU$15&lt;Assumptions!$D129,0,$F6*CU$16*CU$10*$G6)</f>
        <v>201.01262607197194</v>
      </c>
      <c r="CV27" s="24">
        <f>IF(CV$15&lt;Assumptions!$D129,0,$F6*CV$16*CV$10*$G6)</f>
        <v>201.34764711542527</v>
      </c>
      <c r="CW27" s="24">
        <f>IF(CW$15&lt;Assumptions!$D129,0,$F6*CW$16*CW$10*$G6)</f>
        <v>201.68322652728435</v>
      </c>
      <c r="CX27" s="24">
        <f>IF(CX$15&lt;Assumptions!$D129,0,$F6*CX$16*CX$10*$G6)</f>
        <v>202.01936523816312</v>
      </c>
      <c r="CY27" s="24">
        <f>IF(CY$15&lt;Assumptions!$D129,0,$F6*CY$16*CY$10*$G6)</f>
        <v>202.35606418022678</v>
      </c>
      <c r="CZ27" s="24">
        <f>IF(CZ$15&lt;Assumptions!$D129,0,$F6*CZ$16*CZ$10*$G6)</f>
        <v>202.69332428719383</v>
      </c>
      <c r="DA27" s="24">
        <f>IF(DA$15&lt;Assumptions!$D129,0,$F6*DA$16*DA$10*$G6)</f>
        <v>203.03114649433917</v>
      </c>
      <c r="DB27" s="24">
        <f>IF(DB$15&lt;Assumptions!$D129,0,$F6*DB$16*DB$10*$G6)</f>
        <v>203.36953173849636</v>
      </c>
      <c r="DC27" s="24">
        <f>IF(DC$15&lt;Assumptions!$D129,0,$F6*DC$16*DC$10*$G6)</f>
        <v>203.70848095806059</v>
      </c>
      <c r="DD27" s="24">
        <f>IF(DD$15&lt;Assumptions!$D129,0,$F6*DD$16*DD$10*$G6)</f>
        <v>204.0479950929907</v>
      </c>
      <c r="DE27" s="24">
        <f>IF(DE$15&lt;Assumptions!$D129,0,$F6*DE$16*DE$10*$G6)</f>
        <v>204.38807508481233</v>
      </c>
      <c r="DF27" s="24">
        <f>IF(DF$15&lt;Assumptions!$D129,0,$F6*DF$16*DF$10*$G6)</f>
        <v>204.72872187662037</v>
      </c>
      <c r="DG27" s="24">
        <f>IF(DG$15&lt;Assumptions!$D129,0,$F6*DG$16*DG$10*$G6)</f>
        <v>205.06993641308142</v>
      </c>
      <c r="DH27" s="24">
        <f>IF(DH$15&lt;Assumptions!$D129,0,$F6*DH$16*DH$10*$G6)</f>
        <v>205.41171964043653</v>
      </c>
      <c r="DI27" s="24">
        <f>IF(DI$15&lt;Assumptions!$D129,0,$F6*DI$16*DI$10*$G6)</f>
        <v>205.75407250650397</v>
      </c>
      <c r="DJ27" s="24">
        <f>IF(DJ$15&lt;Assumptions!$D129,0,$F6*DJ$16*DJ$10*$G6)</f>
        <v>206.09699596068154</v>
      </c>
      <c r="DK27" s="24">
        <f>IF(DK$15&lt;Assumptions!$D129,0,$F6*DK$16*DK$10*$G6)</f>
        <v>206.44049095394936</v>
      </c>
      <c r="DL27" s="24">
        <f>IF(DL$15&lt;Assumptions!$D129,0,$F6*DL$16*DL$10*$G6)</f>
        <v>206.78455843887261</v>
      </c>
      <c r="DM27" s="24">
        <f>IF(DM$15&lt;Assumptions!$D129,0,$F6*DM$16*DM$10*$G6)</f>
        <v>207.12919936960407</v>
      </c>
      <c r="DN27" s="24">
        <f>IF(DN$15&lt;Assumptions!$D129,0,$F6*DN$16*DN$10*$G6)</f>
        <v>207.47441470188676</v>
      </c>
      <c r="DO27" s="24">
        <f>IF(DO$15&lt;Assumptions!$D129,0,$F6*DO$16*DO$10*$G6)</f>
        <v>207.8202053930566</v>
      </c>
      <c r="DP27" s="24">
        <f>IF(DP$15&lt;Assumptions!$D129,0,$F6*DP$16*DP$10*$G6)</f>
        <v>208.16657240204501</v>
      </c>
      <c r="DQ27" s="24">
        <f>IF(DQ$15&lt;Assumptions!$D129,0,$F6*DQ$16*DQ$10*$G6)</f>
        <v>208.51351668938179</v>
      </c>
      <c r="DR27" s="24">
        <f>IF(DR$15&lt;Assumptions!$D129,0,$F6*DR$16*DR$10*$G6)</f>
        <v>208.86103921719743</v>
      </c>
      <c r="DS27" s="24">
        <f>IF(DS$15&lt;Assumptions!$D129,0,$F6*DS$16*DS$10*$G6)</f>
        <v>209.20914094922611</v>
      </c>
      <c r="DT27" s="24">
        <f>IF(DT$15&lt;Assumptions!$D129,0,$F6*DT$16*DT$10*$G6)</f>
        <v>209.55782285080818</v>
      </c>
      <c r="DU27" s="24">
        <f>IF(DU$15&lt;Assumptions!$D129,0,$F6*DU$16*DU$10*$G6)</f>
        <v>209.90708588889285</v>
      </c>
      <c r="DV27" s="24">
        <f>IF(DV$15&lt;Assumptions!$D129,0,$F6*DV$16*DV$10*$G6)</f>
        <v>210.25693103204105</v>
      </c>
      <c r="DW27" s="24">
        <f>IF(DW$15&lt;Assumptions!$D129,0,$F6*DW$16*DW$10*$G6)</f>
        <v>210.60735925042778</v>
      </c>
      <c r="DX27" s="24">
        <f>IF(DX$15&lt;Assumptions!$D129,0,$F6*DX$16*DX$10*$G6)</f>
        <v>210.9583715158451</v>
      </c>
      <c r="DY27" s="24">
        <f>IF(DY$15&lt;Assumptions!$D129,0,$F6*DY$16*DY$10*$G6)</f>
        <v>211.30996880170494</v>
      </c>
      <c r="DZ27" s="24">
        <f>IF(DZ$15&lt;Assumptions!$D129,0,$F6*DZ$16*DZ$10*$G6)</f>
        <v>211.66215208304106</v>
      </c>
      <c r="EA27" s="24">
        <f>IF(EA$15&lt;Assumptions!$D129,0,$F6*EA$16*EA$10*$G6)</f>
        <v>212.01492233651288</v>
      </c>
      <c r="EB27" s="24">
        <f>IF(EB$15&lt;Assumptions!$D129,0,$F6*EB$16*EB$10*$G6)</f>
        <v>212.36828054040708</v>
      </c>
      <c r="EC27" s="24">
        <f>IF(EC$15&lt;Assumptions!$D129,0,$F6*EC$16*EC$10*$G6)</f>
        <v>212.72222767464109</v>
      </c>
      <c r="ED27" s="24">
        <f>IF(ED$15&lt;Assumptions!$D129,0,$F6*ED$16*ED$10*$G6)</f>
        <v>213.07676472076551</v>
      </c>
      <c r="EE27" s="24">
        <f>IF(EE$15&lt;Assumptions!$D129,0,$F6*EE$16*EE$10*$G6)</f>
        <v>213.4318926619668</v>
      </c>
      <c r="EF27" s="24">
        <f>IF(EF$15&lt;Assumptions!$D129,0,$F6*EF$16*EF$10*$G6)</f>
        <v>213.78761248307012</v>
      </c>
    </row>
    <row r="28" spans="2:136" x14ac:dyDescent="0.45">
      <c r="B28" s="1" t="str">
        <f>E7&amp;" Income"</f>
        <v>Gym / Amenity Space Income</v>
      </c>
      <c r="E28" s="24">
        <f>IF(E$15&lt;Assumptions!$D130,0,$F7*Assumptions!$F$130*'NOI Walk'!E16/'NOI Walk'!$C$3*E$10*$G7)</f>
        <v>3906.5</v>
      </c>
      <c r="F28" s="24">
        <f>IF(F$15&lt;Assumptions!$D130,0,$F7*Assumptions!$F$130*'NOI Walk'!F16/'NOI Walk'!$C$3*F$10*$G7)</f>
        <v>3762.510416666667</v>
      </c>
      <c r="G28" s="24">
        <f>IF(G$15&lt;Assumptions!$D130,0,$F7*Assumptions!$F$130*'NOI Walk'!G16/'NOI Walk'!$C$3*G$10*$G7)</f>
        <v>3768.7812673611115</v>
      </c>
      <c r="H28" s="24">
        <f>IF(H$15&lt;Assumptions!$D130,0,$F7*Assumptions!$F$130*'NOI Walk'!H16/'NOI Walk'!$C$3*H$10*$G7)</f>
        <v>3674.3942342874238</v>
      </c>
      <c r="I28" s="24">
        <f>IF(I$15&lt;Assumptions!$D130,0,$F7*Assumptions!$F$130*'NOI Walk'!I16/'NOI Walk'!$C$3*I$10*$G7)</f>
        <v>3529.2640510610026</v>
      </c>
      <c r="J28" s="24">
        <f>IF(J$15&lt;Assumptions!$D130,0,$F7*Assumptions!$F$130*'NOI Walk'!J16/'NOI Walk'!$C$3*J$10*$G7)</f>
        <v>3585.648245781525</v>
      </c>
      <c r="K28" s="24">
        <f>IF(K$15&lt;Assumptions!$D130,0,$F7*Assumptions!$F$130*'NOI Walk'!K16/'NOI Walk'!$C$3*K$10*$G7)</f>
        <v>3439.8655518450555</v>
      </c>
      <c r="L28" s="24">
        <f>IF(L$15&lt;Assumptions!$D130,0,$F7*Assumptions!$F$130*'NOI Walk'!L16/'NOI Walk'!$C$3*L$10*$G7)</f>
        <v>3445.5986610981313</v>
      </c>
      <c r="M28" s="24">
        <f>IF(M$15&lt;Assumptions!$D130,0,$F7*Assumptions!$F$130*'NOI Walk'!M16/'NOI Walk'!$C$3*M$10*$G7)</f>
        <v>3451.3413255332948</v>
      </c>
      <c r="N28" s="24">
        <f>IF(N$15&lt;Assumptions!$D130,0,$F7*Assumptions!$F$130*'NOI Walk'!N16/'NOI Walk'!$C$3*N$10*$G7)</f>
        <v>3406.253949883559</v>
      </c>
      <c r="O28" s="24">
        <f>IF(O$15&lt;Assumptions!$D130,0,$F7*Assumptions!$F$130*'NOI Walk'!O16/'NOI Walk'!$C$3*O$10*$G7)</f>
        <v>3411.9310398000316</v>
      </c>
      <c r="P28" s="24">
        <f>IF(P$15&lt;Assumptions!$D130,0,$F7*Assumptions!$F$130*'NOI Walk'!P16/'NOI Walk'!$C$3*P$10*$G7)</f>
        <v>3417.6175915330318</v>
      </c>
      <c r="Q28" s="24">
        <f>IF(Q$15&lt;Assumptions!$D130,0,$F7*Assumptions!$F$130*'NOI Walk'!Q16/'NOI Walk'!$C$3*Q$10*$G7)</f>
        <v>3474.407853999302</v>
      </c>
      <c r="R28" s="24">
        <f>IF(R$15&lt;Assumptions!$D130,0,$F7*Assumptions!$F$130*'NOI Walk'!R16/'NOI Walk'!$C$3*R$10*$G7)</f>
        <v>3531.3779239582618</v>
      </c>
      <c r="S28" s="24">
        <f>IF(S$15&lt;Assumptions!$D130,0,$F7*Assumptions!$F$130*'NOI Walk'!S16/'NOI Walk'!$C$3*S$10*$G7)</f>
        <v>3588.5282430174898</v>
      </c>
      <c r="T28" s="24">
        <f>IF(T$15&lt;Assumptions!$D130,0,$F7*Assumptions!$F$130*'NOI Walk'!T16/'NOI Walk'!$C$3*T$10*$G7)</f>
        <v>3594.5091234225197</v>
      </c>
      <c r="U28" s="24">
        <f>IF(U$15&lt;Assumptions!$D130,0,$F7*Assumptions!$F$130*'NOI Walk'!U16/'NOI Walk'!$C$3*U$10*$G7)</f>
        <v>3549.064258076392</v>
      </c>
      <c r="V28" s="24">
        <f>IF(V$15&lt;Assumptions!$D130,0,$F7*Assumptions!$F$130*'NOI Walk'!V16/'NOI Walk'!$C$3*V$10*$G7)</f>
        <v>3503.4579250982124</v>
      </c>
      <c r="W28" s="24">
        <f>IF(W$15&lt;Assumptions!$D130,0,$F7*Assumptions!$F$130*'NOI Walk'!W16/'NOI Walk'!$C$3*W$10*$G7)</f>
        <v>3457.6897124982779</v>
      </c>
      <c r="X28" s="24">
        <f>IF(X$15&lt;Assumptions!$D130,0,$F7*Assumptions!$F$130*'NOI Walk'!X16/'NOI Walk'!$C$3*X$10*$G7)</f>
        <v>3411.7592073621067</v>
      </c>
      <c r="Y28" s="24">
        <f>IF(Y$15&lt;Assumptions!$D130,0,$F7*Assumptions!$F$130*'NOI Walk'!Y16/'NOI Walk'!$C$3*Y$10*$G7)</f>
        <v>3469.2249495669184</v>
      </c>
      <c r="Z28" s="24">
        <f>IF(Z$15&lt;Assumptions!$D130,0,$F7*Assumptions!$F$130*'NOI Walk'!Z16/'NOI Walk'!$C$3*Z$10*$G7)</f>
        <v>3578.7385431241428</v>
      </c>
      <c r="AA28" s="24">
        <f>IF(AA$15&lt;Assumptions!$D130,0,$F7*Assumptions!$F$130*'NOI Walk'!AA16/'NOI Walk'!$C$3*AA$10*$G7)</f>
        <v>3636.6553263099686</v>
      </c>
      <c r="AB28" s="24">
        <f>IF(AB$15&lt;Assumptions!$D130,0,$F7*Assumptions!$F$130*'NOI Walk'!AB16/'NOI Walk'!$C$3*AB$10*$G7)</f>
        <v>3642.7164185204861</v>
      </c>
      <c r="AC28" s="24">
        <f>IF(AC$15&lt;Assumptions!$D130,0,$F7*Assumptions!$F$130*'NOI Walk'!AC16/'NOI Walk'!$C$3*AC$10*$G7)</f>
        <v>3596.6620752291906</v>
      </c>
      <c r="AD28" s="24">
        <f>IF(AD$15&lt;Assumptions!$D130,0,$F7*Assumptions!$F$130*'NOI Walk'!AD16/'NOI Walk'!$C$3*AD$10*$G7)</f>
        <v>3498.2316855858417</v>
      </c>
      <c r="AE28" s="24">
        <f>IF(AE$15&lt;Assumptions!$D130,0,$F7*Assumptions!$F$130*'NOI Walk'!AE16/'NOI Walk'!$C$3*AE$10*$G7)</f>
        <v>3504.0620717284851</v>
      </c>
      <c r="AF28" s="24">
        <f>IF(AF$15&lt;Assumptions!$D130,0,$F7*Assumptions!$F$130*'NOI Walk'!AF16/'NOI Walk'!$C$3*AF$10*$G7)</f>
        <v>3667.061974070084</v>
      </c>
      <c r="AG28" s="24">
        <f>IF(AG$15&lt;Assumptions!$D130,0,$F7*Assumptions!$F$130*'NOI Walk'!AG16/'NOI Walk'!$C$3*AG$10*$G7)</f>
        <v>3830.5954759137335</v>
      </c>
      <c r="AH28" s="24">
        <f>IF(AH$15&lt;Assumptions!$D130,0,$F7*Assumptions!$F$130*'NOI Walk'!AH16/'NOI Walk'!$C$3*AH$10*$G7)</f>
        <v>3994.6639031469335</v>
      </c>
      <c r="AI28" s="24">
        <f>IF(AI$15&lt;Assumptions!$D130,0,$F7*Assumptions!$F$130*'NOI Walk'!AI16/'NOI Walk'!$C$3*AI$10*$G7)</f>
        <v>4106.6196151693421</v>
      </c>
      <c r="AJ28" s="24">
        <f>IF(AJ$15&lt;Assumptions!$D130,0,$F7*Assumptions!$F$130*'NOI Walk'!AJ16/'NOI Walk'!$C$3*AJ$10*$G7)</f>
        <v>4113.4639811946245</v>
      </c>
      <c r="AK28" s="24">
        <f>IF(AK$15&lt;Assumptions!$D130,0,$F7*Assumptions!$F$130*'NOI Walk'!AK16/'NOI Walk'!$C$3*AK$10*$G7)</f>
        <v>4120.319754496616</v>
      </c>
      <c r="AL28" s="24">
        <f>IF(AL$15&lt;Assumptions!$D130,0,$F7*Assumptions!$F$130*'NOI Walk'!AL16/'NOI Walk'!$C$3*AL$10*$G7)</f>
        <v>4127.1869540874432</v>
      </c>
      <c r="AM28" s="24">
        <f>IF(AM$15&lt;Assumptions!$D130,0,$F7*Assumptions!$F$130*'NOI Walk'!AM16/'NOI Walk'!$C$3*AM$10*$G7)</f>
        <v>4134.0655990109235</v>
      </c>
      <c r="AN28" s="24">
        <f>IF(AN$15&lt;Assumptions!$D130,0,$F7*Assumptions!$F$130*'NOI Walk'!AN16/'NOI Walk'!$C$3*AN$10*$G7)</f>
        <v>4140.955708342608</v>
      </c>
      <c r="AO28" s="24">
        <f>IF(AO$15&lt;Assumptions!$D130,0,$F7*Assumptions!$F$130*'NOI Walk'!AO16/'NOI Walk'!$C$3*AO$10*$G7)</f>
        <v>4147.8573011898461</v>
      </c>
      <c r="AP28" s="24">
        <f>IF(AP$15&lt;Assumptions!$D130,0,$F7*Assumptions!$F$130*'NOI Walk'!AP16/'NOI Walk'!$C$3*AP$10*$G7)</f>
        <v>4154.7703966918289</v>
      </c>
      <c r="AQ28" s="24">
        <f>IF(AQ$15&lt;Assumptions!$D130,0,$F7*Assumptions!$F$130*'NOI Walk'!AQ16/'NOI Walk'!$C$3*AQ$10*$G7)</f>
        <v>4161.6950140196495</v>
      </c>
      <c r="AR28" s="24">
        <f>IF(AR$15&lt;Assumptions!$D130,0,$F7*Assumptions!$F$130*'NOI Walk'!AR16/'NOI Walk'!$C$3*AR$10*$G7)</f>
        <v>4168.6311723763502</v>
      </c>
      <c r="AS28" s="24">
        <f>IF(AS$15&lt;Assumptions!$D130,0,$F7*Assumptions!$F$130*'NOI Walk'!AS16/'NOI Walk'!$C$3*AS$10*$G7)</f>
        <v>4175.578890996976</v>
      </c>
      <c r="AT28" s="24">
        <f>IF(AT$15&lt;Assumptions!$D130,0,$F7*Assumptions!$F$130*'NOI Walk'!AT16/'NOI Walk'!$C$3*AT$10*$G7)</f>
        <v>4182.5381891486386</v>
      </c>
      <c r="AU28" s="24">
        <f>IF(AU$15&lt;Assumptions!$D130,0,$F7*Assumptions!$F$130*'NOI Walk'!AU16/'NOI Walk'!$C$3*AU$10*$G7)</f>
        <v>4189.5090861305534</v>
      </c>
      <c r="AV28" s="24">
        <f>IF(AV$15&lt;Assumptions!$D130,0,$F7*Assumptions!$F$130*'NOI Walk'!AV16/'NOI Walk'!$C$3*AV$10*$G7)</f>
        <v>4196.4916012741041</v>
      </c>
      <c r="AW28" s="24">
        <f>IF(AW$15&lt;Assumptions!$D130,0,$F7*Assumptions!$F$130*'NOI Walk'!AW16/'NOI Walk'!$C$3*AW$10*$G7)</f>
        <v>4203.4857539428949</v>
      </c>
      <c r="AX28" s="24">
        <f>IF(AX$15&lt;Assumptions!$D130,0,$F7*Assumptions!$F$130*'NOI Walk'!AX16/'NOI Walk'!$C$3*AX$10*$G7)</f>
        <v>4210.4915635327998</v>
      </c>
      <c r="AY28" s="24">
        <f>IF(AY$15&lt;Assumptions!$D130,0,$F7*Assumptions!$F$130*'NOI Walk'!AY16/'NOI Walk'!$C$3*AY$10*$G7)</f>
        <v>4217.5090494720216</v>
      </c>
      <c r="AZ28" s="24">
        <f>IF(AZ$15&lt;Assumptions!$D130,0,$F7*Assumptions!$F$130*'NOI Walk'!AZ16/'NOI Walk'!$C$3*AZ$10*$G7)</f>
        <v>4224.5382312211423</v>
      </c>
      <c r="BA28" s="24">
        <f>IF(BA$15&lt;Assumptions!$D130,0,$F7*Assumptions!$F$130*'NOI Walk'!BA16/'NOI Walk'!$C$3*BA$10*$G7)</f>
        <v>4231.579128273177</v>
      </c>
      <c r="BB28" s="24">
        <f>IF(BB$15&lt;Assumptions!$D130,0,$F7*Assumptions!$F$130*'NOI Walk'!BB16/'NOI Walk'!$C$3*BB$10*$G7)</f>
        <v>4238.631760153633</v>
      </c>
      <c r="BC28" s="24">
        <f>IF(BC$15&lt;Assumptions!$D130,0,$F7*Assumptions!$F$130*'NOI Walk'!BC16/'NOI Walk'!$C$3*BC$10*$G7)</f>
        <v>4245.696146420556</v>
      </c>
      <c r="BD28" s="24">
        <f>IF(BD$15&lt;Assumptions!$D130,0,$F7*Assumptions!$F$130*'NOI Walk'!BD16/'NOI Walk'!$C$3*BD$10*$G7)</f>
        <v>4252.7723066645904</v>
      </c>
      <c r="BE28" s="24">
        <f>IF(BE$15&lt;Assumptions!$D130,0,$F7*Assumptions!$F$130*'NOI Walk'!BE16/'NOI Walk'!$C$3*BE$10*$G7)</f>
        <v>4259.8602605090318</v>
      </c>
      <c r="BF28" s="24">
        <f>IF(BF$15&lt;Assumptions!$D130,0,$F7*Assumptions!$F$130*'NOI Walk'!BF16/'NOI Walk'!$C$3*BF$10*$G7)</f>
        <v>4266.9600276098809</v>
      </c>
      <c r="BG28" s="24">
        <f>IF(BG$15&lt;Assumptions!$D130,0,$F7*Assumptions!$F$130*'NOI Walk'!BG16/'NOI Walk'!$C$3*BG$10*$G7)</f>
        <v>4274.0716276558969</v>
      </c>
      <c r="BH28" s="24">
        <f>IF(BH$15&lt;Assumptions!$D130,0,$F7*Assumptions!$F$130*'NOI Walk'!BH16/'NOI Walk'!$C$3*BH$10*$G7)</f>
        <v>4281.1950803686577</v>
      </c>
      <c r="BI28" s="24">
        <f>IF(BI$15&lt;Assumptions!$D130,0,$F7*Assumptions!$F$130*'NOI Walk'!BI16/'NOI Walk'!$C$3*BI$10*$G7)</f>
        <v>4288.3304055026056</v>
      </c>
      <c r="BJ28" s="24">
        <f>IF(BJ$15&lt;Assumptions!$D130,0,$F7*Assumptions!$F$130*'NOI Walk'!BJ16/'NOI Walk'!$C$3*BJ$10*$G7)</f>
        <v>4295.4776228451101</v>
      </c>
      <c r="BK28" s="24">
        <f>IF(BK$15&lt;Assumptions!$D130,0,$F7*Assumptions!$F$130*'NOI Walk'!BK16/'NOI Walk'!$C$3*BK$10*$G7)</f>
        <v>4302.6367522165192</v>
      </c>
      <c r="BL28" s="24">
        <f>IF(BL$15&lt;Assumptions!$D130,0,$F7*Assumptions!$F$130*'NOI Walk'!BL16/'NOI Walk'!$C$3*BL$10*$G7)</f>
        <v>4309.8078134702127</v>
      </c>
      <c r="BM28" s="24">
        <f>IF(BM$15&lt;Assumptions!$D130,0,$F7*Assumptions!$F$130*'NOI Walk'!BM16/'NOI Walk'!$C$3*BM$10*$G7)</f>
        <v>4316.9908264926644</v>
      </c>
      <c r="BN28" s="24">
        <f>IF(BN$15&lt;Assumptions!$D130,0,$F7*Assumptions!$F$130*'NOI Walk'!BN16/'NOI Walk'!$C$3*BN$10*$G7)</f>
        <v>4324.1858112034852</v>
      </c>
      <c r="BO28" s="24">
        <f>IF(BO$15&lt;Assumptions!$D130,0,$F7*Assumptions!$F$130*'NOI Walk'!BO16/'NOI Walk'!$C$3*BO$10*$G7)</f>
        <v>4331.3927875554919</v>
      </c>
      <c r="BP28" s="24">
        <f>IF(BP$15&lt;Assumptions!$D130,0,$F7*Assumptions!$F$130*'NOI Walk'!BP16/'NOI Walk'!$C$3*BP$10*$G7)</f>
        <v>4338.6117755347514</v>
      </c>
      <c r="BQ28" s="24">
        <f>IF(BQ$15&lt;Assumptions!$D130,0,$F7*Assumptions!$F$130*'NOI Walk'!BQ16/'NOI Walk'!$C$3*BQ$10*$G7)</f>
        <v>4345.8427951606427</v>
      </c>
      <c r="BR28" s="24">
        <f>IF(BR$15&lt;Assumptions!$D130,0,$F7*Assumptions!$F$130*'NOI Walk'!BR16/'NOI Walk'!$C$3*BR$10*$G7)</f>
        <v>4353.0858664859106</v>
      </c>
      <c r="BS28" s="24">
        <f>IF(BS$15&lt;Assumptions!$D130,0,$F7*Assumptions!$F$130*'NOI Walk'!BS16/'NOI Walk'!$C$3*BS$10*$G7)</f>
        <v>4360.3410095967211</v>
      </c>
      <c r="BT28" s="24">
        <f>IF(BT$15&lt;Assumptions!$D130,0,$F7*Assumptions!$F$130*'NOI Walk'!BT16/'NOI Walk'!$C$3*BT$10*$G7)</f>
        <v>4367.6082446127157</v>
      </c>
      <c r="BU28" s="24">
        <f>IF(BU$15&lt;Assumptions!$D130,0,$F7*Assumptions!$F$130*'NOI Walk'!BU16/'NOI Walk'!$C$3*BU$10*$G7)</f>
        <v>4374.8875916870702</v>
      </c>
      <c r="BV28" s="24">
        <f>IF(BV$15&lt;Assumptions!$D130,0,$F7*Assumptions!$F$130*'NOI Walk'!BV16/'NOI Walk'!$C$3*BV$10*$G7)</f>
        <v>4382.1790710065488</v>
      </c>
      <c r="BW28" s="24">
        <f>IF(BW$15&lt;Assumptions!$D130,0,$F7*Assumptions!$F$130*'NOI Walk'!BW16/'NOI Walk'!$C$3*BW$10*$G7)</f>
        <v>4389.4827027915599</v>
      </c>
      <c r="BX28" s="24">
        <f>IF(BX$15&lt;Assumptions!$D130,0,$F7*Assumptions!$F$130*'NOI Walk'!BX16/'NOI Walk'!$C$3*BX$10*$G7)</f>
        <v>4396.7985072962138</v>
      </c>
      <c r="BY28" s="24">
        <f>IF(BY$15&lt;Assumptions!$D130,0,$F7*Assumptions!$F$130*'NOI Walk'!BY16/'NOI Walk'!$C$3*BY$10*$G7)</f>
        <v>4404.1265048083733</v>
      </c>
      <c r="BZ28" s="24">
        <f>IF(BZ$15&lt;Assumptions!$D130,0,$F7*Assumptions!$F$130*'NOI Walk'!BZ16/'NOI Walk'!$C$3*BZ$10*$G7)</f>
        <v>4411.4667156497217</v>
      </c>
      <c r="CA28" s="24">
        <f>IF(CA$15&lt;Assumptions!$D130,0,$F7*Assumptions!$F$130*'NOI Walk'!CA16/'NOI Walk'!$C$3*CA$10*$G7)</f>
        <v>4418.8191601758044</v>
      </c>
      <c r="CB28" s="24">
        <f>IF(CB$15&lt;Assumptions!$D130,0,$F7*Assumptions!$F$130*'NOI Walk'!CB16/'NOI Walk'!$C$3*CB$10*$G7)</f>
        <v>4426.1838587760976</v>
      </c>
      <c r="CC28" s="24">
        <f>IF(CC$15&lt;Assumptions!$D130,0,$F7*Assumptions!$F$130*'NOI Walk'!CC16/'NOI Walk'!$C$3*CC$10*$G7)</f>
        <v>4433.5608318740587</v>
      </c>
      <c r="CD28" s="24">
        <f>IF(CD$15&lt;Assumptions!$D130,0,$F7*Assumptions!$F$130*'NOI Walk'!CD16/'NOI Walk'!$C$3*CD$10*$G7)</f>
        <v>4440.9500999271822</v>
      </c>
      <c r="CE28" s="24">
        <f>IF(CE$15&lt;Assumptions!$D130,0,$F7*Assumptions!$F$130*'NOI Walk'!CE16/'NOI Walk'!$C$3*CE$10*$G7)</f>
        <v>4448.3516834270604</v>
      </c>
      <c r="CF28" s="24">
        <f>IF(CF$15&lt;Assumptions!$D130,0,$F7*Assumptions!$F$130*'NOI Walk'!CF16/'NOI Walk'!$C$3*CF$10*$G7)</f>
        <v>4455.7656028994397</v>
      </c>
      <c r="CG28" s="24">
        <f>IF(CG$15&lt;Assumptions!$D130,0,$F7*Assumptions!$F$130*'NOI Walk'!CG16/'NOI Walk'!$C$3*CG$10*$G7)</f>
        <v>4463.191878904272</v>
      </c>
      <c r="CH28" s="24">
        <f>IF(CH$15&lt;Assumptions!$D130,0,$F7*Assumptions!$F$130*'NOI Walk'!CH16/'NOI Walk'!$C$3*CH$10*$G7)</f>
        <v>4470.6305320357797</v>
      </c>
      <c r="CI28" s="24">
        <f>IF(CI$15&lt;Assumptions!$D130,0,$F7*Assumptions!$F$130*'NOI Walk'!CI16/'NOI Walk'!$C$3*CI$10*$G7)</f>
        <v>4478.0815829225066</v>
      </c>
      <c r="CJ28" s="24">
        <f>IF(CJ$15&lt;Assumptions!$D130,0,$F7*Assumptions!$F$130*'NOI Walk'!CJ16/'NOI Walk'!$C$3*CJ$10*$G7)</f>
        <v>4485.5450522273777</v>
      </c>
      <c r="CK28" s="24">
        <f>IF(CK$15&lt;Assumptions!$D130,0,$F7*Assumptions!$F$130*'NOI Walk'!CK16/'NOI Walk'!$C$3*CK$10*$G7)</f>
        <v>4493.0209606477574</v>
      </c>
      <c r="CL28" s="24">
        <f>IF(CL$15&lt;Assumptions!$D130,0,$F7*Assumptions!$F$130*'NOI Walk'!CL16/'NOI Walk'!$C$3*CL$10*$G7)</f>
        <v>4500.5093289155029</v>
      </c>
      <c r="CM28" s="24">
        <f>IF(CM$15&lt;Assumptions!$D130,0,$F7*Assumptions!$F$130*'NOI Walk'!CM16/'NOI Walk'!$C$3*CM$10*$G7)</f>
        <v>4508.0101777970303</v>
      </c>
      <c r="CN28" s="24">
        <f>IF(CN$15&lt;Assumptions!$D130,0,$F7*Assumptions!$F$130*'NOI Walk'!CN16/'NOI Walk'!$C$3*CN$10*$G7)</f>
        <v>4515.5235280933593</v>
      </c>
      <c r="CO28" s="24">
        <f>IF(CO$15&lt;Assumptions!$D130,0,$F7*Assumptions!$F$130*'NOI Walk'!CO16/'NOI Walk'!$C$3*CO$10*$G7)</f>
        <v>4523.0494006401805</v>
      </c>
      <c r="CP28" s="24">
        <f>IF(CP$15&lt;Assumptions!$D130,0,$F7*Assumptions!$F$130*'NOI Walk'!CP16/'NOI Walk'!$C$3*CP$10*$G7)</f>
        <v>4530.5878163079142</v>
      </c>
      <c r="CQ28" s="24">
        <f>IF(CQ$15&lt;Assumptions!$D130,0,$F7*Assumptions!$F$130*'NOI Walk'!CQ16/'NOI Walk'!$C$3*CQ$10*$G7)</f>
        <v>4538.1387960017619</v>
      </c>
      <c r="CR28" s="24">
        <f>IF(CR$15&lt;Assumptions!$D130,0,$F7*Assumptions!$F$130*'NOI Walk'!CR16/'NOI Walk'!$C$3*CR$10*$G7)</f>
        <v>4545.7023606617649</v>
      </c>
      <c r="CS28" s="24">
        <f>IF(CS$15&lt;Assumptions!$D130,0,$F7*Assumptions!$F$130*'NOI Walk'!CS16/'NOI Walk'!$C$3*CS$10*$G7)</f>
        <v>4553.2785312628685</v>
      </c>
      <c r="CT28" s="24">
        <f>IF(CT$15&lt;Assumptions!$D130,0,$F7*Assumptions!$F$130*'NOI Walk'!CT16/'NOI Walk'!$C$3*CT$10*$G7)</f>
        <v>4560.867328814973</v>
      </c>
      <c r="CU28" s="24">
        <f>IF(CU$15&lt;Assumptions!$D130,0,$F7*Assumptions!$F$130*'NOI Walk'!CU16/'NOI Walk'!$C$3*CU$10*$G7)</f>
        <v>4568.4687743629984</v>
      </c>
      <c r="CV28" s="24">
        <f>IF(CV$15&lt;Assumptions!$D130,0,$F7*Assumptions!$F$130*'NOI Walk'!CV16/'NOI Walk'!$C$3*CV$10*$G7)</f>
        <v>4576.0828889869381</v>
      </c>
      <c r="CW28" s="24">
        <f>IF(CW$15&lt;Assumptions!$D130,0,$F7*Assumptions!$F$130*'NOI Walk'!CW16/'NOI Walk'!$C$3*CW$10*$G7)</f>
        <v>4583.7096938019167</v>
      </c>
      <c r="CX28" s="24">
        <f>IF(CX$15&lt;Assumptions!$D130,0,$F7*Assumptions!$F$130*'NOI Walk'!CX16/'NOI Walk'!$C$3*CX$10*$G7)</f>
        <v>4591.3492099582527</v>
      </c>
      <c r="CY28" s="24">
        <f>IF(CY$15&lt;Assumptions!$D130,0,$F7*Assumptions!$F$130*'NOI Walk'!CY16/'NOI Walk'!$C$3*CY$10*$G7)</f>
        <v>4599.0014586415173</v>
      </c>
      <c r="CZ28" s="24">
        <f>IF(CZ$15&lt;Assumptions!$D130,0,$F7*Assumptions!$F$130*'NOI Walk'!CZ16/'NOI Walk'!$C$3*CZ$10*$G7)</f>
        <v>4606.6664610725866</v>
      </c>
      <c r="DA28" s="24">
        <f>IF(DA$15&lt;Assumptions!$D130,0,$F7*Assumptions!$F$130*'NOI Walk'!DA16/'NOI Walk'!$C$3*DA$10*$G7)</f>
        <v>4614.3442385077078</v>
      </c>
      <c r="DB28" s="24">
        <f>IF(DB$15&lt;Assumptions!$D130,0,$F7*Assumptions!$F$130*'NOI Walk'!DB16/'NOI Walk'!$C$3*DB$10*$G7)</f>
        <v>4622.034812238554</v>
      </c>
      <c r="DC28" s="24">
        <f>IF(DC$15&lt;Assumptions!$D130,0,$F7*Assumptions!$F$130*'NOI Walk'!DC16/'NOI Walk'!$C$3*DC$10*$G7)</f>
        <v>4629.7382035922856</v>
      </c>
      <c r="DD28" s="24">
        <f>IF(DD$15&lt;Assumptions!$D130,0,$F7*Assumptions!$F$130*'NOI Walk'!DD16/'NOI Walk'!$C$3*DD$10*$G7)</f>
        <v>4637.4544339316071</v>
      </c>
      <c r="DE28" s="24">
        <f>IF(DE$15&lt;Assumptions!$D130,0,$F7*Assumptions!$F$130*'NOI Walk'!DE16/'NOI Walk'!$C$3*DE$10*$G7)</f>
        <v>4645.1835246548253</v>
      </c>
      <c r="DF28" s="24">
        <f>IF(DF$15&lt;Assumptions!$D130,0,$F7*Assumptions!$F$130*'NOI Walk'!DF16/'NOI Walk'!$C$3*DF$10*$G7)</f>
        <v>4652.9254971959172</v>
      </c>
      <c r="DG28" s="24">
        <f>IF(DG$15&lt;Assumptions!$D130,0,$F7*Assumptions!$F$130*'NOI Walk'!DG16/'NOI Walk'!$C$3*DG$10*$G7)</f>
        <v>4660.6803730245774</v>
      </c>
      <c r="DH28" s="24">
        <f>IF(DH$15&lt;Assumptions!$D130,0,$F7*Assumptions!$F$130*'NOI Walk'!DH16/'NOI Walk'!$C$3*DH$10*$G7)</f>
        <v>4668.4481736462849</v>
      </c>
      <c r="DI28" s="24">
        <f>IF(DI$15&lt;Assumptions!$D130,0,$F7*Assumptions!$F$130*'NOI Walk'!DI16/'NOI Walk'!$C$3*DI$10*$G7)</f>
        <v>4676.2289206023634</v>
      </c>
      <c r="DJ28" s="24">
        <f>IF(DJ$15&lt;Assumptions!$D130,0,$F7*Assumptions!$F$130*'NOI Walk'!DJ16/'NOI Walk'!$C$3*DJ$10*$G7)</f>
        <v>4684.0226354700344</v>
      </c>
      <c r="DK28" s="24">
        <f>IF(DK$15&lt;Assumptions!$D130,0,$F7*Assumptions!$F$130*'NOI Walk'!DK16/'NOI Walk'!$C$3*DK$10*$G7)</f>
        <v>4691.8293398624846</v>
      </c>
      <c r="DL28" s="24">
        <f>IF(DL$15&lt;Assumptions!$D130,0,$F7*Assumptions!$F$130*'NOI Walk'!DL16/'NOI Walk'!$C$3*DL$10*$G7)</f>
        <v>4699.649055428923</v>
      </c>
      <c r="DM28" s="24">
        <f>IF(DM$15&lt;Assumptions!$D130,0,$F7*Assumptions!$F$130*'NOI Walk'!DM16/'NOI Walk'!$C$3*DM$10*$G7)</f>
        <v>4707.4818038546382</v>
      </c>
      <c r="DN28" s="24">
        <f>IF(DN$15&lt;Assumptions!$D130,0,$F7*Assumptions!$F$130*'NOI Walk'!DN16/'NOI Walk'!$C$3*DN$10*$G7)</f>
        <v>4715.3276068610621</v>
      </c>
      <c r="DO28" s="24">
        <f>IF(DO$15&lt;Assumptions!$D130,0,$F7*Assumptions!$F$130*'NOI Walk'!DO16/'NOI Walk'!$C$3*DO$10*$G7)</f>
        <v>4723.186486205831</v>
      </c>
      <c r="DP28" s="24">
        <f>IF(DP$15&lt;Assumptions!$D130,0,$F7*Assumptions!$F$130*'NOI Walk'!DP16/'NOI Walk'!$C$3*DP$10*$G7)</f>
        <v>4731.0584636828407</v>
      </c>
      <c r="DQ28" s="24">
        <f>IF(DQ$15&lt;Assumptions!$D130,0,$F7*Assumptions!$F$130*'NOI Walk'!DQ16/'NOI Walk'!$C$3*DQ$10*$G7)</f>
        <v>4738.9435611223134</v>
      </c>
      <c r="DR28" s="24">
        <f>IF(DR$15&lt;Assumptions!$D130,0,$F7*Assumptions!$F$130*'NOI Walk'!DR16/'NOI Walk'!$C$3*DR$10*$G7)</f>
        <v>4746.84180039085</v>
      </c>
      <c r="DS28" s="24">
        <f>IF(DS$15&lt;Assumptions!$D130,0,$F7*Assumptions!$F$130*'NOI Walk'!DS16/'NOI Walk'!$C$3*DS$10*$G7)</f>
        <v>4754.7532033915022</v>
      </c>
      <c r="DT28" s="24">
        <f>IF(DT$15&lt;Assumptions!$D130,0,$F7*Assumptions!$F$130*'NOI Walk'!DT16/'NOI Walk'!$C$3*DT$10*$G7)</f>
        <v>4762.6777920638224</v>
      </c>
      <c r="DU28" s="24">
        <f>IF(DU$15&lt;Assumptions!$D130,0,$F7*Assumptions!$F$130*'NOI Walk'!DU16/'NOI Walk'!$C$3*DU$10*$G7)</f>
        <v>4770.6155883839283</v>
      </c>
      <c r="DV28" s="24">
        <f>IF(DV$15&lt;Assumptions!$D130,0,$F7*Assumptions!$F$130*'NOI Walk'!DV16/'NOI Walk'!$C$3*DV$10*$G7)</f>
        <v>4778.5666143645685</v>
      </c>
      <c r="DW28" s="24">
        <f>IF(DW$15&lt;Assumptions!$D130,0,$F7*Assumptions!$F$130*'NOI Walk'!DW16/'NOI Walk'!$C$3*DW$10*$G7)</f>
        <v>4786.530892055177</v>
      </c>
      <c r="DX28" s="24">
        <f>IF(DX$15&lt;Assumptions!$D130,0,$F7*Assumptions!$F$130*'NOI Walk'!DX16/'NOI Walk'!$C$3*DX$10*$G7)</f>
        <v>4794.5084435419349</v>
      </c>
      <c r="DY28" s="24">
        <f>IF(DY$15&lt;Assumptions!$D130,0,$F7*Assumptions!$F$130*'NOI Walk'!DY16/'NOI Walk'!$C$3*DY$10*$G7)</f>
        <v>4802.4992909478387</v>
      </c>
      <c r="DZ28" s="24">
        <f>IF(DZ$15&lt;Assumptions!$D130,0,$F7*Assumptions!$F$130*'NOI Walk'!DZ16/'NOI Walk'!$C$3*DZ$10*$G7)</f>
        <v>4810.5034564327516</v>
      </c>
      <c r="EA28" s="24">
        <f>IF(EA$15&lt;Assumptions!$D130,0,$F7*Assumptions!$F$130*'NOI Walk'!EA16/'NOI Walk'!$C$3*EA$10*$G7)</f>
        <v>4818.5209621934746</v>
      </c>
      <c r="EB28" s="24">
        <f>IF(EB$15&lt;Assumptions!$D130,0,$F7*Assumptions!$F$130*'NOI Walk'!EB16/'NOI Walk'!$C$3*EB$10*$G7)</f>
        <v>4826.5518304637972</v>
      </c>
      <c r="EC28" s="24">
        <f>IF(EC$15&lt;Assumptions!$D130,0,$F7*Assumptions!$F$130*'NOI Walk'!EC16/'NOI Walk'!$C$3*EC$10*$G7)</f>
        <v>4834.5960835145706</v>
      </c>
      <c r="ED28" s="24">
        <f>IF(ED$15&lt;Assumptions!$D130,0,$F7*Assumptions!$F$130*'NOI Walk'!ED16/'NOI Walk'!$C$3*ED$10*$G7)</f>
        <v>4842.653743653761</v>
      </c>
      <c r="EE28" s="24">
        <f>IF(EE$15&lt;Assumptions!$D130,0,$F7*Assumptions!$F$130*'NOI Walk'!EE16/'NOI Walk'!$C$3*EE$10*$G7)</f>
        <v>4850.7248332265181</v>
      </c>
      <c r="EF28" s="24">
        <f>IF(EF$15&lt;Assumptions!$D130,0,$F7*Assumptions!$F$130*'NOI Walk'!EF16/'NOI Walk'!$C$3*EF$10*$G7)</f>
        <v>4858.8093746152299</v>
      </c>
    </row>
    <row r="29" spans="2:136" x14ac:dyDescent="0.45">
      <c r="B29" s="1" t="s">
        <v>284</v>
      </c>
      <c r="E29" s="24">
        <f>-IF(E15&lt;$K$5,0,(E24*$C$7))</f>
        <v>0</v>
      </c>
      <c r="F29" s="24">
        <f>-IF(F15&lt;$K$5,0,(F24*$C$7))</f>
        <v>0</v>
      </c>
      <c r="G29" s="24">
        <f>-IF(G15&lt;$K$5,0,(G24*$C$7))</f>
        <v>0</v>
      </c>
      <c r="H29" s="24">
        <f>-IF(H15&lt;$K$5,0,(H24*$C$7))</f>
        <v>0</v>
      </c>
      <c r="I29" s="24">
        <f>-IF(I15&lt;$K$5,0,(I24*$C$7))</f>
        <v>0</v>
      </c>
      <c r="J29" s="24">
        <f>-IF(J15&lt;$K$5,0,(J24*$C$7))</f>
        <v>0</v>
      </c>
      <c r="K29" s="24">
        <f>-IF(K15&lt;$K$5,0,(K24*$C$7))</f>
        <v>0</v>
      </c>
      <c r="L29" s="24">
        <f>-IF(L15&lt;$K$5,0,(L24*$C$7))</f>
        <v>0</v>
      </c>
      <c r="M29" s="24">
        <f>-IF(M15&lt;$K$5,0,(M24*$C$7))</f>
        <v>0</v>
      </c>
      <c r="N29" s="24">
        <f>-IF(N15&lt;$K$5,0,(N24*$C$7))</f>
        <v>0</v>
      </c>
      <c r="O29" s="24">
        <f>-IF(O15&lt;$K$5,0,(O24*$C$7))</f>
        <v>0</v>
      </c>
      <c r="P29" s="24">
        <f>-IF(P15&lt;$K$5,0,(P24*$C$7))</f>
        <v>0</v>
      </c>
      <c r="Q29" s="24">
        <f>-IF(Q15&lt;$K$5,0,(Q24*$C$7))</f>
        <v>0</v>
      </c>
      <c r="R29" s="24">
        <f>-IF(R15&lt;$K$5,0,(R24*$C$7))</f>
        <v>0</v>
      </c>
      <c r="S29" s="24">
        <f>-IF(S15&lt;$K$5,0,(S24*$C$7))</f>
        <v>0</v>
      </c>
      <c r="T29" s="24">
        <f>-IF(T15&lt;$K$5,0,(T24*$C$7))</f>
        <v>0</v>
      </c>
      <c r="U29" s="24">
        <f>-IF(U15&lt;$K$5,0,(U24*$C$7))</f>
        <v>0</v>
      </c>
      <c r="V29" s="24">
        <f>-IF(V15&lt;$K$5,0,(V24*$C$7))</f>
        <v>0</v>
      </c>
      <c r="W29" s="24">
        <f>-IF(W15&lt;$K$5,0,(W24*$C$7))</f>
        <v>0</v>
      </c>
      <c r="X29" s="24">
        <f>-IF(X15&lt;$K$5,0,(X24*$C$7))</f>
        <v>0</v>
      </c>
      <c r="Y29" s="24">
        <f>-IF(Y15&lt;$K$5,0,(Y24*$C$7))</f>
        <v>0</v>
      </c>
      <c r="Z29" s="24">
        <f>-IF(Z15&lt;$K$5,0,(Z24*$C$7))</f>
        <v>0</v>
      </c>
      <c r="AA29" s="24">
        <f>-IF(AA15&lt;$K$5,0,(AA24*$C$7))</f>
        <v>0</v>
      </c>
      <c r="AB29" s="24">
        <f>-IF(AB15&lt;$K$5,0,(AB24*$C$7))</f>
        <v>0</v>
      </c>
      <c r="AC29" s="24">
        <f>-IF(AC15&lt;$K$5,0,(AC24*$C$7))</f>
        <v>0</v>
      </c>
      <c r="AD29" s="24">
        <f>-IF(AD15&lt;$K$5,0,(AD24*$C$7))</f>
        <v>0</v>
      </c>
      <c r="AE29" s="24">
        <f>-IF(AE15&lt;$K$5,0,(AE24*$C$7))</f>
        <v>0</v>
      </c>
      <c r="AF29" s="24">
        <f>-IF(AF15&lt;$K$5,0,(AF24*$C$7))</f>
        <v>0</v>
      </c>
      <c r="AG29" s="24">
        <f>-IF(AG15&lt;$K$5,0,(AG24*$C$7))</f>
        <v>0</v>
      </c>
      <c r="AH29" s="24">
        <f>-IF(AH15&lt;$K$5,0,(AH24*$C$7))</f>
        <v>0</v>
      </c>
      <c r="AI29" s="24">
        <f>-IF(AI15&lt;$K$5,0,(AI24*$C$7))</f>
        <v>-2929.0183262358687</v>
      </c>
      <c r="AJ29" s="24">
        <f>-IF(AJ15&lt;$K$5,0,(AJ24*$C$7))</f>
        <v>-2934.9968420007112</v>
      </c>
      <c r="AK29" s="24">
        <f>-IF(AK15&lt;$K$5,0,(AK24*$C$7))</f>
        <v>-2940.9875668816881</v>
      </c>
      <c r="AL29" s="24">
        <f>-IF(AL15&lt;$K$5,0,(AL24*$C$7))</f>
        <v>-2946.9905259470443</v>
      </c>
      <c r="AM29" s="24">
        <f>-IF(AM15&lt;$K$5,0,(AM24*$C$7))</f>
        <v>-2953.0057443165806</v>
      </c>
      <c r="AN29" s="24">
        <f>-IF(AN15&lt;$K$5,0,(AN24*$C$7))</f>
        <v>-2959.0332471617435</v>
      </c>
      <c r="AO29" s="24">
        <f>-IF(AO15&lt;$K$5,0,(AO24*$C$7))</f>
        <v>-2965.0730597057154</v>
      </c>
      <c r="AP29" s="24">
        <f>-IF(AP15&lt;$K$5,0,(AP24*$C$7))</f>
        <v>-2971.1252072235466</v>
      </c>
      <c r="AQ29" s="24">
        <f>-IF(AQ15&lt;$K$5,0,(AQ24*$C$7))</f>
        <v>-2977.1897150422201</v>
      </c>
      <c r="AR29" s="24">
        <f>-IF(AR15&lt;$K$5,0,(AR24*$C$7))</f>
        <v>-2983.2666085408155</v>
      </c>
      <c r="AS29" s="24">
        <f>-IF(AS15&lt;$K$5,0,(AS24*$C$7))</f>
        <v>-2989.3559131505731</v>
      </c>
      <c r="AT29" s="24">
        <f>-IF(AT15&lt;$K$5,0,(AT24*$C$7))</f>
        <v>-2995.4576543550038</v>
      </c>
      <c r="AU29" s="24">
        <f>-IF(AU15&lt;$K$5,0,(AU24*$C$7))</f>
        <v>-3001.5718576900317</v>
      </c>
      <c r="AV29" s="24">
        <f>-IF(AV15&lt;$K$5,0,(AV24*$C$7))</f>
        <v>-3007.6985487440443</v>
      </c>
      <c r="AW29" s="24">
        <f>-IF(AW15&lt;$K$5,0,(AW24*$C$7))</f>
        <v>-3013.8377531580691</v>
      </c>
      <c r="AX29" s="24">
        <f>-IF(AX15&lt;$K$5,0,(AX24*$C$7))</f>
        <v>-3019.9894966258312</v>
      </c>
      <c r="AY29" s="24">
        <f>-IF(AY15&lt;$K$5,0,(AY24*$C$7))</f>
        <v>-3026.1538048938655</v>
      </c>
      <c r="AZ29" s="24">
        <f>-IF(AZ15&lt;$K$5,0,(AZ24*$C$7))</f>
        <v>-3032.3307037616423</v>
      </c>
      <c r="BA29" s="24">
        <f>-IF(BA15&lt;$K$5,0,(BA24*$C$7))</f>
        <v>-3038.5202190816885</v>
      </c>
      <c r="BB29" s="24">
        <f>-IF(BB15&lt;$K$5,0,(BB24*$C$7))</f>
        <v>-3044.722376759657</v>
      </c>
      <c r="BC29" s="24">
        <f>-IF(BC15&lt;$K$5,0,(BC24*$C$7))</f>
        <v>-3050.937202754465</v>
      </c>
      <c r="BD29" s="24">
        <f>-IF(BD15&lt;$K$5,0,(BD24*$C$7))</f>
        <v>-3057.1647230784019</v>
      </c>
      <c r="BE29" s="24">
        <f>-IF(BE15&lt;$K$5,0,(BE24*$C$7))</f>
        <v>-3063.4049637972275</v>
      </c>
      <c r="BF29" s="24">
        <f>-IF(BF15&lt;$K$5,0,(BF24*$C$7))</f>
        <v>-3069.6579510302827</v>
      </c>
      <c r="BG29" s="24">
        <f>-IF(BG15&lt;$K$5,0,(BG24*$C$7))</f>
        <v>-3075.9237109506198</v>
      </c>
      <c r="BH29" s="24">
        <f>-IF(BH15&lt;$K$5,0,(BH24*$C$7))</f>
        <v>-3082.2022697850798</v>
      </c>
      <c r="BI29" s="24">
        <f>-IF(BI15&lt;$K$5,0,(BI24*$C$7))</f>
        <v>-3088.493653814437</v>
      </c>
      <c r="BJ29" s="24">
        <f>-IF(BJ15&lt;$K$5,0,(BJ24*$C$7))</f>
        <v>-3094.7978893734962</v>
      </c>
      <c r="BK29" s="24">
        <f>-IF(BK15&lt;$K$5,0,(BK24*$C$7))</f>
        <v>-3101.1150028511779</v>
      </c>
      <c r="BL29" s="24">
        <f>-IF(BL15&lt;$K$5,0,(BL24*$C$7))</f>
        <v>-3107.4450206906845</v>
      </c>
      <c r="BM29" s="24">
        <f>-IF(BM15&lt;$K$5,0,(BM24*$C$7))</f>
        <v>-3113.7879693895666</v>
      </c>
      <c r="BN29" s="24">
        <f>-IF(BN15&lt;$K$5,0,(BN24*$C$7))</f>
        <v>-3120.1438754998371</v>
      </c>
      <c r="BO29" s="24">
        <f>-IF(BO15&lt;$K$5,0,(BO24*$C$7))</f>
        <v>-3126.5127656281193</v>
      </c>
      <c r="BP29" s="24">
        <f>-IF(BP15&lt;$K$5,0,(BP24*$C$7))</f>
        <v>-3132.89466643572</v>
      </c>
      <c r="BQ29" s="24">
        <f>-IF(BQ15&lt;$K$5,0,(BQ24*$C$7))</f>
        <v>-3139.2896046387623</v>
      </c>
      <c r="BR29" s="24">
        <f>-IF(BR15&lt;$K$5,0,(BR24*$C$7))</f>
        <v>-3145.6976070082992</v>
      </c>
      <c r="BS29" s="24">
        <f>-IF(BS15&lt;$K$5,0,(BS24*$C$7))</f>
        <v>-3152.1187003704154</v>
      </c>
      <c r="BT29" s="24">
        <f>-IF(BT15&lt;$K$5,0,(BT24*$C$7))</f>
        <v>-3158.5529116063349</v>
      </c>
      <c r="BU29" s="24">
        <f>-IF(BU15&lt;$K$5,0,(BU24*$C$7))</f>
        <v>-3165.0002676525664</v>
      </c>
      <c r="BV29" s="24">
        <f>-IF(BV15&lt;$K$5,0,(BV24*$C$7))</f>
        <v>-3171.4607955009733</v>
      </c>
      <c r="BW29" s="24">
        <f>-IF(BW15&lt;$K$5,0,(BW24*$C$7))</f>
        <v>-3177.9345221989438</v>
      </c>
      <c r="BX29" s="24">
        <f>-IF(BX15&lt;$K$5,0,(BX24*$C$7))</f>
        <v>-3184.4214748494319</v>
      </c>
      <c r="BY29" s="24">
        <f>-IF(BY15&lt;$K$5,0,(BY24*$C$7))</f>
        <v>-3190.9216806111467</v>
      </c>
      <c r="BZ29" s="24">
        <f>-IF(BZ15&lt;$K$5,0,(BZ24*$C$7))</f>
        <v>-3197.4351666986058</v>
      </c>
      <c r="CA29" s="24">
        <f>-IF(CA15&lt;$K$5,0,(CA24*$C$7))</f>
        <v>-3203.9619603822871</v>
      </c>
      <c r="CB29" s="24">
        <f>-IF(CB15&lt;$K$5,0,(CB24*$C$7))</f>
        <v>-3210.5020889887437</v>
      </c>
      <c r="CC29" s="24">
        <f>-IF(CC15&lt;$K$5,0,(CC24*$C$7))</f>
        <v>-3217.0555799006861</v>
      </c>
      <c r="CD29" s="24">
        <f>-IF(CD15&lt;$K$5,0,(CD24*$C$7))</f>
        <v>-3223.6224605571351</v>
      </c>
      <c r="CE29" s="24">
        <f>-IF(CE15&lt;$K$5,0,(CE24*$C$7))</f>
        <v>-3230.2027584535226</v>
      </c>
      <c r="CF29" s="24">
        <f>-IF(CF15&lt;$K$5,0,(CF24*$C$7))</f>
        <v>-3236.7965011418</v>
      </c>
      <c r="CG29" s="24">
        <f>-IF(CG15&lt;$K$5,0,(CG24*$C$7))</f>
        <v>-3243.4037162305681</v>
      </c>
      <c r="CH29" s="24">
        <f>-IF(CH15&lt;$K$5,0,(CH24*$C$7))</f>
        <v>-3250.0244313852018</v>
      </c>
      <c r="CI29" s="24">
        <f>-IF(CI15&lt;$K$5,0,(CI24*$C$7))</f>
        <v>-3256.6586743279186</v>
      </c>
      <c r="CJ29" s="24">
        <f>-IF(CJ15&lt;$K$5,0,(CJ24*$C$7))</f>
        <v>-3263.3064728379568</v>
      </c>
      <c r="CK29" s="24">
        <f>-IF(CK15&lt;$K$5,0,(CK24*$C$7))</f>
        <v>-3269.9678547516619</v>
      </c>
      <c r="CL29" s="24">
        <f>-IF(CL15&lt;$K$5,0,(CL24*$C$7))</f>
        <v>-3276.6428479625997</v>
      </c>
      <c r="CM29" s="24">
        <f>-IF(CM15&lt;$K$5,0,(CM24*$C$7))</f>
        <v>-3283.3314804217007</v>
      </c>
      <c r="CN29" s="24">
        <f>-IF(CN15&lt;$K$5,0,(CN24*$C$7))</f>
        <v>-3290.0337801373248</v>
      </c>
      <c r="CO29" s="24">
        <f>-IF(CO15&lt;$K$5,0,(CO24*$C$7))</f>
        <v>-3296.7497751754586</v>
      </c>
      <c r="CP29" s="24">
        <f>-IF(CP15&lt;$K$5,0,(CP24*$C$7))</f>
        <v>-3303.4794936597518</v>
      </c>
      <c r="CQ29" s="24">
        <f>-IF(CQ15&lt;$K$5,0,(CQ24*$C$7))</f>
        <v>-3310.2229637716991</v>
      </c>
      <c r="CR29" s="24">
        <f>-IF(CR15&lt;$K$5,0,(CR24*$C$7))</f>
        <v>-3316.980213750714</v>
      </c>
      <c r="CS29" s="24">
        <f>-IF(CS15&lt;$K$5,0,(CS24*$C$7))</f>
        <v>-3323.7512718942953</v>
      </c>
      <c r="CT29" s="24">
        <f>-IF(CT15&lt;$K$5,0,(CT24*$C$7))</f>
        <v>-3330.5361665580845</v>
      </c>
      <c r="CU29" s="24">
        <f>-IF(CU15&lt;$K$5,0,(CU24*$C$7))</f>
        <v>-3337.3349261560456</v>
      </c>
      <c r="CV29" s="24">
        <f>-IF(CV15&lt;$K$5,0,(CV24*$C$7))</f>
        <v>-3344.1475791605499</v>
      </c>
      <c r="CW29" s="24">
        <f>-IF(CW15&lt;$K$5,0,(CW24*$C$7))</f>
        <v>-3350.9741541025146</v>
      </c>
      <c r="CX29" s="24">
        <f>-IF(CX15&lt;$K$5,0,(CX24*$C$7))</f>
        <v>-3357.814679571492</v>
      </c>
      <c r="CY29" s="24">
        <f>-IF(CY15&lt;$K$5,0,(CY24*$C$7))</f>
        <v>-3364.6691842158521</v>
      </c>
      <c r="CZ29" s="24">
        <f>-IF(CZ15&lt;$K$5,0,(CZ24*$C$7))</f>
        <v>-3371.5376967428119</v>
      </c>
      <c r="DA29" s="24">
        <f>-IF(DA15&lt;$K$5,0,(DA24*$C$7))</f>
        <v>-3378.4202459186549</v>
      </c>
      <c r="DB29" s="24">
        <f>-IF(DB15&lt;$K$5,0,(DB24*$C$7))</f>
        <v>-3385.3168605687783</v>
      </c>
      <c r="DC29" s="24">
        <f>-IF(DC15&lt;$K$5,0,(DC24*$C$7))</f>
        <v>-3392.2275695778662</v>
      </c>
      <c r="DD29" s="24">
        <f>-IF(DD15&lt;$K$5,0,(DD24*$C$7))</f>
        <v>-3399.1524018899599</v>
      </c>
      <c r="DE29" s="24">
        <f>-IF(DE15&lt;$K$5,0,(DE24*$C$7))</f>
        <v>-3406.0913865086177</v>
      </c>
      <c r="DF29" s="24">
        <f>-IF(DF15&lt;$K$5,0,(DF24*$C$7))</f>
        <v>-3413.0445524970555</v>
      </c>
      <c r="DG29" s="24">
        <f>-IF(DG15&lt;$K$5,0,(DG24*$C$7))</f>
        <v>-3420.0119289781951</v>
      </c>
      <c r="DH29" s="24">
        <f>-IF(DH15&lt;$K$5,0,(DH24*$C$7))</f>
        <v>-3426.9935451348642</v>
      </c>
      <c r="DI29" s="24">
        <f>-IF(DI15&lt;$K$5,0,(DI24*$C$7))</f>
        <v>-3433.9894302098915</v>
      </c>
      <c r="DJ29" s="24">
        <f>-IF(DJ15&lt;$K$5,0,(DJ24*$C$7))</f>
        <v>-3440.9996135062088</v>
      </c>
      <c r="DK29" s="24">
        <f>-IF(DK15&lt;$K$5,0,(DK24*$C$7))</f>
        <v>-3448.0241243870132</v>
      </c>
      <c r="DL29" s="24">
        <f>-IF(DL15&lt;$K$5,0,(DL24*$C$7))</f>
        <v>-3455.0629922758344</v>
      </c>
      <c r="DM29" s="24">
        <f>-IF(DM15&lt;$K$5,0,(DM24*$C$7))</f>
        <v>-3462.1162466567598</v>
      </c>
      <c r="DN29" s="24">
        <f>-IF(DN15&lt;$K$5,0,(DN24*$C$7))</f>
        <v>-3469.1839170744297</v>
      </c>
      <c r="DO29" s="24">
        <f>-IF(DO15&lt;$K$5,0,(DO24*$C$7))</f>
        <v>-3476.266033134264</v>
      </c>
      <c r="DP29" s="24">
        <f>-IF(DP15&lt;$K$5,0,(DP24*$C$7))</f>
        <v>-3483.3626245025434</v>
      </c>
      <c r="DQ29" s="24">
        <f>-IF(DQ15&lt;$K$5,0,(DQ24*$C$7))</f>
        <v>-3490.473720906542</v>
      </c>
      <c r="DR29" s="24">
        <f>-IF(DR15&lt;$K$5,0,(DR24*$C$7))</f>
        <v>-3497.5993521346622</v>
      </c>
      <c r="DS29" s="24">
        <f>-IF(DS15&lt;$K$5,0,(DS24*$C$7))</f>
        <v>-3504.7395480365144</v>
      </c>
      <c r="DT29" s="24">
        <f>-IF(DT15&lt;$K$5,0,(DT24*$C$7))</f>
        <v>-3511.8943385231146</v>
      </c>
      <c r="DU29" s="24">
        <f>-IF(DU15&lt;$K$5,0,(DU24*$C$7))</f>
        <v>-3519.0637535669803</v>
      </c>
      <c r="DV29" s="24">
        <f>-IF(DV15&lt;$K$5,0,(DV24*$C$7))</f>
        <v>-3526.2478232022218</v>
      </c>
      <c r="DW29" s="24">
        <f>-IF(DW15&lt;$K$5,0,(DW24*$C$7))</f>
        <v>-3533.4465775247131</v>
      </c>
      <c r="DX29" s="24">
        <f>-IF(DX15&lt;$K$5,0,(DX24*$C$7))</f>
        <v>-3540.6600466922159</v>
      </c>
      <c r="DY29" s="24">
        <f>-IF(DY15&lt;$K$5,0,(DY24*$C$7))</f>
        <v>-3547.8882609244911</v>
      </c>
      <c r="DZ29" s="24">
        <f>-IF(DZ15&lt;$K$5,0,(DZ24*$C$7))</f>
        <v>-3555.1312505034061</v>
      </c>
      <c r="EA29" s="24">
        <f>-IF(EA15&lt;$K$5,0,(EA24*$C$7))</f>
        <v>-3562.3890457731272</v>
      </c>
      <c r="EB29" s="24">
        <f>-IF(EB15&lt;$K$5,0,(EB24*$C$7))</f>
        <v>-3569.6616771401855</v>
      </c>
      <c r="EC29" s="24">
        <f>-IF(EC15&lt;$K$5,0,(EC24*$C$7))</f>
        <v>-3576.9491750736456</v>
      </c>
      <c r="ED29" s="24">
        <f>-IF(ED15&lt;$K$5,0,(ED24*$C$7))</f>
        <v>-3584.251570105173</v>
      </c>
      <c r="EE29" s="24">
        <f>-IF(EE15&lt;$K$5,0,(EE24*$C$7))</f>
        <v>-3591.568892829268</v>
      </c>
      <c r="EF29" s="24">
        <f>-IF(EF15&lt;$K$5,0,(EF24*$C$7))</f>
        <v>-3598.9011739032794</v>
      </c>
    </row>
    <row r="30" spans="2:136" x14ac:dyDescent="0.45">
      <c r="B30" s="1" t="s">
        <v>54</v>
      </c>
      <c r="E30" s="24">
        <f>-$C$6*SUM(E24:E28)</f>
        <v>-1265.9602600000003</v>
      </c>
      <c r="F30" s="24">
        <f>-$C$6*SUM(F24:F28)</f>
        <v>-1219.4508279790152</v>
      </c>
      <c r="G30" s="24">
        <f>-$C$6*SUM(G24:G28)</f>
        <v>-1221.9572118856961</v>
      </c>
      <c r="H30" s="24">
        <f>-$C$6*SUM(H24:H28)</f>
        <v>-1195.7625408849874</v>
      </c>
      <c r="I30" s="24">
        <f>-$C$6*SUM(I24:I28)</f>
        <v>-1154.1890725169831</v>
      </c>
      <c r="J30" s="24">
        <f>-$C$6*SUM(J24:J28)</f>
        <v>-1199.6432443610663</v>
      </c>
      <c r="K30" s="24">
        <f>-$C$6*SUM(K24:K28)</f>
        <v>-1155.3272423736339</v>
      </c>
      <c r="L30" s="24">
        <f>-$C$6*SUM(L24:L28)</f>
        <v>-1178.0252623706804</v>
      </c>
      <c r="M30" s="24">
        <f>-$C$6*SUM(M24:M28)</f>
        <v>-1201.1219591004838</v>
      </c>
      <c r="N30" s="24">
        <f>-$C$6*SUM(N24:N28)</f>
        <v>-1199.4316174523287</v>
      </c>
      <c r="O30" s="24">
        <f>-$C$6*SUM(O24:O28)</f>
        <v>-1223.863325852469</v>
      </c>
      <c r="P30" s="24">
        <f>-$C$6*SUM(P24:P28)</f>
        <v>-1315.4236168898976</v>
      </c>
      <c r="Q30" s="24">
        <f>-$C$6*SUM(Q24:Q28)</f>
        <v>-1354.3785696056364</v>
      </c>
      <c r="R30" s="24">
        <f>-$C$6*SUM(R24:R28)</f>
        <v>-1392.6269394774727</v>
      </c>
      <c r="S30" s="24">
        <f>-$C$6*SUM(S24:S28)</f>
        <v>-1424.6703774685539</v>
      </c>
      <c r="T30" s="24">
        <f>-$C$6*SUM(T24:T28)</f>
        <v>-1446.3563329244332</v>
      </c>
      <c r="U30" s="24">
        <f>-$C$6*SUM(U24:U28)</f>
        <v>-1445.5948217281893</v>
      </c>
      <c r="V30" s="24">
        <f>-$C$6*SUM(V24:V28)</f>
        <v>-1440.607570941801</v>
      </c>
      <c r="W30" s="24">
        <f>-$C$6*SUM(W24:W28)</f>
        <v>-1444.5605713714208</v>
      </c>
      <c r="X30" s="24">
        <f>-$C$6*SUM(X24:X28)</f>
        <v>-1444.7324581762171</v>
      </c>
      <c r="Y30" s="24">
        <f>-$C$6*SUM(Y24:Y28)</f>
        <v>-1484.4988274358457</v>
      </c>
      <c r="Z30" s="24">
        <f>-$C$6*SUM(Z24:Z28)</f>
        <v>-1544.2699356087685</v>
      </c>
      <c r="AA30" s="24">
        <f>-$C$6*SUM(AA24:AA28)</f>
        <v>-1590.0398795660574</v>
      </c>
      <c r="AB30" s="24">
        <f>-$C$6*SUM(AB24:AB28)</f>
        <v>-1613.3936289104693</v>
      </c>
      <c r="AC30" s="24">
        <f>-$C$6*SUM(AC24:AC28)</f>
        <v>-1611.4708562841486</v>
      </c>
      <c r="AD30" s="24">
        <f>-$C$6*SUM(AD24:AD28)</f>
        <v>-1585.9321808809545</v>
      </c>
      <c r="AE30" s="24">
        <f>-$C$6*SUM(AE24:AE28)</f>
        <v>-1596.7620857415527</v>
      </c>
      <c r="AF30" s="24">
        <f>-$C$6*SUM(AF24:AF28)</f>
        <v>-1674.8193701951741</v>
      </c>
      <c r="AG30" s="24">
        <f>-$C$6*SUM(AG24:AG28)</f>
        <v>-1753.1874812088761</v>
      </c>
      <c r="AH30" s="24">
        <f>-$C$6*SUM(AH24:AH28)</f>
        <v>-1831.867362340058</v>
      </c>
      <c r="AI30" s="24">
        <f>-$C$6*SUM(AI24:AI28)</f>
        <v>-1890.0137431153391</v>
      </c>
      <c r="AJ30" s="24">
        <f>-$C$6*SUM(AJ24:AJ28)</f>
        <v>-1893.8218571532016</v>
      </c>
      <c r="AK30" s="24">
        <f>-$C$6*SUM(AK24:AK28)</f>
        <v>-1897.6376650017085</v>
      </c>
      <c r="AL30" s="24">
        <f>-$C$6*SUM(AL24:AL28)</f>
        <v>-1901.4611823157099</v>
      </c>
      <c r="AM30" s="24">
        <f>-$C$6*SUM(AM24:AM28)</f>
        <v>-1905.292424782011</v>
      </c>
      <c r="AN30" s="24">
        <f>-$C$6*SUM(AN24:AN28)</f>
        <v>-1909.1314081194289</v>
      </c>
      <c r="AO30" s="24">
        <f>-$C$6*SUM(AO24:AO28)</f>
        <v>-1912.9781480788495</v>
      </c>
      <c r="AP30" s="24">
        <f>-$C$6*SUM(AP24:AP28)</f>
        <v>-1916.8326604433073</v>
      </c>
      <c r="AQ30" s="24">
        <f>-$C$6*SUM(AQ24:AQ28)</f>
        <v>-1920.6949610280262</v>
      </c>
      <c r="AR30" s="24">
        <f>-$C$6*SUM(AR24:AR28)</f>
        <v>-1924.5650656805217</v>
      </c>
      <c r="AS30" s="24">
        <f>-$C$6*SUM(AS24:AS28)</f>
        <v>-1928.4429902806364</v>
      </c>
      <c r="AT30" s="24">
        <f>-$C$6*SUM(AT24:AT28)</f>
        <v>-1932.3287507406119</v>
      </c>
      <c r="AU30" s="24">
        <f>-$C$6*SUM(AU24:AU28)</f>
        <v>-1936.2223630051747</v>
      </c>
      <c r="AV30" s="24">
        <f>-$C$6*SUM(AV24:AV28)</f>
        <v>-1940.1238430515677</v>
      </c>
      <c r="AW30" s="24">
        <f>-$C$6*SUM(AW24:AW28)</f>
        <v>-1944.0332068896575</v>
      </c>
      <c r="AX30" s="24">
        <f>-$C$6*SUM(AX24:AX28)</f>
        <v>-1947.9504705619729</v>
      </c>
      <c r="AY30" s="24">
        <f>-$C$6*SUM(AY24:AY28)</f>
        <v>-1951.8756501437711</v>
      </c>
      <c r="AZ30" s="24">
        <f>-$C$6*SUM(AZ24:AZ28)</f>
        <v>-1955.8087617431163</v>
      </c>
      <c r="BA30" s="24">
        <f>-$C$6*SUM(BA24:BA28)</f>
        <v>-1959.7498215009541</v>
      </c>
      <c r="BB30" s="24">
        <f>-$C$6*SUM(BB24:BB28)</f>
        <v>-1963.6988455911548</v>
      </c>
      <c r="BC30" s="24">
        <f>-$C$6*SUM(BC24:BC28)</f>
        <v>-1967.6558502205989</v>
      </c>
      <c r="BD30" s="24">
        <f>-$C$6*SUM(BD24:BD28)</f>
        <v>-1971.6208516292409</v>
      </c>
      <c r="BE30" s="24">
        <f>-$C$6*SUM(BE24:BE28)</f>
        <v>-1975.5938660901734</v>
      </c>
      <c r="BF30" s="24">
        <f>-$C$6*SUM(BF24:BF28)</f>
        <v>-1979.5749099096927</v>
      </c>
      <c r="BG30" s="24">
        <f>-$C$6*SUM(BG24:BG28)</f>
        <v>-1983.5639994273808</v>
      </c>
      <c r="BH30" s="24">
        <f>-$C$6*SUM(BH24:BH28)</f>
        <v>-1987.5611510161521</v>
      </c>
      <c r="BI30" s="24">
        <f>-$C$6*SUM(BI24:BI28)</f>
        <v>-1991.5663810823416</v>
      </c>
      <c r="BJ30" s="24">
        <f>-$C$6*SUM(BJ24:BJ28)</f>
        <v>-1995.5797060657662</v>
      </c>
      <c r="BK30" s="24">
        <f>-$C$6*SUM(BK24:BK28)</f>
        <v>-1999.6011424397786</v>
      </c>
      <c r="BL30" s="24">
        <f>-$C$6*SUM(BL24:BL28)</f>
        <v>-2003.6307067113642</v>
      </c>
      <c r="BM30" s="24">
        <f>-$C$6*SUM(BM24:BM28)</f>
        <v>-2007.6684154211878</v>
      </c>
      <c r="BN30" s="24">
        <f>-$C$6*SUM(BN24:BN28)</f>
        <v>-2011.7142851436631</v>
      </c>
      <c r="BO30" s="24">
        <f>-$C$6*SUM(BO24:BO28)</f>
        <v>-2015.7683324870386</v>
      </c>
      <c r="BP30" s="24">
        <f>-$C$6*SUM(BP24:BP28)</f>
        <v>-2019.8305740934491</v>
      </c>
      <c r="BQ30" s="24">
        <f>-$C$6*SUM(BQ24:BQ28)</f>
        <v>-2023.9010266389948</v>
      </c>
      <c r="BR30" s="24">
        <f>-$C$6*SUM(BR24:BR28)</f>
        <v>-2027.9797068338096</v>
      </c>
      <c r="BS30" s="24">
        <f>-$C$6*SUM(BS24:BS28)</f>
        <v>-2032.0666314221271</v>
      </c>
      <c r="BT30" s="24">
        <f>-$C$6*SUM(BT24:BT28)</f>
        <v>-2036.1618171823459</v>
      </c>
      <c r="BU30" s="24">
        <f>-$C$6*SUM(BU24:BU28)</f>
        <v>-2040.2652809271153</v>
      </c>
      <c r="BV30" s="24">
        <f>-$C$6*SUM(BV24:BV28)</f>
        <v>-2044.3770395033853</v>
      </c>
      <c r="BW30" s="24">
        <f>-$C$6*SUM(BW24:BW28)</f>
        <v>-2048.4971097925054</v>
      </c>
      <c r="BX30" s="24">
        <f>-$C$6*SUM(BX24:BX28)</f>
        <v>-2052.6255087102536</v>
      </c>
      <c r="BY30" s="24">
        <f>-$C$6*SUM(BY24:BY28)</f>
        <v>-2056.7622532069504</v>
      </c>
      <c r="BZ30" s="24">
        <f>-$C$6*SUM(BZ24:BZ28)</f>
        <v>-2060.907360267493</v>
      </c>
      <c r="CA30" s="24">
        <f>-$C$6*SUM(CA24:CA28)</f>
        <v>-2065.0608469114486</v>
      </c>
      <c r="CB30" s="24">
        <f>-$C$6*SUM(CB24:CB28)</f>
        <v>-2069.2227301931262</v>
      </c>
      <c r="CC30" s="24">
        <f>-$C$6*SUM(CC24:CC28)</f>
        <v>-2073.393027201625</v>
      </c>
      <c r="CD30" s="24">
        <f>-$C$6*SUM(CD24:CD28)</f>
        <v>-2077.5717550609297</v>
      </c>
      <c r="CE30" s="24">
        <f>-$C$6*SUM(CE24:CE28)</f>
        <v>-2081.7589309299733</v>
      </c>
      <c r="CF30" s="24">
        <f>-$C$6*SUM(CF24:CF28)</f>
        <v>-2085.9545720027031</v>
      </c>
      <c r="CG30" s="24">
        <f>-$C$6*SUM(CG24:CG28)</f>
        <v>-2090.1586955081598</v>
      </c>
      <c r="CH30" s="24">
        <f>-$C$6*SUM(CH24:CH28)</f>
        <v>-2094.3713187105564</v>
      </c>
      <c r="CI30" s="24">
        <f>-$C$6*SUM(CI24:CI28)</f>
        <v>-2098.5924589093188</v>
      </c>
      <c r="CJ30" s="24">
        <f>-$C$6*SUM(CJ24:CJ28)</f>
        <v>-2102.8221334391965</v>
      </c>
      <c r="CK30" s="24">
        <f>-$C$6*SUM(CK24:CK28)</f>
        <v>-2107.0603596703136</v>
      </c>
      <c r="CL30" s="24">
        <f>-$C$6*SUM(CL24:CL28)</f>
        <v>-2111.3071550082414</v>
      </c>
      <c r="CM30" s="24">
        <f>-$C$6*SUM(CM24:CM28)</f>
        <v>-2115.5625368940864</v>
      </c>
      <c r="CN30" s="24">
        <f>-$C$6*SUM(CN24:CN28)</f>
        <v>-2119.8265228045293</v>
      </c>
      <c r="CO30" s="24">
        <f>-$C$6*SUM(CO24:CO28)</f>
        <v>-2124.0991302519469</v>
      </c>
      <c r="CP30" s="24">
        <f>-$C$6*SUM(CP24:CP28)</f>
        <v>-2128.3803767844333</v>
      </c>
      <c r="CQ30" s="24">
        <f>-$C$6*SUM(CQ24:CQ28)</f>
        <v>-2132.6702799859167</v>
      </c>
      <c r="CR30" s="24">
        <f>-$C$6*SUM(CR24:CR28)</f>
        <v>-2136.9688574761967</v>
      </c>
      <c r="CS30" s="24">
        <f>-$C$6*SUM(CS24:CS28)</f>
        <v>-2141.2761269110551</v>
      </c>
      <c r="CT30" s="24">
        <f>-$C$6*SUM(CT24:CT28)</f>
        <v>-2145.5921059822863</v>
      </c>
      <c r="CU30" s="24">
        <f>-$C$6*SUM(CU24:CU28)</f>
        <v>-2149.9168124178091</v>
      </c>
      <c r="CV30" s="24">
        <f>-$C$6*SUM(CV24:CV28)</f>
        <v>-2154.250263981718</v>
      </c>
      <c r="CW30" s="24">
        <f>-$C$6*SUM(CW24:CW28)</f>
        <v>-2158.5924784743725</v>
      </c>
      <c r="CX30" s="24">
        <f>-$C$6*SUM(CX24:CX28)</f>
        <v>-2162.9434737324473</v>
      </c>
      <c r="CY30" s="24">
        <f>-$C$6*SUM(CY24:CY28)</f>
        <v>-2167.3032676290454</v>
      </c>
      <c r="CZ30" s="24">
        <f>-$C$6*SUM(CZ24:CZ28)</f>
        <v>-2171.6718780737215</v>
      </c>
      <c r="DA30" s="24">
        <f>-$C$6*SUM(DA24:DA28)</f>
        <v>-2176.0493230126071</v>
      </c>
      <c r="DB30" s="24">
        <f>-$C$6*SUM(DB24:DB28)</f>
        <v>-2180.43562042845</v>
      </c>
      <c r="DC30" s="24">
        <f>-$C$6*SUM(DC24:DC28)</f>
        <v>-2184.8307883407147</v>
      </c>
      <c r="DD30" s="24">
        <f>-$C$6*SUM(DD24:DD28)</f>
        <v>-2189.2348448056277</v>
      </c>
      <c r="DE30" s="24">
        <f>-$C$6*SUM(DE24:DE28)</f>
        <v>-2193.6478079162753</v>
      </c>
      <c r="DF30" s="24">
        <f>-$C$6*SUM(DF24:DF28)</f>
        <v>-2198.0696958026897</v>
      </c>
      <c r="DG30" s="24">
        <f>-$C$6*SUM(DG24:DG28)</f>
        <v>-2202.5005266318808</v>
      </c>
      <c r="DH30" s="24">
        <f>-$C$6*SUM(DH24:DH28)</f>
        <v>-2206.9403186079571</v>
      </c>
      <c r="DI30" s="24">
        <f>-$C$6*SUM(DI24:DI28)</f>
        <v>-2211.389089972185</v>
      </c>
      <c r="DJ30" s="24">
        <f>-$C$6*SUM(DJ24:DJ28)</f>
        <v>-2215.8468590030529</v>
      </c>
      <c r="DK30" s="24">
        <f>-$C$6*SUM(DK24:DK28)</f>
        <v>-2220.3136440163676</v>
      </c>
      <c r="DL30" s="24">
        <f>-$C$6*SUM(DL24:DL28)</f>
        <v>-2224.7894633653009</v>
      </c>
      <c r="DM30" s="24">
        <f>-$C$6*SUM(DM24:DM28)</f>
        <v>-2229.274335440522</v>
      </c>
      <c r="DN30" s="24">
        <f>-$C$6*SUM(DN24:DN28)</f>
        <v>-2233.7682786702021</v>
      </c>
      <c r="DO30" s="24">
        <f>-$C$6*SUM(DO24:DO28)</f>
        <v>-2238.2713115201445</v>
      </c>
      <c r="DP30" s="24">
        <f>-$C$6*SUM(DP24:DP28)</f>
        <v>-2242.7834524938448</v>
      </c>
      <c r="DQ30" s="24">
        <f>-$C$6*SUM(DQ24:DQ28)</f>
        <v>-2247.3047201325644</v>
      </c>
      <c r="DR30" s="24">
        <f>-$C$6*SUM(DR24:DR28)</f>
        <v>-2251.8351330154178</v>
      </c>
      <c r="DS30" s="24">
        <f>-$C$6*SUM(DS24:DS28)</f>
        <v>-2256.3747097594201</v>
      </c>
      <c r="DT30" s="24">
        <f>-$C$6*SUM(DT24:DT28)</f>
        <v>-2260.9234690196095</v>
      </c>
      <c r="DU30" s="24">
        <f>-$C$6*SUM(DU24:DU28)</f>
        <v>-2265.4814294891053</v>
      </c>
      <c r="DV30" s="24">
        <f>-$C$6*SUM(DV24:DV28)</f>
        <v>-2270.0486098991651</v>
      </c>
      <c r="DW30" s="24">
        <f>-$C$6*SUM(DW24:DW28)</f>
        <v>-2274.6250290192897</v>
      </c>
      <c r="DX30" s="24">
        <f>-$C$6*SUM(DX24:DX28)</f>
        <v>-2279.2107056572986</v>
      </c>
      <c r="DY30" s="24">
        <f>-$C$6*SUM(DY24:DY28)</f>
        <v>-2283.8056586594003</v>
      </c>
      <c r="DZ30" s="24">
        <f>-$C$6*SUM(DZ24:DZ28)</f>
        <v>-2288.4099069102572</v>
      </c>
      <c r="EA30" s="24">
        <f>-$C$6*SUM(EA24:EA28)</f>
        <v>-2293.0234693331035</v>
      </c>
      <c r="EB30" s="24">
        <f>-$C$6*SUM(EB24:EB28)</f>
        <v>-2297.6463648897875</v>
      </c>
      <c r="EC30" s="24">
        <f>-$C$6*SUM(EC24:EC28)</f>
        <v>-2302.278612580873</v>
      </c>
      <c r="ED30" s="24">
        <f>-$C$6*SUM(ED24:ED28)</f>
        <v>-2306.9202314456838</v>
      </c>
      <c r="EE30" s="24">
        <f>-$C$6*SUM(EE24:EE28)</f>
        <v>-2311.5712405624454</v>
      </c>
      <c r="EF30" s="24">
        <f>-$C$6*SUM(EF24:EF28)</f>
        <v>-2316.2316590482933</v>
      </c>
    </row>
    <row r="31" spans="2:136" x14ac:dyDescent="0.45">
      <c r="B31" s="4" t="s">
        <v>71</v>
      </c>
      <c r="C31" s="4"/>
      <c r="D31" s="4"/>
      <c r="E31" s="26">
        <f>SUM(E25:E30,E24)</f>
        <v>125330.06574000003</v>
      </c>
      <c r="F31" s="26">
        <f>SUM(F25:F30,F24)</f>
        <v>120725.63196992248</v>
      </c>
      <c r="G31" s="26">
        <f>SUM(G25:G30,G24)</f>
        <v>120973.76397668393</v>
      </c>
      <c r="H31" s="26">
        <f>SUM(H25:H30,H24)</f>
        <v>118380.49154761375</v>
      </c>
      <c r="I31" s="26">
        <f>SUM(I25:I30,I24)</f>
        <v>114264.71817918132</v>
      </c>
      <c r="J31" s="26">
        <f>SUM(J25:J30,J24)</f>
        <v>118764.68119174556</v>
      </c>
      <c r="K31" s="26">
        <f>SUM(K25:K30,K24)</f>
        <v>114377.39699498974</v>
      </c>
      <c r="L31" s="26">
        <f>SUM(L25:L30,L24)</f>
        <v>116624.50097469734</v>
      </c>
      <c r="M31" s="26">
        <f>SUM(M25:M30,M24)</f>
        <v>118911.07395094789</v>
      </c>
      <c r="N31" s="26">
        <f>SUM(N25:N30,N24)</f>
        <v>118743.73012778054</v>
      </c>
      <c r="O31" s="26">
        <f>SUM(O25:O30,O24)</f>
        <v>121162.46925939443</v>
      </c>
      <c r="P31" s="26">
        <f>SUM(P25:P30,P24)</f>
        <v>130226.93807209987</v>
      </c>
      <c r="Q31" s="26">
        <f>SUM(Q25:Q30,Q24)</f>
        <v>134083.47839095801</v>
      </c>
      <c r="R31" s="26">
        <f>SUM(R25:R30,R24)</f>
        <v>137870.06700826981</v>
      </c>
      <c r="S31" s="26">
        <f>SUM(S25:S30,S24)</f>
        <v>141042.36736938683</v>
      </c>
      <c r="T31" s="26">
        <f>SUM(T25:T30,T24)</f>
        <v>143189.2769595189</v>
      </c>
      <c r="U31" s="26">
        <f>SUM(U25:U30,U24)</f>
        <v>143113.88735109073</v>
      </c>
      <c r="V31" s="26">
        <f>SUM(V25:V30,V24)</f>
        <v>142620.14952323824</v>
      </c>
      <c r="W31" s="26">
        <f>SUM(W25:W30,W24)</f>
        <v>143011.49656577068</v>
      </c>
      <c r="X31" s="26">
        <f>SUM(X25:X30,X24)</f>
        <v>143028.5133594455</v>
      </c>
      <c r="Y31" s="26">
        <f>SUM(Y25:Y30,Y24)</f>
        <v>146965.38391614871</v>
      </c>
      <c r="Z31" s="26">
        <f>SUM(Z25:Z30,Z24)</f>
        <v>152882.72362526806</v>
      </c>
      <c r="AA31" s="26">
        <f>SUM(AA25:AA30,AA24)</f>
        <v>157413.94807703968</v>
      </c>
      <c r="AB31" s="26">
        <f>SUM(AB25:AB30,AB24)</f>
        <v>159725.96926213644</v>
      </c>
      <c r="AC31" s="26">
        <f>SUM(AC25:AC30,AC24)</f>
        <v>159535.61477213071</v>
      </c>
      <c r="AD31" s="26">
        <f>SUM(AD25:AD30,AD24)</f>
        <v>157007.28590721451</v>
      </c>
      <c r="AE31" s="26">
        <f>SUM(AE25:AE30,AE24)</f>
        <v>158079.44648841373</v>
      </c>
      <c r="AF31" s="26">
        <f>SUM(AF25:AF30,AF24)</f>
        <v>165807.11764932223</v>
      </c>
      <c r="AG31" s="26">
        <f>SUM(AG25:AG30,AG24)</f>
        <v>173565.56063967873</v>
      </c>
      <c r="AH31" s="26">
        <f>SUM(AH25:AH30,AH24)</f>
        <v>181354.86887166573</v>
      </c>
      <c r="AI31" s="26">
        <f>SUM(AI25:AI30,AI24)</f>
        <v>184182.34224218273</v>
      </c>
      <c r="AJ31" s="26">
        <f>SUM(AJ25:AJ30,AJ24)</f>
        <v>184553.36701616619</v>
      </c>
      <c r="AK31" s="26">
        <f>SUM(AK25:AK30,AK24)</f>
        <v>184925.14126828747</v>
      </c>
      <c r="AL31" s="26">
        <f>SUM(AL25:AL30,AL24)</f>
        <v>185297.66652330826</v>
      </c>
      <c r="AM31" s="26">
        <f>SUM(AM25:AM30,AM24)</f>
        <v>185670.94430910252</v>
      </c>
      <c r="AN31" s="26">
        <f>SUM(AN25:AN30,AN24)</f>
        <v>186044.97615666172</v>
      </c>
      <c r="AO31" s="26">
        <f>SUM(AO25:AO30,AO24)</f>
        <v>186419.76360010038</v>
      </c>
      <c r="AP31" s="26">
        <f>SUM(AP25:AP30,AP24)</f>
        <v>186795.30817666388</v>
      </c>
      <c r="AQ31" s="26">
        <f>SUM(AQ25:AQ30,AQ24)</f>
        <v>187171.61142673239</v>
      </c>
      <c r="AR31" s="26">
        <f>SUM(AR25:AR30,AR24)</f>
        <v>187548.67489383084</v>
      </c>
      <c r="AS31" s="26">
        <f>SUM(AS25:AS30,AS24)</f>
        <v>187926.50012463241</v>
      </c>
      <c r="AT31" s="26">
        <f>SUM(AT25:AT30,AT24)</f>
        <v>188305.08866896556</v>
      </c>
      <c r="AU31" s="26">
        <f>SUM(AU25:AU30,AU24)</f>
        <v>188684.44207982224</v>
      </c>
      <c r="AV31" s="26">
        <f>SUM(AV25:AV30,AV24)</f>
        <v>189064.5619133611</v>
      </c>
      <c r="AW31" s="26">
        <f>SUM(AW25:AW30,AW24)</f>
        <v>189445.44972891803</v>
      </c>
      <c r="AX31" s="26">
        <f>SUM(AX25:AX30,AX24)</f>
        <v>189827.10708900949</v>
      </c>
      <c r="AY31" s="26">
        <f>SUM(AY25:AY30,AY24)</f>
        <v>190209.53555933945</v>
      </c>
      <c r="AZ31" s="26">
        <f>SUM(AZ25:AZ30,AZ24)</f>
        <v>190592.73670880686</v>
      </c>
      <c r="BA31" s="26">
        <f>SUM(BA25:BA30,BA24)</f>
        <v>190976.71210951277</v>
      </c>
      <c r="BB31" s="26">
        <f>SUM(BB25:BB30,BB24)</f>
        <v>191361.46333676469</v>
      </c>
      <c r="BC31" s="26">
        <f>SUM(BC25:BC30,BC24)</f>
        <v>191746.9919690848</v>
      </c>
      <c r="BD31" s="26">
        <f>SUM(BD25:BD30,BD24)</f>
        <v>192133.29958821644</v>
      </c>
      <c r="BE31" s="26">
        <f>SUM(BE25:BE30,BE24)</f>
        <v>192520.3877791299</v>
      </c>
      <c r="BF31" s="26">
        <f>SUM(BF25:BF30,BF24)</f>
        <v>192908.25813002928</v>
      </c>
      <c r="BG31" s="26">
        <f>SUM(BG25:BG30,BG24)</f>
        <v>193296.91223236007</v>
      </c>
      <c r="BH31" s="26">
        <f>SUM(BH25:BH30,BH24)</f>
        <v>193686.35168081397</v>
      </c>
      <c r="BI31" s="26">
        <f>SUM(BI25:BI30,BI24)</f>
        <v>194076.57807333735</v>
      </c>
      <c r="BJ31" s="26">
        <f>SUM(BJ25:BJ30,BJ24)</f>
        <v>194467.59301113736</v>
      </c>
      <c r="BK31" s="26">
        <f>SUM(BK25:BK30,BK24)</f>
        <v>194859.39809868686</v>
      </c>
      <c r="BL31" s="26">
        <f>SUM(BL25:BL30,BL24)</f>
        <v>195251.99494373435</v>
      </c>
      <c r="BM31" s="26">
        <f>SUM(BM25:BM30,BM24)</f>
        <v>195645.38515730805</v>
      </c>
      <c r="BN31" s="26">
        <f>SUM(BN25:BN30,BN24)</f>
        <v>196039.57035372278</v>
      </c>
      <c r="BO31" s="26">
        <f>SUM(BO25:BO30,BO24)</f>
        <v>196434.55215058869</v>
      </c>
      <c r="BP31" s="26">
        <f>SUM(BP25:BP30,BP24)</f>
        <v>196830.33216881574</v>
      </c>
      <c r="BQ31" s="26">
        <f>SUM(BQ25:BQ30,BQ24)</f>
        <v>197226.91203262171</v>
      </c>
      <c r="BR31" s="26">
        <f>SUM(BR25:BR30,BR24)</f>
        <v>197624.29336953885</v>
      </c>
      <c r="BS31" s="26">
        <f>SUM(BS25:BS30,BS24)</f>
        <v>198022.47781042018</v>
      </c>
      <c r="BT31" s="26">
        <f>SUM(BT25:BT30,BT24)</f>
        <v>198421.46698944588</v>
      </c>
      <c r="BU31" s="26">
        <f>SUM(BU25:BU30,BU24)</f>
        <v>198821.26254413184</v>
      </c>
      <c r="BV31" s="26">
        <f>SUM(BV25:BV30,BV24)</f>
        <v>199221.86611533418</v>
      </c>
      <c r="BW31" s="26">
        <f>SUM(BW25:BW30,BW24)</f>
        <v>199623.27934725914</v>
      </c>
      <c r="BX31" s="26">
        <f>SUM(BX25:BX30,BX24)</f>
        <v>200025.50388746569</v>
      </c>
      <c r="BY31" s="26">
        <f>SUM(BY25:BY30,BY24)</f>
        <v>200428.54138687695</v>
      </c>
      <c r="BZ31" s="26">
        <f>SUM(BZ25:BZ30,BZ24)</f>
        <v>200832.39349978321</v>
      </c>
      <c r="CA31" s="26">
        <f>SUM(CA25:CA30,CA24)</f>
        <v>201237.06188385116</v>
      </c>
      <c r="CB31" s="26">
        <f>SUM(CB25:CB30,CB24)</f>
        <v>201642.54820013075</v>
      </c>
      <c r="CC31" s="26">
        <f>SUM(CC25:CC30,CC24)</f>
        <v>202048.8541130602</v>
      </c>
      <c r="CD31" s="26">
        <f>SUM(CD25:CD30,CD24)</f>
        <v>202455.98129047491</v>
      </c>
      <c r="CE31" s="26">
        <f>SUM(CE25:CE30,CE24)</f>
        <v>202863.93140361382</v>
      </c>
      <c r="CF31" s="26">
        <f>SUM(CF25:CF30,CF24)</f>
        <v>203272.7061271258</v>
      </c>
      <c r="CG31" s="26">
        <f>SUM(CG25:CG30,CG24)</f>
        <v>203682.30713907725</v>
      </c>
      <c r="CH31" s="26">
        <f>SUM(CH25:CH30,CH24)</f>
        <v>204092.73612095989</v>
      </c>
      <c r="CI31" s="26">
        <f>SUM(CI25:CI30,CI24)</f>
        <v>204503.99475769466</v>
      </c>
      <c r="CJ31" s="26">
        <f>SUM(CJ25:CJ30,CJ24)</f>
        <v>204916.08473764246</v>
      </c>
      <c r="CK31" s="26">
        <f>SUM(CK25:CK30,CK24)</f>
        <v>205329.00775260935</v>
      </c>
      <c r="CL31" s="26">
        <f>SUM(CL25:CL30,CL24)</f>
        <v>205742.76549785331</v>
      </c>
      <c r="CM31" s="26">
        <f>SUM(CM25:CM30,CM24)</f>
        <v>206157.35967209286</v>
      </c>
      <c r="CN31" s="26">
        <f>SUM(CN25:CN30,CN24)</f>
        <v>206572.79197751108</v>
      </c>
      <c r="CO31" s="26">
        <f>SUM(CO25:CO30,CO24)</f>
        <v>206989.06411976725</v>
      </c>
      <c r="CP31" s="26">
        <f>SUM(CP25:CP30,CP24)</f>
        <v>207406.17780799916</v>
      </c>
      <c r="CQ31" s="26">
        <f>SUM(CQ25:CQ30,CQ24)</f>
        <v>207824.13475483403</v>
      </c>
      <c r="CR31" s="26">
        <f>SUM(CR25:CR30,CR24)</f>
        <v>208242.93667639277</v>
      </c>
      <c r="CS31" s="26">
        <f>SUM(CS25:CS30,CS24)</f>
        <v>208662.58529230015</v>
      </c>
      <c r="CT31" s="26">
        <f>SUM(CT25:CT30,CT24)</f>
        <v>209083.08232568824</v>
      </c>
      <c r="CU31" s="26">
        <f>SUM(CU25:CU30,CU24)</f>
        <v>209504.42950320701</v>
      </c>
      <c r="CV31" s="26">
        <f>SUM(CV25:CV30,CV24)</f>
        <v>209926.62855502954</v>
      </c>
      <c r="CW31" s="26">
        <f>SUM(CW25:CW30,CW24)</f>
        <v>210349.68121486038</v>
      </c>
      <c r="CX31" s="26">
        <f>SUM(CX25:CX30,CX24)</f>
        <v>210773.58921994077</v>
      </c>
      <c r="CY31" s="26">
        <f>SUM(CY25:CY30,CY24)</f>
        <v>211198.35431105967</v>
      </c>
      <c r="CZ31" s="26">
        <f>SUM(CZ25:CZ30,CZ24)</f>
        <v>211623.97823255559</v>
      </c>
      <c r="DA31" s="26">
        <f>SUM(DA25:DA30,DA24)</f>
        <v>212050.46273232941</v>
      </c>
      <c r="DB31" s="26">
        <f>SUM(DB25:DB30,DB24)</f>
        <v>212477.80956184777</v>
      </c>
      <c r="DC31" s="26">
        <f>SUM(DC25:DC30,DC24)</f>
        <v>212906.02047615289</v>
      </c>
      <c r="DD31" s="26">
        <f>SUM(DD25:DD30,DD24)</f>
        <v>213335.09723386719</v>
      </c>
      <c r="DE31" s="26">
        <f>SUM(DE25:DE30,DE24)</f>
        <v>213765.04159720259</v>
      </c>
      <c r="DF31" s="26">
        <f>SUM(DF25:DF30,DF24)</f>
        <v>214195.85533196919</v>
      </c>
      <c r="DG31" s="26">
        <f>SUM(DG25:DG30,DG24)</f>
        <v>214627.54020757799</v>
      </c>
      <c r="DH31" s="26">
        <f>SUM(DH25:DH30,DH24)</f>
        <v>215060.09799705289</v>
      </c>
      <c r="DI31" s="26">
        <f>SUM(DI25:DI30,DI24)</f>
        <v>215493.53047703643</v>
      </c>
      <c r="DJ31" s="26">
        <f>SUM(DJ25:DJ30,DJ24)</f>
        <v>215927.83942779599</v>
      </c>
      <c r="DK31" s="26">
        <f>SUM(DK25:DK30,DK24)</f>
        <v>216363.02663323338</v>
      </c>
      <c r="DL31" s="26">
        <f>SUM(DL25:DL30,DL24)</f>
        <v>216799.09388088895</v>
      </c>
      <c r="DM31" s="26">
        <f>SUM(DM25:DM30,DM24)</f>
        <v>217236.04296195492</v>
      </c>
      <c r="DN31" s="26">
        <f>SUM(DN25:DN30,DN24)</f>
        <v>217673.87567127551</v>
      </c>
      <c r="DO31" s="26">
        <f>SUM(DO25:DO30,DO24)</f>
        <v>218112.59380736007</v>
      </c>
      <c r="DP31" s="26">
        <f>SUM(DP25:DP30,DP24)</f>
        <v>218552.19917238812</v>
      </c>
      <c r="DQ31" s="26">
        <f>SUM(DQ25:DQ30,DQ24)</f>
        <v>218992.69357221737</v>
      </c>
      <c r="DR31" s="26">
        <f>SUM(DR25:DR30,DR24)</f>
        <v>219434.0788163917</v>
      </c>
      <c r="DS31" s="26">
        <f>SUM(DS25:DS30,DS24)</f>
        <v>219876.3567181461</v>
      </c>
      <c r="DT31" s="26">
        <f>SUM(DT25:DT30,DT24)</f>
        <v>220319.52909441825</v>
      </c>
      <c r="DU31" s="26">
        <f>SUM(DU25:DU30,DU24)</f>
        <v>220763.59776585444</v>
      </c>
      <c r="DV31" s="26">
        <f>SUM(DV25:DV30,DV24)</f>
        <v>221208.56455681514</v>
      </c>
      <c r="DW31" s="26">
        <f>SUM(DW25:DW30,DW24)</f>
        <v>221654.43129538494</v>
      </c>
      <c r="DX31" s="26">
        <f>SUM(DX25:DX30,DX24)</f>
        <v>222101.19981338034</v>
      </c>
      <c r="DY31" s="26">
        <f>SUM(DY25:DY30,DY24)</f>
        <v>222548.87194635614</v>
      </c>
      <c r="DZ31" s="26">
        <f>SUM(DZ25:DZ30,DZ24)</f>
        <v>222997.44953361206</v>
      </c>
      <c r="EA31" s="26">
        <f>SUM(EA25:EA30,EA24)</f>
        <v>223446.93441820415</v>
      </c>
      <c r="EB31" s="26">
        <f>SUM(EB25:EB30,EB24)</f>
        <v>223897.32844694876</v>
      </c>
      <c r="EC31" s="26">
        <f>SUM(EC25:EC30,EC24)</f>
        <v>224348.63347043277</v>
      </c>
      <c r="ED31" s="26">
        <f>SUM(ED25:ED30,ED24)</f>
        <v>224800.85134301751</v>
      </c>
      <c r="EE31" s="26">
        <f>SUM(EE25:EE30,EE24)</f>
        <v>225253.98392285279</v>
      </c>
      <c r="EF31" s="26">
        <f>SUM(EF25:EF30,EF24)</f>
        <v>225708.03307187778</v>
      </c>
    </row>
    <row r="32" spans="2:136" x14ac:dyDescent="0.45"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</row>
    <row r="33" spans="2:136" x14ac:dyDescent="0.45">
      <c r="B33" s="78" t="s">
        <v>74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</row>
    <row r="34" spans="2:136" x14ac:dyDescent="0.45">
      <c r="B34" s="1" t="str">
        <f>Assumptions!B151</f>
        <v>Property Taxes</v>
      </c>
      <c r="E34" s="24">
        <f>Assumptions!$I151*E$11</f>
        <v>24843.503611111119</v>
      </c>
      <c r="F34" s="24">
        <f>Assumptions!$I151*F$11</f>
        <v>24884.909450462968</v>
      </c>
      <c r="G34" s="24">
        <f>Assumptions!$I151*G$11</f>
        <v>24926.384299547077</v>
      </c>
      <c r="H34" s="24">
        <f>Assumptions!$I151*H$11</f>
        <v>24967.928273379657</v>
      </c>
      <c r="I34" s="24">
        <f>Assumptions!$I151*I$11</f>
        <v>25009.541487168623</v>
      </c>
      <c r="J34" s="24">
        <f>Assumptions!$I151*J$11</f>
        <v>25051.224056313906</v>
      </c>
      <c r="K34" s="24">
        <f>Assumptions!$I151*K$11</f>
        <v>25092.976096407761</v>
      </c>
      <c r="L34" s="24">
        <f>Assumptions!$I151*L$11</f>
        <v>25134.797723235115</v>
      </c>
      <c r="M34" s="24">
        <f>Assumptions!$I151*M$11</f>
        <v>25176.68905277384</v>
      </c>
      <c r="N34" s="24">
        <f>Assumptions!$I151*N$11</f>
        <v>25218.650201195131</v>
      </c>
      <c r="O34" s="24">
        <f>Assumptions!$I151*O$11</f>
        <v>25260.681284863789</v>
      </c>
      <c r="P34" s="24">
        <f>Assumptions!$I151*P$11</f>
        <v>25302.782420338564</v>
      </c>
      <c r="Q34" s="24">
        <f>Assumptions!$I151*Q$11</f>
        <v>25344.953724372463</v>
      </c>
      <c r="R34" s="24">
        <f>Assumptions!$I151*R$11</f>
        <v>25387.195313913089</v>
      </c>
      <c r="S34" s="24">
        <f>Assumptions!$I151*S$11</f>
        <v>25429.507306102943</v>
      </c>
      <c r="T34" s="24">
        <f>Assumptions!$I151*T$11</f>
        <v>25471.889818279786</v>
      </c>
      <c r="U34" s="24">
        <f>Assumptions!$I151*U$11</f>
        <v>25514.342967976918</v>
      </c>
      <c r="V34" s="24">
        <f>Assumptions!$I151*V$11</f>
        <v>25556.866872923547</v>
      </c>
      <c r="W34" s="24">
        <f>Assumptions!$I151*W$11</f>
        <v>25599.461651045094</v>
      </c>
      <c r="X34" s="24">
        <f>Assumptions!$I151*X$11</f>
        <v>25642.127420463501</v>
      </c>
      <c r="Y34" s="24">
        <f>Assumptions!$I151*Y$11</f>
        <v>25684.864299497611</v>
      </c>
      <c r="Z34" s="24">
        <f>Assumptions!$I151*Z$11</f>
        <v>25727.672406663438</v>
      </c>
      <c r="AA34" s="24">
        <f>Assumptions!$I151*AA$11</f>
        <v>25770.551860674546</v>
      </c>
      <c r="AB34" s="24">
        <f>Assumptions!$I151*AB$11</f>
        <v>25813.502780442344</v>
      </c>
      <c r="AC34" s="24">
        <f>Assumptions!$I151*AC$11</f>
        <v>25856.525285076408</v>
      </c>
      <c r="AD34" s="24">
        <f>Assumptions!$I151*AD$11</f>
        <v>25899.619493884871</v>
      </c>
      <c r="AE34" s="24">
        <f>Assumptions!$I151*AE$11</f>
        <v>25942.785526374682</v>
      </c>
      <c r="AF34" s="24">
        <f>Assumptions!$I151*AF$11</f>
        <v>25986.023502251977</v>
      </c>
      <c r="AG34" s="24">
        <f>Assumptions!$I151*AG$11</f>
        <v>26029.333541422398</v>
      </c>
      <c r="AH34" s="24">
        <f>Assumptions!$I151*AH$11</f>
        <v>26072.715763991437</v>
      </c>
      <c r="AI34" s="24">
        <f>Assumptions!$I151*AI$11</f>
        <v>26116.170290264759</v>
      </c>
      <c r="AJ34" s="24">
        <f>Assumptions!$I151*AJ$11</f>
        <v>26159.697240748537</v>
      </c>
      <c r="AK34" s="24">
        <f>Assumptions!$I151*AK$11</f>
        <v>26203.296736149787</v>
      </c>
      <c r="AL34" s="24">
        <f>Assumptions!$I151*AL$11</f>
        <v>26246.968897376704</v>
      </c>
      <c r="AM34" s="24">
        <f>Assumptions!$I151*AM$11</f>
        <v>26290.713845539001</v>
      </c>
      <c r="AN34" s="24">
        <f>Assumptions!$I151*AN$11</f>
        <v>26334.531701948232</v>
      </c>
      <c r="AO34" s="24">
        <f>Assumptions!$I151*AO$11</f>
        <v>26378.422588118148</v>
      </c>
      <c r="AP34" s="24">
        <f>Assumptions!$I151*AP$11</f>
        <v>26422.386625765012</v>
      </c>
      <c r="AQ34" s="24">
        <f>Assumptions!$I151*AQ$11</f>
        <v>26466.423936807958</v>
      </c>
      <c r="AR34" s="24">
        <f>Assumptions!$I151*AR$11</f>
        <v>26510.534643369312</v>
      </c>
      <c r="AS34" s="24">
        <f>Assumptions!$I151*AS$11</f>
        <v>26554.718867774922</v>
      </c>
      <c r="AT34" s="24">
        <f>Assumptions!$I151*AT$11</f>
        <v>26598.976732554547</v>
      </c>
      <c r="AU34" s="24">
        <f>Assumptions!$I151*AU$11</f>
        <v>26643.308360442141</v>
      </c>
      <c r="AV34" s="24">
        <f>Assumptions!$I151*AV$11</f>
        <v>26687.713874376212</v>
      </c>
      <c r="AW34" s="24">
        <f>Assumptions!$I151*AW$11</f>
        <v>26732.193397500178</v>
      </c>
      <c r="AX34" s="24">
        <f>Assumptions!$I151*AX$11</f>
        <v>26776.747053162679</v>
      </c>
      <c r="AY34" s="24">
        <f>Assumptions!$I151*AY$11</f>
        <v>26821.374964917952</v>
      </c>
      <c r="AZ34" s="24">
        <f>Assumptions!$I151*AZ$11</f>
        <v>26866.077256526154</v>
      </c>
      <c r="BA34" s="24">
        <f>Assumptions!$I151*BA$11</f>
        <v>26910.854051953695</v>
      </c>
      <c r="BB34" s="24">
        <f>Assumptions!$I151*BB$11</f>
        <v>26955.705475373619</v>
      </c>
      <c r="BC34" s="24">
        <f>Assumptions!$I151*BC$11</f>
        <v>27000.631651165913</v>
      </c>
      <c r="BD34" s="24">
        <f>Assumptions!$I151*BD$11</f>
        <v>27045.632703917854</v>
      </c>
      <c r="BE34" s="24">
        <f>Assumptions!$I151*BE$11</f>
        <v>27090.708758424389</v>
      </c>
      <c r="BF34" s="24">
        <f>Assumptions!$I151*BF$11</f>
        <v>27135.859939688431</v>
      </c>
      <c r="BG34" s="24">
        <f>Assumptions!$I151*BG$11</f>
        <v>27181.086372921247</v>
      </c>
      <c r="BH34" s="24">
        <f>Assumptions!$I151*BH$11</f>
        <v>27226.388183542789</v>
      </c>
      <c r="BI34" s="24">
        <f>Assumptions!$I151*BI$11</f>
        <v>27271.765497182023</v>
      </c>
      <c r="BJ34" s="24">
        <f>Assumptions!$I151*BJ$11</f>
        <v>27317.218439677326</v>
      </c>
      <c r="BK34" s="24">
        <f>Assumptions!$I151*BK$11</f>
        <v>27362.747137076793</v>
      </c>
      <c r="BL34" s="24">
        <f>Assumptions!$I151*BL$11</f>
        <v>27408.351715638586</v>
      </c>
      <c r="BM34" s="24">
        <f>Assumptions!$I151*BM$11</f>
        <v>27454.032301831325</v>
      </c>
      <c r="BN34" s="24">
        <f>Assumptions!$I151*BN$11</f>
        <v>27499.789022334375</v>
      </c>
      <c r="BO34" s="24">
        <f>Assumptions!$I151*BO$11</f>
        <v>27545.622004038272</v>
      </c>
      <c r="BP34" s="24">
        <f>Assumptions!$I151*BP$11</f>
        <v>27591.531374045004</v>
      </c>
      <c r="BQ34" s="24">
        <f>Assumptions!$I151*BQ$11</f>
        <v>27637.517259668413</v>
      </c>
      <c r="BR34" s="24">
        <f>Assumptions!$I151*BR$11</f>
        <v>27683.579788434527</v>
      </c>
      <c r="BS34" s="24">
        <f>Assumptions!$I151*BS$11</f>
        <v>27729.719088081922</v>
      </c>
      <c r="BT34" s="24">
        <f>Assumptions!$I151*BT$11</f>
        <v>27775.935286562057</v>
      </c>
      <c r="BU34" s="24">
        <f>Assumptions!$I151*BU$11</f>
        <v>27822.228512039663</v>
      </c>
      <c r="BV34" s="24">
        <f>Assumptions!$I151*BV$11</f>
        <v>27868.59889289306</v>
      </c>
      <c r="BW34" s="24">
        <f>Assumptions!$I151*BW$11</f>
        <v>27915.046557714551</v>
      </c>
      <c r="BX34" s="24">
        <f>Assumptions!$I151*BX$11</f>
        <v>27961.571635310749</v>
      </c>
      <c r="BY34" s="24">
        <f>Assumptions!$I151*BY$11</f>
        <v>28008.174254702932</v>
      </c>
      <c r="BZ34" s="24">
        <f>Assumptions!$I151*BZ$11</f>
        <v>28054.85454512744</v>
      </c>
      <c r="CA34" s="24">
        <f>Assumptions!$I151*CA$11</f>
        <v>28101.612636035989</v>
      </c>
      <c r="CB34" s="24">
        <f>Assumptions!$I151*CB$11</f>
        <v>28148.448657096051</v>
      </c>
      <c r="CC34" s="24">
        <f>Assumptions!$I151*CC$11</f>
        <v>28195.362738191216</v>
      </c>
      <c r="CD34" s="24">
        <f>Assumptions!$I151*CD$11</f>
        <v>28242.355009421535</v>
      </c>
      <c r="CE34" s="24">
        <f>Assumptions!$I151*CE$11</f>
        <v>28289.425601103903</v>
      </c>
      <c r="CF34" s="24">
        <f>Assumptions!$I151*CF$11</f>
        <v>28336.574643772416</v>
      </c>
      <c r="CG34" s="24">
        <f>Assumptions!$I151*CG$11</f>
        <v>28383.802268178701</v>
      </c>
      <c r="CH34" s="24">
        <f>Assumptions!$I151*CH$11</f>
        <v>28431.108605292335</v>
      </c>
      <c r="CI34" s="24">
        <f>Assumptions!$I151*CI$11</f>
        <v>28478.493786301158</v>
      </c>
      <c r="CJ34" s="24">
        <f>Assumptions!$I151*CJ$11</f>
        <v>28525.957942611662</v>
      </c>
      <c r="CK34" s="24">
        <f>Assumptions!$I151*CK$11</f>
        <v>28573.501205849356</v>
      </c>
      <c r="CL34" s="24">
        <f>Assumptions!$I151*CL$11</f>
        <v>28621.123707859097</v>
      </c>
      <c r="CM34" s="24">
        <f>Assumptions!$I151*CM$11</f>
        <v>28668.825580705536</v>
      </c>
      <c r="CN34" s="24">
        <f>Assumptions!$I151*CN$11</f>
        <v>28716.606956673386</v>
      </c>
      <c r="CO34" s="24">
        <f>Assumptions!$I151*CO$11</f>
        <v>28764.467968267836</v>
      </c>
      <c r="CP34" s="24">
        <f>Assumptions!$I151*CP$11</f>
        <v>28812.408748214948</v>
      </c>
      <c r="CQ34" s="24">
        <f>Assumptions!$I151*CQ$11</f>
        <v>28860.429429461979</v>
      </c>
      <c r="CR34" s="24">
        <f>Assumptions!$I151*CR$11</f>
        <v>28908.530145177752</v>
      </c>
      <c r="CS34" s="24">
        <f>Assumptions!$I151*CS$11</f>
        <v>28956.711028753052</v>
      </c>
      <c r="CT34" s="24">
        <f>Assumptions!$I151*CT$11</f>
        <v>29004.972213800967</v>
      </c>
      <c r="CU34" s="24">
        <f>Assumptions!$I151*CU$11</f>
        <v>29053.31383415731</v>
      </c>
      <c r="CV34" s="24">
        <f>Assumptions!$I151*CV$11</f>
        <v>29101.736023880912</v>
      </c>
      <c r="CW34" s="24">
        <f>Assumptions!$I151*CW$11</f>
        <v>29150.23891725405</v>
      </c>
      <c r="CX34" s="24">
        <f>Assumptions!$I151*CX$11</f>
        <v>29198.822648782803</v>
      </c>
      <c r="CY34" s="24">
        <f>Assumptions!$I151*CY$11</f>
        <v>29247.487353197444</v>
      </c>
      <c r="CZ34" s="24">
        <f>Assumptions!$I151*CZ$11</f>
        <v>29296.233165452777</v>
      </c>
      <c r="DA34" s="24">
        <f>Assumptions!$I151*DA$11</f>
        <v>29345.060220728534</v>
      </c>
      <c r="DB34" s="24">
        <f>Assumptions!$I151*DB$11</f>
        <v>29393.968654429744</v>
      </c>
      <c r="DC34" s="24">
        <f>Assumptions!$I151*DC$11</f>
        <v>29442.958602187133</v>
      </c>
      <c r="DD34" s="24">
        <f>Assumptions!$I151*DD$11</f>
        <v>29492.03019985745</v>
      </c>
      <c r="DE34" s="24">
        <f>Assumptions!$I151*DE$11</f>
        <v>29541.183583523874</v>
      </c>
      <c r="DF34" s="24">
        <f>Assumptions!$I151*DF$11</f>
        <v>29590.418889496417</v>
      </c>
      <c r="DG34" s="24">
        <f>Assumptions!$I151*DG$11</f>
        <v>29639.736254312251</v>
      </c>
      <c r="DH34" s="24">
        <f>Assumptions!$I151*DH$11</f>
        <v>29689.135814736099</v>
      </c>
      <c r="DI34" s="24">
        <f>Assumptions!$I151*DI$11</f>
        <v>29738.617707760666</v>
      </c>
      <c r="DJ34" s="24">
        <f>Assumptions!$I151*DJ$11</f>
        <v>29788.182070606937</v>
      </c>
      <c r="DK34" s="24">
        <f>Assumptions!$I151*DK$11</f>
        <v>29837.829040724617</v>
      </c>
      <c r="DL34" s="24">
        <f>Assumptions!$I151*DL$11</f>
        <v>29887.558755792496</v>
      </c>
      <c r="DM34" s="24">
        <f>Assumptions!$I151*DM$11</f>
        <v>29937.37135371882</v>
      </c>
      <c r="DN34" s="24">
        <f>Assumptions!$I151*DN$11</f>
        <v>29987.266972641683</v>
      </c>
      <c r="DO34" s="24">
        <f>Assumptions!$I151*DO$11</f>
        <v>30037.245750929425</v>
      </c>
      <c r="DP34" s="24">
        <f>Assumptions!$I151*DP$11</f>
        <v>30087.307827180972</v>
      </c>
      <c r="DQ34" s="24">
        <f>Assumptions!$I151*DQ$11</f>
        <v>30137.453340226279</v>
      </c>
      <c r="DR34" s="24">
        <f>Assumptions!$I151*DR$11</f>
        <v>30187.682429126653</v>
      </c>
      <c r="DS34" s="24">
        <f>Assumptions!$I151*DS$11</f>
        <v>30237.995233175199</v>
      </c>
      <c r="DT34" s="24">
        <f>Assumptions!$I151*DT$11</f>
        <v>30288.391891897169</v>
      </c>
      <c r="DU34" s="24">
        <f>Assumptions!$I151*DU$11</f>
        <v>30338.872545050326</v>
      </c>
      <c r="DV34" s="24">
        <f>Assumptions!$I151*DV$11</f>
        <v>30389.437332625414</v>
      </c>
      <c r="DW34" s="24">
        <f>Assumptions!$I151*DW$11</f>
        <v>30440.086394846458</v>
      </c>
      <c r="DX34" s="24">
        <f>Assumptions!$I151*DX$11</f>
        <v>30490.8198721712</v>
      </c>
      <c r="DY34" s="24">
        <f>Assumptions!$I151*DY$11</f>
        <v>30541.637905291493</v>
      </c>
      <c r="DZ34" s="24">
        <f>Assumptions!$I151*DZ$11</f>
        <v>30592.540635133642</v>
      </c>
      <c r="EA34" s="24">
        <f>Assumptions!$I151*EA$11</f>
        <v>30643.528202858874</v>
      </c>
      <c r="EB34" s="24">
        <f>Assumptions!$I151*EB$11</f>
        <v>30694.600749863643</v>
      </c>
      <c r="EC34" s="24">
        <f>Assumptions!$I151*EC$11</f>
        <v>30745.758417780082</v>
      </c>
      <c r="ED34" s="24">
        <f>Assumptions!$I151*ED$11</f>
        <v>30797.00134847638</v>
      </c>
      <c r="EE34" s="24">
        <f>Assumptions!$I151*EE$11</f>
        <v>30848.329684057178</v>
      </c>
      <c r="EF34" s="24">
        <f>Assumptions!$I151*EF$11</f>
        <v>30899.743566863945</v>
      </c>
    </row>
    <row r="35" spans="2:136" x14ac:dyDescent="0.45">
      <c r="B35" s="1" t="str">
        <f>Assumptions!B152</f>
        <v>Insurance</v>
      </c>
      <c r="E35" s="24">
        <f>+Assumptions!$I152*E$11</f>
        <v>5924.8583333333336</v>
      </c>
      <c r="F35" s="24">
        <f>+Assumptions!$I152*F$11</f>
        <v>5934.7330972222226</v>
      </c>
      <c r="G35" s="24">
        <f>+Assumptions!$I152*G$11</f>
        <v>5944.6243190509267</v>
      </c>
      <c r="H35" s="24">
        <f>+Assumptions!$I152*H$11</f>
        <v>5954.532026249346</v>
      </c>
      <c r="I35" s="24">
        <f>+Assumptions!$I152*I$11</f>
        <v>5964.4562462930944</v>
      </c>
      <c r="J35" s="24">
        <f>+Assumptions!$I152*J$11</f>
        <v>5974.3970067035834</v>
      </c>
      <c r="K35" s="24">
        <f>+Assumptions!$I152*K$11</f>
        <v>5984.3543350480895</v>
      </c>
      <c r="L35" s="24">
        <f>+Assumptions!$I152*L$11</f>
        <v>5994.3282589398377</v>
      </c>
      <c r="M35" s="24">
        <f>+Assumptions!$I152*M$11</f>
        <v>6004.3188060380699</v>
      </c>
      <c r="N35" s="24">
        <f>+Assumptions!$I152*N$11</f>
        <v>6014.3260040481346</v>
      </c>
      <c r="O35" s="24">
        <f>+Assumptions!$I152*O$11</f>
        <v>6024.3498807215483</v>
      </c>
      <c r="P35" s="24">
        <f>+Assumptions!$I152*P$11</f>
        <v>6034.3904638560844</v>
      </c>
      <c r="Q35" s="24">
        <f>+Assumptions!$I152*Q$11</f>
        <v>6044.4477812958448</v>
      </c>
      <c r="R35" s="24">
        <f>+Assumptions!$I152*R$11</f>
        <v>6054.5218609313388</v>
      </c>
      <c r="S35" s="24">
        <f>+Assumptions!$I152*S$11</f>
        <v>6064.6127306995577</v>
      </c>
      <c r="T35" s="24">
        <f>+Assumptions!$I152*T$11</f>
        <v>6074.7204185840583</v>
      </c>
      <c r="U35" s="24">
        <f>+Assumptions!$I152*U$11</f>
        <v>6084.8449526150316</v>
      </c>
      <c r="V35" s="24">
        <f>+Assumptions!$I152*V$11</f>
        <v>6094.9863608693904</v>
      </c>
      <c r="W35" s="24">
        <f>+Assumptions!$I152*W$11</f>
        <v>6105.14467147084</v>
      </c>
      <c r="X35" s="24">
        <f>+Assumptions!$I152*X$11</f>
        <v>6115.3199125899582</v>
      </c>
      <c r="Y35" s="24">
        <f>+Assumptions!$I152*Y$11</f>
        <v>6125.5121124442758</v>
      </c>
      <c r="Z35" s="24">
        <f>+Assumptions!$I152*Z$11</f>
        <v>6135.7212992983495</v>
      </c>
      <c r="AA35" s="24">
        <f>+Assumptions!$I152*AA$11</f>
        <v>6145.9475014638474</v>
      </c>
      <c r="AB35" s="24">
        <f>+Assumptions!$I152*AB$11</f>
        <v>6156.1907472996218</v>
      </c>
      <c r="AC35" s="24">
        <f>+Assumptions!$I152*AC$11</f>
        <v>6166.451065211787</v>
      </c>
      <c r="AD35" s="24">
        <f>+Assumptions!$I152*AD$11</f>
        <v>6176.7284836538065</v>
      </c>
      <c r="AE35" s="24">
        <f>+Assumptions!$I152*AE$11</f>
        <v>6187.0230311265641</v>
      </c>
      <c r="AF35" s="24">
        <f>+Assumptions!$I152*AF$11</f>
        <v>6197.3347361784417</v>
      </c>
      <c r="AG35" s="24">
        <f>+Assumptions!$I152*AG$11</f>
        <v>6207.6636274054072</v>
      </c>
      <c r="AH35" s="24">
        <f>+Assumptions!$I152*AH$11</f>
        <v>6218.009733451082</v>
      </c>
      <c r="AI35" s="24">
        <f>+Assumptions!$I152*AI$11</f>
        <v>6228.3730830068353</v>
      </c>
      <c r="AJ35" s="24">
        <f>+Assumptions!$I152*AJ$11</f>
        <v>6238.7537048118475</v>
      </c>
      <c r="AK35" s="24">
        <f>+Assumptions!$I152*AK$11</f>
        <v>6249.1516276532011</v>
      </c>
      <c r="AL35" s="24">
        <f>+Assumptions!$I152*AL$11</f>
        <v>6259.5668803659564</v>
      </c>
      <c r="AM35" s="24">
        <f>+Assumptions!$I152*AM$11</f>
        <v>6269.9994918332332</v>
      </c>
      <c r="AN35" s="24">
        <f>+Assumptions!$I152*AN$11</f>
        <v>6280.4494909862888</v>
      </c>
      <c r="AO35" s="24">
        <f>+Assumptions!$I152*AO$11</f>
        <v>6290.9169068046003</v>
      </c>
      <c r="AP35" s="24">
        <f>+Assumptions!$I152*AP$11</f>
        <v>6301.4017683159409</v>
      </c>
      <c r="AQ35" s="24">
        <f>+Assumptions!$I152*AQ$11</f>
        <v>6311.9041045964686</v>
      </c>
      <c r="AR35" s="24">
        <f>+Assumptions!$I152*AR$11</f>
        <v>6322.4239447707969</v>
      </c>
      <c r="AS35" s="24">
        <f>+Assumptions!$I152*AS$11</f>
        <v>6332.9613180120805</v>
      </c>
      <c r="AT35" s="24">
        <f>+Assumptions!$I152*AT$11</f>
        <v>6343.5162535421014</v>
      </c>
      <c r="AU35" s="24">
        <f>+Assumptions!$I152*AU$11</f>
        <v>6354.0887806313394</v>
      </c>
      <c r="AV35" s="24">
        <f>+Assumptions!$I152*AV$11</f>
        <v>6364.6789285990571</v>
      </c>
      <c r="AW35" s="24">
        <f>+Assumptions!$I152*AW$11</f>
        <v>6375.2867268133905</v>
      </c>
      <c r="AX35" s="24">
        <f>+Assumptions!$I152*AX$11</f>
        <v>6385.9122046914135</v>
      </c>
      <c r="AY35" s="24">
        <f>+Assumptions!$I152*AY$11</f>
        <v>6396.555391699233</v>
      </c>
      <c r="AZ35" s="24">
        <f>+Assumptions!$I152*AZ$11</f>
        <v>6407.2163173520657</v>
      </c>
      <c r="BA35" s="24">
        <f>+Assumptions!$I152*BA$11</f>
        <v>6417.8950112143193</v>
      </c>
      <c r="BB35" s="24">
        <f>+Assumptions!$I152*BB$11</f>
        <v>6428.591502899676</v>
      </c>
      <c r="BC35" s="24">
        <f>+Assumptions!$I152*BC$11</f>
        <v>6439.3058220711773</v>
      </c>
      <c r="BD35" s="24">
        <f>+Assumptions!$I152*BD$11</f>
        <v>6450.0379984412957</v>
      </c>
      <c r="BE35" s="24">
        <f>+Assumptions!$I152*BE$11</f>
        <v>6460.7880617720321</v>
      </c>
      <c r="BF35" s="24">
        <f>+Assumptions!$I152*BF$11</f>
        <v>6471.5560418749856</v>
      </c>
      <c r="BG35" s="24">
        <f>+Assumptions!$I152*BG$11</f>
        <v>6482.3419686114439</v>
      </c>
      <c r="BH35" s="24">
        <f>+Assumptions!$I152*BH$11</f>
        <v>6493.145871892465</v>
      </c>
      <c r="BI35" s="24">
        <f>+Assumptions!$I152*BI$11</f>
        <v>6503.9677816789517</v>
      </c>
      <c r="BJ35" s="24">
        <f>+Assumptions!$I152*BJ$11</f>
        <v>6514.8077279817498</v>
      </c>
      <c r="BK35" s="24">
        <f>+Assumptions!$I152*BK$11</f>
        <v>6525.6657408617202</v>
      </c>
      <c r="BL35" s="24">
        <f>+Assumptions!$I152*BL$11</f>
        <v>6536.5418504298232</v>
      </c>
      <c r="BM35" s="24">
        <f>+Assumptions!$I152*BM$11</f>
        <v>6547.4360868472077</v>
      </c>
      <c r="BN35" s="24">
        <f>+Assumptions!$I152*BN$11</f>
        <v>6558.3484803252859</v>
      </c>
      <c r="BO35" s="24">
        <f>+Assumptions!$I152*BO$11</f>
        <v>6569.2790611258297</v>
      </c>
      <c r="BP35" s="24">
        <f>+Assumptions!$I152*BP$11</f>
        <v>6580.2278595610396</v>
      </c>
      <c r="BQ35" s="24">
        <f>+Assumptions!$I152*BQ$11</f>
        <v>6591.1949059936424</v>
      </c>
      <c r="BR35" s="24">
        <f>+Assumptions!$I152*BR$11</f>
        <v>6602.1802308369643</v>
      </c>
      <c r="BS35" s="24">
        <f>+Assumptions!$I152*BS$11</f>
        <v>6613.183864555027</v>
      </c>
      <c r="BT35" s="24">
        <f>+Assumptions!$I152*BT$11</f>
        <v>6624.2058376626183</v>
      </c>
      <c r="BU35" s="24">
        <f>+Assumptions!$I152*BU$11</f>
        <v>6635.2461807253894</v>
      </c>
      <c r="BV35" s="24">
        <f>+Assumptions!$I152*BV$11</f>
        <v>6646.3049243599316</v>
      </c>
      <c r="BW35" s="24">
        <f>+Assumptions!$I152*BW$11</f>
        <v>6657.3820992338651</v>
      </c>
      <c r="BX35" s="24">
        <f>+Assumptions!$I152*BX$11</f>
        <v>6668.4777360659236</v>
      </c>
      <c r="BY35" s="24">
        <f>+Assumptions!$I152*BY$11</f>
        <v>6679.5918656260328</v>
      </c>
      <c r="BZ35" s="24">
        <f>+Assumptions!$I152*BZ$11</f>
        <v>6690.7245187354101</v>
      </c>
      <c r="CA35" s="24">
        <f>+Assumptions!$I152*CA$11</f>
        <v>6701.8757262666368</v>
      </c>
      <c r="CB35" s="24">
        <f>+Assumptions!$I152*CB$11</f>
        <v>6713.0455191437486</v>
      </c>
      <c r="CC35" s="24">
        <f>+Assumptions!$I152*CC$11</f>
        <v>6724.2339283423225</v>
      </c>
      <c r="CD35" s="24">
        <f>+Assumptions!$I152*CD$11</f>
        <v>6735.4409848895593</v>
      </c>
      <c r="CE35" s="24">
        <f>+Assumptions!$I152*CE$11</f>
        <v>6746.6667198643754</v>
      </c>
      <c r="CF35" s="24">
        <f>+Assumptions!$I152*CF$11</f>
        <v>6757.9111643974838</v>
      </c>
      <c r="CG35" s="24">
        <f>+Assumptions!$I152*CG$11</f>
        <v>6769.1743496714798</v>
      </c>
      <c r="CH35" s="24">
        <f>+Assumptions!$I152*CH$11</f>
        <v>6780.4563069209325</v>
      </c>
      <c r="CI35" s="24">
        <f>+Assumptions!$I152*CI$11</f>
        <v>6791.7570674324688</v>
      </c>
      <c r="CJ35" s="24">
        <f>+Assumptions!$I152*CJ$11</f>
        <v>6803.0766625448568</v>
      </c>
      <c r="CK35" s="24">
        <f>+Assumptions!$I152*CK$11</f>
        <v>6814.4151236490989</v>
      </c>
      <c r="CL35" s="24">
        <f>+Assumptions!$I152*CL$11</f>
        <v>6825.7724821885131</v>
      </c>
      <c r="CM35" s="24">
        <f>+Assumptions!$I152*CM$11</f>
        <v>6837.1487696588292</v>
      </c>
      <c r="CN35" s="24">
        <f>+Assumptions!$I152*CN$11</f>
        <v>6848.5440176082611</v>
      </c>
      <c r="CO35" s="24">
        <f>+Assumptions!$I152*CO$11</f>
        <v>6859.9582576376069</v>
      </c>
      <c r="CP35" s="24">
        <f>+Assumptions!$I152*CP$11</f>
        <v>6871.3915214003373</v>
      </c>
      <c r="CQ35" s="24">
        <f>+Assumptions!$I152*CQ$11</f>
        <v>6882.8438406026717</v>
      </c>
      <c r="CR35" s="24">
        <f>+Assumptions!$I152*CR$11</f>
        <v>6894.3152470036775</v>
      </c>
      <c r="CS35" s="24">
        <f>+Assumptions!$I152*CS$11</f>
        <v>6905.8057724153514</v>
      </c>
      <c r="CT35" s="24">
        <f>+Assumptions!$I152*CT$11</f>
        <v>6917.3154487027086</v>
      </c>
      <c r="CU35" s="24">
        <f>+Assumptions!$I152*CU$11</f>
        <v>6928.844307783881</v>
      </c>
      <c r="CV35" s="24">
        <f>+Assumptions!$I152*CV$11</f>
        <v>6940.3923816301894</v>
      </c>
      <c r="CW35" s="24">
        <f>+Assumptions!$I152*CW$11</f>
        <v>6951.9597022662401</v>
      </c>
      <c r="CX35" s="24">
        <f>+Assumptions!$I152*CX$11</f>
        <v>6963.5463017700167</v>
      </c>
      <c r="CY35" s="24">
        <f>+Assumptions!$I152*CY$11</f>
        <v>6975.1522122729675</v>
      </c>
      <c r="CZ35" s="24">
        <f>+Assumptions!$I152*CZ$11</f>
        <v>6986.77746596009</v>
      </c>
      <c r="DA35" s="24">
        <f>+Assumptions!$I152*DA$11</f>
        <v>6998.4220950700237</v>
      </c>
      <c r="DB35" s="24">
        <f>+Assumptions!$I152*DB$11</f>
        <v>7010.0861318951393</v>
      </c>
      <c r="DC35" s="24">
        <f>+Assumptions!$I152*DC$11</f>
        <v>7021.769608781633</v>
      </c>
      <c r="DD35" s="24">
        <f>+Assumptions!$I152*DD$11</f>
        <v>7033.4725581296034</v>
      </c>
      <c r="DE35" s="24">
        <f>+Assumptions!$I152*DE$11</f>
        <v>7045.195012393152</v>
      </c>
      <c r="DF35" s="24">
        <f>+Assumptions!$I152*DF$11</f>
        <v>7056.9370040804743</v>
      </c>
      <c r="DG35" s="24">
        <f>+Assumptions!$I152*DG$11</f>
        <v>7068.6985657539426</v>
      </c>
      <c r="DH35" s="24">
        <f>+Assumptions!$I152*DH$11</f>
        <v>7080.4797300301989</v>
      </c>
      <c r="DI35" s="24">
        <f>+Assumptions!$I152*DI$11</f>
        <v>7092.2805295802509</v>
      </c>
      <c r="DJ35" s="24">
        <f>+Assumptions!$I152*DJ$11</f>
        <v>7104.1009971295525</v>
      </c>
      <c r="DK35" s="24">
        <f>+Assumptions!$I152*DK$11</f>
        <v>7115.9411654581018</v>
      </c>
      <c r="DL35" s="24">
        <f>+Assumptions!$I152*DL$11</f>
        <v>7127.8010674005327</v>
      </c>
      <c r="DM35" s="24">
        <f>+Assumptions!$I152*DM$11</f>
        <v>7139.6807358462011</v>
      </c>
      <c r="DN35" s="24">
        <f>+Assumptions!$I152*DN$11</f>
        <v>7151.5802037392768</v>
      </c>
      <c r="DO35" s="24">
        <f>+Assumptions!$I152*DO$11</f>
        <v>7163.4995040788444</v>
      </c>
      <c r="DP35" s="24">
        <f>+Assumptions!$I152*DP$11</f>
        <v>7175.4386699189754</v>
      </c>
      <c r="DQ35" s="24">
        <f>+Assumptions!$I152*DQ$11</f>
        <v>7187.3977343688421</v>
      </c>
      <c r="DR35" s="24">
        <f>+Assumptions!$I152*DR$11</f>
        <v>7199.3767305927895</v>
      </c>
      <c r="DS35" s="24">
        <f>+Assumptions!$I152*DS$11</f>
        <v>7211.3756918104446</v>
      </c>
      <c r="DT35" s="24">
        <f>+Assumptions!$I152*DT$11</f>
        <v>7223.3946512967968</v>
      </c>
      <c r="DU35" s="24">
        <f>+Assumptions!$I152*DU$11</f>
        <v>7235.4336423822915</v>
      </c>
      <c r="DV35" s="24">
        <f>+Assumptions!$I152*DV$11</f>
        <v>7247.4926984529293</v>
      </c>
      <c r="DW35" s="24">
        <f>+Assumptions!$I152*DW$11</f>
        <v>7259.5718529503511</v>
      </c>
      <c r="DX35" s="24">
        <f>+Assumptions!$I152*DX$11</f>
        <v>7271.6711393719343</v>
      </c>
      <c r="DY35" s="24">
        <f>+Assumptions!$I152*DY$11</f>
        <v>7283.7905912708893</v>
      </c>
      <c r="DZ35" s="24">
        <f>+Assumptions!$I152*DZ$11</f>
        <v>7295.9302422563405</v>
      </c>
      <c r="EA35" s="24">
        <f>+Assumptions!$I152*EA$11</f>
        <v>7308.0901259934362</v>
      </c>
      <c r="EB35" s="24">
        <f>+Assumptions!$I152*EB$11</f>
        <v>7320.270276203426</v>
      </c>
      <c r="EC35" s="24">
        <f>+Assumptions!$I152*EC$11</f>
        <v>7332.4707266637652</v>
      </c>
      <c r="ED35" s="24">
        <f>+Assumptions!$I152*ED$11</f>
        <v>7344.6915112082052</v>
      </c>
      <c r="EE35" s="24">
        <f>+Assumptions!$I152*EE$11</f>
        <v>7356.932663726885</v>
      </c>
      <c r="EF35" s="24">
        <f>+Assumptions!$I152*EF$11</f>
        <v>7369.1942181664317</v>
      </c>
    </row>
    <row r="36" spans="2:136" x14ac:dyDescent="0.45">
      <c r="B36" s="1" t="str">
        <f>Assumptions!B153</f>
        <v>Water / Sewer</v>
      </c>
      <c r="E36" s="24">
        <f>+Assumptions!$G$153/12*'NOI Walk'!E16*'NOI Walk'!E11</f>
        <v>3912.3430555555547</v>
      </c>
      <c r="F36" s="24">
        <f>+Assumptions!$G$153/12*'NOI Walk'!F16*'NOI Walk'!F11</f>
        <v>3768.1381031873211</v>
      </c>
      <c r="G36" s="24">
        <f>+Assumptions!$G$153/12*'NOI Walk'!G16*'NOI Walk'!G11</f>
        <v>3774.4183333593</v>
      </c>
      <c r="H36" s="24">
        <f>+Assumptions!$G$153/12*'NOI Walk'!H16*'NOI Walk'!H11</f>
        <v>3679.8901230993911</v>
      </c>
      <c r="I36" s="24">
        <f>+Assumptions!$G$153/12*'NOI Walk'!I16*'NOI Walk'!I11</f>
        <v>3534.5428648125885</v>
      </c>
      <c r="J36" s="24">
        <f>+Assumptions!$G$153/12*'NOI Walk'!J16*'NOI Walk'!J11</f>
        <v>3591.0113948670946</v>
      </c>
      <c r="K36" s="24">
        <f>+Assumptions!$G$153/12*'NOI Walk'!K16*'NOI Walk'!K11</f>
        <v>3445.0106498926857</v>
      </c>
      <c r="L36" s="24">
        <f>+Assumptions!$G$153/12*'NOI Walk'!L16*'NOI Walk'!L11</f>
        <v>3450.7523343091743</v>
      </c>
      <c r="M36" s="24">
        <f>+Assumptions!$G$153/12*'NOI Walk'!M16*'NOI Walk'!M11</f>
        <v>3456.5035881996896</v>
      </c>
      <c r="N36" s="24">
        <f>+Assumptions!$G$153/12*'NOI Walk'!N16*'NOI Walk'!N11</f>
        <v>3411.3487741675717</v>
      </c>
      <c r="O36" s="24">
        <f>+Assumptions!$G$153/12*'NOI Walk'!O16*'NOI Walk'!O11</f>
        <v>3417.0343554578508</v>
      </c>
      <c r="P36" s="24">
        <f>+Assumptions!$G$153/12*'NOI Walk'!P16*'NOI Walk'!P11</f>
        <v>3422.7294127169475</v>
      </c>
      <c r="Q36" s="24">
        <f>+Assumptions!$G$153/12*'NOI Walk'!Q16*'NOI Walk'!Q11</f>
        <v>3479.6046178834881</v>
      </c>
      <c r="R36" s="24">
        <f>+Assumptions!$G$153/12*'NOI Walk'!R16*'NOI Walk'!R11</f>
        <v>3536.659899485549</v>
      </c>
      <c r="S36" s="24">
        <f>+Assumptions!$G$153/12*'NOI Walk'!S16*'NOI Walk'!S11</f>
        <v>3593.8956997912328</v>
      </c>
      <c r="T36" s="24">
        <f>+Assumptions!$G$153/12*'NOI Walk'!T16*'NOI Walk'!T11</f>
        <v>3599.8855259575521</v>
      </c>
      <c r="U36" s="24">
        <f>+Assumptions!$G$153/12*'NOI Walk'!U16*'NOI Walk'!U11</f>
        <v>3554.3726875222319</v>
      </c>
      <c r="V36" s="24">
        <f>+Assumptions!$G$153/12*'NOI Walk'!V16*'NOI Walk'!V11</f>
        <v>3508.6981399434435</v>
      </c>
      <c r="W36" s="24">
        <f>+Assumptions!$G$153/12*'NOI Walk'!W16*'NOI Walk'!W11</f>
        <v>3462.8614706152616</v>
      </c>
      <c r="X36" s="24">
        <f>+Assumptions!$G$153/12*'NOI Walk'!X16*'NOI Walk'!X11</f>
        <v>3416.8622660055962</v>
      </c>
      <c r="Y36" s="24">
        <f>+Assumptions!$G$153/12*'NOI Walk'!Y16*'NOI Walk'!Y11</f>
        <v>3474.4139612436202</v>
      </c>
      <c r="Z36" s="24">
        <f>+Assumptions!$G$153/12*'NOI Walk'!Z16*'NOI Walk'!Z11</f>
        <v>3584.0913571843703</v>
      </c>
      <c r="AA36" s="24">
        <f>+Assumptions!$G$153/12*'NOI Walk'!AA16*'NOI Walk'!AA11</f>
        <v>3642.0947680373542</v>
      </c>
      <c r="AB36" s="24">
        <f>+Assumptions!$G$153/12*'NOI Walk'!AB16*'NOI Walk'!AB11</f>
        <v>3648.1649259840842</v>
      </c>
      <c r="AC36" s="24">
        <f>+Assumptions!$G$153/12*'NOI Walk'!AC16*'NOI Walk'!AC11</f>
        <v>3602.0416979912848</v>
      </c>
      <c r="AD36" s="24">
        <f>+Assumptions!$G$153/12*'NOI Walk'!AD16*'NOI Walk'!AD11</f>
        <v>3503.4640834061611</v>
      </c>
      <c r="AE36" s="24">
        <f>+Assumptions!$G$153/12*'NOI Walk'!AE16*'NOI Walk'!AE11</f>
        <v>3509.3031902118382</v>
      </c>
      <c r="AF36" s="24">
        <f>+Assumptions!$G$153/12*'NOI Walk'!AF16*'NOI Walk'!AF11</f>
        <v>3672.5468958261704</v>
      </c>
      <c r="AG36" s="24">
        <f>+Assumptions!$G$153/12*'NOI Walk'!AG16*'NOI Walk'!AG11</f>
        <v>3836.3249990614668</v>
      </c>
      <c r="AH36" s="24">
        <f>+Assumptions!$G$153/12*'NOI Walk'!AH16*'NOI Walk'!AH11</f>
        <v>4000.6388277883912</v>
      </c>
      <c r="AI36" s="24">
        <f>+Assumptions!$G$153/12*'NOI Walk'!AI16*'NOI Walk'!AI11</f>
        <v>4112.7619949356194</v>
      </c>
      <c r="AJ36" s="24">
        <f>+Assumptions!$G$153/12*'NOI Walk'!AJ16*'NOI Walk'!AJ11</f>
        <v>4119.6165982605125</v>
      </c>
      <c r="AK36" s="24">
        <f>+Assumptions!$G$153/12*'NOI Walk'!AK16*'NOI Walk'!AK11</f>
        <v>4126.4826259242809</v>
      </c>
      <c r="AL36" s="24">
        <f>+Assumptions!$G$153/12*'NOI Walk'!AL16*'NOI Walk'!AL11</f>
        <v>4133.3600969674881</v>
      </c>
      <c r="AM36" s="24">
        <f>+Assumptions!$G$153/12*'NOI Walk'!AM16*'NOI Walk'!AM11</f>
        <v>4140.2490304624343</v>
      </c>
      <c r="AN36" s="24">
        <f>+Assumptions!$G$153/12*'NOI Walk'!AN16*'NOI Walk'!AN11</f>
        <v>4147.1494455132042</v>
      </c>
      <c r="AO36" s="24">
        <f>+Assumptions!$G$153/12*'NOI Walk'!AO16*'NOI Walk'!AO11</f>
        <v>4154.0613612557272</v>
      </c>
      <c r="AP36" s="24">
        <f>+Assumptions!$G$153/12*'NOI Walk'!AP16*'NOI Walk'!AP11</f>
        <v>4160.9847968578197</v>
      </c>
      <c r="AQ36" s="24">
        <f>+Assumptions!$G$153/12*'NOI Walk'!AQ16*'NOI Walk'!AQ11</f>
        <v>4167.9197715192504</v>
      </c>
      <c r="AR36" s="24">
        <f>+Assumptions!$G$153/12*'NOI Walk'!AR16*'NOI Walk'!AR11</f>
        <v>4174.8663044717832</v>
      </c>
      <c r="AS36" s="24">
        <f>+Assumptions!$G$153/12*'NOI Walk'!AS16*'NOI Walk'!AS11</f>
        <v>4181.8244149792354</v>
      </c>
      <c r="AT36" s="24">
        <f>+Assumptions!$G$153/12*'NOI Walk'!AT16*'NOI Walk'!AT11</f>
        <v>4188.7941223375346</v>
      </c>
      <c r="AU36" s="24">
        <f>+Assumptions!$G$153/12*'NOI Walk'!AU16*'NOI Walk'!AU11</f>
        <v>4195.775445874764</v>
      </c>
      <c r="AV36" s="24">
        <f>+Assumptions!$G$153/12*'NOI Walk'!AV16*'NOI Walk'!AV11</f>
        <v>4202.7684049512218</v>
      </c>
      <c r="AW36" s="24">
        <f>+Assumptions!$G$153/12*'NOI Walk'!AW16*'NOI Walk'!AW11</f>
        <v>4209.7730189594749</v>
      </c>
      <c r="AX36" s="24">
        <f>+Assumptions!$G$153/12*'NOI Walk'!AX16*'NOI Walk'!AX11</f>
        <v>4216.7893073244077</v>
      </c>
      <c r="AY36" s="24">
        <f>+Assumptions!$G$153/12*'NOI Walk'!AY16*'NOI Walk'!AY11</f>
        <v>4223.8172895032822</v>
      </c>
      <c r="AZ36" s="24">
        <f>+Assumptions!$G$153/12*'NOI Walk'!AZ16*'NOI Walk'!AZ11</f>
        <v>4230.8569849857886</v>
      </c>
      <c r="BA36" s="24">
        <f>+Assumptions!$G$153/12*'NOI Walk'!BA16*'NOI Walk'!BA11</f>
        <v>4237.908413294098</v>
      </c>
      <c r="BB36" s="24">
        <f>+Assumptions!$G$153/12*'NOI Walk'!BB16*'NOI Walk'!BB11</f>
        <v>4244.9715939829211</v>
      </c>
      <c r="BC36" s="24">
        <f>+Assumptions!$G$153/12*'NOI Walk'!BC16*'NOI Walk'!BC11</f>
        <v>4252.0465466395599</v>
      </c>
      <c r="BD36" s="24">
        <f>+Assumptions!$G$153/12*'NOI Walk'!BD16*'NOI Walk'!BD11</f>
        <v>4259.1332908839595</v>
      </c>
      <c r="BE36" s="24">
        <f>+Assumptions!$G$153/12*'NOI Walk'!BE16*'NOI Walk'!BE11</f>
        <v>4266.2318463687661</v>
      </c>
      <c r="BF36" s="24">
        <f>+Assumptions!$G$153/12*'NOI Walk'!BF16*'NOI Walk'!BF11</f>
        <v>4273.3422327793814</v>
      </c>
      <c r="BG36" s="24">
        <f>+Assumptions!$G$153/12*'NOI Walk'!BG16*'NOI Walk'!BG11</f>
        <v>4280.4644698340135</v>
      </c>
      <c r="BH36" s="24">
        <f>+Assumptions!$G$153/12*'NOI Walk'!BH16*'NOI Walk'!BH11</f>
        <v>4287.5985772837385</v>
      </c>
      <c r="BI36" s="24">
        <f>+Assumptions!$G$153/12*'NOI Walk'!BI16*'NOI Walk'!BI11</f>
        <v>4294.7445749125436</v>
      </c>
      <c r="BJ36" s="24">
        <f>+Assumptions!$G$153/12*'NOI Walk'!BJ16*'NOI Walk'!BJ11</f>
        <v>4301.9024825373981</v>
      </c>
      <c r="BK36" s="24">
        <f>+Assumptions!$G$153/12*'NOI Walk'!BK16*'NOI Walk'!BK11</f>
        <v>4309.0723200082948</v>
      </c>
      <c r="BL36" s="24">
        <f>+Assumptions!$G$153/12*'NOI Walk'!BL16*'NOI Walk'!BL11</f>
        <v>4316.2541072083077</v>
      </c>
      <c r="BM36" s="24">
        <f>+Assumptions!$G$153/12*'NOI Walk'!BM16*'NOI Walk'!BM11</f>
        <v>4323.4478640536563</v>
      </c>
      <c r="BN36" s="24">
        <f>+Assumptions!$G$153/12*'NOI Walk'!BN16*'NOI Walk'!BN11</f>
        <v>4330.6536104937459</v>
      </c>
      <c r="BO36" s="24">
        <f>+Assumptions!$G$153/12*'NOI Walk'!BO16*'NOI Walk'!BO11</f>
        <v>4337.8713665112364</v>
      </c>
      <c r="BP36" s="24">
        <f>+Assumptions!$G$153/12*'NOI Walk'!BP16*'NOI Walk'!BP11</f>
        <v>4345.101152122088</v>
      </c>
      <c r="BQ36" s="24">
        <f>+Assumptions!$G$153/12*'NOI Walk'!BQ16*'NOI Walk'!BQ11</f>
        <v>4352.3429873756259</v>
      </c>
      <c r="BR36" s="24">
        <f>+Assumptions!$G$153/12*'NOI Walk'!BR16*'NOI Walk'!BR11</f>
        <v>4359.5968923545843</v>
      </c>
      <c r="BS36" s="24">
        <f>+Assumptions!$G$153/12*'NOI Walk'!BS16*'NOI Walk'!BS11</f>
        <v>4366.8628871751762</v>
      </c>
      <c r="BT36" s="24">
        <f>+Assumptions!$G$153/12*'NOI Walk'!BT16*'NOI Walk'!BT11</f>
        <v>4374.1409919871348</v>
      </c>
      <c r="BU36" s="24">
        <f>+Assumptions!$G$153/12*'NOI Walk'!BU16*'NOI Walk'!BU11</f>
        <v>4381.4312269737802</v>
      </c>
      <c r="BV36" s="24">
        <f>+Assumptions!$G$153/12*'NOI Walk'!BV16*'NOI Walk'!BV11</f>
        <v>4388.7336123520699</v>
      </c>
      <c r="BW36" s="24">
        <f>+Assumptions!$G$153/12*'NOI Walk'!BW16*'NOI Walk'!BW11</f>
        <v>4396.0481683726566</v>
      </c>
      <c r="BX36" s="24">
        <f>+Assumptions!$G$153/12*'NOI Walk'!BX16*'NOI Walk'!BX11</f>
        <v>4403.374915319946</v>
      </c>
      <c r="BY36" s="24">
        <f>+Assumptions!$G$153/12*'NOI Walk'!BY16*'NOI Walk'!BY11</f>
        <v>4410.7138735121453</v>
      </c>
      <c r="BZ36" s="24">
        <f>+Assumptions!$G$153/12*'NOI Walk'!BZ16*'NOI Walk'!BZ11</f>
        <v>4418.0650633013329</v>
      </c>
      <c r="CA36" s="24">
        <f>+Assumptions!$G$153/12*'NOI Walk'!CA16*'NOI Walk'!CA11</f>
        <v>4425.4285050735025</v>
      </c>
      <c r="CB36" s="24">
        <f>+Assumptions!$G$153/12*'NOI Walk'!CB16*'NOI Walk'!CB11</f>
        <v>4432.8042192486246</v>
      </c>
      <c r="CC36" s="24">
        <f>+Assumptions!$G$153/12*'NOI Walk'!CC16*'NOI Walk'!CC11</f>
        <v>4440.1922262807066</v>
      </c>
      <c r="CD36" s="24">
        <f>+Assumptions!$G$153/12*'NOI Walk'!CD16*'NOI Walk'!CD11</f>
        <v>4447.592546657841</v>
      </c>
      <c r="CE36" s="24">
        <f>+Assumptions!$G$153/12*'NOI Walk'!CE16*'NOI Walk'!CE11</f>
        <v>4455.0052009022711</v>
      </c>
      <c r="CF36" s="24">
        <f>+Assumptions!$G$153/12*'NOI Walk'!CF16*'NOI Walk'!CF11</f>
        <v>4462.4302095704425</v>
      </c>
      <c r="CG36" s="24">
        <f>+Assumptions!$G$153/12*'NOI Walk'!CG16*'NOI Walk'!CG11</f>
        <v>4469.8675932530596</v>
      </c>
      <c r="CH36" s="24">
        <f>+Assumptions!$G$153/12*'NOI Walk'!CH16*'NOI Walk'!CH11</f>
        <v>4477.3173725751476</v>
      </c>
      <c r="CI36" s="24">
        <f>+Assumptions!$G$153/12*'NOI Walk'!CI16*'NOI Walk'!CI11</f>
        <v>4484.779568196107</v>
      </c>
      <c r="CJ36" s="24">
        <f>+Assumptions!$G$153/12*'NOI Walk'!CJ16*'NOI Walk'!CJ11</f>
        <v>4492.254200809768</v>
      </c>
      <c r="CK36" s="24">
        <f>+Assumptions!$G$153/12*'NOI Walk'!CK16*'NOI Walk'!CK11</f>
        <v>4499.7412911444517</v>
      </c>
      <c r="CL36" s="24">
        <f>+Assumptions!$G$153/12*'NOI Walk'!CL16*'NOI Walk'!CL11</f>
        <v>4507.2408599630244</v>
      </c>
      <c r="CM36" s="24">
        <f>+Assumptions!$G$153/12*'NOI Walk'!CM16*'NOI Walk'!CM11</f>
        <v>4514.7529280629642</v>
      </c>
      <c r="CN36" s="24">
        <f>+Assumptions!$G$153/12*'NOI Walk'!CN16*'NOI Walk'!CN11</f>
        <v>4522.2775162764037</v>
      </c>
      <c r="CO36" s="24">
        <f>+Assumptions!$G$153/12*'NOI Walk'!CO16*'NOI Walk'!CO11</f>
        <v>4529.8146454701964</v>
      </c>
      <c r="CP36" s="24">
        <f>+Assumptions!$G$153/12*'NOI Walk'!CP16*'NOI Walk'!CP11</f>
        <v>4537.3643365459802</v>
      </c>
      <c r="CQ36" s="24">
        <f>+Assumptions!$G$153/12*'NOI Walk'!CQ16*'NOI Walk'!CQ11</f>
        <v>4544.9266104402241</v>
      </c>
      <c r="CR36" s="24">
        <f>+Assumptions!$G$153/12*'NOI Walk'!CR16*'NOI Walk'!CR11</f>
        <v>4552.5014881242923</v>
      </c>
      <c r="CS36" s="24">
        <f>+Assumptions!$G$153/12*'NOI Walk'!CS16*'NOI Walk'!CS11</f>
        <v>4560.0889906045004</v>
      </c>
      <c r="CT36" s="24">
        <f>+Assumptions!$G$153/12*'NOI Walk'!CT16*'NOI Walk'!CT11</f>
        <v>4567.6891389221737</v>
      </c>
      <c r="CU36" s="24">
        <f>+Assumptions!$G$153/12*'NOI Walk'!CU16*'NOI Walk'!CU11</f>
        <v>4575.3019541537114</v>
      </c>
      <c r="CV36" s="24">
        <f>+Assumptions!$G$153/12*'NOI Walk'!CV16*'NOI Walk'!CV11</f>
        <v>4582.9274574106348</v>
      </c>
      <c r="CW36" s="24">
        <f>+Assumptions!$G$153/12*'NOI Walk'!CW16*'NOI Walk'!CW11</f>
        <v>4590.5656698396533</v>
      </c>
      <c r="CX36" s="24">
        <f>+Assumptions!$G$153/12*'NOI Walk'!CX16*'NOI Walk'!CX11</f>
        <v>4598.2166126227185</v>
      </c>
      <c r="CY36" s="24">
        <f>+Assumptions!$G$153/12*'NOI Walk'!CY16*'NOI Walk'!CY11</f>
        <v>4605.8803069770902</v>
      </c>
      <c r="CZ36" s="24">
        <f>+Assumptions!$G$153/12*'NOI Walk'!CZ16*'NOI Walk'!CZ11</f>
        <v>4613.5567741553859</v>
      </c>
      <c r="DA36" s="24">
        <f>+Assumptions!$G$153/12*'NOI Walk'!DA16*'NOI Walk'!DA11</f>
        <v>4621.2460354456452</v>
      </c>
      <c r="DB36" s="24">
        <f>+Assumptions!$G$153/12*'NOI Walk'!DB16*'NOI Walk'!DB11</f>
        <v>4628.9481121713879</v>
      </c>
      <c r="DC36" s="24">
        <f>+Assumptions!$G$153/12*'NOI Walk'!DC16*'NOI Walk'!DC11</f>
        <v>4636.6630256916742</v>
      </c>
      <c r="DD36" s="24">
        <f>+Assumptions!$G$153/12*'NOI Walk'!DD16*'NOI Walk'!DD11</f>
        <v>4644.3907974011609</v>
      </c>
      <c r="DE36" s="24">
        <f>+Assumptions!$G$153/12*'NOI Walk'!DE16*'NOI Walk'!DE11</f>
        <v>4652.1314487301624</v>
      </c>
      <c r="DF36" s="24">
        <f>+Assumptions!$G$153/12*'NOI Walk'!DF16*'NOI Walk'!DF11</f>
        <v>4659.885001144713</v>
      </c>
      <c r="DG36" s="24">
        <f>+Assumptions!$G$153/12*'NOI Walk'!DG16*'NOI Walk'!DG11</f>
        <v>4667.6514761466215</v>
      </c>
      <c r="DH36" s="24">
        <f>+Assumptions!$G$153/12*'NOI Walk'!DH16*'NOI Walk'!DH11</f>
        <v>4675.4308952735319</v>
      </c>
      <c r="DI36" s="24">
        <f>+Assumptions!$G$153/12*'NOI Walk'!DI16*'NOI Walk'!DI11</f>
        <v>4683.2232800989896</v>
      </c>
      <c r="DJ36" s="24">
        <f>+Assumptions!$G$153/12*'NOI Walk'!DJ16*'NOI Walk'!DJ11</f>
        <v>4691.0286522324877</v>
      </c>
      <c r="DK36" s="24">
        <f>+Assumptions!$G$153/12*'NOI Walk'!DK16*'NOI Walk'!DK11</f>
        <v>4698.8470333195428</v>
      </c>
      <c r="DL36" s="24">
        <f>+Assumptions!$G$153/12*'NOI Walk'!DL16*'NOI Walk'!DL11</f>
        <v>4706.6784450417426</v>
      </c>
      <c r="DM36" s="24">
        <f>+Assumptions!$G$153/12*'NOI Walk'!DM16*'NOI Walk'!DM11</f>
        <v>4714.5229091168121</v>
      </c>
      <c r="DN36" s="24">
        <f>+Assumptions!$G$153/12*'NOI Walk'!DN16*'NOI Walk'!DN11</f>
        <v>4722.3804472986731</v>
      </c>
      <c r="DO36" s="24">
        <f>+Assumptions!$G$153/12*'NOI Walk'!DO16*'NOI Walk'!DO11</f>
        <v>4730.2510813775052</v>
      </c>
      <c r="DP36" s="24">
        <f>+Assumptions!$G$153/12*'NOI Walk'!DP16*'NOI Walk'!DP11</f>
        <v>4738.1348331798008</v>
      </c>
      <c r="DQ36" s="24">
        <f>+Assumptions!$G$153/12*'NOI Walk'!DQ16*'NOI Walk'!DQ11</f>
        <v>4746.0317245684346</v>
      </c>
      <c r="DR36" s="24">
        <f>+Assumptions!$G$153/12*'NOI Walk'!DR16*'NOI Walk'!DR11</f>
        <v>4753.9417774427147</v>
      </c>
      <c r="DS36" s="24">
        <f>+Assumptions!$G$153/12*'NOI Walk'!DS16*'NOI Walk'!DS11</f>
        <v>4761.8650137384539</v>
      </c>
      <c r="DT36" s="24">
        <f>+Assumptions!$G$153/12*'NOI Walk'!DT16*'NOI Walk'!DT11</f>
        <v>4769.8014554280189</v>
      </c>
      <c r="DU36" s="24">
        <f>+Assumptions!$G$153/12*'NOI Walk'!DU16*'NOI Walk'!DU11</f>
        <v>4777.7511245203987</v>
      </c>
      <c r="DV36" s="24">
        <f>+Assumptions!$G$153/12*'NOI Walk'!DV16*'NOI Walk'!DV11</f>
        <v>4785.7140430612662</v>
      </c>
      <c r="DW36" s="24">
        <f>+Assumptions!$G$153/12*'NOI Walk'!DW16*'NOI Walk'!DW11</f>
        <v>4793.6902331330357</v>
      </c>
      <c r="DX36" s="24">
        <f>+Assumptions!$G$153/12*'NOI Walk'!DX16*'NOI Walk'!DX11</f>
        <v>4801.6797168549228</v>
      </c>
      <c r="DY36" s="24">
        <f>+Assumptions!$G$153/12*'NOI Walk'!DY16*'NOI Walk'!DY11</f>
        <v>4809.6825163830163</v>
      </c>
      <c r="DZ36" s="24">
        <f>+Assumptions!$G$153/12*'NOI Walk'!DZ16*'NOI Walk'!DZ11</f>
        <v>4817.6986539103209</v>
      </c>
      <c r="EA36" s="24">
        <f>+Assumptions!$G$153/12*'NOI Walk'!EA16*'NOI Walk'!EA11</f>
        <v>4825.728151666839</v>
      </c>
      <c r="EB36" s="24">
        <f>+Assumptions!$G$153/12*'NOI Walk'!EB16*'NOI Walk'!EB11</f>
        <v>4833.7710319196176</v>
      </c>
      <c r="EC36" s="24">
        <f>+Assumptions!$G$153/12*'NOI Walk'!EC16*'NOI Walk'!EC11</f>
        <v>4841.8273169728172</v>
      </c>
      <c r="ED36" s="24">
        <f>+Assumptions!$G$153/12*'NOI Walk'!ED16*'NOI Walk'!ED11</f>
        <v>4849.8970291677715</v>
      </c>
      <c r="EE36" s="24">
        <f>+Assumptions!$G$153/12*'NOI Walk'!EE16*'NOI Walk'!EE11</f>
        <v>4857.9801908830514</v>
      </c>
      <c r="EF36" s="24">
        <f>+Assumptions!$G$153/12*'NOI Walk'!EF16*'NOI Walk'!EF11</f>
        <v>4866.0768245345243</v>
      </c>
    </row>
    <row r="37" spans="2:136" x14ac:dyDescent="0.45">
      <c r="B37" s="1" t="str">
        <f>Assumptions!B154</f>
        <v>Repairs &amp; Maintenance</v>
      </c>
      <c r="E37" s="24">
        <f>+Assumptions!$G$154/12*'NOI Walk'!E16*'NOI Walk'!E11</f>
        <v>3255.416666666667</v>
      </c>
      <c r="F37" s="24">
        <f>+Assumptions!$G$154/12*'NOI Walk'!F16*'NOI Walk'!F11</f>
        <v>3135.4253472222226</v>
      </c>
      <c r="G37" s="24">
        <f>+Assumptions!$G$154/12*'NOI Walk'!G16*'NOI Walk'!G11</f>
        <v>3140.6510561342598</v>
      </c>
      <c r="H37" s="24">
        <f>+Assumptions!$G$154/12*'NOI Walk'!H16*'NOI Walk'!H11</f>
        <v>3061.9951952395195</v>
      </c>
      <c r="I37" s="24">
        <f>+Assumptions!$G$154/12*'NOI Walk'!I16*'NOI Walk'!I11</f>
        <v>2941.0533758841689</v>
      </c>
      <c r="J37" s="24">
        <f>+Assumptions!$G$154/12*'NOI Walk'!J16*'NOI Walk'!J11</f>
        <v>2988.0402048179371</v>
      </c>
      <c r="K37" s="24">
        <f>+Assumptions!$G$154/12*'NOI Walk'!K16*'NOI Walk'!K11</f>
        <v>2866.554626537546</v>
      </c>
      <c r="L37" s="24">
        <f>+Assumptions!$G$154/12*'NOI Walk'!L16*'NOI Walk'!L11</f>
        <v>2871.3322175817757</v>
      </c>
      <c r="M37" s="24">
        <f>+Assumptions!$G$154/12*'NOI Walk'!M16*'NOI Walk'!M11</f>
        <v>2876.1177712777453</v>
      </c>
      <c r="N37" s="24">
        <f>+Assumptions!$G$154/12*'NOI Walk'!N16*'NOI Walk'!N11</f>
        <v>2838.544958236299</v>
      </c>
      <c r="O37" s="24">
        <f>+Assumptions!$G$154/12*'NOI Walk'!O16*'NOI Walk'!O11</f>
        <v>2843.275866500026</v>
      </c>
      <c r="P37" s="24">
        <f>+Assumptions!$G$154/12*'NOI Walk'!P16*'NOI Walk'!P11</f>
        <v>2848.0146596108598</v>
      </c>
      <c r="Q37" s="24">
        <f>+Assumptions!$G$154/12*'NOI Walk'!Q16*'NOI Walk'!Q11</f>
        <v>2895.3398783327516</v>
      </c>
      <c r="R37" s="24">
        <f>+Assumptions!$G$154/12*'NOI Walk'!R16*'NOI Walk'!R11</f>
        <v>2942.8149366318848</v>
      </c>
      <c r="S37" s="24">
        <f>+Assumptions!$G$154/12*'NOI Walk'!S16*'NOI Walk'!S11</f>
        <v>2990.4402025145746</v>
      </c>
      <c r="T37" s="24">
        <f>+Assumptions!$G$154/12*'NOI Walk'!T16*'NOI Walk'!T11</f>
        <v>2995.4242695187663</v>
      </c>
      <c r="U37" s="24">
        <f>+Assumptions!$G$154/12*'NOI Walk'!U16*'NOI Walk'!U11</f>
        <v>2957.5535483969934</v>
      </c>
      <c r="V37" s="24">
        <f>+Assumptions!$G$154/12*'NOI Walk'!V16*'NOI Walk'!V11</f>
        <v>2919.5482709151765</v>
      </c>
      <c r="W37" s="24">
        <f>+Assumptions!$G$154/12*'NOI Walk'!W16*'NOI Walk'!W11</f>
        <v>2881.4080937485651</v>
      </c>
      <c r="X37" s="24">
        <f>+Assumptions!$G$154/12*'NOI Walk'!X16*'NOI Walk'!X11</f>
        <v>2843.1326728017557</v>
      </c>
      <c r="Y37" s="24">
        <f>+Assumptions!$G$154/12*'NOI Walk'!Y16*'NOI Walk'!Y11</f>
        <v>2891.0207913057652</v>
      </c>
      <c r="Z37" s="24">
        <f>+Assumptions!$G$154/12*'NOI Walk'!Z16*'NOI Walk'!Z11</f>
        <v>2982.282119270119</v>
      </c>
      <c r="AA37" s="24">
        <f>+Assumptions!$G$154/12*'NOI Walk'!AA16*'NOI Walk'!AA11</f>
        <v>3030.5461052583069</v>
      </c>
      <c r="AB37" s="24">
        <f>+Assumptions!$G$154/12*'NOI Walk'!AB16*'NOI Walk'!AB11</f>
        <v>3035.5970154337383</v>
      </c>
      <c r="AC37" s="24">
        <f>+Assumptions!$G$154/12*'NOI Walk'!AC16*'NOI Walk'!AC11</f>
        <v>2997.2183960243256</v>
      </c>
      <c r="AD37" s="24">
        <f>+Assumptions!$G$154/12*'NOI Walk'!AD16*'NOI Walk'!AD11</f>
        <v>2915.1930713215343</v>
      </c>
      <c r="AE37" s="24">
        <f>+Assumptions!$G$154/12*'NOI Walk'!AE16*'NOI Walk'!AE11</f>
        <v>2920.0517264404039</v>
      </c>
      <c r="AF37" s="24">
        <f>+Assumptions!$G$154/12*'NOI Walk'!AF16*'NOI Walk'!AF11</f>
        <v>3055.8849783917362</v>
      </c>
      <c r="AG37" s="24">
        <f>+Assumptions!$G$154/12*'NOI Walk'!AG16*'NOI Walk'!AG11</f>
        <v>3192.162896594778</v>
      </c>
      <c r="AH37" s="24">
        <f>+Assumptions!$G$154/12*'NOI Walk'!AH16*'NOI Walk'!AH11</f>
        <v>3328.8865859557777</v>
      </c>
      <c r="AI37" s="24">
        <f>+Assumptions!$G$154/12*'NOI Walk'!AI16*'NOI Walk'!AI11</f>
        <v>3422.1830126411182</v>
      </c>
      <c r="AJ37" s="24">
        <f>+Assumptions!$G$154/12*'NOI Walk'!AJ16*'NOI Walk'!AJ11</f>
        <v>3427.8866509955205</v>
      </c>
      <c r="AK37" s="24">
        <f>+Assumptions!$G$154/12*'NOI Walk'!AK16*'NOI Walk'!AK11</f>
        <v>3433.5997954138466</v>
      </c>
      <c r="AL37" s="24">
        <f>+Assumptions!$G$154/12*'NOI Walk'!AL16*'NOI Walk'!AL11</f>
        <v>3439.3224617395363</v>
      </c>
      <c r="AM37" s="24">
        <f>+Assumptions!$G$154/12*'NOI Walk'!AM16*'NOI Walk'!AM11</f>
        <v>3445.054665842436</v>
      </c>
      <c r="AN37" s="24">
        <f>+Assumptions!$G$154/12*'NOI Walk'!AN16*'NOI Walk'!AN11</f>
        <v>3450.79642361884</v>
      </c>
      <c r="AO37" s="24">
        <f>+Assumptions!$G$154/12*'NOI Walk'!AO16*'NOI Walk'!AO11</f>
        <v>3456.5477509915386</v>
      </c>
      <c r="AP37" s="24">
        <f>+Assumptions!$G$154/12*'NOI Walk'!AP16*'NOI Walk'!AP11</f>
        <v>3462.3086639098574</v>
      </c>
      <c r="AQ37" s="24">
        <f>+Assumptions!$G$154/12*'NOI Walk'!AQ16*'NOI Walk'!AQ11</f>
        <v>3468.0791783497079</v>
      </c>
      <c r="AR37" s="24">
        <f>+Assumptions!$G$154/12*'NOI Walk'!AR16*'NOI Walk'!AR11</f>
        <v>3473.859310313625</v>
      </c>
      <c r="AS37" s="24">
        <f>+Assumptions!$G$154/12*'NOI Walk'!AS16*'NOI Walk'!AS11</f>
        <v>3479.6490758308137</v>
      </c>
      <c r="AT37" s="24">
        <f>+Assumptions!$G$154/12*'NOI Walk'!AT16*'NOI Walk'!AT11</f>
        <v>3485.4484909571984</v>
      </c>
      <c r="AU37" s="24">
        <f>+Assumptions!$G$154/12*'NOI Walk'!AU16*'NOI Walk'!AU11</f>
        <v>3491.2575717754612</v>
      </c>
      <c r="AV37" s="24">
        <f>+Assumptions!$G$154/12*'NOI Walk'!AV16*'NOI Walk'!AV11</f>
        <v>3497.0763343950866</v>
      </c>
      <c r="AW37" s="24">
        <f>+Assumptions!$G$154/12*'NOI Walk'!AW16*'NOI Walk'!AW11</f>
        <v>3502.9047949524124</v>
      </c>
      <c r="AX37" s="24">
        <f>+Assumptions!$G$154/12*'NOI Walk'!AX16*'NOI Walk'!AX11</f>
        <v>3508.7429696106665</v>
      </c>
      <c r="AY37" s="24">
        <f>+Assumptions!$G$154/12*'NOI Walk'!AY16*'NOI Walk'!AY11</f>
        <v>3514.5908745600182</v>
      </c>
      <c r="AZ37" s="24">
        <f>+Assumptions!$G$154/12*'NOI Walk'!AZ16*'NOI Walk'!AZ11</f>
        <v>3520.4485260176189</v>
      </c>
      <c r="BA37" s="24">
        <f>+Assumptions!$G$154/12*'NOI Walk'!BA16*'NOI Walk'!BA11</f>
        <v>3526.3159402276478</v>
      </c>
      <c r="BB37" s="24">
        <f>+Assumptions!$G$154/12*'NOI Walk'!BB16*'NOI Walk'!BB11</f>
        <v>3532.1931334613605</v>
      </c>
      <c r="BC37" s="24">
        <f>+Assumptions!$G$154/12*'NOI Walk'!BC16*'NOI Walk'!BC11</f>
        <v>3538.0801220171302</v>
      </c>
      <c r="BD37" s="24">
        <f>+Assumptions!$G$154/12*'NOI Walk'!BD16*'NOI Walk'!BD11</f>
        <v>3543.9769222204918</v>
      </c>
      <c r="BE37" s="24">
        <f>+Assumptions!$G$154/12*'NOI Walk'!BE16*'NOI Walk'!BE11</f>
        <v>3549.8835504241933</v>
      </c>
      <c r="BF37" s="24">
        <f>+Assumptions!$G$154/12*'NOI Walk'!BF16*'NOI Walk'!BF11</f>
        <v>3555.8000230082339</v>
      </c>
      <c r="BG37" s="24">
        <f>+Assumptions!$G$154/12*'NOI Walk'!BG16*'NOI Walk'!BG11</f>
        <v>3561.7263563799143</v>
      </c>
      <c r="BH37" s="24">
        <f>+Assumptions!$G$154/12*'NOI Walk'!BH16*'NOI Walk'!BH11</f>
        <v>3567.6625669738819</v>
      </c>
      <c r="BI37" s="24">
        <f>+Assumptions!$G$154/12*'NOI Walk'!BI16*'NOI Walk'!BI11</f>
        <v>3573.6086712521715</v>
      </c>
      <c r="BJ37" s="24">
        <f>+Assumptions!$G$154/12*'NOI Walk'!BJ16*'NOI Walk'!BJ11</f>
        <v>3579.5646857042584</v>
      </c>
      <c r="BK37" s="24">
        <f>+Assumptions!$G$154/12*'NOI Walk'!BK16*'NOI Walk'!BK11</f>
        <v>3585.530626847099</v>
      </c>
      <c r="BL37" s="24">
        <f>+Assumptions!$G$154/12*'NOI Walk'!BL16*'NOI Walk'!BL11</f>
        <v>3591.5065112251773</v>
      </c>
      <c r="BM37" s="24">
        <f>+Assumptions!$G$154/12*'NOI Walk'!BM16*'NOI Walk'!BM11</f>
        <v>3597.4923554105535</v>
      </c>
      <c r="BN37" s="24">
        <f>+Assumptions!$G$154/12*'NOI Walk'!BN16*'NOI Walk'!BN11</f>
        <v>3603.4881760029043</v>
      </c>
      <c r="BO37" s="24">
        <f>+Assumptions!$G$154/12*'NOI Walk'!BO16*'NOI Walk'!BO11</f>
        <v>3609.4939896295768</v>
      </c>
      <c r="BP37" s="24">
        <f>+Assumptions!$G$154/12*'NOI Walk'!BP16*'NOI Walk'!BP11</f>
        <v>3615.509812945626</v>
      </c>
      <c r="BQ37" s="24">
        <f>+Assumptions!$G$154/12*'NOI Walk'!BQ16*'NOI Walk'!BQ11</f>
        <v>3621.5356626338694</v>
      </c>
      <c r="BR37" s="24">
        <f>+Assumptions!$G$154/12*'NOI Walk'!BR16*'NOI Walk'!BR11</f>
        <v>3627.5715554049252</v>
      </c>
      <c r="BS37" s="24">
        <f>+Assumptions!$G$154/12*'NOI Walk'!BS16*'NOI Walk'!BS11</f>
        <v>3633.6175079972672</v>
      </c>
      <c r="BT37" s="24">
        <f>+Assumptions!$G$154/12*'NOI Walk'!BT16*'NOI Walk'!BT11</f>
        <v>3639.6735371772629</v>
      </c>
      <c r="BU37" s="24">
        <f>+Assumptions!$G$154/12*'NOI Walk'!BU16*'NOI Walk'!BU11</f>
        <v>3645.7396597392253</v>
      </c>
      <c r="BV37" s="24">
        <f>+Assumptions!$G$154/12*'NOI Walk'!BV16*'NOI Walk'!BV11</f>
        <v>3651.8158925054572</v>
      </c>
      <c r="BW37" s="24">
        <f>+Assumptions!$G$154/12*'NOI Walk'!BW16*'NOI Walk'!BW11</f>
        <v>3657.9022523262997</v>
      </c>
      <c r="BX37" s="24">
        <f>+Assumptions!$G$154/12*'NOI Walk'!BX16*'NOI Walk'!BX11</f>
        <v>3663.9987560801778</v>
      </c>
      <c r="BY37" s="24">
        <f>+Assumptions!$G$154/12*'NOI Walk'!BY16*'NOI Walk'!BY11</f>
        <v>3670.1054206736449</v>
      </c>
      <c r="BZ37" s="24">
        <f>+Assumptions!$G$154/12*'NOI Walk'!BZ16*'NOI Walk'!BZ11</f>
        <v>3676.2222630414344</v>
      </c>
      <c r="CA37" s="24">
        <f>+Assumptions!$G$154/12*'NOI Walk'!CA16*'NOI Walk'!CA11</f>
        <v>3682.349300146504</v>
      </c>
      <c r="CB37" s="24">
        <f>+Assumptions!$G$154/12*'NOI Walk'!CB16*'NOI Walk'!CB11</f>
        <v>3688.4865489800814</v>
      </c>
      <c r="CC37" s="24">
        <f>+Assumptions!$G$154/12*'NOI Walk'!CC16*'NOI Walk'!CC11</f>
        <v>3694.6340265617155</v>
      </c>
      <c r="CD37" s="24">
        <f>+Assumptions!$G$154/12*'NOI Walk'!CD16*'NOI Walk'!CD11</f>
        <v>3700.7917499393184</v>
      </c>
      <c r="CE37" s="24">
        <f>+Assumptions!$G$154/12*'NOI Walk'!CE16*'NOI Walk'!CE11</f>
        <v>3706.959736189217</v>
      </c>
      <c r="CF37" s="24">
        <f>+Assumptions!$G$154/12*'NOI Walk'!CF16*'NOI Walk'!CF11</f>
        <v>3713.1380024161999</v>
      </c>
      <c r="CG37" s="24">
        <f>+Assumptions!$G$154/12*'NOI Walk'!CG16*'NOI Walk'!CG11</f>
        <v>3719.3265657535603</v>
      </c>
      <c r="CH37" s="24">
        <f>+Assumptions!$G$154/12*'NOI Walk'!CH16*'NOI Walk'!CH11</f>
        <v>3725.5254433631494</v>
      </c>
      <c r="CI37" s="24">
        <f>+Assumptions!$G$154/12*'NOI Walk'!CI16*'NOI Walk'!CI11</f>
        <v>3731.734652435422</v>
      </c>
      <c r="CJ37" s="24">
        <f>+Assumptions!$G$154/12*'NOI Walk'!CJ16*'NOI Walk'!CJ11</f>
        <v>3737.9542101894817</v>
      </c>
      <c r="CK37" s="24">
        <f>+Assumptions!$G$154/12*'NOI Walk'!CK16*'NOI Walk'!CK11</f>
        <v>3744.1841338731315</v>
      </c>
      <c r="CL37" s="24">
        <f>+Assumptions!$G$154/12*'NOI Walk'!CL16*'NOI Walk'!CL11</f>
        <v>3750.4244407629189</v>
      </c>
      <c r="CM37" s="24">
        <f>+Assumptions!$G$154/12*'NOI Walk'!CM16*'NOI Walk'!CM11</f>
        <v>3756.6751481641918</v>
      </c>
      <c r="CN37" s="24">
        <f>+Assumptions!$G$154/12*'NOI Walk'!CN16*'NOI Walk'!CN11</f>
        <v>3762.9362734111328</v>
      </c>
      <c r="CO37" s="24">
        <f>+Assumptions!$G$154/12*'NOI Walk'!CO16*'NOI Walk'!CO11</f>
        <v>3769.2078338668171</v>
      </c>
      <c r="CP37" s="24">
        <f>+Assumptions!$G$154/12*'NOI Walk'!CP16*'NOI Walk'!CP11</f>
        <v>3775.4898469232621</v>
      </c>
      <c r="CQ37" s="24">
        <f>+Assumptions!$G$154/12*'NOI Walk'!CQ16*'NOI Walk'!CQ11</f>
        <v>3781.7823300014679</v>
      </c>
      <c r="CR37" s="24">
        <f>+Assumptions!$G$154/12*'NOI Walk'!CR16*'NOI Walk'!CR11</f>
        <v>3788.0853005514709</v>
      </c>
      <c r="CS37" s="24">
        <f>+Assumptions!$G$154/12*'NOI Walk'!CS16*'NOI Walk'!CS11</f>
        <v>3794.3987760523905</v>
      </c>
      <c r="CT37" s="24">
        <f>+Assumptions!$G$154/12*'NOI Walk'!CT16*'NOI Walk'!CT11</f>
        <v>3800.7227740124772</v>
      </c>
      <c r="CU37" s="24">
        <f>+Assumptions!$G$154/12*'NOI Walk'!CU16*'NOI Walk'!CU11</f>
        <v>3807.0573119691653</v>
      </c>
      <c r="CV37" s="24">
        <f>+Assumptions!$G$154/12*'NOI Walk'!CV16*'NOI Walk'!CV11</f>
        <v>3813.4024074891149</v>
      </c>
      <c r="CW37" s="24">
        <f>+Assumptions!$G$154/12*'NOI Walk'!CW16*'NOI Walk'!CW11</f>
        <v>3819.7580781682641</v>
      </c>
      <c r="CX37" s="24">
        <f>+Assumptions!$G$154/12*'NOI Walk'!CX16*'NOI Walk'!CX11</f>
        <v>3826.1243416318775</v>
      </c>
      <c r="CY37" s="24">
        <f>+Assumptions!$G$154/12*'NOI Walk'!CY16*'NOI Walk'!CY11</f>
        <v>3832.5012155345976</v>
      </c>
      <c r="CZ37" s="24">
        <f>+Assumptions!$G$154/12*'NOI Walk'!CZ16*'NOI Walk'!CZ11</f>
        <v>3838.8887175604891</v>
      </c>
      <c r="DA37" s="24">
        <f>+Assumptions!$G$154/12*'NOI Walk'!DA16*'NOI Walk'!DA11</f>
        <v>3845.2868654230897</v>
      </c>
      <c r="DB37" s="24">
        <f>+Assumptions!$G$154/12*'NOI Walk'!DB16*'NOI Walk'!DB11</f>
        <v>3851.6956768654613</v>
      </c>
      <c r="DC37" s="24">
        <f>+Assumptions!$G$154/12*'NOI Walk'!DC16*'NOI Walk'!DC11</f>
        <v>3858.1151696602378</v>
      </c>
      <c r="DD37" s="24">
        <f>+Assumptions!$G$154/12*'NOI Walk'!DD16*'NOI Walk'!DD11</f>
        <v>3864.5453616096725</v>
      </c>
      <c r="DE37" s="24">
        <f>+Assumptions!$G$154/12*'NOI Walk'!DE16*'NOI Walk'!DE11</f>
        <v>3870.9862705456881</v>
      </c>
      <c r="DF37" s="24">
        <f>+Assumptions!$G$154/12*'NOI Walk'!DF16*'NOI Walk'!DF11</f>
        <v>3877.4379143299307</v>
      </c>
      <c r="DG37" s="24">
        <f>+Assumptions!$G$154/12*'NOI Walk'!DG16*'NOI Walk'!DG11</f>
        <v>3883.900310853815</v>
      </c>
      <c r="DH37" s="24">
        <f>+Assumptions!$G$154/12*'NOI Walk'!DH16*'NOI Walk'!DH11</f>
        <v>3890.3734780385707</v>
      </c>
      <c r="DI37" s="24">
        <f>+Assumptions!$G$154/12*'NOI Walk'!DI16*'NOI Walk'!DI11</f>
        <v>3896.8574338353028</v>
      </c>
      <c r="DJ37" s="24">
        <f>+Assumptions!$G$154/12*'NOI Walk'!DJ16*'NOI Walk'!DJ11</f>
        <v>3903.3521962250288</v>
      </c>
      <c r="DK37" s="24">
        <f>+Assumptions!$G$154/12*'NOI Walk'!DK16*'NOI Walk'!DK11</f>
        <v>3909.857783218737</v>
      </c>
      <c r="DL37" s="24">
        <f>+Assumptions!$G$154/12*'NOI Walk'!DL16*'NOI Walk'!DL11</f>
        <v>3916.3742128574354</v>
      </c>
      <c r="DM37" s="24">
        <f>+Assumptions!$G$154/12*'NOI Walk'!DM16*'NOI Walk'!DM11</f>
        <v>3922.9015032121983</v>
      </c>
      <c r="DN37" s="24">
        <f>+Assumptions!$G$154/12*'NOI Walk'!DN16*'NOI Walk'!DN11</f>
        <v>3929.4396723842183</v>
      </c>
      <c r="DO37" s="24">
        <f>+Assumptions!$G$154/12*'NOI Walk'!DO16*'NOI Walk'!DO11</f>
        <v>3935.9887385048596</v>
      </c>
      <c r="DP37" s="24">
        <f>+Assumptions!$G$154/12*'NOI Walk'!DP16*'NOI Walk'!DP11</f>
        <v>3942.5487197357011</v>
      </c>
      <c r="DQ37" s="24">
        <f>+Assumptions!$G$154/12*'NOI Walk'!DQ16*'NOI Walk'!DQ11</f>
        <v>3949.1196342685944</v>
      </c>
      <c r="DR37" s="24">
        <f>+Assumptions!$G$154/12*'NOI Walk'!DR16*'NOI Walk'!DR11</f>
        <v>3955.7015003257084</v>
      </c>
      <c r="DS37" s="24">
        <f>+Assumptions!$G$154/12*'NOI Walk'!DS16*'NOI Walk'!DS11</f>
        <v>3962.2943361595849</v>
      </c>
      <c r="DT37" s="24">
        <f>+Assumptions!$G$154/12*'NOI Walk'!DT16*'NOI Walk'!DT11</f>
        <v>3968.8981600531852</v>
      </c>
      <c r="DU37" s="24">
        <f>+Assumptions!$G$154/12*'NOI Walk'!DU16*'NOI Walk'!DU11</f>
        <v>3975.5129903199404</v>
      </c>
      <c r="DV37" s="24">
        <f>+Assumptions!$G$154/12*'NOI Walk'!DV16*'NOI Walk'!DV11</f>
        <v>3982.1388453038071</v>
      </c>
      <c r="DW37" s="24">
        <f>+Assumptions!$G$154/12*'NOI Walk'!DW16*'NOI Walk'!DW11</f>
        <v>3988.775743379314</v>
      </c>
      <c r="DX37" s="24">
        <f>+Assumptions!$G$154/12*'NOI Walk'!DX16*'NOI Walk'!DX11</f>
        <v>3995.4237029516121</v>
      </c>
      <c r="DY37" s="24">
        <f>+Assumptions!$G$154/12*'NOI Walk'!DY16*'NOI Walk'!DY11</f>
        <v>4002.0827424565327</v>
      </c>
      <c r="DZ37" s="24">
        <f>+Assumptions!$G$154/12*'NOI Walk'!DZ16*'NOI Walk'!DZ11</f>
        <v>4008.7528803606265</v>
      </c>
      <c r="EA37" s="24">
        <f>+Assumptions!$G$154/12*'NOI Walk'!EA16*'NOI Walk'!EA11</f>
        <v>4015.4341351612288</v>
      </c>
      <c r="EB37" s="24">
        <f>+Assumptions!$G$154/12*'NOI Walk'!EB16*'NOI Walk'!EB11</f>
        <v>4022.1265253864976</v>
      </c>
      <c r="EC37" s="24">
        <f>+Assumptions!$G$154/12*'NOI Walk'!EC16*'NOI Walk'!EC11</f>
        <v>4028.8300695954754</v>
      </c>
      <c r="ED37" s="24">
        <f>+Assumptions!$G$154/12*'NOI Walk'!ED16*'NOI Walk'!ED11</f>
        <v>4035.5447863781346</v>
      </c>
      <c r="EE37" s="24">
        <f>+Assumptions!$G$154/12*'NOI Walk'!EE16*'NOI Walk'!EE11</f>
        <v>4042.2706943554317</v>
      </c>
      <c r="EF37" s="24">
        <f>+Assumptions!$G$154/12*'NOI Walk'!EF16*'NOI Walk'!EF11</f>
        <v>4049.0078121793581</v>
      </c>
    </row>
    <row r="38" spans="2:136" x14ac:dyDescent="0.45">
      <c r="B38" s="1" t="str">
        <f>Assumptions!B155</f>
        <v>Bank fees</v>
      </c>
      <c r="E38" s="24">
        <f>+Assumptions!$I155*E$11</f>
        <v>162.77083333333334</v>
      </c>
      <c r="F38" s="24">
        <f>+Assumptions!$I155*F$11</f>
        <v>163.04211805555556</v>
      </c>
      <c r="G38" s="24">
        <f>+Assumptions!$I155*G$11</f>
        <v>163.31385491898149</v>
      </c>
      <c r="H38" s="24">
        <f>+Assumptions!$I155*H$11</f>
        <v>163.58604467717981</v>
      </c>
      <c r="I38" s="24">
        <f>+Assumptions!$I155*I$11</f>
        <v>163.85868808497511</v>
      </c>
      <c r="J38" s="24">
        <f>+Assumptions!$I155*J$11</f>
        <v>164.13178589845009</v>
      </c>
      <c r="K38" s="24">
        <f>+Assumptions!$I155*K$11</f>
        <v>164.40533887494752</v>
      </c>
      <c r="L38" s="24">
        <f>+Assumptions!$I155*L$11</f>
        <v>164.67934777307246</v>
      </c>
      <c r="M38" s="24">
        <f>+Assumptions!$I155*M$11</f>
        <v>164.95381335269423</v>
      </c>
      <c r="N38" s="24">
        <f>+Assumptions!$I155*N$11</f>
        <v>165.22873637494874</v>
      </c>
      <c r="O38" s="24">
        <f>+Assumptions!$I155*O$11</f>
        <v>165.50411760224034</v>
      </c>
      <c r="P38" s="24">
        <f>+Assumptions!$I155*P$11</f>
        <v>165.77995779824408</v>
      </c>
      <c r="Q38" s="24">
        <f>+Assumptions!$I155*Q$11</f>
        <v>166.05625772790782</v>
      </c>
      <c r="R38" s="24">
        <f>+Assumptions!$I155*R$11</f>
        <v>166.33301815745438</v>
      </c>
      <c r="S38" s="24">
        <f>+Assumptions!$I155*S$11</f>
        <v>166.61023985438345</v>
      </c>
      <c r="T38" s="24">
        <f>+Assumptions!$I155*T$11</f>
        <v>166.88792358747412</v>
      </c>
      <c r="U38" s="24">
        <f>+Assumptions!$I155*U$11</f>
        <v>167.16607012678659</v>
      </c>
      <c r="V38" s="24">
        <f>+Assumptions!$I155*V$11</f>
        <v>167.44468024366458</v>
      </c>
      <c r="W38" s="24">
        <f>+Assumptions!$I155*W$11</f>
        <v>167.72375471073738</v>
      </c>
      <c r="X38" s="24">
        <f>+Assumptions!$I155*X$11</f>
        <v>168.00329430192193</v>
      </c>
      <c r="Y38" s="24">
        <f>+Assumptions!$I155*Y$11</f>
        <v>168.28329979242517</v>
      </c>
      <c r="Z38" s="24">
        <f>+Assumptions!$I155*Z$11</f>
        <v>168.56377195874586</v>
      </c>
      <c r="AA38" s="24">
        <f>+Assumptions!$I155*AA$11</f>
        <v>168.84471157867711</v>
      </c>
      <c r="AB38" s="24">
        <f>+Assumptions!$I155*AB$11</f>
        <v>169.1261194313083</v>
      </c>
      <c r="AC38" s="24">
        <f>+Assumptions!$I155*AC$11</f>
        <v>169.4079962970271</v>
      </c>
      <c r="AD38" s="24">
        <f>+Assumptions!$I155*AD$11</f>
        <v>169.69034295752218</v>
      </c>
      <c r="AE38" s="24">
        <f>+Assumptions!$I155*AE$11</f>
        <v>169.97316019578471</v>
      </c>
      <c r="AF38" s="24">
        <f>+Assumptions!$I155*AF$11</f>
        <v>170.25644879611104</v>
      </c>
      <c r="AG38" s="24">
        <f>+Assumptions!$I155*AG$11</f>
        <v>170.54020954410458</v>
      </c>
      <c r="AH38" s="24">
        <f>+Assumptions!$I155*AH$11</f>
        <v>170.82444322667808</v>
      </c>
      <c r="AI38" s="24">
        <f>+Assumptions!$I155*AI$11</f>
        <v>171.1091506320559</v>
      </c>
      <c r="AJ38" s="24">
        <f>+Assumptions!$I155*AJ$11</f>
        <v>171.39433254977604</v>
      </c>
      <c r="AK38" s="24">
        <f>+Assumptions!$I155*AK$11</f>
        <v>171.67998977069234</v>
      </c>
      <c r="AL38" s="24">
        <f>+Assumptions!$I155*AL$11</f>
        <v>171.96612308697681</v>
      </c>
      <c r="AM38" s="24">
        <f>+Assumptions!$I155*AM$11</f>
        <v>172.2527332921218</v>
      </c>
      <c r="AN38" s="24">
        <f>+Assumptions!$I155*AN$11</f>
        <v>172.539821180942</v>
      </c>
      <c r="AO38" s="24">
        <f>+Assumptions!$I155*AO$11</f>
        <v>172.82738754957694</v>
      </c>
      <c r="AP38" s="24">
        <f>+Assumptions!$I155*AP$11</f>
        <v>173.11543319549287</v>
      </c>
      <c r="AQ38" s="24">
        <f>+Assumptions!$I155*AQ$11</f>
        <v>173.4039589174854</v>
      </c>
      <c r="AR38" s="24">
        <f>+Assumptions!$I155*AR$11</f>
        <v>173.69296551568124</v>
      </c>
      <c r="AS38" s="24">
        <f>+Assumptions!$I155*AS$11</f>
        <v>173.98245379154068</v>
      </c>
      <c r="AT38" s="24">
        <f>+Assumptions!$I155*AT$11</f>
        <v>174.27242454785991</v>
      </c>
      <c r="AU38" s="24">
        <f>+Assumptions!$I155*AU$11</f>
        <v>174.56287858877306</v>
      </c>
      <c r="AV38" s="24">
        <f>+Assumptions!$I155*AV$11</f>
        <v>174.85381671975432</v>
      </c>
      <c r="AW38" s="24">
        <f>+Assumptions!$I155*AW$11</f>
        <v>175.14523974762062</v>
      </c>
      <c r="AX38" s="24">
        <f>+Assumptions!$I155*AX$11</f>
        <v>175.43714848053332</v>
      </c>
      <c r="AY38" s="24">
        <f>+Assumptions!$I155*AY$11</f>
        <v>175.72954372800089</v>
      </c>
      <c r="AZ38" s="24">
        <f>+Assumptions!$I155*AZ$11</f>
        <v>176.02242630088094</v>
      </c>
      <c r="BA38" s="24">
        <f>+Assumptions!$I155*BA$11</f>
        <v>176.31579701138239</v>
      </c>
      <c r="BB38" s="24">
        <f>+Assumptions!$I155*BB$11</f>
        <v>176.60965667306803</v>
      </c>
      <c r="BC38" s="24">
        <f>+Assumptions!$I155*BC$11</f>
        <v>176.90400610085652</v>
      </c>
      <c r="BD38" s="24">
        <f>+Assumptions!$I155*BD$11</f>
        <v>177.19884611102461</v>
      </c>
      <c r="BE38" s="24">
        <f>+Assumptions!$I155*BE$11</f>
        <v>177.49417752120968</v>
      </c>
      <c r="BF38" s="24">
        <f>+Assumptions!$I155*BF$11</f>
        <v>177.79000115041168</v>
      </c>
      <c r="BG38" s="24">
        <f>+Assumptions!$I155*BG$11</f>
        <v>178.08631781899572</v>
      </c>
      <c r="BH38" s="24">
        <f>+Assumptions!$I155*BH$11</f>
        <v>178.38312834869407</v>
      </c>
      <c r="BI38" s="24">
        <f>+Assumptions!$I155*BI$11</f>
        <v>178.68043356260856</v>
      </c>
      <c r="BJ38" s="24">
        <f>+Assumptions!$I155*BJ$11</f>
        <v>178.97823428521292</v>
      </c>
      <c r="BK38" s="24">
        <f>+Assumptions!$I155*BK$11</f>
        <v>179.27653134235496</v>
      </c>
      <c r="BL38" s="24">
        <f>+Assumptions!$I155*BL$11</f>
        <v>179.57532556125886</v>
      </c>
      <c r="BM38" s="24">
        <f>+Assumptions!$I155*BM$11</f>
        <v>179.87461777052766</v>
      </c>
      <c r="BN38" s="24">
        <f>+Assumptions!$I155*BN$11</f>
        <v>180.17440880014522</v>
      </c>
      <c r="BO38" s="24">
        <f>+Assumptions!$I155*BO$11</f>
        <v>180.47469948147884</v>
      </c>
      <c r="BP38" s="24">
        <f>+Assumptions!$I155*BP$11</f>
        <v>180.77549064728132</v>
      </c>
      <c r="BQ38" s="24">
        <f>+Assumptions!$I155*BQ$11</f>
        <v>181.07678313169347</v>
      </c>
      <c r="BR38" s="24">
        <f>+Assumptions!$I155*BR$11</f>
        <v>181.37857777024627</v>
      </c>
      <c r="BS38" s="24">
        <f>+Assumptions!$I155*BS$11</f>
        <v>181.68087539986337</v>
      </c>
      <c r="BT38" s="24">
        <f>+Assumptions!$I155*BT$11</f>
        <v>181.98367685886313</v>
      </c>
      <c r="BU38" s="24">
        <f>+Assumptions!$I155*BU$11</f>
        <v>182.28698298696125</v>
      </c>
      <c r="BV38" s="24">
        <f>+Assumptions!$I155*BV$11</f>
        <v>182.59079462527285</v>
      </c>
      <c r="BW38" s="24">
        <f>+Assumptions!$I155*BW$11</f>
        <v>182.89511261631498</v>
      </c>
      <c r="BX38" s="24">
        <f>+Assumptions!$I155*BX$11</f>
        <v>183.1999378040089</v>
      </c>
      <c r="BY38" s="24">
        <f>+Assumptions!$I155*BY$11</f>
        <v>183.50527103368222</v>
      </c>
      <c r="BZ38" s="24">
        <f>+Assumptions!$I155*BZ$11</f>
        <v>183.81111315207173</v>
      </c>
      <c r="CA38" s="24">
        <f>+Assumptions!$I155*CA$11</f>
        <v>184.11746500732519</v>
      </c>
      <c r="CB38" s="24">
        <f>+Assumptions!$I155*CB$11</f>
        <v>184.42432744900407</v>
      </c>
      <c r="CC38" s="24">
        <f>+Assumptions!$I155*CC$11</f>
        <v>184.73170132808576</v>
      </c>
      <c r="CD38" s="24">
        <f>+Assumptions!$I155*CD$11</f>
        <v>185.03958749696594</v>
      </c>
      <c r="CE38" s="24">
        <f>+Assumptions!$I155*CE$11</f>
        <v>185.34798680946085</v>
      </c>
      <c r="CF38" s="24">
        <f>+Assumptions!$I155*CF$11</f>
        <v>185.65690012081001</v>
      </c>
      <c r="CG38" s="24">
        <f>+Assumptions!$I155*CG$11</f>
        <v>185.96632828767801</v>
      </c>
      <c r="CH38" s="24">
        <f>+Assumptions!$I155*CH$11</f>
        <v>186.27627216815748</v>
      </c>
      <c r="CI38" s="24">
        <f>+Assumptions!$I155*CI$11</f>
        <v>186.58673262177112</v>
      </c>
      <c r="CJ38" s="24">
        <f>+Assumptions!$I155*CJ$11</f>
        <v>186.89771050947408</v>
      </c>
      <c r="CK38" s="24">
        <f>+Assumptions!$I155*CK$11</f>
        <v>187.20920669365657</v>
      </c>
      <c r="CL38" s="24">
        <f>+Assumptions!$I155*CL$11</f>
        <v>187.52122203814596</v>
      </c>
      <c r="CM38" s="24">
        <f>+Assumptions!$I155*CM$11</f>
        <v>187.83375740820958</v>
      </c>
      <c r="CN38" s="24">
        <f>+Assumptions!$I155*CN$11</f>
        <v>188.14681367055664</v>
      </c>
      <c r="CO38" s="24">
        <f>+Assumptions!$I155*CO$11</f>
        <v>188.46039169334085</v>
      </c>
      <c r="CP38" s="24">
        <f>+Assumptions!$I155*CP$11</f>
        <v>188.7744923461631</v>
      </c>
      <c r="CQ38" s="24">
        <f>+Assumptions!$I155*CQ$11</f>
        <v>189.0891165000734</v>
      </c>
      <c r="CR38" s="24">
        <f>+Assumptions!$I155*CR$11</f>
        <v>189.40426502757356</v>
      </c>
      <c r="CS38" s="24">
        <f>+Assumptions!$I155*CS$11</f>
        <v>189.71993880261954</v>
      </c>
      <c r="CT38" s="24">
        <f>+Assumptions!$I155*CT$11</f>
        <v>190.03613870062387</v>
      </c>
      <c r="CU38" s="24">
        <f>+Assumptions!$I155*CU$11</f>
        <v>190.35286559845827</v>
      </c>
      <c r="CV38" s="24">
        <f>+Assumptions!$I155*CV$11</f>
        <v>190.67012037445576</v>
      </c>
      <c r="CW38" s="24">
        <f>+Assumptions!$I155*CW$11</f>
        <v>190.98790390841319</v>
      </c>
      <c r="CX38" s="24">
        <f>+Assumptions!$I155*CX$11</f>
        <v>191.30621708159387</v>
      </c>
      <c r="CY38" s="24">
        <f>+Assumptions!$I155*CY$11</f>
        <v>191.62506077672987</v>
      </c>
      <c r="CZ38" s="24">
        <f>+Assumptions!$I155*CZ$11</f>
        <v>191.94443587802445</v>
      </c>
      <c r="DA38" s="24">
        <f>+Assumptions!$I155*DA$11</f>
        <v>192.2643432711545</v>
      </c>
      <c r="DB38" s="24">
        <f>+Assumptions!$I155*DB$11</f>
        <v>192.58478384327307</v>
      </c>
      <c r="DC38" s="24">
        <f>+Assumptions!$I155*DC$11</f>
        <v>192.90575848301191</v>
      </c>
      <c r="DD38" s="24">
        <f>+Assumptions!$I155*DD$11</f>
        <v>193.22726808048361</v>
      </c>
      <c r="DE38" s="24">
        <f>+Assumptions!$I155*DE$11</f>
        <v>193.5493135272844</v>
      </c>
      <c r="DF38" s="24">
        <f>+Assumptions!$I155*DF$11</f>
        <v>193.87189571649654</v>
      </c>
      <c r="DG38" s="24">
        <f>+Assumptions!$I155*DG$11</f>
        <v>194.19501554269075</v>
      </c>
      <c r="DH38" s="24">
        <f>+Assumptions!$I155*DH$11</f>
        <v>194.51867390192854</v>
      </c>
      <c r="DI38" s="24">
        <f>+Assumptions!$I155*DI$11</f>
        <v>194.84287169176514</v>
      </c>
      <c r="DJ38" s="24">
        <f>+Assumptions!$I155*DJ$11</f>
        <v>195.16760981125142</v>
      </c>
      <c r="DK38" s="24">
        <f>+Assumptions!$I155*DK$11</f>
        <v>195.49288916093687</v>
      </c>
      <c r="DL38" s="24">
        <f>+Assumptions!$I155*DL$11</f>
        <v>195.81871064287176</v>
      </c>
      <c r="DM38" s="24">
        <f>+Assumptions!$I155*DM$11</f>
        <v>196.14507516060991</v>
      </c>
      <c r="DN38" s="24">
        <f>+Assumptions!$I155*DN$11</f>
        <v>196.4719836192109</v>
      </c>
      <c r="DO38" s="24">
        <f>+Assumptions!$I155*DO$11</f>
        <v>196.79943692524299</v>
      </c>
      <c r="DP38" s="24">
        <f>+Assumptions!$I155*DP$11</f>
        <v>197.12743598678506</v>
      </c>
      <c r="DQ38" s="24">
        <f>+Assumptions!$I155*DQ$11</f>
        <v>197.45598171342971</v>
      </c>
      <c r="DR38" s="24">
        <f>+Assumptions!$I155*DR$11</f>
        <v>197.78507501628542</v>
      </c>
      <c r="DS38" s="24">
        <f>+Assumptions!$I155*DS$11</f>
        <v>198.11471680797925</v>
      </c>
      <c r="DT38" s="24">
        <f>+Assumptions!$I155*DT$11</f>
        <v>198.44490800265925</v>
      </c>
      <c r="DU38" s="24">
        <f>+Assumptions!$I155*DU$11</f>
        <v>198.775649515997</v>
      </c>
      <c r="DV38" s="24">
        <f>+Assumptions!$I155*DV$11</f>
        <v>199.10694226519036</v>
      </c>
      <c r="DW38" s="24">
        <f>+Assumptions!$I155*DW$11</f>
        <v>199.43878716896569</v>
      </c>
      <c r="DX38" s="24">
        <f>+Assumptions!$I155*DX$11</f>
        <v>199.77118514758061</v>
      </c>
      <c r="DY38" s="24">
        <f>+Assumptions!$I155*DY$11</f>
        <v>200.10413712282661</v>
      </c>
      <c r="DZ38" s="24">
        <f>+Assumptions!$I155*DZ$11</f>
        <v>200.43764401803134</v>
      </c>
      <c r="EA38" s="24">
        <f>+Assumptions!$I155*EA$11</f>
        <v>200.77170675806144</v>
      </c>
      <c r="EB38" s="24">
        <f>+Assumptions!$I155*EB$11</f>
        <v>201.10632626932488</v>
      </c>
      <c r="EC38" s="24">
        <f>+Assumptions!$I155*EC$11</f>
        <v>201.44150347977376</v>
      </c>
      <c r="ED38" s="24">
        <f>+Assumptions!$I155*ED$11</f>
        <v>201.77723931890674</v>
      </c>
      <c r="EE38" s="24">
        <f>+Assumptions!$I155*EE$11</f>
        <v>202.11353471777159</v>
      </c>
      <c r="EF38" s="24">
        <f>+Assumptions!$I155*EF$11</f>
        <v>202.45039060896789</v>
      </c>
    </row>
    <row r="39" spans="2:136" x14ac:dyDescent="0.45">
      <c r="B39" s="1" t="str">
        <f>Assumptions!B156</f>
        <v>Trash</v>
      </c>
      <c r="E39" s="24">
        <f>+Assumptions!$I156*E$11</f>
        <v>200.33333333333334</v>
      </c>
      <c r="F39" s="24">
        <f>+Assumptions!$I156*F$11</f>
        <v>200.66722222222225</v>
      </c>
      <c r="G39" s="24">
        <f>+Assumptions!$I156*G$11</f>
        <v>201.00166759259261</v>
      </c>
      <c r="H39" s="24">
        <f>+Assumptions!$I156*H$11</f>
        <v>201.33667037191364</v>
      </c>
      <c r="I39" s="24">
        <f>+Assumptions!$I156*I$11</f>
        <v>201.67223148920016</v>
      </c>
      <c r="J39" s="24">
        <f>+Assumptions!$I156*J$11</f>
        <v>202.00835187501548</v>
      </c>
      <c r="K39" s="24">
        <f>+Assumptions!$I156*K$11</f>
        <v>202.34503246147386</v>
      </c>
      <c r="L39" s="24">
        <f>+Assumptions!$I156*L$11</f>
        <v>202.68227418224302</v>
      </c>
      <c r="M39" s="24">
        <f>+Assumptions!$I156*M$11</f>
        <v>203.02007797254674</v>
      </c>
      <c r="N39" s="24">
        <f>+Assumptions!$I156*N$11</f>
        <v>203.3584447691677</v>
      </c>
      <c r="O39" s="24">
        <f>+Assumptions!$I156*O$11</f>
        <v>203.69737551044963</v>
      </c>
      <c r="P39" s="24">
        <f>+Assumptions!$I156*P$11</f>
        <v>204.03687113630039</v>
      </c>
      <c r="Q39" s="24">
        <f>+Assumptions!$I156*Q$11</f>
        <v>204.37693258819425</v>
      </c>
      <c r="R39" s="24">
        <f>+Assumptions!$I156*R$11</f>
        <v>204.71756080917461</v>
      </c>
      <c r="S39" s="24">
        <f>+Assumptions!$I156*S$11</f>
        <v>205.05875674385658</v>
      </c>
      <c r="T39" s="24">
        <f>+Assumptions!$I156*T$11</f>
        <v>205.40052133842971</v>
      </c>
      <c r="U39" s="24">
        <f>+Assumptions!$I156*U$11</f>
        <v>205.7428555406604</v>
      </c>
      <c r="V39" s="24">
        <f>+Assumptions!$I156*V$11</f>
        <v>206.08576029989484</v>
      </c>
      <c r="W39" s="24">
        <f>+Assumptions!$I156*W$11</f>
        <v>206.42923656706137</v>
      </c>
      <c r="X39" s="24">
        <f>+Assumptions!$I156*X$11</f>
        <v>206.77328529467314</v>
      </c>
      <c r="Y39" s="24">
        <f>+Assumptions!$I156*Y$11</f>
        <v>207.11790743683096</v>
      </c>
      <c r="Z39" s="24">
        <f>+Assumptions!$I156*Z$11</f>
        <v>207.46310394922568</v>
      </c>
      <c r="AA39" s="24">
        <f>+Assumptions!$I156*AA$11</f>
        <v>207.80887578914107</v>
      </c>
      <c r="AB39" s="24">
        <f>+Assumptions!$I156*AB$11</f>
        <v>208.15522391545636</v>
      </c>
      <c r="AC39" s="24">
        <f>+Assumptions!$I156*AC$11</f>
        <v>208.50214928864875</v>
      </c>
      <c r="AD39" s="24">
        <f>+Assumptions!$I156*AD$11</f>
        <v>208.84965287079652</v>
      </c>
      <c r="AE39" s="24">
        <f>+Assumptions!$I156*AE$11</f>
        <v>209.1977356255812</v>
      </c>
      <c r="AF39" s="24">
        <f>+Assumptions!$I156*AF$11</f>
        <v>209.54639851829052</v>
      </c>
      <c r="AG39" s="24">
        <f>+Assumptions!$I156*AG$11</f>
        <v>209.89564251582101</v>
      </c>
      <c r="AH39" s="24">
        <f>+Assumptions!$I156*AH$11</f>
        <v>210.24546858668072</v>
      </c>
      <c r="AI39" s="24">
        <f>+Assumptions!$I156*AI$11</f>
        <v>210.59587770099188</v>
      </c>
      <c r="AJ39" s="24">
        <f>+Assumptions!$I156*AJ$11</f>
        <v>210.94687083049357</v>
      </c>
      <c r="AK39" s="24">
        <f>+Assumptions!$I156*AK$11</f>
        <v>211.2984489485444</v>
      </c>
      <c r="AL39" s="24">
        <f>+Assumptions!$I156*AL$11</f>
        <v>211.6506130301253</v>
      </c>
      <c r="AM39" s="24">
        <f>+Assumptions!$I156*AM$11</f>
        <v>212.00336405184223</v>
      </c>
      <c r="AN39" s="24">
        <f>+Assumptions!$I156*AN$11</f>
        <v>212.35670299192861</v>
      </c>
      <c r="AO39" s="24">
        <f>+Assumptions!$I156*AO$11</f>
        <v>212.71063083024853</v>
      </c>
      <c r="AP39" s="24">
        <f>+Assumptions!$I156*AP$11</f>
        <v>213.06514854829891</v>
      </c>
      <c r="AQ39" s="24">
        <f>+Assumptions!$I156*AQ$11</f>
        <v>213.42025712921279</v>
      </c>
      <c r="AR39" s="24">
        <f>+Assumptions!$I156*AR$11</f>
        <v>213.77595755776153</v>
      </c>
      <c r="AS39" s="24">
        <f>+Assumptions!$I156*AS$11</f>
        <v>214.13225082035777</v>
      </c>
      <c r="AT39" s="24">
        <f>+Assumptions!$I156*AT$11</f>
        <v>214.48913790505836</v>
      </c>
      <c r="AU39" s="24">
        <f>+Assumptions!$I156*AU$11</f>
        <v>214.84661980156682</v>
      </c>
      <c r="AV39" s="24">
        <f>+Assumptions!$I156*AV$11</f>
        <v>215.2046975012361</v>
      </c>
      <c r="AW39" s="24">
        <f>+Assumptions!$I156*AW$11</f>
        <v>215.56337199707153</v>
      </c>
      <c r="AX39" s="24">
        <f>+Assumptions!$I156*AX$11</f>
        <v>215.92264428373335</v>
      </c>
      <c r="AY39" s="24">
        <f>+Assumptions!$I156*AY$11</f>
        <v>216.28251535753958</v>
      </c>
      <c r="AZ39" s="24">
        <f>+Assumptions!$I156*AZ$11</f>
        <v>216.64298621646884</v>
      </c>
      <c r="BA39" s="24">
        <f>+Assumptions!$I156*BA$11</f>
        <v>217.00405786016296</v>
      </c>
      <c r="BB39" s="24">
        <f>+Assumptions!$I156*BB$11</f>
        <v>217.3657312899299</v>
      </c>
      <c r="BC39" s="24">
        <f>+Assumptions!$I156*BC$11</f>
        <v>217.72800750874649</v>
      </c>
      <c r="BD39" s="24">
        <f>+Assumptions!$I156*BD$11</f>
        <v>218.09088752126104</v>
      </c>
      <c r="BE39" s="24">
        <f>+Assumptions!$I156*BE$11</f>
        <v>218.45437233379653</v>
      </c>
      <c r="BF39" s="24">
        <f>+Assumptions!$I156*BF$11</f>
        <v>218.81846295435287</v>
      </c>
      <c r="BG39" s="24">
        <f>+Assumptions!$I156*BG$11</f>
        <v>219.18316039261012</v>
      </c>
      <c r="BH39" s="24">
        <f>+Assumptions!$I156*BH$11</f>
        <v>219.54846565993117</v>
      </c>
      <c r="BI39" s="24">
        <f>+Assumptions!$I156*BI$11</f>
        <v>219.91437976936439</v>
      </c>
      <c r="BJ39" s="24">
        <f>+Assumptions!$I156*BJ$11</f>
        <v>220.28090373564666</v>
      </c>
      <c r="BK39" s="24">
        <f>+Assumptions!$I156*BK$11</f>
        <v>220.6480385752061</v>
      </c>
      <c r="BL39" s="24">
        <f>+Assumptions!$I156*BL$11</f>
        <v>221.01578530616476</v>
      </c>
      <c r="BM39" s="24">
        <f>+Assumptions!$I156*BM$11</f>
        <v>221.38414494834174</v>
      </c>
      <c r="BN39" s="24">
        <f>+Assumptions!$I156*BN$11</f>
        <v>221.75311852325567</v>
      </c>
      <c r="BO39" s="24">
        <f>+Assumptions!$I156*BO$11</f>
        <v>222.1227070541278</v>
      </c>
      <c r="BP39" s="24">
        <f>+Assumptions!$I156*BP$11</f>
        <v>222.4929115658847</v>
      </c>
      <c r="BQ39" s="24">
        <f>+Assumptions!$I156*BQ$11</f>
        <v>222.86373308516119</v>
      </c>
      <c r="BR39" s="24">
        <f>+Assumptions!$I156*BR$11</f>
        <v>223.23517264030309</v>
      </c>
      <c r="BS39" s="24">
        <f>+Assumptions!$I156*BS$11</f>
        <v>223.60723126137029</v>
      </c>
      <c r="BT39" s="24">
        <f>+Assumptions!$I156*BT$11</f>
        <v>223.97990998013927</v>
      </c>
      <c r="BU39" s="24">
        <f>+Assumptions!$I156*BU$11</f>
        <v>224.35320983010615</v>
      </c>
      <c r="BV39" s="24">
        <f>+Assumptions!$I156*BV$11</f>
        <v>224.72713184648967</v>
      </c>
      <c r="BW39" s="24">
        <f>+Assumptions!$I156*BW$11</f>
        <v>225.10167706623383</v>
      </c>
      <c r="BX39" s="24">
        <f>+Assumptions!$I156*BX$11</f>
        <v>225.47684652801095</v>
      </c>
      <c r="BY39" s="24">
        <f>+Assumptions!$I156*BY$11</f>
        <v>225.85264127222428</v>
      </c>
      <c r="BZ39" s="24">
        <f>+Assumptions!$I156*BZ$11</f>
        <v>226.22906234101134</v>
      </c>
      <c r="CA39" s="24">
        <f>+Assumptions!$I156*CA$11</f>
        <v>226.6061107782464</v>
      </c>
      <c r="CB39" s="24">
        <f>+Assumptions!$I156*CB$11</f>
        <v>226.98378762954349</v>
      </c>
      <c r="CC39" s="24">
        <f>+Assumptions!$I156*CC$11</f>
        <v>227.36209394225941</v>
      </c>
      <c r="CD39" s="24">
        <f>+Assumptions!$I156*CD$11</f>
        <v>227.74103076549653</v>
      </c>
      <c r="CE39" s="24">
        <f>+Assumptions!$I156*CE$11</f>
        <v>228.12059915010568</v>
      </c>
      <c r="CF39" s="24">
        <f>+Assumptions!$I156*CF$11</f>
        <v>228.50080014868922</v>
      </c>
      <c r="CG39" s="24">
        <f>+Assumptions!$I156*CG$11</f>
        <v>228.88163481560372</v>
      </c>
      <c r="CH39" s="24">
        <f>+Assumptions!$I156*CH$11</f>
        <v>229.26310420696305</v>
      </c>
      <c r="CI39" s="24">
        <f>+Assumptions!$I156*CI$11</f>
        <v>229.64520938064138</v>
      </c>
      <c r="CJ39" s="24">
        <f>+Assumptions!$I156*CJ$11</f>
        <v>230.0279513962758</v>
      </c>
      <c r="CK39" s="24">
        <f>+Assumptions!$I156*CK$11</f>
        <v>230.41133131526962</v>
      </c>
      <c r="CL39" s="24">
        <f>+Assumptions!$I156*CL$11</f>
        <v>230.79535020079501</v>
      </c>
      <c r="CM39" s="24">
        <f>+Assumptions!$I156*CM$11</f>
        <v>231.1800091177964</v>
      </c>
      <c r="CN39" s="24">
        <f>+Assumptions!$I156*CN$11</f>
        <v>231.56530913299278</v>
      </c>
      <c r="CO39" s="24">
        <f>+Assumptions!$I156*CO$11</f>
        <v>231.95125131488106</v>
      </c>
      <c r="CP39" s="24">
        <f>+Assumptions!$I156*CP$11</f>
        <v>232.33783673373921</v>
      </c>
      <c r="CQ39" s="24">
        <f>+Assumptions!$I156*CQ$11</f>
        <v>232.72506646162881</v>
      </c>
      <c r="CR39" s="24">
        <f>+Assumptions!$I156*CR$11</f>
        <v>233.1129415723982</v>
      </c>
      <c r="CS39" s="24">
        <f>+Assumptions!$I156*CS$11</f>
        <v>233.50146314168558</v>
      </c>
      <c r="CT39" s="24">
        <f>+Assumptions!$I156*CT$11</f>
        <v>233.89063224692168</v>
      </c>
      <c r="CU39" s="24">
        <f>+Assumptions!$I156*CU$11</f>
        <v>234.28044996733325</v>
      </c>
      <c r="CV39" s="24">
        <f>+Assumptions!$I156*CV$11</f>
        <v>234.67091738394555</v>
      </c>
      <c r="CW39" s="24">
        <f>+Assumptions!$I156*CW$11</f>
        <v>235.06203557958548</v>
      </c>
      <c r="CX39" s="24">
        <f>+Assumptions!$I156*CX$11</f>
        <v>235.45380563888477</v>
      </c>
      <c r="CY39" s="24">
        <f>+Assumptions!$I156*CY$11</f>
        <v>235.84622864828293</v>
      </c>
      <c r="CZ39" s="24">
        <f>+Assumptions!$I156*CZ$11</f>
        <v>236.2393056960301</v>
      </c>
      <c r="DA39" s="24">
        <f>+Assumptions!$I156*DA$11</f>
        <v>236.63303787219013</v>
      </c>
      <c r="DB39" s="24">
        <f>+Assumptions!$I156*DB$11</f>
        <v>237.02742626864378</v>
      </c>
      <c r="DC39" s="24">
        <f>+Assumptions!$I156*DC$11</f>
        <v>237.42247197909157</v>
      </c>
      <c r="DD39" s="24">
        <f>+Assumptions!$I156*DD$11</f>
        <v>237.81817609905676</v>
      </c>
      <c r="DE39" s="24">
        <f>+Assumptions!$I156*DE$11</f>
        <v>238.21453972588847</v>
      </c>
      <c r="DF39" s="24">
        <f>+Assumptions!$I156*DF$11</f>
        <v>238.61156395876498</v>
      </c>
      <c r="DG39" s="24">
        <f>+Assumptions!$I156*DG$11</f>
        <v>239.00924989869628</v>
      </c>
      <c r="DH39" s="24">
        <f>+Assumptions!$I156*DH$11</f>
        <v>239.40759864852743</v>
      </c>
      <c r="DI39" s="24">
        <f>+Assumptions!$I156*DI$11</f>
        <v>239.8066113129417</v>
      </c>
      <c r="DJ39" s="24">
        <f>+Assumptions!$I156*DJ$11</f>
        <v>240.20628899846329</v>
      </c>
      <c r="DK39" s="24">
        <f>+Assumptions!$I156*DK$11</f>
        <v>240.60663281346075</v>
      </c>
      <c r="DL39" s="24">
        <f>+Assumptions!$I156*DL$11</f>
        <v>241.00764386814987</v>
      </c>
      <c r="DM39" s="24">
        <f>+Assumptions!$I156*DM$11</f>
        <v>241.4093232745968</v>
      </c>
      <c r="DN39" s="24">
        <f>+Assumptions!$I156*DN$11</f>
        <v>241.81167214672112</v>
      </c>
      <c r="DO39" s="24">
        <f>+Assumptions!$I156*DO$11</f>
        <v>242.21469160029903</v>
      </c>
      <c r="DP39" s="24">
        <f>+Assumptions!$I156*DP$11</f>
        <v>242.6183827529662</v>
      </c>
      <c r="DQ39" s="24">
        <f>+Assumptions!$I156*DQ$11</f>
        <v>243.02274672422121</v>
      </c>
      <c r="DR39" s="24">
        <f>+Assumptions!$I156*DR$11</f>
        <v>243.4277846354282</v>
      </c>
      <c r="DS39" s="24">
        <f>+Assumptions!$I156*DS$11</f>
        <v>243.8334976098206</v>
      </c>
      <c r="DT39" s="24">
        <f>+Assumptions!$I156*DT$11</f>
        <v>244.2398867725037</v>
      </c>
      <c r="DU39" s="24">
        <f>+Assumptions!$I156*DU$11</f>
        <v>244.64695325045787</v>
      </c>
      <c r="DV39" s="24">
        <f>+Assumptions!$I156*DV$11</f>
        <v>245.05469817254198</v>
      </c>
      <c r="DW39" s="24">
        <f>+Assumptions!$I156*DW$11</f>
        <v>245.46312266949624</v>
      </c>
      <c r="DX39" s="24">
        <f>+Assumptions!$I156*DX$11</f>
        <v>245.87222787394535</v>
      </c>
      <c r="DY39" s="24">
        <f>+Assumptions!$I156*DY$11</f>
        <v>246.28201492040199</v>
      </c>
      <c r="DZ39" s="24">
        <f>+Assumptions!$I156*DZ$11</f>
        <v>246.69248494526931</v>
      </c>
      <c r="EA39" s="24">
        <f>+Assumptions!$I156*EA$11</f>
        <v>247.10363908684485</v>
      </c>
      <c r="EB39" s="24">
        <f>+Assumptions!$I156*EB$11</f>
        <v>247.51547848532294</v>
      </c>
      <c r="EC39" s="24">
        <f>+Assumptions!$I156*EC$11</f>
        <v>247.9280042827985</v>
      </c>
      <c r="ED39" s="24">
        <f>+Assumptions!$I156*ED$11</f>
        <v>248.34121762326981</v>
      </c>
      <c r="EE39" s="24">
        <f>+Assumptions!$I156*EE$11</f>
        <v>248.75511965264195</v>
      </c>
      <c r="EF39" s="24">
        <f>+Assumptions!$I156*EF$11</f>
        <v>249.16971151872974</v>
      </c>
    </row>
    <row r="40" spans="2:136" x14ac:dyDescent="0.45">
      <c r="B40" s="1" t="str">
        <f>Assumptions!B157</f>
        <v>Cleaning</v>
      </c>
      <c r="E40" s="24">
        <f>+Assumptions!$I157*E$11</f>
        <v>976.625</v>
      </c>
      <c r="F40" s="24">
        <f>+Assumptions!$I157*F$11</f>
        <v>978.25270833333343</v>
      </c>
      <c r="G40" s="24">
        <f>+Assumptions!$I157*G$11</f>
        <v>979.883129513889</v>
      </c>
      <c r="H40" s="24">
        <f>+Assumptions!$I157*H$11</f>
        <v>981.51626806307888</v>
      </c>
      <c r="I40" s="24">
        <f>+Assumptions!$I157*I$11</f>
        <v>983.15212850985074</v>
      </c>
      <c r="J40" s="24">
        <f>+Assumptions!$I157*J$11</f>
        <v>984.79071539070048</v>
      </c>
      <c r="K40" s="24">
        <f>+Assumptions!$I157*K$11</f>
        <v>986.43203324968511</v>
      </c>
      <c r="L40" s="24">
        <f>+Assumptions!$I157*L$11</f>
        <v>988.07608663843473</v>
      </c>
      <c r="M40" s="24">
        <f>+Assumptions!$I157*M$11</f>
        <v>989.72288011616547</v>
      </c>
      <c r="N40" s="24">
        <f>+Assumptions!$I157*N$11</f>
        <v>991.37241824969249</v>
      </c>
      <c r="O40" s="24">
        <f>+Assumptions!$I157*O$11</f>
        <v>993.02470561344205</v>
      </c>
      <c r="P40" s="24">
        <f>+Assumptions!$I157*P$11</f>
        <v>994.6797467894645</v>
      </c>
      <c r="Q40" s="24">
        <f>+Assumptions!$I157*Q$11</f>
        <v>996.33754636744698</v>
      </c>
      <c r="R40" s="24">
        <f>+Assumptions!$I157*R$11</f>
        <v>997.99810894472614</v>
      </c>
      <c r="S40" s="24">
        <f>+Assumptions!$I157*S$11</f>
        <v>999.66143912630071</v>
      </c>
      <c r="T40" s="24">
        <f>+Assumptions!$I157*T$11</f>
        <v>1001.3275415248448</v>
      </c>
      <c r="U40" s="24">
        <f>+Assumptions!$I157*U$11</f>
        <v>1002.9964207607195</v>
      </c>
      <c r="V40" s="24">
        <f>+Assumptions!$I157*V$11</f>
        <v>1004.6680814619874</v>
      </c>
      <c r="W40" s="24">
        <f>+Assumptions!$I157*W$11</f>
        <v>1006.3425282644242</v>
      </c>
      <c r="X40" s="24">
        <f>+Assumptions!$I157*X$11</f>
        <v>1008.0197658115316</v>
      </c>
      <c r="Y40" s="24">
        <f>+Assumptions!$I157*Y$11</f>
        <v>1009.6997987545509</v>
      </c>
      <c r="Z40" s="24">
        <f>+Assumptions!$I157*Z$11</f>
        <v>1011.3826317524752</v>
      </c>
      <c r="AA40" s="24">
        <f>+Assumptions!$I157*AA$11</f>
        <v>1013.0682694720628</v>
      </c>
      <c r="AB40" s="24">
        <f>+Assumptions!$I157*AB$11</f>
        <v>1014.7567165878497</v>
      </c>
      <c r="AC40" s="24">
        <f>+Assumptions!$I157*AC$11</f>
        <v>1016.4479777821626</v>
      </c>
      <c r="AD40" s="24">
        <f>+Assumptions!$I157*AD$11</f>
        <v>1018.142057745133</v>
      </c>
      <c r="AE40" s="24">
        <f>+Assumptions!$I157*AE$11</f>
        <v>1019.8389611747083</v>
      </c>
      <c r="AF40" s="24">
        <f>+Assumptions!$I157*AF$11</f>
        <v>1021.5386927766663</v>
      </c>
      <c r="AG40" s="24">
        <f>+Assumptions!$I157*AG$11</f>
        <v>1023.2412572646275</v>
      </c>
      <c r="AH40" s="24">
        <f>+Assumptions!$I157*AH$11</f>
        <v>1024.9466593600685</v>
      </c>
      <c r="AI40" s="24">
        <f>+Assumptions!$I157*AI$11</f>
        <v>1026.6549037923355</v>
      </c>
      <c r="AJ40" s="24">
        <f>+Assumptions!$I157*AJ$11</f>
        <v>1028.3659952986561</v>
      </c>
      <c r="AK40" s="24">
        <f>+Assumptions!$I157*AK$11</f>
        <v>1030.079938624154</v>
      </c>
      <c r="AL40" s="24">
        <f>+Assumptions!$I157*AL$11</f>
        <v>1031.7967385218608</v>
      </c>
      <c r="AM40" s="24">
        <f>+Assumptions!$I157*AM$11</f>
        <v>1033.5163997527309</v>
      </c>
      <c r="AN40" s="24">
        <f>+Assumptions!$I157*AN$11</f>
        <v>1035.238927085652</v>
      </c>
      <c r="AO40" s="24">
        <f>+Assumptions!$I157*AO$11</f>
        <v>1036.9643252974615</v>
      </c>
      <c r="AP40" s="24">
        <f>+Assumptions!$I157*AP$11</f>
        <v>1038.6925991729572</v>
      </c>
      <c r="AQ40" s="24">
        <f>+Assumptions!$I157*AQ$11</f>
        <v>1040.4237535049124</v>
      </c>
      <c r="AR40" s="24">
        <f>+Assumptions!$I157*AR$11</f>
        <v>1042.1577930940875</v>
      </c>
      <c r="AS40" s="24">
        <f>+Assumptions!$I157*AS$11</f>
        <v>1043.894722749244</v>
      </c>
      <c r="AT40" s="24">
        <f>+Assumptions!$I157*AT$11</f>
        <v>1045.6345472871596</v>
      </c>
      <c r="AU40" s="24">
        <f>+Assumptions!$I157*AU$11</f>
        <v>1047.3772715326384</v>
      </c>
      <c r="AV40" s="24">
        <f>+Assumptions!$I157*AV$11</f>
        <v>1049.122900318526</v>
      </c>
      <c r="AW40" s="24">
        <f>+Assumptions!$I157*AW$11</f>
        <v>1050.8714384857237</v>
      </c>
      <c r="AX40" s="24">
        <f>+Assumptions!$I157*AX$11</f>
        <v>1052.6228908831999</v>
      </c>
      <c r="AY40" s="24">
        <f>+Assumptions!$I157*AY$11</f>
        <v>1054.3772623680054</v>
      </c>
      <c r="AZ40" s="24">
        <f>+Assumptions!$I157*AZ$11</f>
        <v>1056.1345578052856</v>
      </c>
      <c r="BA40" s="24">
        <f>+Assumptions!$I157*BA$11</f>
        <v>1057.8947820682943</v>
      </c>
      <c r="BB40" s="24">
        <f>+Assumptions!$I157*BB$11</f>
        <v>1059.6579400384082</v>
      </c>
      <c r="BC40" s="24">
        <f>+Assumptions!$I157*BC$11</f>
        <v>1061.424036605139</v>
      </c>
      <c r="BD40" s="24">
        <f>+Assumptions!$I157*BD$11</f>
        <v>1063.1930766661476</v>
      </c>
      <c r="BE40" s="24">
        <f>+Assumptions!$I157*BE$11</f>
        <v>1064.965065127258</v>
      </c>
      <c r="BF40" s="24">
        <f>+Assumptions!$I157*BF$11</f>
        <v>1066.7400069024702</v>
      </c>
      <c r="BG40" s="24">
        <f>+Assumptions!$I157*BG$11</f>
        <v>1068.5179069139742</v>
      </c>
      <c r="BH40" s="24">
        <f>+Assumptions!$I157*BH$11</f>
        <v>1070.2987700921644</v>
      </c>
      <c r="BI40" s="24">
        <f>+Assumptions!$I157*BI$11</f>
        <v>1072.0826013756514</v>
      </c>
      <c r="BJ40" s="24">
        <f>+Assumptions!$I157*BJ$11</f>
        <v>1073.8694057112775</v>
      </c>
      <c r="BK40" s="24">
        <f>+Assumptions!$I157*BK$11</f>
        <v>1075.6591880541298</v>
      </c>
      <c r="BL40" s="24">
        <f>+Assumptions!$I157*BL$11</f>
        <v>1077.4519533675532</v>
      </c>
      <c r="BM40" s="24">
        <f>+Assumptions!$I157*BM$11</f>
        <v>1079.2477066231661</v>
      </c>
      <c r="BN40" s="24">
        <f>+Assumptions!$I157*BN$11</f>
        <v>1081.0464528008713</v>
      </c>
      <c r="BO40" s="24">
        <f>+Assumptions!$I157*BO$11</f>
        <v>1082.848196888873</v>
      </c>
      <c r="BP40" s="24">
        <f>+Assumptions!$I157*BP$11</f>
        <v>1084.6529438836878</v>
      </c>
      <c r="BQ40" s="24">
        <f>+Assumptions!$I157*BQ$11</f>
        <v>1086.4606987901607</v>
      </c>
      <c r="BR40" s="24">
        <f>+Assumptions!$I157*BR$11</f>
        <v>1088.2714666214777</v>
      </c>
      <c r="BS40" s="24">
        <f>+Assumptions!$I157*BS$11</f>
        <v>1090.0852523991803</v>
      </c>
      <c r="BT40" s="24">
        <f>+Assumptions!$I157*BT$11</f>
        <v>1091.9020611531789</v>
      </c>
      <c r="BU40" s="24">
        <f>+Assumptions!$I157*BU$11</f>
        <v>1093.7218979217675</v>
      </c>
      <c r="BV40" s="24">
        <f>+Assumptions!$I157*BV$11</f>
        <v>1095.5447677516372</v>
      </c>
      <c r="BW40" s="24">
        <f>+Assumptions!$I157*BW$11</f>
        <v>1097.37067569789</v>
      </c>
      <c r="BX40" s="24">
        <f>+Assumptions!$I157*BX$11</f>
        <v>1099.1996268240534</v>
      </c>
      <c r="BY40" s="24">
        <f>+Assumptions!$I157*BY$11</f>
        <v>1101.0316262020933</v>
      </c>
      <c r="BZ40" s="24">
        <f>+Assumptions!$I157*BZ$11</f>
        <v>1102.8666789124304</v>
      </c>
      <c r="CA40" s="24">
        <f>+Assumptions!$I157*CA$11</f>
        <v>1104.7047900439511</v>
      </c>
      <c r="CB40" s="24">
        <f>+Assumptions!$I157*CB$11</f>
        <v>1106.5459646940244</v>
      </c>
      <c r="CC40" s="24">
        <f>+Assumptions!$I157*CC$11</f>
        <v>1108.3902079685147</v>
      </c>
      <c r="CD40" s="24">
        <f>+Assumptions!$I157*CD$11</f>
        <v>1110.2375249817956</v>
      </c>
      <c r="CE40" s="24">
        <f>+Assumptions!$I157*CE$11</f>
        <v>1112.0879208567651</v>
      </c>
      <c r="CF40" s="24">
        <f>+Assumptions!$I157*CF$11</f>
        <v>1113.9414007248599</v>
      </c>
      <c r="CG40" s="24">
        <f>+Assumptions!$I157*CG$11</f>
        <v>1115.797969726068</v>
      </c>
      <c r="CH40" s="24">
        <f>+Assumptions!$I157*CH$11</f>
        <v>1117.6576330089449</v>
      </c>
      <c r="CI40" s="24">
        <f>+Assumptions!$I157*CI$11</f>
        <v>1119.5203957306267</v>
      </c>
      <c r="CJ40" s="24">
        <f>+Assumptions!$I157*CJ$11</f>
        <v>1121.3862630568444</v>
      </c>
      <c r="CK40" s="24">
        <f>+Assumptions!$I157*CK$11</f>
        <v>1123.2552401619394</v>
      </c>
      <c r="CL40" s="24">
        <f>+Assumptions!$I157*CL$11</f>
        <v>1125.1273322288757</v>
      </c>
      <c r="CM40" s="24">
        <f>+Assumptions!$I157*CM$11</f>
        <v>1127.0025444492576</v>
      </c>
      <c r="CN40" s="24">
        <f>+Assumptions!$I157*CN$11</f>
        <v>1128.8808820233398</v>
      </c>
      <c r="CO40" s="24">
        <f>+Assumptions!$I157*CO$11</f>
        <v>1130.7623501600451</v>
      </c>
      <c r="CP40" s="24">
        <f>+Assumptions!$I157*CP$11</f>
        <v>1132.6469540769785</v>
      </c>
      <c r="CQ40" s="24">
        <f>+Assumptions!$I157*CQ$11</f>
        <v>1134.5346990004405</v>
      </c>
      <c r="CR40" s="24">
        <f>+Assumptions!$I157*CR$11</f>
        <v>1136.4255901654412</v>
      </c>
      <c r="CS40" s="24">
        <f>+Assumptions!$I157*CS$11</f>
        <v>1138.3196328157171</v>
      </c>
      <c r="CT40" s="24">
        <f>+Assumptions!$I157*CT$11</f>
        <v>1140.2168322037433</v>
      </c>
      <c r="CU40" s="24">
        <f>+Assumptions!$I157*CU$11</f>
        <v>1142.1171935907496</v>
      </c>
      <c r="CV40" s="24">
        <f>+Assumptions!$I157*CV$11</f>
        <v>1144.0207222467345</v>
      </c>
      <c r="CW40" s="24">
        <f>+Assumptions!$I157*CW$11</f>
        <v>1145.9274234504792</v>
      </c>
      <c r="CX40" s="24">
        <f>+Assumptions!$I157*CX$11</f>
        <v>1147.8373024895632</v>
      </c>
      <c r="CY40" s="24">
        <f>+Assumptions!$I157*CY$11</f>
        <v>1149.7503646603793</v>
      </c>
      <c r="CZ40" s="24">
        <f>+Assumptions!$I157*CZ$11</f>
        <v>1151.6666152681466</v>
      </c>
      <c r="DA40" s="24">
        <f>+Assumptions!$I157*DA$11</f>
        <v>1153.586059626927</v>
      </c>
      <c r="DB40" s="24">
        <f>+Assumptions!$I157*DB$11</f>
        <v>1155.5087030596385</v>
      </c>
      <c r="DC40" s="24">
        <f>+Assumptions!$I157*DC$11</f>
        <v>1157.4345508980714</v>
      </c>
      <c r="DD40" s="24">
        <f>+Assumptions!$I157*DD$11</f>
        <v>1159.3636084829018</v>
      </c>
      <c r="DE40" s="24">
        <f>+Assumptions!$I157*DE$11</f>
        <v>1161.2958811637063</v>
      </c>
      <c r="DF40" s="24">
        <f>+Assumptions!$I157*DF$11</f>
        <v>1163.2313742989793</v>
      </c>
      <c r="DG40" s="24">
        <f>+Assumptions!$I157*DG$11</f>
        <v>1165.1700932561444</v>
      </c>
      <c r="DH40" s="24">
        <f>+Assumptions!$I157*DH$11</f>
        <v>1167.1120434115712</v>
      </c>
      <c r="DI40" s="24">
        <f>+Assumptions!$I157*DI$11</f>
        <v>1169.0572301505908</v>
      </c>
      <c r="DJ40" s="24">
        <f>+Assumptions!$I157*DJ$11</f>
        <v>1171.0056588675086</v>
      </c>
      <c r="DK40" s="24">
        <f>+Assumptions!$I157*DK$11</f>
        <v>1172.9573349656212</v>
      </c>
      <c r="DL40" s="24">
        <f>+Assumptions!$I157*DL$11</f>
        <v>1174.9122638572308</v>
      </c>
      <c r="DM40" s="24">
        <f>+Assumptions!$I157*DM$11</f>
        <v>1176.8704509636596</v>
      </c>
      <c r="DN40" s="24">
        <f>+Assumptions!$I157*DN$11</f>
        <v>1178.8319017152655</v>
      </c>
      <c r="DO40" s="24">
        <f>+Assumptions!$I157*DO$11</f>
        <v>1180.7966215514577</v>
      </c>
      <c r="DP40" s="24">
        <f>+Assumptions!$I157*DP$11</f>
        <v>1182.7646159207102</v>
      </c>
      <c r="DQ40" s="24">
        <f>+Assumptions!$I157*DQ$11</f>
        <v>1184.7358902805784</v>
      </c>
      <c r="DR40" s="24">
        <f>+Assumptions!$I157*DR$11</f>
        <v>1186.7104500977125</v>
      </c>
      <c r="DS40" s="24">
        <f>+Assumptions!$I157*DS$11</f>
        <v>1188.6883008478756</v>
      </c>
      <c r="DT40" s="24">
        <f>+Assumptions!$I157*DT$11</f>
        <v>1190.6694480159556</v>
      </c>
      <c r="DU40" s="24">
        <f>+Assumptions!$I157*DU$11</f>
        <v>1192.6538970959821</v>
      </c>
      <c r="DV40" s="24">
        <f>+Assumptions!$I157*DV$11</f>
        <v>1194.6416535911421</v>
      </c>
      <c r="DW40" s="24">
        <f>+Assumptions!$I157*DW$11</f>
        <v>1196.6327230137942</v>
      </c>
      <c r="DX40" s="24">
        <f>+Assumptions!$I157*DX$11</f>
        <v>1198.6271108854837</v>
      </c>
      <c r="DY40" s="24">
        <f>+Assumptions!$I157*DY$11</f>
        <v>1200.6248227369597</v>
      </c>
      <c r="DZ40" s="24">
        <f>+Assumptions!$I157*DZ$11</f>
        <v>1202.6258641081879</v>
      </c>
      <c r="EA40" s="24">
        <f>+Assumptions!$I157*EA$11</f>
        <v>1204.6302405483686</v>
      </c>
      <c r="EB40" s="24">
        <f>+Assumptions!$I157*EB$11</f>
        <v>1206.6379576159493</v>
      </c>
      <c r="EC40" s="24">
        <f>+Assumptions!$I157*EC$11</f>
        <v>1208.6490208786427</v>
      </c>
      <c r="ED40" s="24">
        <f>+Assumptions!$I157*ED$11</f>
        <v>1210.6634359134403</v>
      </c>
      <c r="EE40" s="24">
        <f>+Assumptions!$I157*EE$11</f>
        <v>1212.6812083066295</v>
      </c>
      <c r="EF40" s="24">
        <f>+Assumptions!$I157*EF$11</f>
        <v>1214.7023436538075</v>
      </c>
    </row>
    <row r="41" spans="2:136" x14ac:dyDescent="0.45">
      <c r="B41" s="1" t="str">
        <f>Assumptions!B158</f>
        <v>Security, Internet</v>
      </c>
      <c r="E41" s="24">
        <f>+Assumptions!$I158*E$11</f>
        <v>200.33333333333334</v>
      </c>
      <c r="F41" s="24">
        <f>+Assumptions!$I158*F$11</f>
        <v>200.66722222222225</v>
      </c>
      <c r="G41" s="24">
        <f>+Assumptions!$I158*G$11</f>
        <v>201.00166759259261</v>
      </c>
      <c r="H41" s="24">
        <f>+Assumptions!$I158*H$11</f>
        <v>201.33667037191364</v>
      </c>
      <c r="I41" s="24">
        <f>+Assumptions!$I158*I$11</f>
        <v>201.67223148920016</v>
      </c>
      <c r="J41" s="24">
        <f>+Assumptions!$I158*J$11</f>
        <v>202.00835187501548</v>
      </c>
      <c r="K41" s="24">
        <f>+Assumptions!$I158*K$11</f>
        <v>202.34503246147386</v>
      </c>
      <c r="L41" s="24">
        <f>+Assumptions!$I158*L$11</f>
        <v>202.68227418224302</v>
      </c>
      <c r="M41" s="24">
        <f>+Assumptions!$I158*M$11</f>
        <v>203.02007797254674</v>
      </c>
      <c r="N41" s="24">
        <f>+Assumptions!$I158*N$11</f>
        <v>203.3584447691677</v>
      </c>
      <c r="O41" s="24">
        <f>+Assumptions!$I158*O$11</f>
        <v>203.69737551044963</v>
      </c>
      <c r="P41" s="24">
        <f>+Assumptions!$I158*P$11</f>
        <v>204.03687113630039</v>
      </c>
      <c r="Q41" s="24">
        <f>+Assumptions!$I158*Q$11</f>
        <v>204.37693258819425</v>
      </c>
      <c r="R41" s="24">
        <f>+Assumptions!$I158*R$11</f>
        <v>204.71756080917461</v>
      </c>
      <c r="S41" s="24">
        <f>+Assumptions!$I158*S$11</f>
        <v>205.05875674385658</v>
      </c>
      <c r="T41" s="24">
        <f>+Assumptions!$I158*T$11</f>
        <v>205.40052133842971</v>
      </c>
      <c r="U41" s="24">
        <f>+Assumptions!$I158*U$11</f>
        <v>205.7428555406604</v>
      </c>
      <c r="V41" s="24">
        <f>+Assumptions!$I158*V$11</f>
        <v>206.08576029989484</v>
      </c>
      <c r="W41" s="24">
        <f>+Assumptions!$I158*W$11</f>
        <v>206.42923656706137</v>
      </c>
      <c r="X41" s="24">
        <f>+Assumptions!$I158*X$11</f>
        <v>206.77328529467314</v>
      </c>
      <c r="Y41" s="24">
        <f>+Assumptions!$I158*Y$11</f>
        <v>207.11790743683096</v>
      </c>
      <c r="Z41" s="24">
        <f>+Assumptions!$I158*Z$11</f>
        <v>207.46310394922568</v>
      </c>
      <c r="AA41" s="24">
        <f>+Assumptions!$I158*AA$11</f>
        <v>207.80887578914107</v>
      </c>
      <c r="AB41" s="24">
        <f>+Assumptions!$I158*AB$11</f>
        <v>208.15522391545636</v>
      </c>
      <c r="AC41" s="24">
        <f>+Assumptions!$I158*AC$11</f>
        <v>208.50214928864875</v>
      </c>
      <c r="AD41" s="24">
        <f>+Assumptions!$I158*AD$11</f>
        <v>208.84965287079652</v>
      </c>
      <c r="AE41" s="24">
        <f>+Assumptions!$I158*AE$11</f>
        <v>209.1977356255812</v>
      </c>
      <c r="AF41" s="24">
        <f>+Assumptions!$I158*AF$11</f>
        <v>209.54639851829052</v>
      </c>
      <c r="AG41" s="24">
        <f>+Assumptions!$I158*AG$11</f>
        <v>209.89564251582101</v>
      </c>
      <c r="AH41" s="24">
        <f>+Assumptions!$I158*AH$11</f>
        <v>210.24546858668072</v>
      </c>
      <c r="AI41" s="24">
        <f>+Assumptions!$I158*AI$11</f>
        <v>210.59587770099188</v>
      </c>
      <c r="AJ41" s="24">
        <f>+Assumptions!$I158*AJ$11</f>
        <v>210.94687083049357</v>
      </c>
      <c r="AK41" s="24">
        <f>+Assumptions!$I158*AK$11</f>
        <v>211.2984489485444</v>
      </c>
      <c r="AL41" s="24">
        <f>+Assumptions!$I158*AL$11</f>
        <v>211.6506130301253</v>
      </c>
      <c r="AM41" s="24">
        <f>+Assumptions!$I158*AM$11</f>
        <v>212.00336405184223</v>
      </c>
      <c r="AN41" s="24">
        <f>+Assumptions!$I158*AN$11</f>
        <v>212.35670299192861</v>
      </c>
      <c r="AO41" s="24">
        <f>+Assumptions!$I158*AO$11</f>
        <v>212.71063083024853</v>
      </c>
      <c r="AP41" s="24">
        <f>+Assumptions!$I158*AP$11</f>
        <v>213.06514854829891</v>
      </c>
      <c r="AQ41" s="24">
        <f>+Assumptions!$I158*AQ$11</f>
        <v>213.42025712921279</v>
      </c>
      <c r="AR41" s="24">
        <f>+Assumptions!$I158*AR$11</f>
        <v>213.77595755776153</v>
      </c>
      <c r="AS41" s="24">
        <f>+Assumptions!$I158*AS$11</f>
        <v>214.13225082035777</v>
      </c>
      <c r="AT41" s="24">
        <f>+Assumptions!$I158*AT$11</f>
        <v>214.48913790505836</v>
      </c>
      <c r="AU41" s="24">
        <f>+Assumptions!$I158*AU$11</f>
        <v>214.84661980156682</v>
      </c>
      <c r="AV41" s="24">
        <f>+Assumptions!$I158*AV$11</f>
        <v>215.2046975012361</v>
      </c>
      <c r="AW41" s="24">
        <f>+Assumptions!$I158*AW$11</f>
        <v>215.56337199707153</v>
      </c>
      <c r="AX41" s="24">
        <f>+Assumptions!$I158*AX$11</f>
        <v>215.92264428373335</v>
      </c>
      <c r="AY41" s="24">
        <f>+Assumptions!$I158*AY$11</f>
        <v>216.28251535753958</v>
      </c>
      <c r="AZ41" s="24">
        <f>+Assumptions!$I158*AZ$11</f>
        <v>216.64298621646884</v>
      </c>
      <c r="BA41" s="24">
        <f>+Assumptions!$I158*BA$11</f>
        <v>217.00405786016296</v>
      </c>
      <c r="BB41" s="24">
        <f>+Assumptions!$I158*BB$11</f>
        <v>217.3657312899299</v>
      </c>
      <c r="BC41" s="24">
        <f>+Assumptions!$I158*BC$11</f>
        <v>217.72800750874649</v>
      </c>
      <c r="BD41" s="24">
        <f>+Assumptions!$I158*BD$11</f>
        <v>218.09088752126104</v>
      </c>
      <c r="BE41" s="24">
        <f>+Assumptions!$I158*BE$11</f>
        <v>218.45437233379653</v>
      </c>
      <c r="BF41" s="24">
        <f>+Assumptions!$I158*BF$11</f>
        <v>218.81846295435287</v>
      </c>
      <c r="BG41" s="24">
        <f>+Assumptions!$I158*BG$11</f>
        <v>219.18316039261012</v>
      </c>
      <c r="BH41" s="24">
        <f>+Assumptions!$I158*BH$11</f>
        <v>219.54846565993117</v>
      </c>
      <c r="BI41" s="24">
        <f>+Assumptions!$I158*BI$11</f>
        <v>219.91437976936439</v>
      </c>
      <c r="BJ41" s="24">
        <f>+Assumptions!$I158*BJ$11</f>
        <v>220.28090373564666</v>
      </c>
      <c r="BK41" s="24">
        <f>+Assumptions!$I158*BK$11</f>
        <v>220.6480385752061</v>
      </c>
      <c r="BL41" s="24">
        <f>+Assumptions!$I158*BL$11</f>
        <v>221.01578530616476</v>
      </c>
      <c r="BM41" s="24">
        <f>+Assumptions!$I158*BM$11</f>
        <v>221.38414494834174</v>
      </c>
      <c r="BN41" s="24">
        <f>+Assumptions!$I158*BN$11</f>
        <v>221.75311852325567</v>
      </c>
      <c r="BO41" s="24">
        <f>+Assumptions!$I158*BO$11</f>
        <v>222.1227070541278</v>
      </c>
      <c r="BP41" s="24">
        <f>+Assumptions!$I158*BP$11</f>
        <v>222.4929115658847</v>
      </c>
      <c r="BQ41" s="24">
        <f>+Assumptions!$I158*BQ$11</f>
        <v>222.86373308516119</v>
      </c>
      <c r="BR41" s="24">
        <f>+Assumptions!$I158*BR$11</f>
        <v>223.23517264030309</v>
      </c>
      <c r="BS41" s="24">
        <f>+Assumptions!$I158*BS$11</f>
        <v>223.60723126137029</v>
      </c>
      <c r="BT41" s="24">
        <f>+Assumptions!$I158*BT$11</f>
        <v>223.97990998013927</v>
      </c>
      <c r="BU41" s="24">
        <f>+Assumptions!$I158*BU$11</f>
        <v>224.35320983010615</v>
      </c>
      <c r="BV41" s="24">
        <f>+Assumptions!$I158*BV$11</f>
        <v>224.72713184648967</v>
      </c>
      <c r="BW41" s="24">
        <f>+Assumptions!$I158*BW$11</f>
        <v>225.10167706623383</v>
      </c>
      <c r="BX41" s="24">
        <f>+Assumptions!$I158*BX$11</f>
        <v>225.47684652801095</v>
      </c>
      <c r="BY41" s="24">
        <f>+Assumptions!$I158*BY$11</f>
        <v>225.85264127222428</v>
      </c>
      <c r="BZ41" s="24">
        <f>+Assumptions!$I158*BZ$11</f>
        <v>226.22906234101134</v>
      </c>
      <c r="CA41" s="24">
        <f>+Assumptions!$I158*CA$11</f>
        <v>226.6061107782464</v>
      </c>
      <c r="CB41" s="24">
        <f>+Assumptions!$I158*CB$11</f>
        <v>226.98378762954349</v>
      </c>
      <c r="CC41" s="24">
        <f>+Assumptions!$I158*CC$11</f>
        <v>227.36209394225941</v>
      </c>
      <c r="CD41" s="24">
        <f>+Assumptions!$I158*CD$11</f>
        <v>227.74103076549653</v>
      </c>
      <c r="CE41" s="24">
        <f>+Assumptions!$I158*CE$11</f>
        <v>228.12059915010568</v>
      </c>
      <c r="CF41" s="24">
        <f>+Assumptions!$I158*CF$11</f>
        <v>228.50080014868922</v>
      </c>
      <c r="CG41" s="24">
        <f>+Assumptions!$I158*CG$11</f>
        <v>228.88163481560372</v>
      </c>
      <c r="CH41" s="24">
        <f>+Assumptions!$I158*CH$11</f>
        <v>229.26310420696305</v>
      </c>
      <c r="CI41" s="24">
        <f>+Assumptions!$I158*CI$11</f>
        <v>229.64520938064138</v>
      </c>
      <c r="CJ41" s="24">
        <f>+Assumptions!$I158*CJ$11</f>
        <v>230.0279513962758</v>
      </c>
      <c r="CK41" s="24">
        <f>+Assumptions!$I158*CK$11</f>
        <v>230.41133131526962</v>
      </c>
      <c r="CL41" s="24">
        <f>+Assumptions!$I158*CL$11</f>
        <v>230.79535020079501</v>
      </c>
      <c r="CM41" s="24">
        <f>+Assumptions!$I158*CM$11</f>
        <v>231.1800091177964</v>
      </c>
      <c r="CN41" s="24">
        <f>+Assumptions!$I158*CN$11</f>
        <v>231.56530913299278</v>
      </c>
      <c r="CO41" s="24">
        <f>+Assumptions!$I158*CO$11</f>
        <v>231.95125131488106</v>
      </c>
      <c r="CP41" s="24">
        <f>+Assumptions!$I158*CP$11</f>
        <v>232.33783673373921</v>
      </c>
      <c r="CQ41" s="24">
        <f>+Assumptions!$I158*CQ$11</f>
        <v>232.72506646162881</v>
      </c>
      <c r="CR41" s="24">
        <f>+Assumptions!$I158*CR$11</f>
        <v>233.1129415723982</v>
      </c>
      <c r="CS41" s="24">
        <f>+Assumptions!$I158*CS$11</f>
        <v>233.50146314168558</v>
      </c>
      <c r="CT41" s="24">
        <f>+Assumptions!$I158*CT$11</f>
        <v>233.89063224692168</v>
      </c>
      <c r="CU41" s="24">
        <f>+Assumptions!$I158*CU$11</f>
        <v>234.28044996733325</v>
      </c>
      <c r="CV41" s="24">
        <f>+Assumptions!$I158*CV$11</f>
        <v>234.67091738394555</v>
      </c>
      <c r="CW41" s="24">
        <f>+Assumptions!$I158*CW$11</f>
        <v>235.06203557958548</v>
      </c>
      <c r="CX41" s="24">
        <f>+Assumptions!$I158*CX$11</f>
        <v>235.45380563888477</v>
      </c>
      <c r="CY41" s="24">
        <f>+Assumptions!$I158*CY$11</f>
        <v>235.84622864828293</v>
      </c>
      <c r="CZ41" s="24">
        <f>+Assumptions!$I158*CZ$11</f>
        <v>236.2393056960301</v>
      </c>
      <c r="DA41" s="24">
        <f>+Assumptions!$I158*DA$11</f>
        <v>236.63303787219013</v>
      </c>
      <c r="DB41" s="24">
        <f>+Assumptions!$I158*DB$11</f>
        <v>237.02742626864378</v>
      </c>
      <c r="DC41" s="24">
        <f>+Assumptions!$I158*DC$11</f>
        <v>237.42247197909157</v>
      </c>
      <c r="DD41" s="24">
        <f>+Assumptions!$I158*DD$11</f>
        <v>237.81817609905676</v>
      </c>
      <c r="DE41" s="24">
        <f>+Assumptions!$I158*DE$11</f>
        <v>238.21453972588847</v>
      </c>
      <c r="DF41" s="24">
        <f>+Assumptions!$I158*DF$11</f>
        <v>238.61156395876498</v>
      </c>
      <c r="DG41" s="24">
        <f>+Assumptions!$I158*DG$11</f>
        <v>239.00924989869628</v>
      </c>
      <c r="DH41" s="24">
        <f>+Assumptions!$I158*DH$11</f>
        <v>239.40759864852743</v>
      </c>
      <c r="DI41" s="24">
        <f>+Assumptions!$I158*DI$11</f>
        <v>239.8066113129417</v>
      </c>
      <c r="DJ41" s="24">
        <f>+Assumptions!$I158*DJ$11</f>
        <v>240.20628899846329</v>
      </c>
      <c r="DK41" s="24">
        <f>+Assumptions!$I158*DK$11</f>
        <v>240.60663281346075</v>
      </c>
      <c r="DL41" s="24">
        <f>+Assumptions!$I158*DL$11</f>
        <v>241.00764386814987</v>
      </c>
      <c r="DM41" s="24">
        <f>+Assumptions!$I158*DM$11</f>
        <v>241.4093232745968</v>
      </c>
      <c r="DN41" s="24">
        <f>+Assumptions!$I158*DN$11</f>
        <v>241.81167214672112</v>
      </c>
      <c r="DO41" s="24">
        <f>+Assumptions!$I158*DO$11</f>
        <v>242.21469160029903</v>
      </c>
      <c r="DP41" s="24">
        <f>+Assumptions!$I158*DP$11</f>
        <v>242.6183827529662</v>
      </c>
      <c r="DQ41" s="24">
        <f>+Assumptions!$I158*DQ$11</f>
        <v>243.02274672422121</v>
      </c>
      <c r="DR41" s="24">
        <f>+Assumptions!$I158*DR$11</f>
        <v>243.4277846354282</v>
      </c>
      <c r="DS41" s="24">
        <f>+Assumptions!$I158*DS$11</f>
        <v>243.8334976098206</v>
      </c>
      <c r="DT41" s="24">
        <f>+Assumptions!$I158*DT$11</f>
        <v>244.2398867725037</v>
      </c>
      <c r="DU41" s="24">
        <f>+Assumptions!$I158*DU$11</f>
        <v>244.64695325045787</v>
      </c>
      <c r="DV41" s="24">
        <f>+Assumptions!$I158*DV$11</f>
        <v>245.05469817254198</v>
      </c>
      <c r="DW41" s="24">
        <f>+Assumptions!$I158*DW$11</f>
        <v>245.46312266949624</v>
      </c>
      <c r="DX41" s="24">
        <f>+Assumptions!$I158*DX$11</f>
        <v>245.87222787394535</v>
      </c>
      <c r="DY41" s="24">
        <f>+Assumptions!$I158*DY$11</f>
        <v>246.28201492040199</v>
      </c>
      <c r="DZ41" s="24">
        <f>+Assumptions!$I158*DZ$11</f>
        <v>246.69248494526931</v>
      </c>
      <c r="EA41" s="24">
        <f>+Assumptions!$I158*EA$11</f>
        <v>247.10363908684485</v>
      </c>
      <c r="EB41" s="24">
        <f>+Assumptions!$I158*EB$11</f>
        <v>247.51547848532294</v>
      </c>
      <c r="EC41" s="24">
        <f>+Assumptions!$I158*EC$11</f>
        <v>247.9280042827985</v>
      </c>
      <c r="ED41" s="24">
        <f>+Assumptions!$I158*ED$11</f>
        <v>248.34121762326981</v>
      </c>
      <c r="EE41" s="24">
        <f>+Assumptions!$I158*EE$11</f>
        <v>248.75511965264195</v>
      </c>
      <c r="EF41" s="24">
        <f>+Assumptions!$I158*EF$11</f>
        <v>249.16971151872974</v>
      </c>
    </row>
    <row r="42" spans="2:136" x14ac:dyDescent="0.45">
      <c r="B42" s="1" t="str">
        <f>Assumptions!B159</f>
        <v>Pest Control</v>
      </c>
      <c r="E42" s="24">
        <f>+Assumptions!$I159*E$11</f>
        <v>488.3125</v>
      </c>
      <c r="F42" s="24">
        <f>+Assumptions!$I159*F$11</f>
        <v>489.12635416666672</v>
      </c>
      <c r="G42" s="24">
        <f>+Assumptions!$I159*G$11</f>
        <v>489.9415647569445</v>
      </c>
      <c r="H42" s="24">
        <f>+Assumptions!$I159*H$11</f>
        <v>490.75813403153944</v>
      </c>
      <c r="I42" s="24">
        <f>+Assumptions!$I159*I$11</f>
        <v>491.57606425492537</v>
      </c>
      <c r="J42" s="24">
        <f>+Assumptions!$I159*J$11</f>
        <v>492.39535769535024</v>
      </c>
      <c r="K42" s="24">
        <f>+Assumptions!$I159*K$11</f>
        <v>493.21601662484255</v>
      </c>
      <c r="L42" s="24">
        <f>+Assumptions!$I159*L$11</f>
        <v>494.03804331921737</v>
      </c>
      <c r="M42" s="24">
        <f>+Assumptions!$I159*M$11</f>
        <v>494.86144005808274</v>
      </c>
      <c r="N42" s="24">
        <f>+Assumptions!$I159*N$11</f>
        <v>495.68620912484624</v>
      </c>
      <c r="O42" s="24">
        <f>+Assumptions!$I159*O$11</f>
        <v>496.51235280672103</v>
      </c>
      <c r="P42" s="24">
        <f>+Assumptions!$I159*P$11</f>
        <v>497.33987339473225</v>
      </c>
      <c r="Q42" s="24">
        <f>+Assumptions!$I159*Q$11</f>
        <v>498.16877318372349</v>
      </c>
      <c r="R42" s="24">
        <f>+Assumptions!$I159*R$11</f>
        <v>498.99905447236307</v>
      </c>
      <c r="S42" s="24">
        <f>+Assumptions!$I159*S$11</f>
        <v>499.83071956315035</v>
      </c>
      <c r="T42" s="24">
        <f>+Assumptions!$I159*T$11</f>
        <v>500.66377076242242</v>
      </c>
      <c r="U42" s="24">
        <f>+Assumptions!$I159*U$11</f>
        <v>501.49821038035975</v>
      </c>
      <c r="V42" s="24">
        <f>+Assumptions!$I159*V$11</f>
        <v>502.33404073099371</v>
      </c>
      <c r="W42" s="24">
        <f>+Assumptions!$I159*W$11</f>
        <v>503.17126413221212</v>
      </c>
      <c r="X42" s="24">
        <f>+Assumptions!$I159*X$11</f>
        <v>504.00988290576578</v>
      </c>
      <c r="Y42" s="24">
        <f>+Assumptions!$I159*Y$11</f>
        <v>504.84989937727545</v>
      </c>
      <c r="Z42" s="24">
        <f>+Assumptions!$I159*Z$11</f>
        <v>505.69131587623758</v>
      </c>
      <c r="AA42" s="24">
        <f>+Assumptions!$I159*AA$11</f>
        <v>506.53413473603138</v>
      </c>
      <c r="AB42" s="24">
        <f>+Assumptions!$I159*AB$11</f>
        <v>507.37835829392486</v>
      </c>
      <c r="AC42" s="24">
        <f>+Assumptions!$I159*AC$11</f>
        <v>508.22398889108132</v>
      </c>
      <c r="AD42" s="24">
        <f>+Assumptions!$I159*AD$11</f>
        <v>509.0710288725665</v>
      </c>
      <c r="AE42" s="24">
        <f>+Assumptions!$I159*AE$11</f>
        <v>509.91948058735414</v>
      </c>
      <c r="AF42" s="24">
        <f>+Assumptions!$I159*AF$11</f>
        <v>510.76934638833313</v>
      </c>
      <c r="AG42" s="24">
        <f>+Assumptions!$I159*AG$11</f>
        <v>511.62062863231375</v>
      </c>
      <c r="AH42" s="24">
        <f>+Assumptions!$I159*AH$11</f>
        <v>512.47332968003423</v>
      </c>
      <c r="AI42" s="24">
        <f>+Assumptions!$I159*AI$11</f>
        <v>513.32745189616776</v>
      </c>
      <c r="AJ42" s="24">
        <f>+Assumptions!$I159*AJ$11</f>
        <v>514.18299764932806</v>
      </c>
      <c r="AK42" s="24">
        <f>+Assumptions!$I159*AK$11</f>
        <v>515.03996931207701</v>
      </c>
      <c r="AL42" s="24">
        <f>+Assumptions!$I159*AL$11</f>
        <v>515.89836926093039</v>
      </c>
      <c r="AM42" s="24">
        <f>+Assumptions!$I159*AM$11</f>
        <v>516.75819987636544</v>
      </c>
      <c r="AN42" s="24">
        <f>+Assumptions!$I159*AN$11</f>
        <v>517.619463542826</v>
      </c>
      <c r="AO42" s="24">
        <f>+Assumptions!$I159*AO$11</f>
        <v>518.48216264873076</v>
      </c>
      <c r="AP42" s="24">
        <f>+Assumptions!$I159*AP$11</f>
        <v>519.34629958647861</v>
      </c>
      <c r="AQ42" s="24">
        <f>+Assumptions!$I159*AQ$11</f>
        <v>520.21187675245619</v>
      </c>
      <c r="AR42" s="24">
        <f>+Assumptions!$I159*AR$11</f>
        <v>521.07889654704377</v>
      </c>
      <c r="AS42" s="24">
        <f>+Assumptions!$I159*AS$11</f>
        <v>521.94736137462201</v>
      </c>
      <c r="AT42" s="24">
        <f>+Assumptions!$I159*AT$11</f>
        <v>522.81727364357982</v>
      </c>
      <c r="AU42" s="24">
        <f>+Assumptions!$I159*AU$11</f>
        <v>523.68863576631918</v>
      </c>
      <c r="AV42" s="24">
        <f>+Assumptions!$I159*AV$11</f>
        <v>524.56145015926302</v>
      </c>
      <c r="AW42" s="24">
        <f>+Assumptions!$I159*AW$11</f>
        <v>525.43571924286186</v>
      </c>
      <c r="AX42" s="24">
        <f>+Assumptions!$I159*AX$11</f>
        <v>526.31144544159997</v>
      </c>
      <c r="AY42" s="24">
        <f>+Assumptions!$I159*AY$11</f>
        <v>527.1886311840027</v>
      </c>
      <c r="AZ42" s="24">
        <f>+Assumptions!$I159*AZ$11</f>
        <v>528.06727890264278</v>
      </c>
      <c r="BA42" s="24">
        <f>+Assumptions!$I159*BA$11</f>
        <v>528.94739103414713</v>
      </c>
      <c r="BB42" s="24">
        <f>+Assumptions!$I159*BB$11</f>
        <v>529.82897001920412</v>
      </c>
      <c r="BC42" s="24">
        <f>+Assumptions!$I159*BC$11</f>
        <v>530.7120183025695</v>
      </c>
      <c r="BD42" s="24">
        <f>+Assumptions!$I159*BD$11</f>
        <v>531.5965383330738</v>
      </c>
      <c r="BE42" s="24">
        <f>+Assumptions!$I159*BE$11</f>
        <v>532.48253256362898</v>
      </c>
      <c r="BF42" s="24">
        <f>+Assumptions!$I159*BF$11</f>
        <v>533.37000345123511</v>
      </c>
      <c r="BG42" s="24">
        <f>+Assumptions!$I159*BG$11</f>
        <v>534.25895345698711</v>
      </c>
      <c r="BH42" s="24">
        <f>+Assumptions!$I159*BH$11</f>
        <v>535.14938504608222</v>
      </c>
      <c r="BI42" s="24">
        <f>+Assumptions!$I159*BI$11</f>
        <v>536.0413006878257</v>
      </c>
      <c r="BJ42" s="24">
        <f>+Assumptions!$I159*BJ$11</f>
        <v>536.93470285563876</v>
      </c>
      <c r="BK42" s="24">
        <f>+Assumptions!$I159*BK$11</f>
        <v>537.8295940270649</v>
      </c>
      <c r="BL42" s="24">
        <f>+Assumptions!$I159*BL$11</f>
        <v>538.72597668377659</v>
      </c>
      <c r="BM42" s="24">
        <f>+Assumptions!$I159*BM$11</f>
        <v>539.62385331158305</v>
      </c>
      <c r="BN42" s="24">
        <f>+Assumptions!$I159*BN$11</f>
        <v>540.52322640043565</v>
      </c>
      <c r="BO42" s="24">
        <f>+Assumptions!$I159*BO$11</f>
        <v>541.42409844443648</v>
      </c>
      <c r="BP42" s="24">
        <f>+Assumptions!$I159*BP$11</f>
        <v>542.32647194184392</v>
      </c>
      <c r="BQ42" s="24">
        <f>+Assumptions!$I159*BQ$11</f>
        <v>543.23034939508034</v>
      </c>
      <c r="BR42" s="24">
        <f>+Assumptions!$I159*BR$11</f>
        <v>544.13573331073883</v>
      </c>
      <c r="BS42" s="24">
        <f>+Assumptions!$I159*BS$11</f>
        <v>545.04262619959013</v>
      </c>
      <c r="BT42" s="24">
        <f>+Assumptions!$I159*BT$11</f>
        <v>545.95103057658946</v>
      </c>
      <c r="BU42" s="24">
        <f>+Assumptions!$I159*BU$11</f>
        <v>546.86094896088377</v>
      </c>
      <c r="BV42" s="24">
        <f>+Assumptions!$I159*BV$11</f>
        <v>547.7723838758186</v>
      </c>
      <c r="BW42" s="24">
        <f>+Assumptions!$I159*BW$11</f>
        <v>548.68533784894498</v>
      </c>
      <c r="BX42" s="24">
        <f>+Assumptions!$I159*BX$11</f>
        <v>549.59981341202672</v>
      </c>
      <c r="BY42" s="24">
        <f>+Assumptions!$I159*BY$11</f>
        <v>550.51581310104666</v>
      </c>
      <c r="BZ42" s="24">
        <f>+Assumptions!$I159*BZ$11</f>
        <v>551.43333945621521</v>
      </c>
      <c r="CA42" s="24">
        <f>+Assumptions!$I159*CA$11</f>
        <v>552.35239502197555</v>
      </c>
      <c r="CB42" s="24">
        <f>+Assumptions!$I159*CB$11</f>
        <v>553.2729823470122</v>
      </c>
      <c r="CC42" s="24">
        <f>+Assumptions!$I159*CC$11</f>
        <v>554.19510398425734</v>
      </c>
      <c r="CD42" s="24">
        <f>+Assumptions!$I159*CD$11</f>
        <v>555.11876249089778</v>
      </c>
      <c r="CE42" s="24">
        <f>+Assumptions!$I159*CE$11</f>
        <v>556.04396042838255</v>
      </c>
      <c r="CF42" s="24">
        <f>+Assumptions!$I159*CF$11</f>
        <v>556.97070036242997</v>
      </c>
      <c r="CG42" s="24">
        <f>+Assumptions!$I159*CG$11</f>
        <v>557.898984863034</v>
      </c>
      <c r="CH42" s="24">
        <f>+Assumptions!$I159*CH$11</f>
        <v>558.82881650447246</v>
      </c>
      <c r="CI42" s="24">
        <f>+Assumptions!$I159*CI$11</f>
        <v>559.76019786531333</v>
      </c>
      <c r="CJ42" s="24">
        <f>+Assumptions!$I159*CJ$11</f>
        <v>560.69313152842221</v>
      </c>
      <c r="CK42" s="24">
        <f>+Assumptions!$I159*CK$11</f>
        <v>561.62762008096968</v>
      </c>
      <c r="CL42" s="24">
        <f>+Assumptions!$I159*CL$11</f>
        <v>562.56366611443786</v>
      </c>
      <c r="CM42" s="24">
        <f>+Assumptions!$I159*CM$11</f>
        <v>563.50127222462879</v>
      </c>
      <c r="CN42" s="24">
        <f>+Assumptions!$I159*CN$11</f>
        <v>564.44044101166992</v>
      </c>
      <c r="CO42" s="24">
        <f>+Assumptions!$I159*CO$11</f>
        <v>565.38117508002256</v>
      </c>
      <c r="CP42" s="24">
        <f>+Assumptions!$I159*CP$11</f>
        <v>566.32347703848927</v>
      </c>
      <c r="CQ42" s="24">
        <f>+Assumptions!$I159*CQ$11</f>
        <v>567.26734950022023</v>
      </c>
      <c r="CR42" s="24">
        <f>+Assumptions!$I159*CR$11</f>
        <v>568.21279508272062</v>
      </c>
      <c r="CS42" s="24">
        <f>+Assumptions!$I159*CS$11</f>
        <v>569.15981640785856</v>
      </c>
      <c r="CT42" s="24">
        <f>+Assumptions!$I159*CT$11</f>
        <v>570.10841610187163</v>
      </c>
      <c r="CU42" s="24">
        <f>+Assumptions!$I159*CU$11</f>
        <v>571.0585967953748</v>
      </c>
      <c r="CV42" s="24">
        <f>+Assumptions!$I159*CV$11</f>
        <v>572.01036112336726</v>
      </c>
      <c r="CW42" s="24">
        <f>+Assumptions!$I159*CW$11</f>
        <v>572.96371172523959</v>
      </c>
      <c r="CX42" s="24">
        <f>+Assumptions!$I159*CX$11</f>
        <v>573.91865124478159</v>
      </c>
      <c r="CY42" s="24">
        <f>+Assumptions!$I159*CY$11</f>
        <v>574.87518233018966</v>
      </c>
      <c r="CZ42" s="24">
        <f>+Assumptions!$I159*CZ$11</f>
        <v>575.83330763407332</v>
      </c>
      <c r="DA42" s="24">
        <f>+Assumptions!$I159*DA$11</f>
        <v>576.79302981346348</v>
      </c>
      <c r="DB42" s="24">
        <f>+Assumptions!$I159*DB$11</f>
        <v>577.75435152981925</v>
      </c>
      <c r="DC42" s="24">
        <f>+Assumptions!$I159*DC$11</f>
        <v>578.7172754490357</v>
      </c>
      <c r="DD42" s="24">
        <f>+Assumptions!$I159*DD$11</f>
        <v>579.68180424145089</v>
      </c>
      <c r="DE42" s="24">
        <f>+Assumptions!$I159*DE$11</f>
        <v>580.64794058185316</v>
      </c>
      <c r="DF42" s="24">
        <f>+Assumptions!$I159*DF$11</f>
        <v>581.61568714948964</v>
      </c>
      <c r="DG42" s="24">
        <f>+Assumptions!$I159*DG$11</f>
        <v>582.58504662807218</v>
      </c>
      <c r="DH42" s="24">
        <f>+Assumptions!$I159*DH$11</f>
        <v>583.55602170578561</v>
      </c>
      <c r="DI42" s="24">
        <f>+Assumptions!$I159*DI$11</f>
        <v>584.52861507529542</v>
      </c>
      <c r="DJ42" s="24">
        <f>+Assumptions!$I159*DJ$11</f>
        <v>585.5028294337543</v>
      </c>
      <c r="DK42" s="24">
        <f>+Assumptions!$I159*DK$11</f>
        <v>586.47866748281058</v>
      </c>
      <c r="DL42" s="24">
        <f>+Assumptions!$I159*DL$11</f>
        <v>587.45613192861538</v>
      </c>
      <c r="DM42" s="24">
        <f>+Assumptions!$I159*DM$11</f>
        <v>588.43522548182978</v>
      </c>
      <c r="DN42" s="24">
        <f>+Assumptions!$I159*DN$11</f>
        <v>589.41595085763277</v>
      </c>
      <c r="DO42" s="24">
        <f>+Assumptions!$I159*DO$11</f>
        <v>590.39831077572887</v>
      </c>
      <c r="DP42" s="24">
        <f>+Assumptions!$I159*DP$11</f>
        <v>591.38230796035509</v>
      </c>
      <c r="DQ42" s="24">
        <f>+Assumptions!$I159*DQ$11</f>
        <v>592.36794514028918</v>
      </c>
      <c r="DR42" s="24">
        <f>+Assumptions!$I159*DR$11</f>
        <v>593.35522504885625</v>
      </c>
      <c r="DS42" s="24">
        <f>+Assumptions!$I159*DS$11</f>
        <v>594.34415042393778</v>
      </c>
      <c r="DT42" s="24">
        <f>+Assumptions!$I159*DT$11</f>
        <v>595.3347240079778</v>
      </c>
      <c r="DU42" s="24">
        <f>+Assumptions!$I159*DU$11</f>
        <v>596.32694854799104</v>
      </c>
      <c r="DV42" s="24">
        <f>+Assumptions!$I159*DV$11</f>
        <v>597.32082679557107</v>
      </c>
      <c r="DW42" s="24">
        <f>+Assumptions!$I159*DW$11</f>
        <v>598.31636150689712</v>
      </c>
      <c r="DX42" s="24">
        <f>+Assumptions!$I159*DX$11</f>
        <v>599.31355544274186</v>
      </c>
      <c r="DY42" s="24">
        <f>+Assumptions!$I159*DY$11</f>
        <v>600.31241136847984</v>
      </c>
      <c r="DZ42" s="24">
        <f>+Assumptions!$I159*DZ$11</f>
        <v>601.31293205409395</v>
      </c>
      <c r="EA42" s="24">
        <f>+Assumptions!$I159*EA$11</f>
        <v>602.31512027418432</v>
      </c>
      <c r="EB42" s="24">
        <f>+Assumptions!$I159*EB$11</f>
        <v>603.31897880797464</v>
      </c>
      <c r="EC42" s="24">
        <f>+Assumptions!$I159*EC$11</f>
        <v>604.32451043932133</v>
      </c>
      <c r="ED42" s="24">
        <f>+Assumptions!$I159*ED$11</f>
        <v>605.33171795672013</v>
      </c>
      <c r="EE42" s="24">
        <f>+Assumptions!$I159*EE$11</f>
        <v>606.34060415331476</v>
      </c>
      <c r="EF42" s="24">
        <f>+Assumptions!$I159*EF$11</f>
        <v>607.35117182690374</v>
      </c>
    </row>
    <row r="43" spans="2:136" x14ac:dyDescent="0.45">
      <c r="B43" s="1" t="str">
        <f>Assumptions!B160</f>
        <v>Super (Payroll)</v>
      </c>
      <c r="E43" s="24">
        <f>+Assumptions!$I160*E$11</f>
        <v>3255.416666666667</v>
      </c>
      <c r="F43" s="24">
        <f>+Assumptions!$I160*F$11</f>
        <v>3260.8423611111116</v>
      </c>
      <c r="G43" s="24">
        <f>+Assumptions!$I160*G$11</f>
        <v>3266.2770983796299</v>
      </c>
      <c r="H43" s="24">
        <f>+Assumptions!$I160*H$11</f>
        <v>3271.7208935435965</v>
      </c>
      <c r="I43" s="24">
        <f>+Assumptions!$I160*I$11</f>
        <v>3277.1737616995024</v>
      </c>
      <c r="J43" s="24">
        <f>+Assumptions!$I160*J$11</f>
        <v>3282.6357179690017</v>
      </c>
      <c r="K43" s="24">
        <f>+Assumptions!$I160*K$11</f>
        <v>3288.1067774989501</v>
      </c>
      <c r="L43" s="24">
        <f>+Assumptions!$I160*L$11</f>
        <v>3293.5869554614492</v>
      </c>
      <c r="M43" s="24">
        <f>+Assumptions!$I160*M$11</f>
        <v>3299.0762670538847</v>
      </c>
      <c r="N43" s="24">
        <f>+Assumptions!$I160*N$11</f>
        <v>3304.5747274989749</v>
      </c>
      <c r="O43" s="24">
        <f>+Assumptions!$I160*O$11</f>
        <v>3310.0823520448066</v>
      </c>
      <c r="P43" s="24">
        <f>+Assumptions!$I160*P$11</f>
        <v>3315.5991559648814</v>
      </c>
      <c r="Q43" s="24">
        <f>+Assumptions!$I160*Q$11</f>
        <v>3321.1251545581567</v>
      </c>
      <c r="R43" s="24">
        <f>+Assumptions!$I160*R$11</f>
        <v>3326.6603631490875</v>
      </c>
      <c r="S43" s="24">
        <f>+Assumptions!$I160*S$11</f>
        <v>3332.2047970876692</v>
      </c>
      <c r="T43" s="24">
        <f>+Assumptions!$I160*T$11</f>
        <v>3337.7584717494824</v>
      </c>
      <c r="U43" s="24">
        <f>+Assumptions!$I160*U$11</f>
        <v>3343.3214025357315</v>
      </c>
      <c r="V43" s="24">
        <f>+Assumptions!$I160*V$11</f>
        <v>3348.8936048732912</v>
      </c>
      <c r="W43" s="24">
        <f>+Assumptions!$I160*W$11</f>
        <v>3354.4750942147475</v>
      </c>
      <c r="X43" s="24">
        <f>+Assumptions!$I160*X$11</f>
        <v>3360.0658860384383</v>
      </c>
      <c r="Y43" s="24">
        <f>+Assumptions!$I160*Y$11</f>
        <v>3365.6659958485029</v>
      </c>
      <c r="Z43" s="24">
        <f>+Assumptions!$I160*Z$11</f>
        <v>3371.2754391749172</v>
      </c>
      <c r="AA43" s="24">
        <f>+Assumptions!$I160*AA$11</f>
        <v>3376.8942315735421</v>
      </c>
      <c r="AB43" s="24">
        <f>+Assumptions!$I160*AB$11</f>
        <v>3382.5223886261656</v>
      </c>
      <c r="AC43" s="24">
        <f>+Assumptions!$I160*AC$11</f>
        <v>3388.1599259405421</v>
      </c>
      <c r="AD43" s="24">
        <f>+Assumptions!$I160*AD$11</f>
        <v>3393.8068591504434</v>
      </c>
      <c r="AE43" s="24">
        <f>+Assumptions!$I160*AE$11</f>
        <v>3399.4632039156945</v>
      </c>
      <c r="AF43" s="24">
        <f>+Assumptions!$I160*AF$11</f>
        <v>3405.1289759222209</v>
      </c>
      <c r="AG43" s="24">
        <f>+Assumptions!$I160*AG$11</f>
        <v>3410.8041908820915</v>
      </c>
      <c r="AH43" s="24">
        <f>+Assumptions!$I160*AH$11</f>
        <v>3416.4888645335618</v>
      </c>
      <c r="AI43" s="24">
        <f>+Assumptions!$I160*AI$11</f>
        <v>3422.1830126411182</v>
      </c>
      <c r="AJ43" s="24">
        <f>+Assumptions!$I160*AJ$11</f>
        <v>3427.8866509955205</v>
      </c>
      <c r="AK43" s="24">
        <f>+Assumptions!$I160*AK$11</f>
        <v>3433.5997954138466</v>
      </c>
      <c r="AL43" s="24">
        <f>+Assumptions!$I160*AL$11</f>
        <v>3439.3224617395363</v>
      </c>
      <c r="AM43" s="24">
        <f>+Assumptions!$I160*AM$11</f>
        <v>3445.054665842436</v>
      </c>
      <c r="AN43" s="24">
        <f>+Assumptions!$I160*AN$11</f>
        <v>3450.79642361884</v>
      </c>
      <c r="AO43" s="24">
        <f>+Assumptions!$I160*AO$11</f>
        <v>3456.5477509915386</v>
      </c>
      <c r="AP43" s="24">
        <f>+Assumptions!$I160*AP$11</f>
        <v>3462.3086639098574</v>
      </c>
      <c r="AQ43" s="24">
        <f>+Assumptions!$I160*AQ$11</f>
        <v>3468.0791783497079</v>
      </c>
      <c r="AR43" s="24">
        <f>+Assumptions!$I160*AR$11</f>
        <v>3473.859310313625</v>
      </c>
      <c r="AS43" s="24">
        <f>+Assumptions!$I160*AS$11</f>
        <v>3479.6490758308137</v>
      </c>
      <c r="AT43" s="24">
        <f>+Assumptions!$I160*AT$11</f>
        <v>3485.4484909571984</v>
      </c>
      <c r="AU43" s="24">
        <f>+Assumptions!$I160*AU$11</f>
        <v>3491.2575717754612</v>
      </c>
      <c r="AV43" s="24">
        <f>+Assumptions!$I160*AV$11</f>
        <v>3497.0763343950866</v>
      </c>
      <c r="AW43" s="24">
        <f>+Assumptions!$I160*AW$11</f>
        <v>3502.9047949524124</v>
      </c>
      <c r="AX43" s="24">
        <f>+Assumptions!$I160*AX$11</f>
        <v>3508.7429696106665</v>
      </c>
      <c r="AY43" s="24">
        <f>+Assumptions!$I160*AY$11</f>
        <v>3514.5908745600182</v>
      </c>
      <c r="AZ43" s="24">
        <f>+Assumptions!$I160*AZ$11</f>
        <v>3520.4485260176189</v>
      </c>
      <c r="BA43" s="24">
        <f>+Assumptions!$I160*BA$11</f>
        <v>3526.3159402276478</v>
      </c>
      <c r="BB43" s="24">
        <f>+Assumptions!$I160*BB$11</f>
        <v>3532.1931334613605</v>
      </c>
      <c r="BC43" s="24">
        <f>+Assumptions!$I160*BC$11</f>
        <v>3538.0801220171302</v>
      </c>
      <c r="BD43" s="24">
        <f>+Assumptions!$I160*BD$11</f>
        <v>3543.9769222204918</v>
      </c>
      <c r="BE43" s="24">
        <f>+Assumptions!$I160*BE$11</f>
        <v>3549.8835504241933</v>
      </c>
      <c r="BF43" s="24">
        <f>+Assumptions!$I160*BF$11</f>
        <v>3555.8000230082339</v>
      </c>
      <c r="BG43" s="24">
        <f>+Assumptions!$I160*BG$11</f>
        <v>3561.7263563799143</v>
      </c>
      <c r="BH43" s="24">
        <f>+Assumptions!$I160*BH$11</f>
        <v>3567.6625669738819</v>
      </c>
      <c r="BI43" s="24">
        <f>+Assumptions!$I160*BI$11</f>
        <v>3573.6086712521715</v>
      </c>
      <c r="BJ43" s="24">
        <f>+Assumptions!$I160*BJ$11</f>
        <v>3579.5646857042584</v>
      </c>
      <c r="BK43" s="24">
        <f>+Assumptions!$I160*BK$11</f>
        <v>3585.530626847099</v>
      </c>
      <c r="BL43" s="24">
        <f>+Assumptions!$I160*BL$11</f>
        <v>3591.5065112251773</v>
      </c>
      <c r="BM43" s="24">
        <f>+Assumptions!$I160*BM$11</f>
        <v>3597.4923554105535</v>
      </c>
      <c r="BN43" s="24">
        <f>+Assumptions!$I160*BN$11</f>
        <v>3603.4881760029043</v>
      </c>
      <c r="BO43" s="24">
        <f>+Assumptions!$I160*BO$11</f>
        <v>3609.4939896295768</v>
      </c>
      <c r="BP43" s="24">
        <f>+Assumptions!$I160*BP$11</f>
        <v>3615.509812945626</v>
      </c>
      <c r="BQ43" s="24">
        <f>+Assumptions!$I160*BQ$11</f>
        <v>3621.5356626338694</v>
      </c>
      <c r="BR43" s="24">
        <f>+Assumptions!$I160*BR$11</f>
        <v>3627.5715554049252</v>
      </c>
      <c r="BS43" s="24">
        <f>+Assumptions!$I160*BS$11</f>
        <v>3633.6175079972672</v>
      </c>
      <c r="BT43" s="24">
        <f>+Assumptions!$I160*BT$11</f>
        <v>3639.6735371772629</v>
      </c>
      <c r="BU43" s="24">
        <f>+Assumptions!$I160*BU$11</f>
        <v>3645.7396597392253</v>
      </c>
      <c r="BV43" s="24">
        <f>+Assumptions!$I160*BV$11</f>
        <v>3651.8158925054572</v>
      </c>
      <c r="BW43" s="24">
        <f>+Assumptions!$I160*BW$11</f>
        <v>3657.9022523262997</v>
      </c>
      <c r="BX43" s="24">
        <f>+Assumptions!$I160*BX$11</f>
        <v>3663.9987560801778</v>
      </c>
      <c r="BY43" s="24">
        <f>+Assumptions!$I160*BY$11</f>
        <v>3670.1054206736449</v>
      </c>
      <c r="BZ43" s="24">
        <f>+Assumptions!$I160*BZ$11</f>
        <v>3676.2222630414344</v>
      </c>
      <c r="CA43" s="24">
        <f>+Assumptions!$I160*CA$11</f>
        <v>3682.349300146504</v>
      </c>
      <c r="CB43" s="24">
        <f>+Assumptions!$I160*CB$11</f>
        <v>3688.4865489800814</v>
      </c>
      <c r="CC43" s="24">
        <f>+Assumptions!$I160*CC$11</f>
        <v>3694.6340265617155</v>
      </c>
      <c r="CD43" s="24">
        <f>+Assumptions!$I160*CD$11</f>
        <v>3700.7917499393184</v>
      </c>
      <c r="CE43" s="24">
        <f>+Assumptions!$I160*CE$11</f>
        <v>3706.959736189217</v>
      </c>
      <c r="CF43" s="24">
        <f>+Assumptions!$I160*CF$11</f>
        <v>3713.1380024161999</v>
      </c>
      <c r="CG43" s="24">
        <f>+Assumptions!$I160*CG$11</f>
        <v>3719.3265657535603</v>
      </c>
      <c r="CH43" s="24">
        <f>+Assumptions!$I160*CH$11</f>
        <v>3725.5254433631494</v>
      </c>
      <c r="CI43" s="24">
        <f>+Assumptions!$I160*CI$11</f>
        <v>3731.734652435422</v>
      </c>
      <c r="CJ43" s="24">
        <f>+Assumptions!$I160*CJ$11</f>
        <v>3737.9542101894817</v>
      </c>
      <c r="CK43" s="24">
        <f>+Assumptions!$I160*CK$11</f>
        <v>3744.1841338731315</v>
      </c>
      <c r="CL43" s="24">
        <f>+Assumptions!$I160*CL$11</f>
        <v>3750.4244407629189</v>
      </c>
      <c r="CM43" s="24">
        <f>+Assumptions!$I160*CM$11</f>
        <v>3756.6751481641918</v>
      </c>
      <c r="CN43" s="24">
        <f>+Assumptions!$I160*CN$11</f>
        <v>3762.9362734111328</v>
      </c>
      <c r="CO43" s="24">
        <f>+Assumptions!$I160*CO$11</f>
        <v>3769.2078338668171</v>
      </c>
      <c r="CP43" s="24">
        <f>+Assumptions!$I160*CP$11</f>
        <v>3775.4898469232621</v>
      </c>
      <c r="CQ43" s="24">
        <f>+Assumptions!$I160*CQ$11</f>
        <v>3781.7823300014679</v>
      </c>
      <c r="CR43" s="24">
        <f>+Assumptions!$I160*CR$11</f>
        <v>3788.0853005514709</v>
      </c>
      <c r="CS43" s="24">
        <f>+Assumptions!$I160*CS$11</f>
        <v>3794.3987760523905</v>
      </c>
      <c r="CT43" s="24">
        <f>+Assumptions!$I160*CT$11</f>
        <v>3800.7227740124772</v>
      </c>
      <c r="CU43" s="24">
        <f>+Assumptions!$I160*CU$11</f>
        <v>3807.0573119691653</v>
      </c>
      <c r="CV43" s="24">
        <f>+Assumptions!$I160*CV$11</f>
        <v>3813.4024074891149</v>
      </c>
      <c r="CW43" s="24">
        <f>+Assumptions!$I160*CW$11</f>
        <v>3819.7580781682641</v>
      </c>
      <c r="CX43" s="24">
        <f>+Assumptions!$I160*CX$11</f>
        <v>3826.1243416318775</v>
      </c>
      <c r="CY43" s="24">
        <f>+Assumptions!$I160*CY$11</f>
        <v>3832.5012155345976</v>
      </c>
      <c r="CZ43" s="24">
        <f>+Assumptions!$I160*CZ$11</f>
        <v>3838.8887175604891</v>
      </c>
      <c r="DA43" s="24">
        <f>+Assumptions!$I160*DA$11</f>
        <v>3845.2868654230897</v>
      </c>
      <c r="DB43" s="24">
        <f>+Assumptions!$I160*DB$11</f>
        <v>3851.6956768654613</v>
      </c>
      <c r="DC43" s="24">
        <f>+Assumptions!$I160*DC$11</f>
        <v>3858.1151696602378</v>
      </c>
      <c r="DD43" s="24">
        <f>+Assumptions!$I160*DD$11</f>
        <v>3864.5453616096725</v>
      </c>
      <c r="DE43" s="24">
        <f>+Assumptions!$I160*DE$11</f>
        <v>3870.9862705456881</v>
      </c>
      <c r="DF43" s="24">
        <f>+Assumptions!$I160*DF$11</f>
        <v>3877.4379143299307</v>
      </c>
      <c r="DG43" s="24">
        <f>+Assumptions!$I160*DG$11</f>
        <v>3883.900310853815</v>
      </c>
      <c r="DH43" s="24">
        <f>+Assumptions!$I160*DH$11</f>
        <v>3890.3734780385707</v>
      </c>
      <c r="DI43" s="24">
        <f>+Assumptions!$I160*DI$11</f>
        <v>3896.8574338353028</v>
      </c>
      <c r="DJ43" s="24">
        <f>+Assumptions!$I160*DJ$11</f>
        <v>3903.3521962250288</v>
      </c>
      <c r="DK43" s="24">
        <f>+Assumptions!$I160*DK$11</f>
        <v>3909.857783218737</v>
      </c>
      <c r="DL43" s="24">
        <f>+Assumptions!$I160*DL$11</f>
        <v>3916.3742128574354</v>
      </c>
      <c r="DM43" s="24">
        <f>+Assumptions!$I160*DM$11</f>
        <v>3922.9015032121983</v>
      </c>
      <c r="DN43" s="24">
        <f>+Assumptions!$I160*DN$11</f>
        <v>3929.4396723842183</v>
      </c>
      <c r="DO43" s="24">
        <f>+Assumptions!$I160*DO$11</f>
        <v>3935.9887385048596</v>
      </c>
      <c r="DP43" s="24">
        <f>+Assumptions!$I160*DP$11</f>
        <v>3942.5487197357011</v>
      </c>
      <c r="DQ43" s="24">
        <f>+Assumptions!$I160*DQ$11</f>
        <v>3949.1196342685944</v>
      </c>
      <c r="DR43" s="24">
        <f>+Assumptions!$I160*DR$11</f>
        <v>3955.7015003257084</v>
      </c>
      <c r="DS43" s="24">
        <f>+Assumptions!$I160*DS$11</f>
        <v>3962.2943361595849</v>
      </c>
      <c r="DT43" s="24">
        <f>+Assumptions!$I160*DT$11</f>
        <v>3968.8981600531852</v>
      </c>
      <c r="DU43" s="24">
        <f>+Assumptions!$I160*DU$11</f>
        <v>3975.5129903199404</v>
      </c>
      <c r="DV43" s="24">
        <f>+Assumptions!$I160*DV$11</f>
        <v>3982.1388453038071</v>
      </c>
      <c r="DW43" s="24">
        <f>+Assumptions!$I160*DW$11</f>
        <v>3988.775743379314</v>
      </c>
      <c r="DX43" s="24">
        <f>+Assumptions!$I160*DX$11</f>
        <v>3995.4237029516121</v>
      </c>
      <c r="DY43" s="24">
        <f>+Assumptions!$I160*DY$11</f>
        <v>4002.0827424565327</v>
      </c>
      <c r="DZ43" s="24">
        <f>+Assumptions!$I160*DZ$11</f>
        <v>4008.7528803606265</v>
      </c>
      <c r="EA43" s="24">
        <f>+Assumptions!$I160*EA$11</f>
        <v>4015.4341351612288</v>
      </c>
      <c r="EB43" s="24">
        <f>+Assumptions!$I160*EB$11</f>
        <v>4022.1265253864976</v>
      </c>
      <c r="EC43" s="24">
        <f>+Assumptions!$I160*EC$11</f>
        <v>4028.8300695954754</v>
      </c>
      <c r="ED43" s="24">
        <f>+Assumptions!$I160*ED$11</f>
        <v>4035.5447863781346</v>
      </c>
      <c r="EE43" s="24">
        <f>+Assumptions!$I160*EE$11</f>
        <v>4042.2706943554317</v>
      </c>
      <c r="EF43" s="24">
        <f>+Assumptions!$I160*EF$11</f>
        <v>4049.0078121793581</v>
      </c>
    </row>
    <row r="44" spans="2:136" x14ac:dyDescent="0.45">
      <c r="B44" s="1" t="str">
        <f>Assumptions!B161</f>
        <v>Heat (Gas)</v>
      </c>
      <c r="E44" s="24">
        <f>+Assumptions!$I161*E$11</f>
        <v>5624.6922222222211</v>
      </c>
      <c r="F44" s="24">
        <f>+Assumptions!$I161*F$11</f>
        <v>5634.0667092592585</v>
      </c>
      <c r="G44" s="24">
        <f>+Assumptions!$I161*G$11</f>
        <v>5643.4568204413572</v>
      </c>
      <c r="H44" s="24">
        <f>+Assumptions!$I161*H$11</f>
        <v>5652.8625818087603</v>
      </c>
      <c r="I44" s="24">
        <f>+Assumptions!$I161*I$11</f>
        <v>5662.2840194451082</v>
      </c>
      <c r="J44" s="24">
        <f>+Assumptions!$I161*J$11</f>
        <v>5671.7211594775172</v>
      </c>
      <c r="K44" s="24">
        <f>+Assumptions!$I161*K$11</f>
        <v>5681.1740280766462</v>
      </c>
      <c r="L44" s="24">
        <f>+Assumptions!$I161*L$11</f>
        <v>5690.6426514567756</v>
      </c>
      <c r="M44" s="24">
        <f>+Assumptions!$I161*M$11</f>
        <v>5700.1270558758697</v>
      </c>
      <c r="N44" s="24">
        <f>+Assumptions!$I161*N$11</f>
        <v>5709.6272676356639</v>
      </c>
      <c r="O44" s="24">
        <f>+Assumptions!$I161*O$11</f>
        <v>5719.1433130817231</v>
      </c>
      <c r="P44" s="24">
        <f>+Assumptions!$I161*P$11</f>
        <v>5728.6752186035264</v>
      </c>
      <c r="Q44" s="24">
        <f>+Assumptions!$I161*Q$11</f>
        <v>5738.2230106345323</v>
      </c>
      <c r="R44" s="24">
        <f>+Assumptions!$I161*R$11</f>
        <v>5747.786715652258</v>
      </c>
      <c r="S44" s="24">
        <f>+Assumptions!$I161*S$11</f>
        <v>5757.3663601783446</v>
      </c>
      <c r="T44" s="24">
        <f>+Assumptions!$I161*T$11</f>
        <v>5766.9619707786433</v>
      </c>
      <c r="U44" s="24">
        <f>+Assumptions!$I161*U$11</f>
        <v>5776.5735740632745</v>
      </c>
      <c r="V44" s="24">
        <f>+Assumptions!$I161*V$11</f>
        <v>5786.201196686713</v>
      </c>
      <c r="W44" s="24">
        <f>+Assumptions!$I161*W$11</f>
        <v>5795.844865347859</v>
      </c>
      <c r="X44" s="24">
        <f>+Assumptions!$I161*X$11</f>
        <v>5805.5046067901048</v>
      </c>
      <c r="Y44" s="24">
        <f>+Assumptions!$I161*Y$11</f>
        <v>5815.1804478014228</v>
      </c>
      <c r="Z44" s="24">
        <f>+Assumptions!$I161*Z$11</f>
        <v>5824.872415214425</v>
      </c>
      <c r="AA44" s="24">
        <f>+Assumptions!$I161*AA$11</f>
        <v>5834.5805359064498</v>
      </c>
      <c r="AB44" s="24">
        <f>+Assumptions!$I161*AB$11</f>
        <v>5844.304836799628</v>
      </c>
      <c r="AC44" s="24">
        <f>+Assumptions!$I161*AC$11</f>
        <v>5854.0453448609596</v>
      </c>
      <c r="AD44" s="24">
        <f>+Assumptions!$I161*AD$11</f>
        <v>5863.8020871023955</v>
      </c>
      <c r="AE44" s="24">
        <f>+Assumptions!$I161*AE$11</f>
        <v>5873.5750905809</v>
      </c>
      <c r="AF44" s="24">
        <f>+Assumptions!$I161*AF$11</f>
        <v>5883.3643823985349</v>
      </c>
      <c r="AG44" s="24">
        <f>+Assumptions!$I161*AG$11</f>
        <v>5893.1699897025337</v>
      </c>
      <c r="AH44" s="24">
        <f>+Assumptions!$I161*AH$11</f>
        <v>5902.9919396853711</v>
      </c>
      <c r="AI44" s="24">
        <f>+Assumptions!$I161*AI$11</f>
        <v>5912.8302595848472</v>
      </c>
      <c r="AJ44" s="24">
        <f>+Assumptions!$I161*AJ$11</f>
        <v>5922.6849766841569</v>
      </c>
      <c r="AK44" s="24">
        <f>+Assumptions!$I161*AK$11</f>
        <v>5932.5561183119644</v>
      </c>
      <c r="AL44" s="24">
        <f>+Assumptions!$I161*AL$11</f>
        <v>5942.4437118424839</v>
      </c>
      <c r="AM44" s="24">
        <f>+Assumptions!$I161*AM$11</f>
        <v>5952.3477846955557</v>
      </c>
      <c r="AN44" s="24">
        <f>+Assumptions!$I161*AN$11</f>
        <v>5962.2683643367145</v>
      </c>
      <c r="AO44" s="24">
        <f>+Assumptions!$I161*AO$11</f>
        <v>5972.2054782772766</v>
      </c>
      <c r="AP44" s="24">
        <f>+Assumptions!$I161*AP$11</f>
        <v>5982.1591540744048</v>
      </c>
      <c r="AQ44" s="24">
        <f>+Assumptions!$I161*AQ$11</f>
        <v>5992.1294193311969</v>
      </c>
      <c r="AR44" s="24">
        <f>+Assumptions!$I161*AR$11</f>
        <v>6002.1163016967503</v>
      </c>
      <c r="AS44" s="24">
        <f>+Assumptions!$I161*AS$11</f>
        <v>6012.1198288662436</v>
      </c>
      <c r="AT44" s="24">
        <f>+Assumptions!$I161*AT$11</f>
        <v>6022.1400285810205</v>
      </c>
      <c r="AU44" s="24">
        <f>+Assumptions!$I161*AU$11</f>
        <v>6032.1769286286572</v>
      </c>
      <c r="AV44" s="24">
        <f>+Assumptions!$I161*AV$11</f>
        <v>6042.2305568430374</v>
      </c>
      <c r="AW44" s="24">
        <f>+Assumptions!$I161*AW$11</f>
        <v>6052.3009411044441</v>
      </c>
      <c r="AX44" s="24">
        <f>+Assumptions!$I161*AX$11</f>
        <v>6062.3881093396185</v>
      </c>
      <c r="AY44" s="24">
        <f>+Assumptions!$I161*AY$11</f>
        <v>6072.4920895218511</v>
      </c>
      <c r="AZ44" s="24">
        <f>+Assumptions!$I161*AZ$11</f>
        <v>6082.6129096710556</v>
      </c>
      <c r="BA44" s="24">
        <f>+Assumptions!$I161*BA$11</f>
        <v>6092.7505978538402</v>
      </c>
      <c r="BB44" s="24">
        <f>+Assumptions!$I161*BB$11</f>
        <v>6102.9051821835965</v>
      </c>
      <c r="BC44" s="24">
        <f>+Assumptions!$I161*BC$11</f>
        <v>6113.0766908205705</v>
      </c>
      <c r="BD44" s="24">
        <f>+Assumptions!$I161*BD$11</f>
        <v>6123.2651519719384</v>
      </c>
      <c r="BE44" s="24">
        <f>+Assumptions!$I161*BE$11</f>
        <v>6133.4705938918923</v>
      </c>
      <c r="BF44" s="24">
        <f>+Assumptions!$I161*BF$11</f>
        <v>6143.693044881712</v>
      </c>
      <c r="BG44" s="24">
        <f>+Assumptions!$I161*BG$11</f>
        <v>6153.9325332898488</v>
      </c>
      <c r="BH44" s="24">
        <f>+Assumptions!$I161*BH$11</f>
        <v>6164.1890875119998</v>
      </c>
      <c r="BI44" s="24">
        <f>+Assumptions!$I161*BI$11</f>
        <v>6174.4627359911865</v>
      </c>
      <c r="BJ44" s="24">
        <f>+Assumptions!$I161*BJ$11</f>
        <v>6184.753507217838</v>
      </c>
      <c r="BK44" s="24">
        <f>+Assumptions!$I161*BK$11</f>
        <v>6195.0614297298689</v>
      </c>
      <c r="BL44" s="24">
        <f>+Assumptions!$I161*BL$11</f>
        <v>6205.3865321127514</v>
      </c>
      <c r="BM44" s="24">
        <f>+Assumptions!$I161*BM$11</f>
        <v>6215.728842999607</v>
      </c>
      <c r="BN44" s="24">
        <f>+Assumptions!$I161*BN$11</f>
        <v>6226.0883910712737</v>
      </c>
      <c r="BO44" s="24">
        <f>+Assumptions!$I161*BO$11</f>
        <v>6236.4652050563936</v>
      </c>
      <c r="BP44" s="24">
        <f>+Assumptions!$I161*BP$11</f>
        <v>6246.8593137314874</v>
      </c>
      <c r="BQ44" s="24">
        <f>+Assumptions!$I161*BQ$11</f>
        <v>6257.2707459210405</v>
      </c>
      <c r="BR44" s="24">
        <f>+Assumptions!$I161*BR$11</f>
        <v>6267.6995304975753</v>
      </c>
      <c r="BS44" s="24">
        <f>+Assumptions!$I161*BS$11</f>
        <v>6278.1456963817391</v>
      </c>
      <c r="BT44" s="24">
        <f>+Assumptions!$I161*BT$11</f>
        <v>6288.609272542375</v>
      </c>
      <c r="BU44" s="24">
        <f>+Assumptions!$I161*BU$11</f>
        <v>6299.0902879966125</v>
      </c>
      <c r="BV44" s="24">
        <f>+Assumptions!$I161*BV$11</f>
        <v>6309.5887718099402</v>
      </c>
      <c r="BW44" s="24">
        <f>+Assumptions!$I161*BW$11</f>
        <v>6320.1047530962906</v>
      </c>
      <c r="BX44" s="24">
        <f>+Assumptions!$I161*BX$11</f>
        <v>6330.638261018119</v>
      </c>
      <c r="BY44" s="24">
        <f>+Assumptions!$I161*BY$11</f>
        <v>6341.1893247864828</v>
      </c>
      <c r="BZ44" s="24">
        <f>+Assumptions!$I161*BZ$11</f>
        <v>6351.7579736611269</v>
      </c>
      <c r="CA44" s="24">
        <f>+Assumptions!$I161*CA$11</f>
        <v>6362.3442369505628</v>
      </c>
      <c r="CB44" s="24">
        <f>+Assumptions!$I161*CB$11</f>
        <v>6372.9481440121481</v>
      </c>
      <c r="CC44" s="24">
        <f>+Assumptions!$I161*CC$11</f>
        <v>6383.5697242521692</v>
      </c>
      <c r="CD44" s="24">
        <f>+Assumptions!$I161*CD$11</f>
        <v>6394.2090071259227</v>
      </c>
      <c r="CE44" s="24">
        <f>+Assumptions!$I161*CE$11</f>
        <v>6404.8660221377986</v>
      </c>
      <c r="CF44" s="24">
        <f>+Assumptions!$I161*CF$11</f>
        <v>6415.5407988413635</v>
      </c>
      <c r="CG44" s="24">
        <f>+Assumptions!$I161*CG$11</f>
        <v>6426.2333668394322</v>
      </c>
      <c r="CH44" s="24">
        <f>+Assumptions!$I161*CH$11</f>
        <v>6436.9437557841648</v>
      </c>
      <c r="CI44" s="24">
        <f>+Assumptions!$I161*CI$11</f>
        <v>6447.6719953771399</v>
      </c>
      <c r="CJ44" s="24">
        <f>+Assumptions!$I161*CJ$11</f>
        <v>6458.4181153694353</v>
      </c>
      <c r="CK44" s="24">
        <f>+Assumptions!$I161*CK$11</f>
        <v>6469.1821455617192</v>
      </c>
      <c r="CL44" s="24">
        <f>+Assumptions!$I161*CL$11</f>
        <v>6479.9641158043205</v>
      </c>
      <c r="CM44" s="24">
        <f>+Assumptions!$I161*CM$11</f>
        <v>6490.7640559973297</v>
      </c>
      <c r="CN44" s="24">
        <f>+Assumptions!$I161*CN$11</f>
        <v>6501.5819960906592</v>
      </c>
      <c r="CO44" s="24">
        <f>+Assumptions!$I161*CO$11</f>
        <v>6512.4179660841428</v>
      </c>
      <c r="CP44" s="24">
        <f>+Assumptions!$I161*CP$11</f>
        <v>6523.2719960276163</v>
      </c>
      <c r="CQ44" s="24">
        <f>+Assumptions!$I161*CQ$11</f>
        <v>6534.144116020997</v>
      </c>
      <c r="CR44" s="24">
        <f>+Assumptions!$I161*CR$11</f>
        <v>6545.0343562143662</v>
      </c>
      <c r="CS44" s="24">
        <f>+Assumptions!$I161*CS$11</f>
        <v>6555.9427468080576</v>
      </c>
      <c r="CT44" s="24">
        <f>+Assumptions!$I161*CT$11</f>
        <v>6566.8693180527362</v>
      </c>
      <c r="CU44" s="24">
        <f>+Assumptions!$I161*CU$11</f>
        <v>6577.8141002494922</v>
      </c>
      <c r="CV44" s="24">
        <f>+Assumptions!$I161*CV$11</f>
        <v>6588.7771237499101</v>
      </c>
      <c r="CW44" s="24">
        <f>+Assumptions!$I161*CW$11</f>
        <v>6599.7584189561603</v>
      </c>
      <c r="CX44" s="24">
        <f>+Assumptions!$I161*CX$11</f>
        <v>6610.758016321086</v>
      </c>
      <c r="CY44" s="24">
        <f>+Assumptions!$I161*CY$11</f>
        <v>6621.7759463482889</v>
      </c>
      <c r="CZ44" s="24">
        <f>+Assumptions!$I161*CZ$11</f>
        <v>6632.8122395922037</v>
      </c>
      <c r="DA44" s="24">
        <f>+Assumptions!$I161*DA$11</f>
        <v>6643.8669266581901</v>
      </c>
      <c r="DB44" s="24">
        <f>+Assumptions!$I161*DB$11</f>
        <v>6654.9400382026206</v>
      </c>
      <c r="DC44" s="24">
        <f>+Assumptions!$I161*DC$11</f>
        <v>6666.0316049329595</v>
      </c>
      <c r="DD44" s="24">
        <f>+Assumptions!$I161*DD$11</f>
        <v>6677.1416576078491</v>
      </c>
      <c r="DE44" s="24">
        <f>+Assumptions!$I161*DE$11</f>
        <v>6688.2702270371947</v>
      </c>
      <c r="DF44" s="24">
        <f>+Assumptions!$I161*DF$11</f>
        <v>6699.417344082256</v>
      </c>
      <c r="DG44" s="24">
        <f>+Assumptions!$I161*DG$11</f>
        <v>6710.5830396557285</v>
      </c>
      <c r="DH44" s="24">
        <f>+Assumptions!$I161*DH$11</f>
        <v>6721.7673447218203</v>
      </c>
      <c r="DI44" s="24">
        <f>+Assumptions!$I161*DI$11</f>
        <v>6732.9702902963581</v>
      </c>
      <c r="DJ44" s="24">
        <f>+Assumptions!$I161*DJ$11</f>
        <v>6744.1919074468533</v>
      </c>
      <c r="DK44" s="24">
        <f>+Assumptions!$I161*DK$11</f>
        <v>6755.4322272925983</v>
      </c>
      <c r="DL44" s="24">
        <f>+Assumptions!$I161*DL$11</f>
        <v>6766.6912810047534</v>
      </c>
      <c r="DM44" s="24">
        <f>+Assumptions!$I161*DM$11</f>
        <v>6777.9690998064279</v>
      </c>
      <c r="DN44" s="24">
        <f>+Assumptions!$I161*DN$11</f>
        <v>6789.265714972772</v>
      </c>
      <c r="DO44" s="24">
        <f>+Assumptions!$I161*DO$11</f>
        <v>6800.5811578310613</v>
      </c>
      <c r="DP44" s="24">
        <f>+Assumptions!$I161*DP$11</f>
        <v>6811.9154597607794</v>
      </c>
      <c r="DQ44" s="24">
        <f>+Assumptions!$I161*DQ$11</f>
        <v>6823.2686521937158</v>
      </c>
      <c r="DR44" s="24">
        <f>+Assumptions!$I161*DR$11</f>
        <v>6834.6407666140376</v>
      </c>
      <c r="DS44" s="24">
        <f>+Assumptions!$I161*DS$11</f>
        <v>6846.0318345583946</v>
      </c>
      <c r="DT44" s="24">
        <f>+Assumptions!$I161*DT$11</f>
        <v>6857.4418876159943</v>
      </c>
      <c r="DU44" s="24">
        <f>+Assumptions!$I161*DU$11</f>
        <v>6868.8709574286868</v>
      </c>
      <c r="DV44" s="24">
        <f>+Assumptions!$I161*DV$11</f>
        <v>6880.319075691069</v>
      </c>
      <c r="DW44" s="24">
        <f>+Assumptions!$I161*DW$11</f>
        <v>6891.7862741505542</v>
      </c>
      <c r="DX44" s="24">
        <f>+Assumptions!$I161*DX$11</f>
        <v>6903.2725846074709</v>
      </c>
      <c r="DY44" s="24">
        <f>+Assumptions!$I161*DY$11</f>
        <v>6914.7780389151521</v>
      </c>
      <c r="DZ44" s="24">
        <f>+Assumptions!$I161*DZ$11</f>
        <v>6926.3026689800099</v>
      </c>
      <c r="EA44" s="24">
        <f>+Assumptions!$I161*EA$11</f>
        <v>6937.8465067616462</v>
      </c>
      <c r="EB44" s="24">
        <f>+Assumptions!$I161*EB$11</f>
        <v>6949.4095842729157</v>
      </c>
      <c r="EC44" s="24">
        <f>+Assumptions!$I161*EC$11</f>
        <v>6960.9919335800378</v>
      </c>
      <c r="ED44" s="24">
        <f>+Assumptions!$I161*ED$11</f>
        <v>6972.5935868026709</v>
      </c>
      <c r="EE44" s="24">
        <f>+Assumptions!$I161*EE$11</f>
        <v>6984.2145761140091</v>
      </c>
      <c r="EF44" s="24">
        <f>+Assumptions!$I161*EF$11</f>
        <v>6995.8549337408667</v>
      </c>
    </row>
    <row r="45" spans="2:136" x14ac:dyDescent="0.45">
      <c r="B45" s="1" t="str">
        <f>Assumptions!B162</f>
        <v>Common Area Electric</v>
      </c>
      <c r="E45" s="24">
        <f>+Assumptions!$I162*E$11</f>
        <v>282.47000000000014</v>
      </c>
      <c r="F45" s="24">
        <f>+Assumptions!$I162*F$11</f>
        <v>282.94078333333346</v>
      </c>
      <c r="G45" s="24">
        <f>+Assumptions!$I162*G$11</f>
        <v>283.41235130555572</v>
      </c>
      <c r="H45" s="24">
        <f>+Assumptions!$I162*H$11</f>
        <v>283.88470522439832</v>
      </c>
      <c r="I45" s="24">
        <f>+Assumptions!$I162*I$11</f>
        <v>284.35784639977231</v>
      </c>
      <c r="J45" s="24">
        <f>+Assumptions!$I162*J$11</f>
        <v>284.83177614377195</v>
      </c>
      <c r="K45" s="24">
        <f>+Assumptions!$I162*K$11</f>
        <v>285.30649577067828</v>
      </c>
      <c r="L45" s="24">
        <f>+Assumptions!$I162*L$11</f>
        <v>285.78200659696279</v>
      </c>
      <c r="M45" s="24">
        <f>+Assumptions!$I162*M$11</f>
        <v>286.25830994129103</v>
      </c>
      <c r="N45" s="24">
        <f>+Assumptions!$I162*N$11</f>
        <v>286.73540712452655</v>
      </c>
      <c r="O45" s="24">
        <f>+Assumptions!$I162*O$11</f>
        <v>287.21329946973412</v>
      </c>
      <c r="P45" s="24">
        <f>+Assumptions!$I162*P$11</f>
        <v>287.69198830218369</v>
      </c>
      <c r="Q45" s="24">
        <f>+Assumptions!$I162*Q$11</f>
        <v>288.17147494935404</v>
      </c>
      <c r="R45" s="24">
        <f>+Assumptions!$I162*R$11</f>
        <v>288.65176074093631</v>
      </c>
      <c r="S45" s="24">
        <f>+Assumptions!$I162*S$11</f>
        <v>289.13284700883787</v>
      </c>
      <c r="T45" s="24">
        <f>+Assumptions!$I162*T$11</f>
        <v>289.61473508718598</v>
      </c>
      <c r="U45" s="24">
        <f>+Assumptions!$I162*U$11</f>
        <v>290.09742631233127</v>
      </c>
      <c r="V45" s="24">
        <f>+Assumptions!$I162*V$11</f>
        <v>290.58092202285184</v>
      </c>
      <c r="W45" s="24">
        <f>+Assumptions!$I162*W$11</f>
        <v>291.06522355955667</v>
      </c>
      <c r="X45" s="24">
        <f>+Assumptions!$I162*X$11</f>
        <v>291.55033226548926</v>
      </c>
      <c r="Y45" s="24">
        <f>+Assumptions!$I162*Y$11</f>
        <v>292.03624948593176</v>
      </c>
      <c r="Z45" s="24">
        <f>+Assumptions!$I162*Z$11</f>
        <v>292.5229765684083</v>
      </c>
      <c r="AA45" s="24">
        <f>+Assumptions!$I162*AA$11</f>
        <v>293.01051486268904</v>
      </c>
      <c r="AB45" s="24">
        <f>+Assumptions!$I162*AB$11</f>
        <v>293.49886572079356</v>
      </c>
      <c r="AC45" s="24">
        <f>+Assumptions!$I162*AC$11</f>
        <v>293.98803049699484</v>
      </c>
      <c r="AD45" s="24">
        <f>+Assumptions!$I162*AD$11</f>
        <v>294.4780105478232</v>
      </c>
      <c r="AE45" s="24">
        <f>+Assumptions!$I162*AE$11</f>
        <v>294.96880723206959</v>
      </c>
      <c r="AF45" s="24">
        <f>+Assumptions!$I162*AF$11</f>
        <v>295.46042191078976</v>
      </c>
      <c r="AG45" s="24">
        <f>+Assumptions!$I162*AG$11</f>
        <v>295.95285594730774</v>
      </c>
      <c r="AH45" s="24">
        <f>+Assumptions!$I162*AH$11</f>
        <v>296.44611070721993</v>
      </c>
      <c r="AI45" s="24">
        <f>+Assumptions!$I162*AI$11</f>
        <v>296.94018755839869</v>
      </c>
      <c r="AJ45" s="24">
        <f>+Assumptions!$I162*AJ$11</f>
        <v>297.43508787099603</v>
      </c>
      <c r="AK45" s="24">
        <f>+Assumptions!$I162*AK$11</f>
        <v>297.93081301744775</v>
      </c>
      <c r="AL45" s="24">
        <f>+Assumptions!$I162*AL$11</f>
        <v>298.4273643724768</v>
      </c>
      <c r="AM45" s="24">
        <f>+Assumptions!$I162*AM$11</f>
        <v>298.92474331309762</v>
      </c>
      <c r="AN45" s="24">
        <f>+Assumptions!$I162*AN$11</f>
        <v>299.42295121861946</v>
      </c>
      <c r="AO45" s="24">
        <f>+Assumptions!$I162*AO$11</f>
        <v>299.92198947065054</v>
      </c>
      <c r="AP45" s="24">
        <f>+Assumptions!$I162*AP$11</f>
        <v>300.4218594531016</v>
      </c>
      <c r="AQ45" s="24">
        <f>+Assumptions!$I162*AQ$11</f>
        <v>300.92256255219019</v>
      </c>
      <c r="AR45" s="24">
        <f>+Assumptions!$I162*AR$11</f>
        <v>301.4241001564439</v>
      </c>
      <c r="AS45" s="24">
        <f>+Assumptions!$I162*AS$11</f>
        <v>301.92647365670456</v>
      </c>
      <c r="AT45" s="24">
        <f>+Assumptions!$I162*AT$11</f>
        <v>302.4296844461324</v>
      </c>
      <c r="AU45" s="24">
        <f>+Assumptions!$I162*AU$11</f>
        <v>302.93373392020936</v>
      </c>
      <c r="AV45" s="24">
        <f>+Assumptions!$I162*AV$11</f>
        <v>303.43862347674303</v>
      </c>
      <c r="AW45" s="24">
        <f>+Assumptions!$I162*AW$11</f>
        <v>303.944354515871</v>
      </c>
      <c r="AX45" s="24">
        <f>+Assumptions!$I162*AX$11</f>
        <v>304.4509284400641</v>
      </c>
      <c r="AY45" s="24">
        <f>+Assumptions!$I162*AY$11</f>
        <v>304.95834665413093</v>
      </c>
      <c r="AZ45" s="24">
        <f>+Assumptions!$I162*AZ$11</f>
        <v>305.46661056522117</v>
      </c>
      <c r="BA45" s="24">
        <f>+Assumptions!$I162*BA$11</f>
        <v>305.97572158282986</v>
      </c>
      <c r="BB45" s="24">
        <f>+Assumptions!$I162*BB$11</f>
        <v>306.48568111880127</v>
      </c>
      <c r="BC45" s="24">
        <f>+Assumptions!$I162*BC$11</f>
        <v>306.99649058733269</v>
      </c>
      <c r="BD45" s="24">
        <f>+Assumptions!$I162*BD$11</f>
        <v>307.50815140497821</v>
      </c>
      <c r="BE45" s="24">
        <f>+Assumptions!$I162*BE$11</f>
        <v>308.02066499065324</v>
      </c>
      <c r="BF45" s="24">
        <f>+Assumptions!$I162*BF$11</f>
        <v>308.53403276563768</v>
      </c>
      <c r="BG45" s="24">
        <f>+Assumptions!$I162*BG$11</f>
        <v>309.04825615358038</v>
      </c>
      <c r="BH45" s="24">
        <f>+Assumptions!$I162*BH$11</f>
        <v>309.56333658050306</v>
      </c>
      <c r="BI45" s="24">
        <f>+Assumptions!$I162*BI$11</f>
        <v>310.07927547480392</v>
      </c>
      <c r="BJ45" s="24">
        <f>+Assumptions!$I162*BJ$11</f>
        <v>310.59607426726194</v>
      </c>
      <c r="BK45" s="24">
        <f>+Assumptions!$I162*BK$11</f>
        <v>311.11373439104074</v>
      </c>
      <c r="BL45" s="24">
        <f>+Assumptions!$I162*BL$11</f>
        <v>311.63225728169243</v>
      </c>
      <c r="BM45" s="24">
        <f>+Assumptions!$I162*BM$11</f>
        <v>312.15164437716197</v>
      </c>
      <c r="BN45" s="24">
        <f>+Assumptions!$I162*BN$11</f>
        <v>312.67189711779059</v>
      </c>
      <c r="BO45" s="24">
        <f>+Assumptions!$I162*BO$11</f>
        <v>313.19301694632031</v>
      </c>
      <c r="BP45" s="24">
        <f>+Assumptions!$I162*BP$11</f>
        <v>313.71500530789751</v>
      </c>
      <c r="BQ45" s="24">
        <f>+Assumptions!$I162*BQ$11</f>
        <v>314.23786365007737</v>
      </c>
      <c r="BR45" s="24">
        <f>+Assumptions!$I162*BR$11</f>
        <v>314.7615934228275</v>
      </c>
      <c r="BS45" s="24">
        <f>+Assumptions!$I162*BS$11</f>
        <v>315.28619607853227</v>
      </c>
      <c r="BT45" s="24">
        <f>+Assumptions!$I162*BT$11</f>
        <v>315.81167307199649</v>
      </c>
      <c r="BU45" s="24">
        <f>+Assumptions!$I162*BU$11</f>
        <v>316.33802586044982</v>
      </c>
      <c r="BV45" s="24">
        <f>+Assumptions!$I162*BV$11</f>
        <v>316.86525590355058</v>
      </c>
      <c r="BW45" s="24">
        <f>+Assumptions!$I162*BW$11</f>
        <v>317.39336466338983</v>
      </c>
      <c r="BX45" s="24">
        <f>+Assumptions!$I162*BX$11</f>
        <v>317.92235360449558</v>
      </c>
      <c r="BY45" s="24">
        <f>+Assumptions!$I162*BY$11</f>
        <v>318.45222419383634</v>
      </c>
      <c r="BZ45" s="24">
        <f>+Assumptions!$I162*BZ$11</f>
        <v>318.98297790082614</v>
      </c>
      <c r="CA45" s="24">
        <f>+Assumptions!$I162*CA$11</f>
        <v>319.51461619732754</v>
      </c>
      <c r="CB45" s="24">
        <f>+Assumptions!$I162*CB$11</f>
        <v>320.04714055765641</v>
      </c>
      <c r="CC45" s="24">
        <f>+Assumptions!$I162*CC$11</f>
        <v>320.58055245858588</v>
      </c>
      <c r="CD45" s="24">
        <f>+Assumptions!$I162*CD$11</f>
        <v>321.11485337935022</v>
      </c>
      <c r="CE45" s="24">
        <f>+Assumptions!$I162*CE$11</f>
        <v>321.65004480164913</v>
      </c>
      <c r="CF45" s="24">
        <f>+Assumptions!$I162*CF$11</f>
        <v>322.18612820965194</v>
      </c>
      <c r="CG45" s="24">
        <f>+Assumptions!$I162*CG$11</f>
        <v>322.72310509000135</v>
      </c>
      <c r="CH45" s="24">
        <f>+Assumptions!$I162*CH$11</f>
        <v>323.26097693181805</v>
      </c>
      <c r="CI45" s="24">
        <f>+Assumptions!$I162*CI$11</f>
        <v>323.79974522670449</v>
      </c>
      <c r="CJ45" s="24">
        <f>+Assumptions!$I162*CJ$11</f>
        <v>324.33941146874901</v>
      </c>
      <c r="CK45" s="24">
        <f>+Assumptions!$I162*CK$11</f>
        <v>324.87997715453031</v>
      </c>
      <c r="CL45" s="24">
        <f>+Assumptions!$I162*CL$11</f>
        <v>325.42144378312111</v>
      </c>
      <c r="CM45" s="24">
        <f>+Assumptions!$I162*CM$11</f>
        <v>325.96381285609306</v>
      </c>
      <c r="CN45" s="24">
        <f>+Assumptions!$I162*CN$11</f>
        <v>326.50708587751996</v>
      </c>
      <c r="CO45" s="24">
        <f>+Assumptions!$I162*CO$11</f>
        <v>327.05126435398245</v>
      </c>
      <c r="CP45" s="24">
        <f>+Assumptions!$I162*CP$11</f>
        <v>327.5963497945724</v>
      </c>
      <c r="CQ45" s="24">
        <f>+Assumptions!$I162*CQ$11</f>
        <v>328.14234371089674</v>
      </c>
      <c r="CR45" s="24">
        <f>+Assumptions!$I162*CR$11</f>
        <v>328.68924761708161</v>
      </c>
      <c r="CS45" s="24">
        <f>+Assumptions!$I162*CS$11</f>
        <v>329.23706302977678</v>
      </c>
      <c r="CT45" s="24">
        <f>+Assumptions!$I162*CT$11</f>
        <v>329.78579146815969</v>
      </c>
      <c r="CU45" s="24">
        <f>+Assumptions!$I162*CU$11</f>
        <v>330.33543445394002</v>
      </c>
      <c r="CV45" s="24">
        <f>+Assumptions!$I162*CV$11</f>
        <v>330.88599351136332</v>
      </c>
      <c r="CW45" s="24">
        <f>+Assumptions!$I162*CW$11</f>
        <v>331.43747016721562</v>
      </c>
      <c r="CX45" s="24">
        <f>+Assumptions!$I162*CX$11</f>
        <v>331.98986595082766</v>
      </c>
      <c r="CY45" s="24">
        <f>+Assumptions!$I162*CY$11</f>
        <v>332.54318239407905</v>
      </c>
      <c r="CZ45" s="24">
        <f>+Assumptions!$I162*CZ$11</f>
        <v>333.09742103140258</v>
      </c>
      <c r="DA45" s="24">
        <f>+Assumptions!$I162*DA$11</f>
        <v>333.65258339978823</v>
      </c>
      <c r="DB45" s="24">
        <f>+Assumptions!$I162*DB$11</f>
        <v>334.20867103878783</v>
      </c>
      <c r="DC45" s="24">
        <f>+Assumptions!$I162*DC$11</f>
        <v>334.76568549051922</v>
      </c>
      <c r="DD45" s="24">
        <f>+Assumptions!$I162*DD$11</f>
        <v>335.32362829967013</v>
      </c>
      <c r="DE45" s="24">
        <f>+Assumptions!$I162*DE$11</f>
        <v>335.88250101350292</v>
      </c>
      <c r="DF45" s="24">
        <f>+Assumptions!$I162*DF$11</f>
        <v>336.44230518185873</v>
      </c>
      <c r="DG45" s="24">
        <f>+Assumptions!$I162*DG$11</f>
        <v>337.00304235716192</v>
      </c>
      <c r="DH45" s="24">
        <f>+Assumptions!$I162*DH$11</f>
        <v>337.56471409442383</v>
      </c>
      <c r="DI45" s="24">
        <f>+Assumptions!$I162*DI$11</f>
        <v>338.12732195124795</v>
      </c>
      <c r="DJ45" s="24">
        <f>+Assumptions!$I162*DJ$11</f>
        <v>338.69086748783337</v>
      </c>
      <c r="DK45" s="24">
        <f>+Assumptions!$I162*DK$11</f>
        <v>339.2553522669798</v>
      </c>
      <c r="DL45" s="24">
        <f>+Assumptions!$I162*DL$11</f>
        <v>339.82077785409149</v>
      </c>
      <c r="DM45" s="24">
        <f>+Assumptions!$I162*DM$11</f>
        <v>340.38714581718165</v>
      </c>
      <c r="DN45" s="24">
        <f>+Assumptions!$I162*DN$11</f>
        <v>340.95445772687691</v>
      </c>
      <c r="DO45" s="24">
        <f>+Assumptions!$I162*DO$11</f>
        <v>341.52271515642178</v>
      </c>
      <c r="DP45" s="24">
        <f>+Assumptions!$I162*DP$11</f>
        <v>342.0919196816825</v>
      </c>
      <c r="DQ45" s="24">
        <f>+Assumptions!$I162*DQ$11</f>
        <v>342.66207288115203</v>
      </c>
      <c r="DR45" s="24">
        <f>+Assumptions!$I162*DR$11</f>
        <v>343.23317633595389</v>
      </c>
      <c r="DS45" s="24">
        <f>+Assumptions!$I162*DS$11</f>
        <v>343.80523162984719</v>
      </c>
      <c r="DT45" s="24">
        <f>+Assumptions!$I162*DT$11</f>
        <v>344.37824034923034</v>
      </c>
      <c r="DU45" s="24">
        <f>+Assumptions!$I162*DU$11</f>
        <v>344.95220408314572</v>
      </c>
      <c r="DV45" s="24">
        <f>+Assumptions!$I162*DV$11</f>
        <v>345.52712442328431</v>
      </c>
      <c r="DW45" s="24">
        <f>+Assumptions!$I162*DW$11</f>
        <v>346.10300296398981</v>
      </c>
      <c r="DX45" s="24">
        <f>+Assumptions!$I162*DX$11</f>
        <v>346.67984130226307</v>
      </c>
      <c r="DY45" s="24">
        <f>+Assumptions!$I162*DY$11</f>
        <v>347.25764103776697</v>
      </c>
      <c r="DZ45" s="24">
        <f>+Assumptions!$I162*DZ$11</f>
        <v>347.8364037728299</v>
      </c>
      <c r="EA45" s="24">
        <f>+Assumptions!$I162*EA$11</f>
        <v>348.41613111245135</v>
      </c>
      <c r="EB45" s="24">
        <f>+Assumptions!$I162*EB$11</f>
        <v>348.99682466430551</v>
      </c>
      <c r="EC45" s="24">
        <f>+Assumptions!$I162*EC$11</f>
        <v>349.57848603874601</v>
      </c>
      <c r="ED45" s="24">
        <f>+Assumptions!$I162*ED$11</f>
        <v>350.16111684881059</v>
      </c>
      <c r="EE45" s="24">
        <f>+Assumptions!$I162*EE$11</f>
        <v>350.7447187102253</v>
      </c>
      <c r="EF45" s="24">
        <f>+Assumptions!$I162*EF$11</f>
        <v>351.32929324140906</v>
      </c>
    </row>
    <row r="46" spans="2:136" x14ac:dyDescent="0.45">
      <c r="B46" s="1" t="str">
        <f>Assumptions!B163</f>
        <v>Landscaping / Snow Removal</v>
      </c>
      <c r="E46" s="24">
        <f>+Assumptions!$I163*E$11</f>
        <v>1252.0833333333335</v>
      </c>
      <c r="F46" s="24">
        <f>+Assumptions!$I163*F$11</f>
        <v>1254.1701388888889</v>
      </c>
      <c r="G46" s="24">
        <f>+Assumptions!$I163*G$11</f>
        <v>1256.2604224537038</v>
      </c>
      <c r="H46" s="24">
        <f>+Assumptions!$I163*H$11</f>
        <v>1258.3541898244603</v>
      </c>
      <c r="I46" s="24">
        <f>+Assumptions!$I163*I$11</f>
        <v>1260.451446807501</v>
      </c>
      <c r="J46" s="24">
        <f>+Assumptions!$I163*J$11</f>
        <v>1262.5521992188469</v>
      </c>
      <c r="K46" s="24">
        <f>+Assumptions!$I163*K$11</f>
        <v>1264.6564528842116</v>
      </c>
      <c r="L46" s="24">
        <f>+Assumptions!$I163*L$11</f>
        <v>1266.7642136390189</v>
      </c>
      <c r="M46" s="24">
        <f>+Assumptions!$I163*M$11</f>
        <v>1268.8754873284172</v>
      </c>
      <c r="N46" s="24">
        <f>+Assumptions!$I163*N$11</f>
        <v>1270.9902798072981</v>
      </c>
      <c r="O46" s="24">
        <f>+Assumptions!$I163*O$11</f>
        <v>1273.1085969403102</v>
      </c>
      <c r="P46" s="24">
        <f>+Assumptions!$I163*P$11</f>
        <v>1275.2304446018775</v>
      </c>
      <c r="Q46" s="24">
        <f>+Assumptions!$I163*Q$11</f>
        <v>1277.3558286762141</v>
      </c>
      <c r="R46" s="24">
        <f>+Assumptions!$I163*R$11</f>
        <v>1279.4847550573413</v>
      </c>
      <c r="S46" s="24">
        <f>+Assumptions!$I163*S$11</f>
        <v>1281.6172296491036</v>
      </c>
      <c r="T46" s="24">
        <f>+Assumptions!$I163*T$11</f>
        <v>1283.7532583651855</v>
      </c>
      <c r="U46" s="24">
        <f>+Assumptions!$I163*U$11</f>
        <v>1285.8928471291276</v>
      </c>
      <c r="V46" s="24">
        <f>+Assumptions!$I163*V$11</f>
        <v>1288.0360018743429</v>
      </c>
      <c r="W46" s="24">
        <f>+Assumptions!$I163*W$11</f>
        <v>1290.1827285441336</v>
      </c>
      <c r="X46" s="24">
        <f>+Assumptions!$I163*X$11</f>
        <v>1292.3330330917072</v>
      </c>
      <c r="Y46" s="24">
        <f>+Assumptions!$I163*Y$11</f>
        <v>1294.4869214801936</v>
      </c>
      <c r="Z46" s="24">
        <f>+Assumptions!$I163*Z$11</f>
        <v>1296.6443996826604</v>
      </c>
      <c r="AA46" s="24">
        <f>+Assumptions!$I163*AA$11</f>
        <v>1298.8054736821316</v>
      </c>
      <c r="AB46" s="24">
        <f>+Assumptions!$I163*AB$11</f>
        <v>1300.9701494716023</v>
      </c>
      <c r="AC46" s="24">
        <f>+Assumptions!$I163*AC$11</f>
        <v>1303.1384330540545</v>
      </c>
      <c r="AD46" s="24">
        <f>+Assumptions!$I163*AD$11</f>
        <v>1305.3103304424783</v>
      </c>
      <c r="AE46" s="24">
        <f>+Assumptions!$I163*AE$11</f>
        <v>1307.4858476598824</v>
      </c>
      <c r="AF46" s="24">
        <f>+Assumptions!$I163*AF$11</f>
        <v>1309.6649907393157</v>
      </c>
      <c r="AG46" s="24">
        <f>+Assumptions!$I163*AG$11</f>
        <v>1311.8477657238814</v>
      </c>
      <c r="AH46" s="24">
        <f>+Assumptions!$I163*AH$11</f>
        <v>1314.0341786667545</v>
      </c>
      <c r="AI46" s="24">
        <f>+Assumptions!$I163*AI$11</f>
        <v>1316.2242356311992</v>
      </c>
      <c r="AJ46" s="24">
        <f>+Assumptions!$I163*AJ$11</f>
        <v>1318.4179426905848</v>
      </c>
      <c r="AK46" s="24">
        <f>+Assumptions!$I163*AK$11</f>
        <v>1320.6153059284027</v>
      </c>
      <c r="AL46" s="24">
        <f>+Assumptions!$I163*AL$11</f>
        <v>1322.8163314382832</v>
      </c>
      <c r="AM46" s="24">
        <f>+Assumptions!$I163*AM$11</f>
        <v>1325.0210253240139</v>
      </c>
      <c r="AN46" s="24">
        <f>+Assumptions!$I163*AN$11</f>
        <v>1327.2293936995538</v>
      </c>
      <c r="AO46" s="24">
        <f>+Assumptions!$I163*AO$11</f>
        <v>1329.4414426890532</v>
      </c>
      <c r="AP46" s="24">
        <f>+Assumptions!$I163*AP$11</f>
        <v>1331.6571784268683</v>
      </c>
      <c r="AQ46" s="24">
        <f>+Assumptions!$I163*AQ$11</f>
        <v>1333.87660705758</v>
      </c>
      <c r="AR46" s="24">
        <f>+Assumptions!$I163*AR$11</f>
        <v>1336.0997347360096</v>
      </c>
      <c r="AS46" s="24">
        <f>+Assumptions!$I163*AS$11</f>
        <v>1338.326567627236</v>
      </c>
      <c r="AT46" s="24">
        <f>+Assumptions!$I163*AT$11</f>
        <v>1340.5571119066149</v>
      </c>
      <c r="AU46" s="24">
        <f>+Assumptions!$I163*AU$11</f>
        <v>1342.7913737597926</v>
      </c>
      <c r="AV46" s="24">
        <f>+Assumptions!$I163*AV$11</f>
        <v>1345.0293593827257</v>
      </c>
      <c r="AW46" s="24">
        <f>+Assumptions!$I163*AW$11</f>
        <v>1347.2710749816972</v>
      </c>
      <c r="AX46" s="24">
        <f>+Assumptions!$I163*AX$11</f>
        <v>1349.5165267733332</v>
      </c>
      <c r="AY46" s="24">
        <f>+Assumptions!$I163*AY$11</f>
        <v>1351.7657209846222</v>
      </c>
      <c r="AZ46" s="24">
        <f>+Assumptions!$I163*AZ$11</f>
        <v>1354.0186638529303</v>
      </c>
      <c r="BA46" s="24">
        <f>+Assumptions!$I163*BA$11</f>
        <v>1356.2753616260184</v>
      </c>
      <c r="BB46" s="24">
        <f>+Assumptions!$I163*BB$11</f>
        <v>1358.5358205620619</v>
      </c>
      <c r="BC46" s="24">
        <f>+Assumptions!$I163*BC$11</f>
        <v>1360.8000469296655</v>
      </c>
      <c r="BD46" s="24">
        <f>+Assumptions!$I163*BD$11</f>
        <v>1363.0680470078814</v>
      </c>
      <c r="BE46" s="24">
        <f>+Assumptions!$I163*BE$11</f>
        <v>1365.3398270862283</v>
      </c>
      <c r="BF46" s="24">
        <f>+Assumptions!$I163*BF$11</f>
        <v>1367.6153934647054</v>
      </c>
      <c r="BG46" s="24">
        <f>+Assumptions!$I163*BG$11</f>
        <v>1369.8947524538132</v>
      </c>
      <c r="BH46" s="24">
        <f>+Assumptions!$I163*BH$11</f>
        <v>1372.1779103745698</v>
      </c>
      <c r="BI46" s="24">
        <f>+Assumptions!$I163*BI$11</f>
        <v>1374.4648735585274</v>
      </c>
      <c r="BJ46" s="24">
        <f>+Assumptions!$I163*BJ$11</f>
        <v>1376.7556483477915</v>
      </c>
      <c r="BK46" s="24">
        <f>+Assumptions!$I163*BK$11</f>
        <v>1379.050241095038</v>
      </c>
      <c r="BL46" s="24">
        <f>+Assumptions!$I163*BL$11</f>
        <v>1381.3486581635298</v>
      </c>
      <c r="BM46" s="24">
        <f>+Assumptions!$I163*BM$11</f>
        <v>1383.6509059271359</v>
      </c>
      <c r="BN46" s="24">
        <f>+Assumptions!$I163*BN$11</f>
        <v>1385.9569907703478</v>
      </c>
      <c r="BO46" s="24">
        <f>+Assumptions!$I163*BO$11</f>
        <v>1388.2669190882987</v>
      </c>
      <c r="BP46" s="24">
        <f>+Assumptions!$I163*BP$11</f>
        <v>1390.5806972867792</v>
      </c>
      <c r="BQ46" s="24">
        <f>+Assumptions!$I163*BQ$11</f>
        <v>1392.8983317822574</v>
      </c>
      <c r="BR46" s="24">
        <f>+Assumptions!$I163*BR$11</f>
        <v>1395.2198290018944</v>
      </c>
      <c r="BS46" s="24">
        <f>+Assumptions!$I163*BS$11</f>
        <v>1397.5451953835643</v>
      </c>
      <c r="BT46" s="24">
        <f>+Assumptions!$I163*BT$11</f>
        <v>1399.8744373758705</v>
      </c>
      <c r="BU46" s="24">
        <f>+Assumptions!$I163*BU$11</f>
        <v>1402.2075614381636</v>
      </c>
      <c r="BV46" s="24">
        <f>+Assumptions!$I163*BV$11</f>
        <v>1404.5445740405605</v>
      </c>
      <c r="BW46" s="24">
        <f>+Assumptions!$I163*BW$11</f>
        <v>1406.8854816639614</v>
      </c>
      <c r="BX46" s="24">
        <f>+Assumptions!$I163*BX$11</f>
        <v>1409.2302908000684</v>
      </c>
      <c r="BY46" s="24">
        <f>+Assumptions!$I163*BY$11</f>
        <v>1411.5790079514018</v>
      </c>
      <c r="BZ46" s="24">
        <f>+Assumptions!$I163*BZ$11</f>
        <v>1413.9316396313209</v>
      </c>
      <c r="CA46" s="24">
        <f>+Assumptions!$I163*CA$11</f>
        <v>1416.28819236404</v>
      </c>
      <c r="CB46" s="24">
        <f>+Assumptions!$I163*CB$11</f>
        <v>1418.6486726846467</v>
      </c>
      <c r="CC46" s="24">
        <f>+Assumptions!$I163*CC$11</f>
        <v>1421.0130871391214</v>
      </c>
      <c r="CD46" s="24">
        <f>+Assumptions!$I163*CD$11</f>
        <v>1423.3814422843532</v>
      </c>
      <c r="CE46" s="24">
        <f>+Assumptions!$I163*CE$11</f>
        <v>1425.7537446881604</v>
      </c>
      <c r="CF46" s="24">
        <f>+Assumptions!$I163*CF$11</f>
        <v>1428.1300009293077</v>
      </c>
      <c r="CG46" s="24">
        <f>+Assumptions!$I163*CG$11</f>
        <v>1430.5102175975233</v>
      </c>
      <c r="CH46" s="24">
        <f>+Assumptions!$I163*CH$11</f>
        <v>1432.8944012935192</v>
      </c>
      <c r="CI46" s="24">
        <f>+Assumptions!$I163*CI$11</f>
        <v>1435.2825586290085</v>
      </c>
      <c r="CJ46" s="24">
        <f>+Assumptions!$I163*CJ$11</f>
        <v>1437.6746962267237</v>
      </c>
      <c r="CK46" s="24">
        <f>+Assumptions!$I163*CK$11</f>
        <v>1440.0708207204352</v>
      </c>
      <c r="CL46" s="24">
        <f>+Assumptions!$I163*CL$11</f>
        <v>1442.470938754969</v>
      </c>
      <c r="CM46" s="24">
        <f>+Assumptions!$I163*CM$11</f>
        <v>1444.8750569862275</v>
      </c>
      <c r="CN46" s="24">
        <f>+Assumptions!$I163*CN$11</f>
        <v>1447.2831820812048</v>
      </c>
      <c r="CO46" s="24">
        <f>+Assumptions!$I163*CO$11</f>
        <v>1449.6953207180065</v>
      </c>
      <c r="CP46" s="24">
        <f>+Assumptions!$I163*CP$11</f>
        <v>1452.11147958587</v>
      </c>
      <c r="CQ46" s="24">
        <f>+Assumptions!$I163*CQ$11</f>
        <v>1454.5316653851801</v>
      </c>
      <c r="CR46" s="24">
        <f>+Assumptions!$I163*CR$11</f>
        <v>1456.9558848274889</v>
      </c>
      <c r="CS46" s="24">
        <f>+Assumptions!$I163*CS$11</f>
        <v>1459.384144635535</v>
      </c>
      <c r="CT46" s="24">
        <f>+Assumptions!$I163*CT$11</f>
        <v>1461.8164515432604</v>
      </c>
      <c r="CU46" s="24">
        <f>+Assumptions!$I163*CU$11</f>
        <v>1464.2528122958329</v>
      </c>
      <c r="CV46" s="24">
        <f>+Assumptions!$I163*CV$11</f>
        <v>1466.6932336496595</v>
      </c>
      <c r="CW46" s="24">
        <f>+Assumptions!$I163*CW$11</f>
        <v>1469.1377223724091</v>
      </c>
      <c r="CX46" s="24">
        <f>+Assumptions!$I163*CX$11</f>
        <v>1471.5862852430298</v>
      </c>
      <c r="CY46" s="24">
        <f>+Assumptions!$I163*CY$11</f>
        <v>1474.0389290517683</v>
      </c>
      <c r="CZ46" s="24">
        <f>+Assumptions!$I163*CZ$11</f>
        <v>1476.4956606001881</v>
      </c>
      <c r="DA46" s="24">
        <f>+Assumptions!$I163*DA$11</f>
        <v>1478.9564867011884</v>
      </c>
      <c r="DB46" s="24">
        <f>+Assumptions!$I163*DB$11</f>
        <v>1481.4214141790235</v>
      </c>
      <c r="DC46" s="24">
        <f>+Assumptions!$I163*DC$11</f>
        <v>1483.8904498693223</v>
      </c>
      <c r="DD46" s="24">
        <f>+Assumptions!$I163*DD$11</f>
        <v>1486.3636006191048</v>
      </c>
      <c r="DE46" s="24">
        <f>+Assumptions!$I163*DE$11</f>
        <v>1488.8408732868031</v>
      </c>
      <c r="DF46" s="24">
        <f>+Assumptions!$I163*DF$11</f>
        <v>1491.322274742281</v>
      </c>
      <c r="DG46" s="24">
        <f>+Assumptions!$I163*DG$11</f>
        <v>1493.8078118668518</v>
      </c>
      <c r="DH46" s="24">
        <f>+Assumptions!$I163*DH$11</f>
        <v>1496.2974915532964</v>
      </c>
      <c r="DI46" s="24">
        <f>+Assumptions!$I163*DI$11</f>
        <v>1498.7913207058857</v>
      </c>
      <c r="DJ46" s="24">
        <f>+Assumptions!$I163*DJ$11</f>
        <v>1501.2893062403957</v>
      </c>
      <c r="DK46" s="24">
        <f>+Assumptions!$I163*DK$11</f>
        <v>1503.7914550841297</v>
      </c>
      <c r="DL46" s="24">
        <f>+Assumptions!$I163*DL$11</f>
        <v>1506.2977741759366</v>
      </c>
      <c r="DM46" s="24">
        <f>+Assumptions!$I163*DM$11</f>
        <v>1508.8082704662302</v>
      </c>
      <c r="DN46" s="24">
        <f>+Assumptions!$I163*DN$11</f>
        <v>1511.3229509170071</v>
      </c>
      <c r="DO46" s="24">
        <f>+Assumptions!$I163*DO$11</f>
        <v>1513.841822501869</v>
      </c>
      <c r="DP46" s="24">
        <f>+Assumptions!$I163*DP$11</f>
        <v>1516.3648922060388</v>
      </c>
      <c r="DQ46" s="24">
        <f>+Assumptions!$I163*DQ$11</f>
        <v>1518.8921670263824</v>
      </c>
      <c r="DR46" s="24">
        <f>+Assumptions!$I163*DR$11</f>
        <v>1521.4236539714263</v>
      </c>
      <c r="DS46" s="24">
        <f>+Assumptions!$I163*DS$11</f>
        <v>1523.9593600613787</v>
      </c>
      <c r="DT46" s="24">
        <f>+Assumptions!$I163*DT$11</f>
        <v>1526.4992923281482</v>
      </c>
      <c r="DU46" s="24">
        <f>+Assumptions!$I163*DU$11</f>
        <v>1529.0434578153618</v>
      </c>
      <c r="DV46" s="24">
        <f>+Assumptions!$I163*DV$11</f>
        <v>1531.5918635783873</v>
      </c>
      <c r="DW46" s="24">
        <f>+Assumptions!$I163*DW$11</f>
        <v>1534.1445166843514</v>
      </c>
      <c r="DX46" s="24">
        <f>+Assumptions!$I163*DX$11</f>
        <v>1536.7014242121586</v>
      </c>
      <c r="DY46" s="24">
        <f>+Assumptions!$I163*DY$11</f>
        <v>1539.2625932525125</v>
      </c>
      <c r="DZ46" s="24">
        <f>+Assumptions!$I163*DZ$11</f>
        <v>1541.8280309079332</v>
      </c>
      <c r="EA46" s="24">
        <f>+Assumptions!$I163*EA$11</f>
        <v>1544.3977442927803</v>
      </c>
      <c r="EB46" s="24">
        <f>+Assumptions!$I163*EB$11</f>
        <v>1546.9717405332683</v>
      </c>
      <c r="EC46" s="24">
        <f>+Assumptions!$I163*EC$11</f>
        <v>1549.5500267674906</v>
      </c>
      <c r="ED46" s="24">
        <f>+Assumptions!$I163*ED$11</f>
        <v>1552.1326101454363</v>
      </c>
      <c r="EE46" s="24">
        <f>+Assumptions!$I163*EE$11</f>
        <v>1554.7194978290122</v>
      </c>
      <c r="EF46" s="24">
        <f>+Assumptions!$I163*EF$11</f>
        <v>1557.3106969920609</v>
      </c>
    </row>
    <row r="47" spans="2:136" x14ac:dyDescent="0.45">
      <c r="B47" s="1" t="str">
        <f>Assumptions!B164</f>
        <v>Property Management</v>
      </c>
      <c r="E47" s="24">
        <f>+Assumptions!$G$164*E31</f>
        <v>3759.9019722000007</v>
      </c>
      <c r="F47" s="24">
        <f>+Assumptions!$G$164*F31</f>
        <v>3621.7689590976743</v>
      </c>
      <c r="G47" s="24">
        <f>+Assumptions!$G$164*G31</f>
        <v>3629.2129193005176</v>
      </c>
      <c r="H47" s="24">
        <f>+Assumptions!$G$164*H31</f>
        <v>3551.4147464284124</v>
      </c>
      <c r="I47" s="24">
        <f>+Assumptions!$G$164*I31</f>
        <v>3427.9415453754395</v>
      </c>
      <c r="J47" s="24">
        <f>+Assumptions!$G$164*J31</f>
        <v>3562.9404357523667</v>
      </c>
      <c r="K47" s="24">
        <f>+Assumptions!$G$164*K31</f>
        <v>3431.321909849692</v>
      </c>
      <c r="L47" s="24">
        <f>+Assumptions!$G$164*L31</f>
        <v>3498.7350292409201</v>
      </c>
      <c r="M47" s="24">
        <f>+Assumptions!$G$164*M31</f>
        <v>3567.3322185284364</v>
      </c>
      <c r="N47" s="24">
        <f>+Assumptions!$G$164*N31</f>
        <v>3562.3119038334162</v>
      </c>
      <c r="O47" s="24">
        <f>+Assumptions!$G$164*O31</f>
        <v>3634.874077781833</v>
      </c>
      <c r="P47" s="24">
        <f>+Assumptions!$G$164*P31</f>
        <v>3906.8081421629959</v>
      </c>
      <c r="Q47" s="24">
        <f>+Assumptions!$G$164*Q31</f>
        <v>4022.5043517287404</v>
      </c>
      <c r="R47" s="24">
        <f>+Assumptions!$G$164*R31</f>
        <v>4136.1020102480943</v>
      </c>
      <c r="S47" s="24">
        <f>+Assumptions!$G$164*S31</f>
        <v>4231.2710210816049</v>
      </c>
      <c r="T47" s="24">
        <f>+Assumptions!$G$164*T31</f>
        <v>4295.6783087855665</v>
      </c>
      <c r="U47" s="24">
        <f>+Assumptions!$G$164*U31</f>
        <v>4293.4166205327219</v>
      </c>
      <c r="V47" s="24">
        <f>+Assumptions!$G$164*V31</f>
        <v>4278.6044856971475</v>
      </c>
      <c r="W47" s="24">
        <f>+Assumptions!$G$164*W31</f>
        <v>4290.3448969731198</v>
      </c>
      <c r="X47" s="24">
        <f>+Assumptions!$G$164*X31</f>
        <v>4290.8554007833645</v>
      </c>
      <c r="Y47" s="24">
        <f>+Assumptions!$G$164*Y31</f>
        <v>4408.9615174844612</v>
      </c>
      <c r="Z47" s="24">
        <f>+Assumptions!$G$164*Z31</f>
        <v>4586.4817087580413</v>
      </c>
      <c r="AA47" s="24">
        <f>+Assumptions!$G$164*AA31</f>
        <v>4722.4184423111901</v>
      </c>
      <c r="AB47" s="24">
        <f>+Assumptions!$G$164*AB31</f>
        <v>4791.7790778640929</v>
      </c>
      <c r="AC47" s="24">
        <f>+Assumptions!$G$164*AC31</f>
        <v>4786.0684431639211</v>
      </c>
      <c r="AD47" s="24">
        <f>+Assumptions!$G$164*AD31</f>
        <v>4710.2185772164348</v>
      </c>
      <c r="AE47" s="24">
        <f>+Assumptions!$G$164*AE31</f>
        <v>4742.3833946524119</v>
      </c>
      <c r="AF47" s="24">
        <f>+Assumptions!$G$164*AF31</f>
        <v>4974.2135294796672</v>
      </c>
      <c r="AG47" s="24">
        <f>+Assumptions!$G$164*AG31</f>
        <v>5206.966819190362</v>
      </c>
      <c r="AH47" s="24">
        <f>+Assumptions!$G$164*AH31</f>
        <v>5440.6460661499714</v>
      </c>
      <c r="AI47" s="24">
        <f>+Assumptions!$G$164*AI31</f>
        <v>5525.4702672654812</v>
      </c>
      <c r="AJ47" s="24">
        <f>+Assumptions!$G$164*AJ31</f>
        <v>5536.6010104849856</v>
      </c>
      <c r="AK47" s="24">
        <f>+Assumptions!$G$164*AK31</f>
        <v>5547.7542380486238</v>
      </c>
      <c r="AL47" s="24">
        <f>+Assumptions!$G$164*AL31</f>
        <v>5558.9299956992472</v>
      </c>
      <c r="AM47" s="24">
        <f>+Assumptions!$G$164*AM31</f>
        <v>5570.128329273075</v>
      </c>
      <c r="AN47" s="24">
        <f>+Assumptions!$G$164*AN31</f>
        <v>5581.3492846998515</v>
      </c>
      <c r="AO47" s="24">
        <f>+Assumptions!$G$164*AO31</f>
        <v>5592.592908003011</v>
      </c>
      <c r="AP47" s="24">
        <f>+Assumptions!$G$164*AP31</f>
        <v>5603.8592452999164</v>
      </c>
      <c r="AQ47" s="24">
        <f>+Assumptions!$G$164*AQ31</f>
        <v>5615.148342801971</v>
      </c>
      <c r="AR47" s="24">
        <f>+Assumptions!$G$164*AR31</f>
        <v>5626.4602468149251</v>
      </c>
      <c r="AS47" s="24">
        <f>+Assumptions!$G$164*AS31</f>
        <v>5637.7950037389719</v>
      </c>
      <c r="AT47" s="24">
        <f>+Assumptions!$G$164*AT31</f>
        <v>5649.1526600689667</v>
      </c>
      <c r="AU47" s="24">
        <f>+Assumptions!$G$164*AU31</f>
        <v>5660.533262394667</v>
      </c>
      <c r="AV47" s="24">
        <f>+Assumptions!$G$164*AV31</f>
        <v>5671.9368574008331</v>
      </c>
      <c r="AW47" s="24">
        <f>+Assumptions!$G$164*AW31</f>
        <v>5683.3634918675407</v>
      </c>
      <c r="AX47" s="24">
        <f>+Assumptions!$G$164*AX31</f>
        <v>5694.813212670284</v>
      </c>
      <c r="AY47" s="24">
        <f>+Assumptions!$G$164*AY31</f>
        <v>5706.2860667801833</v>
      </c>
      <c r="AZ47" s="24">
        <f>+Assumptions!$G$164*AZ31</f>
        <v>5717.7821012642053</v>
      </c>
      <c r="BA47" s="24">
        <f>+Assumptions!$G$164*BA31</f>
        <v>5729.3013632853826</v>
      </c>
      <c r="BB47" s="24">
        <f>+Assumptions!$G$164*BB31</f>
        <v>5740.8439001029401</v>
      </c>
      <c r="BC47" s="24">
        <f>+Assumptions!$G$164*BC31</f>
        <v>5752.4097590725441</v>
      </c>
      <c r="BD47" s="24">
        <f>+Assumptions!$G$164*BD31</f>
        <v>5763.9989876464933</v>
      </c>
      <c r="BE47" s="24">
        <f>+Assumptions!$G$164*BE31</f>
        <v>5775.6116333738964</v>
      </c>
      <c r="BF47" s="24">
        <f>+Assumptions!$G$164*BF31</f>
        <v>5787.247743900878</v>
      </c>
      <c r="BG47" s="24">
        <f>+Assumptions!$G$164*BG31</f>
        <v>5798.9073669708023</v>
      </c>
      <c r="BH47" s="24">
        <f>+Assumptions!$G$164*BH31</f>
        <v>5810.5905504244192</v>
      </c>
      <c r="BI47" s="24">
        <f>+Assumptions!$G$164*BI31</f>
        <v>5822.2973422001205</v>
      </c>
      <c r="BJ47" s="24">
        <f>+Assumptions!$G$164*BJ31</f>
        <v>5834.0277903341203</v>
      </c>
      <c r="BK47" s="24">
        <f>+Assumptions!$G$164*BK31</f>
        <v>5845.7819429606052</v>
      </c>
      <c r="BL47" s="24">
        <f>+Assumptions!$G$164*BL31</f>
        <v>5857.5598483120302</v>
      </c>
      <c r="BM47" s="24">
        <f>+Assumptions!$G$164*BM31</f>
        <v>5869.3615547192412</v>
      </c>
      <c r="BN47" s="24">
        <f>+Assumptions!$G$164*BN31</f>
        <v>5881.1871106116832</v>
      </c>
      <c r="BO47" s="24">
        <f>+Assumptions!$G$164*BO31</f>
        <v>5893.0365645176607</v>
      </c>
      <c r="BP47" s="24">
        <f>+Assumptions!$G$164*BP31</f>
        <v>5904.9099650644721</v>
      </c>
      <c r="BQ47" s="24">
        <f>+Assumptions!$G$164*BQ31</f>
        <v>5916.8073609786506</v>
      </c>
      <c r="BR47" s="24">
        <f>+Assumptions!$G$164*BR31</f>
        <v>5928.7288010861648</v>
      </c>
      <c r="BS47" s="24">
        <f>+Assumptions!$G$164*BS31</f>
        <v>5940.6743343126054</v>
      </c>
      <c r="BT47" s="24">
        <f>+Assumptions!$G$164*BT31</f>
        <v>5952.6440096833758</v>
      </c>
      <c r="BU47" s="24">
        <f>+Assumptions!$G$164*BU31</f>
        <v>5964.6378763239545</v>
      </c>
      <c r="BV47" s="24">
        <f>+Assumptions!$G$164*BV31</f>
        <v>5976.6559834600248</v>
      </c>
      <c r="BW47" s="24">
        <f>+Assumptions!$G$164*BW31</f>
        <v>5988.6983804177744</v>
      </c>
      <c r="BX47" s="24">
        <f>+Assumptions!$G$164*BX31</f>
        <v>6000.7651166239702</v>
      </c>
      <c r="BY47" s="24">
        <f>+Assumptions!$G$164*BY31</f>
        <v>6012.8562416063087</v>
      </c>
      <c r="BZ47" s="24">
        <f>+Assumptions!$G$164*BZ31</f>
        <v>6024.9718049934963</v>
      </c>
      <c r="CA47" s="24">
        <f>+Assumptions!$G$164*CA31</f>
        <v>6037.1118565155348</v>
      </c>
      <c r="CB47" s="24">
        <f>+Assumptions!$G$164*CB31</f>
        <v>6049.2764460039225</v>
      </c>
      <c r="CC47" s="24">
        <f>+Assumptions!$G$164*CC31</f>
        <v>6061.4656233918058</v>
      </c>
      <c r="CD47" s="24">
        <f>+Assumptions!$G$164*CD31</f>
        <v>6073.6794387142472</v>
      </c>
      <c r="CE47" s="24">
        <f>+Assumptions!$G$164*CE31</f>
        <v>6085.9179421084145</v>
      </c>
      <c r="CF47" s="24">
        <f>+Assumptions!$G$164*CF31</f>
        <v>6098.1811838137737</v>
      </c>
      <c r="CG47" s="24">
        <f>+Assumptions!$G$164*CG31</f>
        <v>6110.4692141723172</v>
      </c>
      <c r="CH47" s="24">
        <f>+Assumptions!$G$164*CH31</f>
        <v>6122.7820836287965</v>
      </c>
      <c r="CI47" s="24">
        <f>+Assumptions!$G$164*CI31</f>
        <v>6135.1198427308391</v>
      </c>
      <c r="CJ47" s="24">
        <f>+Assumptions!$G$164*CJ31</f>
        <v>6147.4825421292735</v>
      </c>
      <c r="CK47" s="24">
        <f>+Assumptions!$G$164*CK31</f>
        <v>6159.8702325782806</v>
      </c>
      <c r="CL47" s="24">
        <f>+Assumptions!$G$164*CL31</f>
        <v>6172.282964935599</v>
      </c>
      <c r="CM47" s="24">
        <f>+Assumptions!$G$164*CM31</f>
        <v>6184.7207901627853</v>
      </c>
      <c r="CN47" s="24">
        <f>+Assumptions!$G$164*CN31</f>
        <v>6197.1837593253322</v>
      </c>
      <c r="CO47" s="24">
        <f>+Assumptions!$G$164*CO31</f>
        <v>6209.6719235930177</v>
      </c>
      <c r="CP47" s="24">
        <f>+Assumptions!$G$164*CP31</f>
        <v>6222.1853342399745</v>
      </c>
      <c r="CQ47" s="24">
        <f>+Assumptions!$G$164*CQ31</f>
        <v>6234.7240426450207</v>
      </c>
      <c r="CR47" s="24">
        <f>+Assumptions!$G$164*CR31</f>
        <v>6247.2881002917829</v>
      </c>
      <c r="CS47" s="24">
        <f>+Assumptions!$G$164*CS31</f>
        <v>6259.8775587690043</v>
      </c>
      <c r="CT47" s="24">
        <f>+Assumptions!$G$164*CT31</f>
        <v>6272.4924697706474</v>
      </c>
      <c r="CU47" s="24">
        <f>+Assumptions!$G$164*CU31</f>
        <v>6285.13288509621</v>
      </c>
      <c r="CV47" s="24">
        <f>+Assumptions!$G$164*CV31</f>
        <v>6297.7988566508857</v>
      </c>
      <c r="CW47" s="24">
        <f>+Assumptions!$G$164*CW31</f>
        <v>6310.4904364458107</v>
      </c>
      <c r="CX47" s="24">
        <f>+Assumptions!$G$164*CX31</f>
        <v>6323.2076765982229</v>
      </c>
      <c r="CY47" s="24">
        <f>+Assumptions!$G$164*CY31</f>
        <v>6335.95062933179</v>
      </c>
      <c r="CZ47" s="24">
        <f>+Assumptions!$G$164*CZ31</f>
        <v>6348.7193469766671</v>
      </c>
      <c r="DA47" s="24">
        <f>+Assumptions!$G$164*DA31</f>
        <v>6361.5138819698823</v>
      </c>
      <c r="DB47" s="24">
        <f>+Assumptions!$G$164*DB31</f>
        <v>6374.3342868554328</v>
      </c>
      <c r="DC47" s="24">
        <f>+Assumptions!$G$164*DC31</f>
        <v>6387.1806142845862</v>
      </c>
      <c r="DD47" s="24">
        <f>+Assumptions!$G$164*DD31</f>
        <v>6400.0529170160153</v>
      </c>
      <c r="DE47" s="24">
        <f>+Assumptions!$G$164*DE31</f>
        <v>6412.9512479160776</v>
      </c>
      <c r="DF47" s="24">
        <f>+Assumptions!$G$164*DF31</f>
        <v>6425.8756599590752</v>
      </c>
      <c r="DG47" s="24">
        <f>+Assumptions!$G$164*DG31</f>
        <v>6438.8262062273398</v>
      </c>
      <c r="DH47" s="24">
        <f>+Assumptions!$G$164*DH31</f>
        <v>6451.8029399115867</v>
      </c>
      <c r="DI47" s="24">
        <f>+Assumptions!$G$164*DI31</f>
        <v>6464.8059143110922</v>
      </c>
      <c r="DJ47" s="24">
        <f>+Assumptions!$G$164*DJ31</f>
        <v>6477.8351828338791</v>
      </c>
      <c r="DK47" s="24">
        <f>+Assumptions!$G$164*DK31</f>
        <v>6490.8907989970012</v>
      </c>
      <c r="DL47" s="24">
        <f>+Assumptions!$G$164*DL31</f>
        <v>6503.972816426668</v>
      </c>
      <c r="DM47" s="24">
        <f>+Assumptions!$G$164*DM31</f>
        <v>6517.0812888586479</v>
      </c>
      <c r="DN47" s="24">
        <f>+Assumptions!$G$164*DN31</f>
        <v>6530.2162701382649</v>
      </c>
      <c r="DO47" s="24">
        <f>+Assumptions!$G$164*DO31</f>
        <v>6543.3778142208021</v>
      </c>
      <c r="DP47" s="24">
        <f>+Assumptions!$G$164*DP31</f>
        <v>6556.565975171643</v>
      </c>
      <c r="DQ47" s="24">
        <f>+Assumptions!$G$164*DQ31</f>
        <v>6569.7808071665204</v>
      </c>
      <c r="DR47" s="24">
        <f>+Assumptions!$G$164*DR31</f>
        <v>6583.0223644917505</v>
      </c>
      <c r="DS47" s="24">
        <f>+Assumptions!$G$164*DS31</f>
        <v>6596.2907015443825</v>
      </c>
      <c r="DT47" s="24">
        <f>+Assumptions!$G$164*DT31</f>
        <v>6609.5858728325475</v>
      </c>
      <c r="DU47" s="24">
        <f>+Assumptions!$G$164*DU31</f>
        <v>6622.9079329756332</v>
      </c>
      <c r="DV47" s="24">
        <f>+Assumptions!$G$164*DV31</f>
        <v>6636.2569367044534</v>
      </c>
      <c r="DW47" s="24">
        <f>+Assumptions!$G$164*DW31</f>
        <v>6649.6329388615477</v>
      </c>
      <c r="DX47" s="24">
        <f>+Assumptions!$G$164*DX31</f>
        <v>6663.0359944014099</v>
      </c>
      <c r="DY47" s="24">
        <f>+Assumptions!$G$164*DY31</f>
        <v>6676.4661583906836</v>
      </c>
      <c r="DZ47" s="24">
        <f>+Assumptions!$G$164*DZ31</f>
        <v>6689.9234860083616</v>
      </c>
      <c r="EA47" s="24">
        <f>+Assumptions!$G$164*EA31</f>
        <v>6703.4080325461246</v>
      </c>
      <c r="EB47" s="24">
        <f>+Assumptions!$G$164*EB31</f>
        <v>6716.9198534084626</v>
      </c>
      <c r="EC47" s="24">
        <f>+Assumptions!$G$164*EC31</f>
        <v>6730.4590041129832</v>
      </c>
      <c r="ED47" s="24">
        <f>+Assumptions!$G$164*ED31</f>
        <v>6744.025540290525</v>
      </c>
      <c r="EE47" s="24">
        <f>+Assumptions!$G$164*EE31</f>
        <v>6757.6195176855836</v>
      </c>
      <c r="EF47" s="24">
        <f>+Assumptions!$G$164*EF31</f>
        <v>6771.240992156333</v>
      </c>
    </row>
    <row r="48" spans="2:136" x14ac:dyDescent="0.45">
      <c r="B48" s="1" t="str">
        <f>Assumptions!B165</f>
        <v>Accounting / Legal</v>
      </c>
      <c r="E48" s="24">
        <f>+Assumptions!$I165*E$11</f>
        <v>292.15277777777783</v>
      </c>
      <c r="F48" s="24">
        <f>+Assumptions!$I165*F$11</f>
        <v>292.63969907407414</v>
      </c>
      <c r="G48" s="24">
        <f>+Assumptions!$I165*G$11</f>
        <v>293.12743190586423</v>
      </c>
      <c r="H48" s="24">
        <f>+Assumptions!$I165*H$11</f>
        <v>293.61597762570739</v>
      </c>
      <c r="I48" s="24">
        <f>+Assumptions!$I165*I$11</f>
        <v>294.10533758841689</v>
      </c>
      <c r="J48" s="24">
        <f>+Assumptions!$I165*J$11</f>
        <v>294.59551315106427</v>
      </c>
      <c r="K48" s="24">
        <f>+Assumptions!$I165*K$11</f>
        <v>295.08650567298275</v>
      </c>
      <c r="L48" s="24">
        <f>+Assumptions!$I165*L$11</f>
        <v>295.57831651577112</v>
      </c>
      <c r="M48" s="24">
        <f>+Assumptions!$I165*M$11</f>
        <v>296.07094704329739</v>
      </c>
      <c r="N48" s="24">
        <f>+Assumptions!$I165*N$11</f>
        <v>296.56439862170288</v>
      </c>
      <c r="O48" s="24">
        <f>+Assumptions!$I165*O$11</f>
        <v>297.05867261940574</v>
      </c>
      <c r="P48" s="24">
        <f>+Assumptions!$I165*P$11</f>
        <v>297.55377040710476</v>
      </c>
      <c r="Q48" s="24">
        <f>+Assumptions!$I165*Q$11</f>
        <v>298.04969335778333</v>
      </c>
      <c r="R48" s="24">
        <f>+Assumptions!$I165*R$11</f>
        <v>298.54644284671298</v>
      </c>
      <c r="S48" s="24">
        <f>+Assumptions!$I165*S$11</f>
        <v>299.04402025145748</v>
      </c>
      <c r="T48" s="24">
        <f>+Assumptions!$I165*T$11</f>
        <v>299.54242695187668</v>
      </c>
      <c r="U48" s="24">
        <f>+Assumptions!$I165*U$11</f>
        <v>300.04166433012978</v>
      </c>
      <c r="V48" s="24">
        <f>+Assumptions!$I165*V$11</f>
        <v>300.54173377068003</v>
      </c>
      <c r="W48" s="24">
        <f>+Assumptions!$I165*W$11</f>
        <v>301.04263666029789</v>
      </c>
      <c r="X48" s="24">
        <f>+Assumptions!$I165*X$11</f>
        <v>301.54437438806502</v>
      </c>
      <c r="Y48" s="24">
        <f>+Assumptions!$I165*Y$11</f>
        <v>302.0469483453785</v>
      </c>
      <c r="Z48" s="24">
        <f>+Assumptions!$I165*Z$11</f>
        <v>302.55035992595413</v>
      </c>
      <c r="AA48" s="24">
        <f>+Assumptions!$I165*AA$11</f>
        <v>303.05461052583075</v>
      </c>
      <c r="AB48" s="24">
        <f>+Assumptions!$I165*AB$11</f>
        <v>303.55970154337388</v>
      </c>
      <c r="AC48" s="24">
        <f>+Assumptions!$I165*AC$11</f>
        <v>304.06563437927946</v>
      </c>
      <c r="AD48" s="24">
        <f>+Assumptions!$I165*AD$11</f>
        <v>304.57241043657825</v>
      </c>
      <c r="AE48" s="24">
        <f>+Assumptions!$I165*AE$11</f>
        <v>305.08003112063926</v>
      </c>
      <c r="AF48" s="24">
        <f>+Assumptions!$I165*AF$11</f>
        <v>305.58849783917367</v>
      </c>
      <c r="AG48" s="24">
        <f>+Assumptions!$I165*AG$11</f>
        <v>306.09781200223904</v>
      </c>
      <c r="AH48" s="24">
        <f>+Assumptions!$I165*AH$11</f>
        <v>306.60797502224273</v>
      </c>
      <c r="AI48" s="24">
        <f>+Assumptions!$I165*AI$11</f>
        <v>307.11898831394655</v>
      </c>
      <c r="AJ48" s="24">
        <f>+Assumptions!$I165*AJ$11</f>
        <v>307.63085329446983</v>
      </c>
      <c r="AK48" s="24">
        <f>+Assumptions!$I165*AK$11</f>
        <v>308.14357138329393</v>
      </c>
      <c r="AL48" s="24">
        <f>+Assumptions!$I165*AL$11</f>
        <v>308.65714400226608</v>
      </c>
      <c r="AM48" s="24">
        <f>+Assumptions!$I165*AM$11</f>
        <v>309.17157257560325</v>
      </c>
      <c r="AN48" s="24">
        <f>+Assumptions!$I165*AN$11</f>
        <v>309.68685852989591</v>
      </c>
      <c r="AO48" s="24">
        <f>+Assumptions!$I165*AO$11</f>
        <v>310.20300329411248</v>
      </c>
      <c r="AP48" s="24">
        <f>+Assumptions!$I165*AP$11</f>
        <v>310.72000829960263</v>
      </c>
      <c r="AQ48" s="24">
        <f>+Assumptions!$I165*AQ$11</f>
        <v>311.23787498010199</v>
      </c>
      <c r="AR48" s="24">
        <f>+Assumptions!$I165*AR$11</f>
        <v>311.75660477173557</v>
      </c>
      <c r="AS48" s="24">
        <f>+Assumptions!$I165*AS$11</f>
        <v>312.27619911302173</v>
      </c>
      <c r="AT48" s="24">
        <f>+Assumptions!$I165*AT$11</f>
        <v>312.79665944487681</v>
      </c>
      <c r="AU48" s="24">
        <f>+Assumptions!$I165*AU$11</f>
        <v>313.3179872106183</v>
      </c>
      <c r="AV48" s="24">
        <f>+Assumptions!$I165*AV$11</f>
        <v>313.84018385596931</v>
      </c>
      <c r="AW48" s="24">
        <f>+Assumptions!$I165*AW$11</f>
        <v>314.36325082906268</v>
      </c>
      <c r="AX48" s="24">
        <f>+Assumptions!$I165*AX$11</f>
        <v>314.88718958044444</v>
      </c>
      <c r="AY48" s="24">
        <f>+Assumptions!$I165*AY$11</f>
        <v>315.41200156307855</v>
      </c>
      <c r="AZ48" s="24">
        <f>+Assumptions!$I165*AZ$11</f>
        <v>315.93768823235041</v>
      </c>
      <c r="BA48" s="24">
        <f>+Assumptions!$I165*BA$11</f>
        <v>316.46425104607101</v>
      </c>
      <c r="BB48" s="24">
        <f>+Assumptions!$I165*BB$11</f>
        <v>316.99169146448111</v>
      </c>
      <c r="BC48" s="24">
        <f>+Assumptions!$I165*BC$11</f>
        <v>317.52001095025531</v>
      </c>
      <c r="BD48" s="24">
        <f>+Assumptions!$I165*BD$11</f>
        <v>318.04921096850569</v>
      </c>
      <c r="BE48" s="24">
        <f>+Assumptions!$I165*BE$11</f>
        <v>318.57929298678664</v>
      </c>
      <c r="BF48" s="24">
        <f>+Assumptions!$I165*BF$11</f>
        <v>319.11025847509791</v>
      </c>
      <c r="BG48" s="24">
        <f>+Assumptions!$I165*BG$11</f>
        <v>319.64210890588976</v>
      </c>
      <c r="BH48" s="24">
        <f>+Assumptions!$I165*BH$11</f>
        <v>320.17484575406633</v>
      </c>
      <c r="BI48" s="24">
        <f>+Assumptions!$I165*BI$11</f>
        <v>320.70847049698978</v>
      </c>
      <c r="BJ48" s="24">
        <f>+Assumptions!$I165*BJ$11</f>
        <v>321.24298461448473</v>
      </c>
      <c r="BK48" s="24">
        <f>+Assumptions!$I165*BK$11</f>
        <v>321.77838958884223</v>
      </c>
      <c r="BL48" s="24">
        <f>+Assumptions!$I165*BL$11</f>
        <v>322.31468690482365</v>
      </c>
      <c r="BM48" s="24">
        <f>+Assumptions!$I165*BM$11</f>
        <v>322.85187804966506</v>
      </c>
      <c r="BN48" s="24">
        <f>+Assumptions!$I165*BN$11</f>
        <v>323.38996451308117</v>
      </c>
      <c r="BO48" s="24">
        <f>+Assumptions!$I165*BO$11</f>
        <v>323.92894778726975</v>
      </c>
      <c r="BP48" s="24">
        <f>+Assumptions!$I165*BP$11</f>
        <v>324.4688293669152</v>
      </c>
      <c r="BQ48" s="24">
        <f>+Assumptions!$I165*BQ$11</f>
        <v>325.00961074919343</v>
      </c>
      <c r="BR48" s="24">
        <f>+Assumptions!$I165*BR$11</f>
        <v>325.55129343377536</v>
      </c>
      <c r="BS48" s="24">
        <f>+Assumptions!$I165*BS$11</f>
        <v>326.09387892283172</v>
      </c>
      <c r="BT48" s="24">
        <f>+Assumptions!$I165*BT$11</f>
        <v>326.63736872103647</v>
      </c>
      <c r="BU48" s="24">
        <f>+Assumptions!$I165*BU$11</f>
        <v>327.18176433557153</v>
      </c>
      <c r="BV48" s="24">
        <f>+Assumptions!$I165*BV$11</f>
        <v>327.72706727613081</v>
      </c>
      <c r="BW48" s="24">
        <f>+Assumptions!$I165*BW$11</f>
        <v>328.27327905492433</v>
      </c>
      <c r="BX48" s="24">
        <f>+Assumptions!$I165*BX$11</f>
        <v>328.82040118668266</v>
      </c>
      <c r="BY48" s="24">
        <f>+Assumptions!$I165*BY$11</f>
        <v>329.36843518866044</v>
      </c>
      <c r="BZ48" s="24">
        <f>+Assumptions!$I165*BZ$11</f>
        <v>329.91738258064157</v>
      </c>
      <c r="CA48" s="24">
        <f>+Assumptions!$I165*CA$11</f>
        <v>330.46724488494266</v>
      </c>
      <c r="CB48" s="24">
        <f>+Assumptions!$I165*CB$11</f>
        <v>331.01802362641757</v>
      </c>
      <c r="CC48" s="24">
        <f>+Assumptions!$I165*CC$11</f>
        <v>331.56972033246166</v>
      </c>
      <c r="CD48" s="24">
        <f>+Assumptions!$I165*CD$11</f>
        <v>332.12233653301575</v>
      </c>
      <c r="CE48" s="24">
        <f>+Assumptions!$I165*CE$11</f>
        <v>332.67587376057082</v>
      </c>
      <c r="CF48" s="24">
        <f>+Assumptions!$I165*CF$11</f>
        <v>333.23033355017179</v>
      </c>
      <c r="CG48" s="24">
        <f>+Assumptions!$I165*CG$11</f>
        <v>333.78571743942211</v>
      </c>
      <c r="CH48" s="24">
        <f>+Assumptions!$I165*CH$11</f>
        <v>334.3420269684878</v>
      </c>
      <c r="CI48" s="24">
        <f>+Assumptions!$I165*CI$11</f>
        <v>334.89926368010202</v>
      </c>
      <c r="CJ48" s="24">
        <f>+Assumptions!$I165*CJ$11</f>
        <v>335.45742911956887</v>
      </c>
      <c r="CK48" s="24">
        <f>+Assumptions!$I165*CK$11</f>
        <v>336.01652483476823</v>
      </c>
      <c r="CL48" s="24">
        <f>+Assumptions!$I165*CL$11</f>
        <v>336.57655237615944</v>
      </c>
      <c r="CM48" s="24">
        <f>+Assumptions!$I165*CM$11</f>
        <v>337.13751329678644</v>
      </c>
      <c r="CN48" s="24">
        <f>+Assumptions!$I165*CN$11</f>
        <v>337.69940915228113</v>
      </c>
      <c r="CO48" s="24">
        <f>+Assumptions!$I165*CO$11</f>
        <v>338.26224150086824</v>
      </c>
      <c r="CP48" s="24">
        <f>+Assumptions!$I165*CP$11</f>
        <v>338.8260119033697</v>
      </c>
      <c r="CQ48" s="24">
        <f>+Assumptions!$I165*CQ$11</f>
        <v>339.39072192320867</v>
      </c>
      <c r="CR48" s="24">
        <f>+Assumptions!$I165*CR$11</f>
        <v>339.95637312641406</v>
      </c>
      <c r="CS48" s="24">
        <f>+Assumptions!$I165*CS$11</f>
        <v>340.52296708162481</v>
      </c>
      <c r="CT48" s="24">
        <f>+Assumptions!$I165*CT$11</f>
        <v>341.09050536009414</v>
      </c>
      <c r="CU48" s="24">
        <f>+Assumptions!$I165*CU$11</f>
        <v>341.65898953569433</v>
      </c>
      <c r="CV48" s="24">
        <f>+Assumptions!$I165*CV$11</f>
        <v>342.22842118492059</v>
      </c>
      <c r="CW48" s="24">
        <f>+Assumptions!$I165*CW$11</f>
        <v>342.79880188689549</v>
      </c>
      <c r="CX48" s="24">
        <f>+Assumptions!$I165*CX$11</f>
        <v>343.37013322337361</v>
      </c>
      <c r="CY48" s="24">
        <f>+Assumptions!$I165*CY$11</f>
        <v>343.94241677874595</v>
      </c>
      <c r="CZ48" s="24">
        <f>+Assumptions!$I165*CZ$11</f>
        <v>344.51565414004392</v>
      </c>
      <c r="DA48" s="24">
        <f>+Assumptions!$I165*DA$11</f>
        <v>345.08984689694398</v>
      </c>
      <c r="DB48" s="24">
        <f>+Assumptions!$I165*DB$11</f>
        <v>345.66499664177218</v>
      </c>
      <c r="DC48" s="24">
        <f>+Assumptions!$I165*DC$11</f>
        <v>346.24110496950857</v>
      </c>
      <c r="DD48" s="24">
        <f>+Assumptions!$I165*DD$11</f>
        <v>346.81817347779111</v>
      </c>
      <c r="DE48" s="24">
        <f>+Assumptions!$I165*DE$11</f>
        <v>347.39620376692073</v>
      </c>
      <c r="DF48" s="24">
        <f>+Assumptions!$I165*DF$11</f>
        <v>347.97519743986561</v>
      </c>
      <c r="DG48" s="24">
        <f>+Assumptions!$I165*DG$11</f>
        <v>348.55515610226547</v>
      </c>
      <c r="DH48" s="24">
        <f>+Assumptions!$I165*DH$11</f>
        <v>349.13608136243585</v>
      </c>
      <c r="DI48" s="24">
        <f>+Assumptions!$I165*DI$11</f>
        <v>349.71797483137334</v>
      </c>
      <c r="DJ48" s="24">
        <f>+Assumptions!$I165*DJ$11</f>
        <v>350.30083812275899</v>
      </c>
      <c r="DK48" s="24">
        <f>+Assumptions!$I165*DK$11</f>
        <v>350.8846728529636</v>
      </c>
      <c r="DL48" s="24">
        <f>+Assumptions!$I165*DL$11</f>
        <v>351.46948064105192</v>
      </c>
      <c r="DM48" s="24">
        <f>+Assumptions!$I165*DM$11</f>
        <v>352.05526310878702</v>
      </c>
      <c r="DN48" s="24">
        <f>+Assumptions!$I165*DN$11</f>
        <v>352.64202188063501</v>
      </c>
      <c r="DO48" s="24">
        <f>+Assumptions!$I165*DO$11</f>
        <v>353.22975858376947</v>
      </c>
      <c r="DP48" s="24">
        <f>+Assumptions!$I165*DP$11</f>
        <v>353.81847484807577</v>
      </c>
      <c r="DQ48" s="24">
        <f>+Assumptions!$I165*DQ$11</f>
        <v>354.4081723061559</v>
      </c>
      <c r="DR48" s="24">
        <f>+Assumptions!$I165*DR$11</f>
        <v>354.9988525933328</v>
      </c>
      <c r="DS48" s="24">
        <f>+Assumptions!$I165*DS$11</f>
        <v>355.59051734765507</v>
      </c>
      <c r="DT48" s="24">
        <f>+Assumptions!$I165*DT$11</f>
        <v>356.18316820990123</v>
      </c>
      <c r="DU48" s="24">
        <f>+Assumptions!$I165*DU$11</f>
        <v>356.77680682358442</v>
      </c>
      <c r="DV48" s="24">
        <f>+Assumptions!$I165*DV$11</f>
        <v>357.37143483495709</v>
      </c>
      <c r="DW48" s="24">
        <f>+Assumptions!$I165*DW$11</f>
        <v>357.96705389301536</v>
      </c>
      <c r="DX48" s="24">
        <f>+Assumptions!$I165*DX$11</f>
        <v>358.56366564950366</v>
      </c>
      <c r="DY48" s="24">
        <f>+Assumptions!$I165*DY$11</f>
        <v>359.16127175891961</v>
      </c>
      <c r="DZ48" s="24">
        <f>+Assumptions!$I165*DZ$11</f>
        <v>359.75987387851779</v>
      </c>
      <c r="EA48" s="24">
        <f>+Assumptions!$I165*EA$11</f>
        <v>360.35947366831545</v>
      </c>
      <c r="EB48" s="24">
        <f>+Assumptions!$I165*EB$11</f>
        <v>360.96007279109597</v>
      </c>
      <c r="EC48" s="24">
        <f>+Assumptions!$I165*EC$11</f>
        <v>361.56167291241451</v>
      </c>
      <c r="ED48" s="24">
        <f>+Assumptions!$I165*ED$11</f>
        <v>362.16427570060182</v>
      </c>
      <c r="EE48" s="24">
        <f>+Assumptions!$I165*EE$11</f>
        <v>362.76788282676955</v>
      </c>
      <c r="EF48" s="24">
        <f>+Assumptions!$I165*EF$11</f>
        <v>363.37249596481422</v>
      </c>
    </row>
    <row r="49" spans="2:136" s="8" customFormat="1" x14ac:dyDescent="0.45">
      <c r="B49" s="4" t="str">
        <f>Assumptions!B166</f>
        <v>Total Operating Expenses</v>
      </c>
      <c r="C49" s="4"/>
      <c r="D49" s="4"/>
      <c r="E49" s="26">
        <f t="shared" ref="E49:AJ49" si="11">SUM(E34:E48)</f>
        <v>54431.213638866684</v>
      </c>
      <c r="F49" s="26">
        <f t="shared" si="11"/>
        <v>54101.39027385907</v>
      </c>
      <c r="G49" s="26">
        <f t="shared" si="11"/>
        <v>54192.9669362532</v>
      </c>
      <c r="H49" s="26">
        <f t="shared" si="11"/>
        <v>54014.73249993888</v>
      </c>
      <c r="I49" s="26">
        <f t="shared" si="11"/>
        <v>53697.839275302365</v>
      </c>
      <c r="J49" s="26">
        <f t="shared" si="11"/>
        <v>54009.284027149617</v>
      </c>
      <c r="K49" s="26">
        <f t="shared" si="11"/>
        <v>53683.291331311673</v>
      </c>
      <c r="L49" s="26">
        <f t="shared" si="11"/>
        <v>53834.457733072013</v>
      </c>
      <c r="M49" s="26">
        <f t="shared" si="11"/>
        <v>53986.947793532585</v>
      </c>
      <c r="N49" s="26">
        <f t="shared" si="11"/>
        <v>53972.678175456553</v>
      </c>
      <c r="O49" s="26">
        <f t="shared" si="11"/>
        <v>54129.257626524333</v>
      </c>
      <c r="P49" s="26">
        <f t="shared" si="11"/>
        <v>54485.348996820067</v>
      </c>
      <c r="Q49" s="26">
        <f t="shared" si="11"/>
        <v>54779.091958244782</v>
      </c>
      <c r="R49" s="26">
        <f t="shared" si="11"/>
        <v>55071.189361849159</v>
      </c>
      <c r="S49" s="26">
        <f t="shared" si="11"/>
        <v>55345.312126396871</v>
      </c>
      <c r="T49" s="26">
        <f t="shared" si="11"/>
        <v>55494.909482609699</v>
      </c>
      <c r="U49" s="26">
        <f t="shared" si="11"/>
        <v>55483.604103763675</v>
      </c>
      <c r="V49" s="26">
        <f t="shared" si="11"/>
        <v>55459.575912613036</v>
      </c>
      <c r="W49" s="26">
        <f t="shared" si="11"/>
        <v>55461.927352420971</v>
      </c>
      <c r="X49" s="26">
        <f t="shared" si="11"/>
        <v>55452.875418826552</v>
      </c>
      <c r="Y49" s="26">
        <f t="shared" si="11"/>
        <v>55751.258057735075</v>
      </c>
      <c r="Z49" s="26">
        <f t="shared" si="11"/>
        <v>56204.678409226588</v>
      </c>
      <c r="AA49" s="26">
        <f t="shared" si="11"/>
        <v>56521.968911660922</v>
      </c>
      <c r="AB49" s="26">
        <f t="shared" si="11"/>
        <v>56677.662131329431</v>
      </c>
      <c r="AC49" s="26">
        <f t="shared" si="11"/>
        <v>56662.786517747139</v>
      </c>
      <c r="AD49" s="26">
        <f t="shared" si="11"/>
        <v>56481.796142479354</v>
      </c>
      <c r="AE49" s="26">
        <f t="shared" si="11"/>
        <v>56600.2469225241</v>
      </c>
      <c r="AF49" s="26">
        <f t="shared" si="11"/>
        <v>57206.86819593572</v>
      </c>
      <c r="AG49" s="26">
        <f t="shared" si="11"/>
        <v>57815.517878405146</v>
      </c>
      <c r="AH49" s="26">
        <f t="shared" si="11"/>
        <v>58426.201415391959</v>
      </c>
      <c r="AI49" s="26">
        <f t="shared" si="11"/>
        <v>58792.538593565863</v>
      </c>
      <c r="AJ49" s="26">
        <f t="shared" si="11"/>
        <v>58892.447783995864</v>
      </c>
      <c r="AK49" s="26">
        <f t="shared" ref="AK49:BP49" si="12">SUM(AK34:AK48)</f>
        <v>58992.527422848711</v>
      </c>
      <c r="AL49" s="26">
        <f t="shared" si="12"/>
        <v>59092.777802474004</v>
      </c>
      <c r="AM49" s="26">
        <f t="shared" si="12"/>
        <v>59193.199215725792</v>
      </c>
      <c r="AN49" s="26">
        <f t="shared" si="12"/>
        <v>59293.791955963316</v>
      </c>
      <c r="AO49" s="26">
        <f t="shared" si="12"/>
        <v>59394.556317051909</v>
      </c>
      <c r="AP49" s="26">
        <f t="shared" si="12"/>
        <v>59495.492593363895</v>
      </c>
      <c r="AQ49" s="26">
        <f t="shared" si="12"/>
        <v>59596.601079779401</v>
      </c>
      <c r="AR49" s="26">
        <f t="shared" si="12"/>
        <v>59697.882071687323</v>
      </c>
      <c r="AS49" s="26">
        <f t="shared" si="12"/>
        <v>59799.335864986177</v>
      </c>
      <c r="AT49" s="26">
        <f t="shared" si="12"/>
        <v>59900.962756084926</v>
      </c>
      <c r="AU49" s="26">
        <f t="shared" si="12"/>
        <v>60002.763041903978</v>
      </c>
      <c r="AV49" s="26">
        <f t="shared" si="12"/>
        <v>60104.737019875996</v>
      </c>
      <c r="AW49" s="26">
        <f t="shared" si="12"/>
        <v>60206.884987946825</v>
      </c>
      <c r="AX49" s="26">
        <f t="shared" si="12"/>
        <v>60309.207244576362</v>
      </c>
      <c r="AY49" s="26">
        <f t="shared" si="12"/>
        <v>60411.704088739469</v>
      </c>
      <c r="AZ49" s="26">
        <f t="shared" si="12"/>
        <v>60514.375819926754</v>
      </c>
      <c r="BA49" s="26">
        <f t="shared" si="12"/>
        <v>60617.222738145698</v>
      </c>
      <c r="BB49" s="26">
        <f t="shared" si="12"/>
        <v>60720.245143921362</v>
      </c>
      <c r="BC49" s="26">
        <f t="shared" si="12"/>
        <v>60823.443338297337</v>
      </c>
      <c r="BD49" s="26">
        <f t="shared" si="12"/>
        <v>60926.817622836672</v>
      </c>
      <c r="BE49" s="26">
        <f t="shared" si="12"/>
        <v>61030.368299622736</v>
      </c>
      <c r="BF49" s="26">
        <f t="shared" si="12"/>
        <v>61134.095671260133</v>
      </c>
      <c r="BG49" s="26">
        <f t="shared" si="12"/>
        <v>61238.00004087566</v>
      </c>
      <c r="BH49" s="26">
        <f t="shared" si="12"/>
        <v>61342.081712119114</v>
      </c>
      <c r="BI49" s="26">
        <f t="shared" si="12"/>
        <v>61446.34098916431</v>
      </c>
      <c r="BJ49" s="26">
        <f t="shared" si="12"/>
        <v>61550.778176709915</v>
      </c>
      <c r="BK49" s="26">
        <f t="shared" si="12"/>
        <v>61655.393579980344</v>
      </c>
      <c r="BL49" s="26">
        <f t="shared" si="12"/>
        <v>61760.187504726826</v>
      </c>
      <c r="BM49" s="26">
        <f t="shared" si="12"/>
        <v>61865.160257228068</v>
      </c>
      <c r="BN49" s="26">
        <f t="shared" si="12"/>
        <v>61970.312144291354</v>
      </c>
      <c r="BO49" s="26">
        <f t="shared" si="12"/>
        <v>62075.643473253469</v>
      </c>
      <c r="BP49" s="26">
        <f t="shared" si="12"/>
        <v>62181.154551981504</v>
      </c>
      <c r="BQ49" s="26">
        <f t="shared" ref="BQ49:CV49" si="13">SUM(BQ34:BQ48)</f>
        <v>62286.845688873902</v>
      </c>
      <c r="BR49" s="26">
        <f t="shared" si="13"/>
        <v>62392.717192861237</v>
      </c>
      <c r="BS49" s="26">
        <f t="shared" si="13"/>
        <v>62498.769373407304</v>
      </c>
      <c r="BT49" s="26">
        <f t="shared" si="13"/>
        <v>62605.0025405099</v>
      </c>
      <c r="BU49" s="26">
        <f t="shared" si="13"/>
        <v>62711.417004701863</v>
      </c>
      <c r="BV49" s="26">
        <f t="shared" si="13"/>
        <v>62818.013077051895</v>
      </c>
      <c r="BW49" s="26">
        <f t="shared" si="13"/>
        <v>62924.791069165622</v>
      </c>
      <c r="BX49" s="26">
        <f t="shared" si="13"/>
        <v>63031.751293186411</v>
      </c>
      <c r="BY49" s="26">
        <f t="shared" si="13"/>
        <v>63138.894061796374</v>
      </c>
      <c r="BZ49" s="26">
        <f t="shared" si="13"/>
        <v>63246.219688217207</v>
      </c>
      <c r="CA49" s="26">
        <f t="shared" si="13"/>
        <v>63353.728486211279</v>
      </c>
      <c r="CB49" s="26">
        <f t="shared" si="13"/>
        <v>63461.420770082506</v>
      </c>
      <c r="CC49" s="26">
        <f t="shared" si="13"/>
        <v>63569.29685467721</v>
      </c>
      <c r="CD49" s="26">
        <f t="shared" si="13"/>
        <v>63677.357055385095</v>
      </c>
      <c r="CE49" s="26">
        <f t="shared" si="13"/>
        <v>63785.601688140392</v>
      </c>
      <c r="CF49" s="26">
        <f t="shared" si="13"/>
        <v>63894.031069422475</v>
      </c>
      <c r="CG49" s="26">
        <f t="shared" si="13"/>
        <v>64002.645516257056</v>
      </c>
      <c r="CH49" s="26">
        <f t="shared" si="13"/>
        <v>64111.445346216991</v>
      </c>
      <c r="CI49" s="26">
        <f t="shared" si="13"/>
        <v>64220.430877423365</v>
      </c>
      <c r="CJ49" s="26">
        <f t="shared" si="13"/>
        <v>64329.602428546299</v>
      </c>
      <c r="CK49" s="26">
        <f t="shared" si="13"/>
        <v>64438.960318805999</v>
      </c>
      <c r="CL49" s="26">
        <f t="shared" si="13"/>
        <v>64548.504867973679</v>
      </c>
      <c r="CM49" s="26">
        <f t="shared" si="13"/>
        <v>64658.236396372609</v>
      </c>
      <c r="CN49" s="26">
        <f t="shared" si="13"/>
        <v>64768.155224878872</v>
      </c>
      <c r="CO49" s="26">
        <f t="shared" si="13"/>
        <v>64878.261674922454</v>
      </c>
      <c r="CP49" s="26">
        <f t="shared" si="13"/>
        <v>64988.556068488309</v>
      </c>
      <c r="CQ49" s="26">
        <f t="shared" si="13"/>
        <v>65099.038728117113</v>
      </c>
      <c r="CR49" s="26">
        <f t="shared" si="13"/>
        <v>65209.709976906335</v>
      </c>
      <c r="CS49" s="26">
        <f t="shared" si="13"/>
        <v>65320.570138511233</v>
      </c>
      <c r="CT49" s="26">
        <f t="shared" si="13"/>
        <v>65431.619537145772</v>
      </c>
      <c r="CU49" s="26">
        <f t="shared" si="13"/>
        <v>65542.858497583657</v>
      </c>
      <c r="CV49" s="26">
        <f t="shared" si="13"/>
        <v>65654.287345159159</v>
      </c>
      <c r="CW49" s="26">
        <f t="shared" ref="CW49:EF49" si="14">SUM(CW34:CW48)</f>
        <v>65765.90640576827</v>
      </c>
      <c r="CX49" s="26">
        <f t="shared" si="14"/>
        <v>65877.71600586953</v>
      </c>
      <c r="CY49" s="26">
        <f t="shared" si="14"/>
        <v>65989.716472485234</v>
      </c>
      <c r="CZ49" s="26">
        <f t="shared" si="14"/>
        <v>66101.908133202043</v>
      </c>
      <c r="DA49" s="26">
        <f t="shared" si="14"/>
        <v>66214.291316172312</v>
      </c>
      <c r="DB49" s="26">
        <f t="shared" si="14"/>
        <v>66326.866350114855</v>
      </c>
      <c r="DC49" s="26">
        <f t="shared" si="14"/>
        <v>66439.633564316129</v>
      </c>
      <c r="DD49" s="26">
        <f t="shared" si="14"/>
        <v>66552.593288630931</v>
      </c>
      <c r="DE49" s="26">
        <f t="shared" si="14"/>
        <v>66665.745853483706</v>
      </c>
      <c r="DF49" s="26">
        <f t="shared" si="14"/>
        <v>66779.091589869306</v>
      </c>
      <c r="DG49" s="26">
        <f t="shared" si="14"/>
        <v>66892.630829354093</v>
      </c>
      <c r="DH49" s="26">
        <f t="shared" si="14"/>
        <v>67006.363904076876</v>
      </c>
      <c r="DI49" s="26">
        <f t="shared" si="14"/>
        <v>67120.291146749994</v>
      </c>
      <c r="DJ49" s="26">
        <f t="shared" si="14"/>
        <v>67234.412890660213</v>
      </c>
      <c r="DK49" s="26">
        <f t="shared" si="14"/>
        <v>67348.729469669692</v>
      </c>
      <c r="DL49" s="26">
        <f t="shared" si="14"/>
        <v>67463.241218217168</v>
      </c>
      <c r="DM49" s="26">
        <f t="shared" si="14"/>
        <v>67577.948471318799</v>
      </c>
      <c r="DN49" s="26">
        <f t="shared" si="14"/>
        <v>67692.85156456918</v>
      </c>
      <c r="DO49" s="26">
        <f t="shared" si="14"/>
        <v>67807.950834142437</v>
      </c>
      <c r="DP49" s="26">
        <f t="shared" si="14"/>
        <v>67923.246616793142</v>
      </c>
      <c r="DQ49" s="26">
        <f t="shared" si="14"/>
        <v>68038.739249857405</v>
      </c>
      <c r="DR49" s="26">
        <f t="shared" si="14"/>
        <v>68154.429071253791</v>
      </c>
      <c r="DS49" s="26">
        <f t="shared" si="14"/>
        <v>68270.316419484356</v>
      </c>
      <c r="DT49" s="26">
        <f t="shared" si="14"/>
        <v>68386.40163363576</v>
      </c>
      <c r="DU49" s="26">
        <f t="shared" si="14"/>
        <v>68502.685053380192</v>
      </c>
      <c r="DV49" s="26">
        <f t="shared" si="14"/>
        <v>68619.167018976368</v>
      </c>
      <c r="DW49" s="26">
        <f t="shared" si="14"/>
        <v>68735.847871270598</v>
      </c>
      <c r="DX49" s="26">
        <f t="shared" si="14"/>
        <v>68852.727951697787</v>
      </c>
      <c r="DY49" s="26">
        <f t="shared" si="14"/>
        <v>68969.80760228257</v>
      </c>
      <c r="DZ49" s="26">
        <f t="shared" si="14"/>
        <v>69087.08716564007</v>
      </c>
      <c r="EA49" s="26">
        <f t="shared" si="14"/>
        <v>69204.566984977224</v>
      </c>
      <c r="EB49" s="26">
        <f t="shared" si="14"/>
        <v>69322.247404093636</v>
      </c>
      <c r="EC49" s="26">
        <f t="shared" si="14"/>
        <v>69440.128767382615</v>
      </c>
      <c r="ED49" s="26">
        <f t="shared" si="14"/>
        <v>69558.211419832282</v>
      </c>
      <c r="EE49" s="26">
        <f t="shared" si="14"/>
        <v>69676.495707026566</v>
      </c>
      <c r="EF49" s="26">
        <f t="shared" si="14"/>
        <v>69794.981975146235</v>
      </c>
    </row>
    <row r="50" spans="2:136" x14ac:dyDescent="0.45"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</row>
    <row r="51" spans="2:136" s="8" customFormat="1" x14ac:dyDescent="0.45">
      <c r="B51" s="133" t="s">
        <v>15</v>
      </c>
      <c r="C51" s="133"/>
      <c r="D51" s="133"/>
      <c r="E51" s="134">
        <f t="shared" ref="E51:AJ51" si="15">+E31-E49</f>
        <v>70898.852101133351</v>
      </c>
      <c r="F51" s="134">
        <f t="shared" si="15"/>
        <v>66624.241696063415</v>
      </c>
      <c r="G51" s="134">
        <f t="shared" si="15"/>
        <v>66780.797040430727</v>
      </c>
      <c r="H51" s="134">
        <f t="shared" si="15"/>
        <v>64365.759047674874</v>
      </c>
      <c r="I51" s="134">
        <f t="shared" si="15"/>
        <v>60566.878903878955</v>
      </c>
      <c r="J51" s="134">
        <f t="shared" si="15"/>
        <v>64755.397164595946</v>
      </c>
      <c r="K51" s="134">
        <f t="shared" si="15"/>
        <v>60694.10566367807</v>
      </c>
      <c r="L51" s="134">
        <f t="shared" si="15"/>
        <v>62790.043241625324</v>
      </c>
      <c r="M51" s="134">
        <f t="shared" si="15"/>
        <v>64924.126157415303</v>
      </c>
      <c r="N51" s="134">
        <f t="shared" si="15"/>
        <v>64771.051952323985</v>
      </c>
      <c r="O51" s="134">
        <f t="shared" si="15"/>
        <v>67033.211632870109</v>
      </c>
      <c r="P51" s="134">
        <f t="shared" si="15"/>
        <v>75741.5890752798</v>
      </c>
      <c r="Q51" s="134">
        <f t="shared" si="15"/>
        <v>79304.386432713232</v>
      </c>
      <c r="R51" s="134">
        <f t="shared" si="15"/>
        <v>82798.877646420646</v>
      </c>
      <c r="S51" s="134">
        <f t="shared" si="15"/>
        <v>85697.055242989969</v>
      </c>
      <c r="T51" s="134">
        <f t="shared" si="15"/>
        <v>87694.367476909203</v>
      </c>
      <c r="U51" s="134">
        <f t="shared" si="15"/>
        <v>87630.283247327054</v>
      </c>
      <c r="V51" s="134">
        <f t="shared" si="15"/>
        <v>87160.573610625201</v>
      </c>
      <c r="W51" s="134">
        <f t="shared" si="15"/>
        <v>87549.569213349707</v>
      </c>
      <c r="X51" s="134">
        <f t="shared" si="15"/>
        <v>87575.637940618937</v>
      </c>
      <c r="Y51" s="134">
        <f t="shared" si="15"/>
        <v>91214.125858413638</v>
      </c>
      <c r="Z51" s="134">
        <f t="shared" si="15"/>
        <v>96678.045216041472</v>
      </c>
      <c r="AA51" s="134">
        <f t="shared" si="15"/>
        <v>100891.97916537875</v>
      </c>
      <c r="AB51" s="134">
        <f t="shared" si="15"/>
        <v>103048.30713080701</v>
      </c>
      <c r="AC51" s="134">
        <f t="shared" si="15"/>
        <v>102872.82825438357</v>
      </c>
      <c r="AD51" s="134">
        <f t="shared" si="15"/>
        <v>100525.48976473516</v>
      </c>
      <c r="AE51" s="134">
        <f t="shared" si="15"/>
        <v>101479.19956588963</v>
      </c>
      <c r="AF51" s="134">
        <f t="shared" si="15"/>
        <v>108600.24945338651</v>
      </c>
      <c r="AG51" s="134">
        <f t="shared" si="15"/>
        <v>115750.04276127359</v>
      </c>
      <c r="AH51" s="134">
        <f t="shared" si="15"/>
        <v>122928.66745627378</v>
      </c>
      <c r="AI51" s="134">
        <f t="shared" si="15"/>
        <v>125389.80364861686</v>
      </c>
      <c r="AJ51" s="134">
        <f t="shared" si="15"/>
        <v>125660.91923217033</v>
      </c>
      <c r="AK51" s="134">
        <f t="shared" ref="AK51:BP51" si="16">+AK31-AK49</f>
        <v>125932.61384543875</v>
      </c>
      <c r="AL51" s="134">
        <f t="shared" si="16"/>
        <v>126204.88872083425</v>
      </c>
      <c r="AM51" s="134">
        <f t="shared" si="16"/>
        <v>126477.74509337672</v>
      </c>
      <c r="AN51" s="134">
        <f t="shared" si="16"/>
        <v>126751.18420069841</v>
      </c>
      <c r="AO51" s="134">
        <f t="shared" si="16"/>
        <v>127025.20728304848</v>
      </c>
      <c r="AP51" s="134">
        <f t="shared" si="16"/>
        <v>127299.81558329999</v>
      </c>
      <c r="AQ51" s="134">
        <f t="shared" si="16"/>
        <v>127575.01034695299</v>
      </c>
      <c r="AR51" s="134">
        <f t="shared" si="16"/>
        <v>127850.79282214353</v>
      </c>
      <c r="AS51" s="134">
        <f t="shared" si="16"/>
        <v>128127.16425964623</v>
      </c>
      <c r="AT51" s="134">
        <f t="shared" si="16"/>
        <v>128404.12591288064</v>
      </c>
      <c r="AU51" s="134">
        <f t="shared" si="16"/>
        <v>128681.67903791826</v>
      </c>
      <c r="AV51" s="134">
        <f t="shared" si="16"/>
        <v>128959.82489348511</v>
      </c>
      <c r="AW51" s="134">
        <f t="shared" si="16"/>
        <v>129238.5647409712</v>
      </c>
      <c r="AX51" s="134">
        <f t="shared" si="16"/>
        <v>129517.89984443312</v>
      </c>
      <c r="AY51" s="134">
        <f t="shared" si="16"/>
        <v>129797.83147059998</v>
      </c>
      <c r="AZ51" s="134">
        <f t="shared" si="16"/>
        <v>130078.3608888801</v>
      </c>
      <c r="BA51" s="134">
        <f t="shared" si="16"/>
        <v>130359.48937136706</v>
      </c>
      <c r="BB51" s="134">
        <f t="shared" si="16"/>
        <v>130641.21819284333</v>
      </c>
      <c r="BC51" s="134">
        <f t="shared" si="16"/>
        <v>130923.54863078747</v>
      </c>
      <c r="BD51" s="134">
        <f t="shared" si="16"/>
        <v>131206.48196537976</v>
      </c>
      <c r="BE51" s="134">
        <f t="shared" si="16"/>
        <v>131490.01947950717</v>
      </c>
      <c r="BF51" s="134">
        <f t="shared" si="16"/>
        <v>131774.16245876916</v>
      </c>
      <c r="BG51" s="134">
        <f t="shared" si="16"/>
        <v>132058.91219148441</v>
      </c>
      <c r="BH51" s="134">
        <f t="shared" si="16"/>
        <v>132344.26996869486</v>
      </c>
      <c r="BI51" s="134">
        <f t="shared" si="16"/>
        <v>132630.23708417304</v>
      </c>
      <c r="BJ51" s="134">
        <f t="shared" si="16"/>
        <v>132916.81483442744</v>
      </c>
      <c r="BK51" s="134">
        <f t="shared" si="16"/>
        <v>133204.00451870653</v>
      </c>
      <c r="BL51" s="134">
        <f t="shared" si="16"/>
        <v>133491.80743900751</v>
      </c>
      <c r="BM51" s="134">
        <f t="shared" si="16"/>
        <v>133780.22490007998</v>
      </c>
      <c r="BN51" s="134">
        <f t="shared" si="16"/>
        <v>134069.25820943143</v>
      </c>
      <c r="BO51" s="134">
        <f t="shared" si="16"/>
        <v>134358.90867733522</v>
      </c>
      <c r="BP51" s="134">
        <f t="shared" si="16"/>
        <v>134649.17761683423</v>
      </c>
      <c r="BQ51" s="134">
        <f t="shared" ref="BQ51:CV51" si="17">+BQ31-BQ49</f>
        <v>134940.06634374781</v>
      </c>
      <c r="BR51" s="134">
        <f t="shared" si="17"/>
        <v>135231.5761766776</v>
      </c>
      <c r="BS51" s="134">
        <f t="shared" si="17"/>
        <v>135523.70843701289</v>
      </c>
      <c r="BT51" s="134">
        <f t="shared" si="17"/>
        <v>135816.46444893599</v>
      </c>
      <c r="BU51" s="134">
        <f t="shared" si="17"/>
        <v>136109.84553942998</v>
      </c>
      <c r="BV51" s="134">
        <f t="shared" si="17"/>
        <v>136403.85303828228</v>
      </c>
      <c r="BW51" s="134">
        <f t="shared" si="17"/>
        <v>136698.48827809351</v>
      </c>
      <c r="BX51" s="134">
        <f t="shared" si="17"/>
        <v>136993.75259427927</v>
      </c>
      <c r="BY51" s="134">
        <f t="shared" si="17"/>
        <v>137289.64732508059</v>
      </c>
      <c r="BZ51" s="134">
        <f t="shared" si="17"/>
        <v>137586.173811566</v>
      </c>
      <c r="CA51" s="134">
        <f t="shared" si="17"/>
        <v>137883.33339763989</v>
      </c>
      <c r="CB51" s="134">
        <f t="shared" si="17"/>
        <v>138181.12743004825</v>
      </c>
      <c r="CC51" s="134">
        <f t="shared" si="17"/>
        <v>138479.55725838299</v>
      </c>
      <c r="CD51" s="134">
        <f t="shared" si="17"/>
        <v>138778.62423508981</v>
      </c>
      <c r="CE51" s="134">
        <f t="shared" si="17"/>
        <v>139078.32971547343</v>
      </c>
      <c r="CF51" s="134">
        <f t="shared" si="17"/>
        <v>139378.67505770334</v>
      </c>
      <c r="CG51" s="134">
        <f t="shared" si="17"/>
        <v>139679.66162282019</v>
      </c>
      <c r="CH51" s="134">
        <f t="shared" si="17"/>
        <v>139981.2907747429</v>
      </c>
      <c r="CI51" s="134">
        <f t="shared" si="17"/>
        <v>140283.56388027128</v>
      </c>
      <c r="CJ51" s="134">
        <f t="shared" si="17"/>
        <v>140586.48230909617</v>
      </c>
      <c r="CK51" s="134">
        <f t="shared" si="17"/>
        <v>140890.04743380335</v>
      </c>
      <c r="CL51" s="134">
        <f t="shared" si="17"/>
        <v>141194.26062987963</v>
      </c>
      <c r="CM51" s="134">
        <f t="shared" si="17"/>
        <v>141499.12327572025</v>
      </c>
      <c r="CN51" s="134">
        <f t="shared" si="17"/>
        <v>141804.63675263221</v>
      </c>
      <c r="CO51" s="134">
        <f t="shared" si="17"/>
        <v>142110.8024448448</v>
      </c>
      <c r="CP51" s="134">
        <f t="shared" si="17"/>
        <v>142417.62173951085</v>
      </c>
      <c r="CQ51" s="134">
        <f t="shared" si="17"/>
        <v>142725.09602671693</v>
      </c>
      <c r="CR51" s="134">
        <f t="shared" si="17"/>
        <v>143033.22669948643</v>
      </c>
      <c r="CS51" s="134">
        <f t="shared" si="17"/>
        <v>143342.0151537889</v>
      </c>
      <c r="CT51" s="134">
        <f t="shared" si="17"/>
        <v>143651.46278854247</v>
      </c>
      <c r="CU51" s="134">
        <f t="shared" si="17"/>
        <v>143961.57100562335</v>
      </c>
      <c r="CV51" s="134">
        <f t="shared" si="17"/>
        <v>144272.34120987038</v>
      </c>
      <c r="CW51" s="134">
        <f t="shared" ref="CW51:EF51" si="18">+CW31-CW49</f>
        <v>144583.77480909211</v>
      </c>
      <c r="CX51" s="134">
        <f t="shared" si="18"/>
        <v>144895.87321407124</v>
      </c>
      <c r="CY51" s="134">
        <f t="shared" si="18"/>
        <v>145208.63783857442</v>
      </c>
      <c r="CZ51" s="134">
        <f t="shared" si="18"/>
        <v>145522.07009935356</v>
      </c>
      <c r="DA51" s="134">
        <f t="shared" si="18"/>
        <v>145836.1714161571</v>
      </c>
      <c r="DB51" s="134">
        <f t="shared" si="18"/>
        <v>146150.9432117329</v>
      </c>
      <c r="DC51" s="134">
        <f t="shared" si="18"/>
        <v>146466.38691183674</v>
      </c>
      <c r="DD51" s="134">
        <f t="shared" si="18"/>
        <v>146782.50394523627</v>
      </c>
      <c r="DE51" s="134">
        <f t="shared" si="18"/>
        <v>147099.29574371889</v>
      </c>
      <c r="DF51" s="134">
        <f t="shared" si="18"/>
        <v>147416.76374209987</v>
      </c>
      <c r="DG51" s="134">
        <f t="shared" si="18"/>
        <v>147734.90937822388</v>
      </c>
      <c r="DH51" s="134">
        <f t="shared" si="18"/>
        <v>148053.73409297602</v>
      </c>
      <c r="DI51" s="134">
        <f t="shared" si="18"/>
        <v>148373.23933028645</v>
      </c>
      <c r="DJ51" s="134">
        <f t="shared" si="18"/>
        <v>148693.42653713579</v>
      </c>
      <c r="DK51" s="134">
        <f t="shared" si="18"/>
        <v>149014.29716356369</v>
      </c>
      <c r="DL51" s="134">
        <f t="shared" si="18"/>
        <v>149335.85266267176</v>
      </c>
      <c r="DM51" s="134">
        <f t="shared" si="18"/>
        <v>149658.09449063614</v>
      </c>
      <c r="DN51" s="134">
        <f t="shared" si="18"/>
        <v>149981.02410670632</v>
      </c>
      <c r="DO51" s="134">
        <f t="shared" si="18"/>
        <v>150304.64297321765</v>
      </c>
      <c r="DP51" s="134">
        <f t="shared" si="18"/>
        <v>150628.95255559497</v>
      </c>
      <c r="DQ51" s="134">
        <f t="shared" si="18"/>
        <v>150953.95432235996</v>
      </c>
      <c r="DR51" s="134">
        <f t="shared" si="18"/>
        <v>151279.6497451379</v>
      </c>
      <c r="DS51" s="134">
        <f t="shared" si="18"/>
        <v>151606.04029866174</v>
      </c>
      <c r="DT51" s="134">
        <f t="shared" si="18"/>
        <v>151933.12746078247</v>
      </c>
      <c r="DU51" s="134">
        <f t="shared" si="18"/>
        <v>152260.91271247424</v>
      </c>
      <c r="DV51" s="134">
        <f t="shared" si="18"/>
        <v>152589.39753783878</v>
      </c>
      <c r="DW51" s="134">
        <f t="shared" si="18"/>
        <v>152918.58342411433</v>
      </c>
      <c r="DX51" s="134">
        <f t="shared" si="18"/>
        <v>153248.47186168254</v>
      </c>
      <c r="DY51" s="134">
        <f t="shared" si="18"/>
        <v>153579.06434407359</v>
      </c>
      <c r="DZ51" s="134">
        <f t="shared" si="18"/>
        <v>153910.36236797197</v>
      </c>
      <c r="EA51" s="134">
        <f t="shared" si="18"/>
        <v>154242.36743322693</v>
      </c>
      <c r="EB51" s="134">
        <f t="shared" si="18"/>
        <v>154575.0810428551</v>
      </c>
      <c r="EC51" s="134">
        <f t="shared" si="18"/>
        <v>154908.50470305016</v>
      </c>
      <c r="ED51" s="134">
        <f t="shared" si="18"/>
        <v>155242.63992318523</v>
      </c>
      <c r="EE51" s="134">
        <f t="shared" si="18"/>
        <v>155577.48821582622</v>
      </c>
      <c r="EF51" s="134">
        <f t="shared" si="18"/>
        <v>155913.05109673156</v>
      </c>
    </row>
    <row r="52" spans="2:136" x14ac:dyDescent="0.45">
      <c r="B52" s="1" t="s">
        <v>160</v>
      </c>
      <c r="E52" s="24">
        <f t="shared" ref="E52:AJ52" si="19">SUM(F51:Q51,F48:Q48)</f>
        <v>801895.63427213288</v>
      </c>
      <c r="F52" s="24">
        <f t="shared" si="19"/>
        <v>818076.17696626275</v>
      </c>
      <c r="G52" s="24">
        <f t="shared" si="19"/>
        <v>836998.35175716772</v>
      </c>
      <c r="H52" s="24">
        <f t="shared" si="19"/>
        <v>860332.88663572818</v>
      </c>
      <c r="I52" s="24">
        <f t="shared" si="19"/>
        <v>887402.22730591788</v>
      </c>
      <c r="J52" s="24">
        <f t="shared" si="19"/>
        <v>909813.34997256694</v>
      </c>
      <c r="K52" s="24">
        <f t="shared" si="19"/>
        <v>936674.76965322578</v>
      </c>
      <c r="L52" s="24">
        <f t="shared" si="19"/>
        <v>961466.33041009179</v>
      </c>
      <c r="M52" s="24">
        <f t="shared" si="19"/>
        <v>987762.30611239222</v>
      </c>
      <c r="N52" s="24">
        <f t="shared" si="19"/>
        <v>1019675.2853374139</v>
      </c>
      <c r="O52" s="24">
        <f t="shared" si="19"/>
        <v>1053540.0488078292</v>
      </c>
      <c r="P52" s="24">
        <f t="shared" si="19"/>
        <v>1080852.7727944923</v>
      </c>
      <c r="Q52" s="24">
        <f t="shared" si="19"/>
        <v>1104427.230557184</v>
      </c>
      <c r="R52" s="24">
        <f t="shared" si="19"/>
        <v>1122159.8686430883</v>
      </c>
      <c r="S52" s="24">
        <f t="shared" si="19"/>
        <v>1137948.0489768572</v>
      </c>
      <c r="T52" s="24">
        <f t="shared" si="19"/>
        <v>1158859.9770242218</v>
      </c>
      <c r="U52" s="24">
        <f t="shared" si="19"/>
        <v>1186985.7926858405</v>
      </c>
      <c r="V52" s="24">
        <f t="shared" si="19"/>
        <v>1222759.9527727405</v>
      </c>
      <c r="W52" s="24">
        <f t="shared" si="19"/>
        <v>1260606.2635596613</v>
      </c>
      <c r="X52" s="24">
        <f t="shared" si="19"/>
        <v>1298697.631330119</v>
      </c>
      <c r="Y52" s="24">
        <f t="shared" si="19"/>
        <v>1333422.2159401821</v>
      </c>
      <c r="Z52" s="24">
        <f t="shared" si="19"/>
        <v>1362955.1662290508</v>
      </c>
      <c r="AA52" s="24">
        <f t="shared" si="19"/>
        <v>1388547.049119099</v>
      </c>
      <c r="AB52" s="24">
        <f t="shared" si="19"/>
        <v>1412256.0533459771</v>
      </c>
      <c r="AC52" s="24">
        <f t="shared" si="19"/>
        <v>1436414.5697435569</v>
      </c>
      <c r="AD52" s="24">
        <f t="shared" si="19"/>
        <v>1463195.043159985</v>
      </c>
      <c r="AE52" s="24">
        <f t="shared" si="19"/>
        <v>1489297.0117849077</v>
      </c>
      <c r="AF52" s="24">
        <f t="shared" si="19"/>
        <v>1508553.7232605973</v>
      </c>
      <c r="AG52" s="24">
        <f t="shared" si="19"/>
        <v>1520937.0231460808</v>
      </c>
      <c r="AH52" s="24">
        <f t="shared" si="19"/>
        <v>1526418.6702871101</v>
      </c>
      <c r="AI52" s="24">
        <f t="shared" si="19"/>
        <v>1529716.7446753085</v>
      </c>
      <c r="AJ52" s="24">
        <f t="shared" si="19"/>
        <v>1533021.8596671845</v>
      </c>
      <c r="AK52" s="24">
        <f t="shared" ref="AK52:BP52" si="20">SUM(AL51:AW51,AL48:AW48)</f>
        <v>1536334.0302421628</v>
      </c>
      <c r="AL52" s="24">
        <f t="shared" si="20"/>
        <v>1539653.2714113398</v>
      </c>
      <c r="AM52" s="24">
        <f t="shared" si="20"/>
        <v>1542979.5982175507</v>
      </c>
      <c r="AN52" s="24">
        <f t="shared" si="20"/>
        <v>1546313.0257354348</v>
      </c>
      <c r="AO52" s="24">
        <f t="shared" si="20"/>
        <v>1549653.5690715055</v>
      </c>
      <c r="AP52" s="24">
        <f t="shared" si="20"/>
        <v>1553001.2433642137</v>
      </c>
      <c r="AQ52" s="24">
        <f t="shared" si="20"/>
        <v>1556356.0637840182</v>
      </c>
      <c r="AR52" s="24">
        <f t="shared" si="20"/>
        <v>1559718.045533451</v>
      </c>
      <c r="AS52" s="24">
        <f t="shared" si="20"/>
        <v>1563087.2038471855</v>
      </c>
      <c r="AT52" s="24">
        <f t="shared" si="20"/>
        <v>1566463.5539921043</v>
      </c>
      <c r="AU52" s="24">
        <f t="shared" si="20"/>
        <v>1569847.1112673655</v>
      </c>
      <c r="AV52" s="24">
        <f t="shared" si="20"/>
        <v>1573237.8910044737</v>
      </c>
      <c r="AW52" s="24">
        <f t="shared" si="20"/>
        <v>1576635.9085673436</v>
      </c>
      <c r="AX52" s="24">
        <f t="shared" si="20"/>
        <v>1580041.1793523722</v>
      </c>
      <c r="AY52" s="24">
        <f t="shared" si="20"/>
        <v>1583453.7187885048</v>
      </c>
      <c r="AZ52" s="24">
        <f t="shared" si="20"/>
        <v>1586873.5423373047</v>
      </c>
      <c r="BA52" s="24">
        <f t="shared" si="20"/>
        <v>1590300.6654930208</v>
      </c>
      <c r="BB52" s="24">
        <f t="shared" si="20"/>
        <v>1593735.1037826575</v>
      </c>
      <c r="BC52" s="24">
        <f t="shared" si="20"/>
        <v>1597176.8727660421</v>
      </c>
      <c r="BD52" s="24">
        <f t="shared" si="20"/>
        <v>1600625.9880358949</v>
      </c>
      <c r="BE52" s="24">
        <f t="shared" si="20"/>
        <v>1604082.4652178979</v>
      </c>
      <c r="BF52" s="24">
        <f t="shared" si="20"/>
        <v>1607546.3199707649</v>
      </c>
      <c r="BG52" s="24">
        <f t="shared" si="20"/>
        <v>1611017.5679863105</v>
      </c>
      <c r="BH52" s="24">
        <f t="shared" si="20"/>
        <v>1614496.2249895185</v>
      </c>
      <c r="BI52" s="24">
        <f t="shared" si="20"/>
        <v>1617982.3067386141</v>
      </c>
      <c r="BJ52" s="24">
        <f t="shared" si="20"/>
        <v>1621475.8290251305</v>
      </c>
      <c r="BK52" s="24">
        <f t="shared" si="20"/>
        <v>1624976.8076739835</v>
      </c>
      <c r="BL52" s="24">
        <f t="shared" si="20"/>
        <v>1628485.258543537</v>
      </c>
      <c r="BM52" s="24">
        <f t="shared" si="20"/>
        <v>1632001.1975256768</v>
      </c>
      <c r="BN52" s="24">
        <f t="shared" si="20"/>
        <v>1635524.640545879</v>
      </c>
      <c r="BO52" s="24">
        <f t="shared" si="20"/>
        <v>1639055.6035632815</v>
      </c>
      <c r="BP52" s="24">
        <f t="shared" si="20"/>
        <v>1642594.1025707547</v>
      </c>
      <c r="BQ52" s="24">
        <f t="shared" ref="BQ52:CJ52" si="21">SUM(BR51:CC51,BR48:CC48)</f>
        <v>1646140.1535949735</v>
      </c>
      <c r="BR52" s="24">
        <f t="shared" si="21"/>
        <v>1649693.7726964848</v>
      </c>
      <c r="BS52" s="24">
        <f t="shared" si="21"/>
        <v>1653254.9759697828</v>
      </c>
      <c r="BT52" s="24">
        <f t="shared" si="21"/>
        <v>1656823.7795433796</v>
      </c>
      <c r="BU52" s="24">
        <f t="shared" si="21"/>
        <v>1660400.1995798734</v>
      </c>
      <c r="BV52" s="24">
        <f t="shared" si="21"/>
        <v>1663984.2522760264</v>
      </c>
      <c r="BW52" s="24">
        <f t="shared" si="21"/>
        <v>1667575.9538628294</v>
      </c>
      <c r="BX52" s="24">
        <f t="shared" si="21"/>
        <v>1671175.3206055793</v>
      </c>
      <c r="BY52" s="24">
        <f t="shared" si="21"/>
        <v>1674782.3688039482</v>
      </c>
      <c r="BZ52" s="24">
        <f t="shared" si="21"/>
        <v>1678397.1147920573</v>
      </c>
      <c r="CA52" s="24">
        <f t="shared" si="21"/>
        <v>1682019.5749385494</v>
      </c>
      <c r="CB52" s="24">
        <f t="shared" si="21"/>
        <v>1685649.7656466593</v>
      </c>
      <c r="CC52" s="24">
        <f t="shared" si="21"/>
        <v>1689287.7033542895</v>
      </c>
      <c r="CD52" s="24">
        <f t="shared" si="21"/>
        <v>1692933.404534081</v>
      </c>
      <c r="CE52" s="24">
        <f t="shared" si="21"/>
        <v>1696586.8856934872</v>
      </c>
      <c r="CF52" s="24">
        <f t="shared" si="21"/>
        <v>1700248.1633748466</v>
      </c>
      <c r="CG52" s="24">
        <f t="shared" si="21"/>
        <v>1703917.2541554577</v>
      </c>
      <c r="CH52" s="24">
        <f t="shared" si="21"/>
        <v>1707594.1746476488</v>
      </c>
      <c r="CI52" s="24">
        <f t="shared" si="21"/>
        <v>1711278.9414988563</v>
      </c>
      <c r="CJ52" s="24">
        <f t="shared" si="21"/>
        <v>1714971.5713916959</v>
      </c>
      <c r="CK52" s="24">
        <f t="shared" ref="CK52:CS52" si="22">SUM(CL51:EF51,CL48:EF48)</f>
        <v>6992932.3870886313</v>
      </c>
      <c r="CL52" s="24">
        <f t="shared" si="22"/>
        <v>6851401.5499063758</v>
      </c>
      <c r="CM52" s="24">
        <f t="shared" si="22"/>
        <v>6709565.2891173596</v>
      </c>
      <c r="CN52" s="24">
        <f t="shared" si="22"/>
        <v>6567422.9529555738</v>
      </c>
      <c r="CO52" s="24">
        <f t="shared" si="22"/>
        <v>6424973.8882692298</v>
      </c>
      <c r="CP52" s="24">
        <f t="shared" si="22"/>
        <v>6282217.4405178148</v>
      </c>
      <c r="CQ52" s="24">
        <f t="shared" si="22"/>
        <v>6139152.9537691753</v>
      </c>
      <c r="CR52" s="24">
        <f t="shared" si="22"/>
        <v>5995779.7706965618</v>
      </c>
      <c r="CS52" s="24">
        <f t="shared" si="22"/>
        <v>5852097.2325756922</v>
      </c>
      <c r="CT52" s="24">
        <f t="shared" ref="CT52:EF52" si="23">SUM(CU51:EO51,CU48:EO48)</f>
        <v>5708104.6792817889</v>
      </c>
      <c r="CU52" s="24">
        <f t="shared" si="23"/>
        <v>5563801.4492866294</v>
      </c>
      <c r="CV52" s="24">
        <f t="shared" si="23"/>
        <v>5419186.8796555735</v>
      </c>
      <c r="CW52" s="24">
        <f t="shared" si="23"/>
        <v>5274260.3060445944</v>
      </c>
      <c r="CX52" s="24">
        <f t="shared" si="23"/>
        <v>5129021.0626973007</v>
      </c>
      <c r="CY52" s="24">
        <f t="shared" si="23"/>
        <v>4983468.4824419469</v>
      </c>
      <c r="CZ52" s="24">
        <f t="shared" si="23"/>
        <v>4837601.8966884539</v>
      </c>
      <c r="DA52" s="24">
        <f t="shared" si="23"/>
        <v>4691420.6354253991</v>
      </c>
      <c r="DB52" s="24">
        <f t="shared" si="23"/>
        <v>4544924.0272170249</v>
      </c>
      <c r="DC52" s="24">
        <f t="shared" si="23"/>
        <v>4398111.3992002178</v>
      </c>
      <c r="DD52" s="24">
        <f t="shared" si="23"/>
        <v>4250982.0770815043</v>
      </c>
      <c r="DE52" s="24">
        <f t="shared" si="23"/>
        <v>4103535.3851340194</v>
      </c>
      <c r="DF52" s="24">
        <f t="shared" si="23"/>
        <v>3955770.646194479</v>
      </c>
      <c r="DG52" s="24">
        <f t="shared" si="23"/>
        <v>3807687.1816601525</v>
      </c>
      <c r="DH52" s="24">
        <f t="shared" si="23"/>
        <v>3659284.3114858139</v>
      </c>
      <c r="DI52" s="24">
        <f t="shared" si="23"/>
        <v>3510561.3541806964</v>
      </c>
      <c r="DJ52" s="24">
        <f t="shared" si="23"/>
        <v>3361517.6268054382</v>
      </c>
      <c r="DK52" s="24">
        <f t="shared" si="23"/>
        <v>3212152.4449690212</v>
      </c>
      <c r="DL52" s="24">
        <f t="shared" si="23"/>
        <v>3062465.1228257087</v>
      </c>
      <c r="DM52" s="24">
        <f t="shared" si="23"/>
        <v>2912454.973071964</v>
      </c>
      <c r="DN52" s="24">
        <f t="shared" si="23"/>
        <v>2762121.306943377</v>
      </c>
      <c r="DO52" s="24">
        <f t="shared" si="23"/>
        <v>2611463.4342115759</v>
      </c>
      <c r="DP52" s="24">
        <f t="shared" si="23"/>
        <v>2460480.6631811326</v>
      </c>
      <c r="DQ52" s="24">
        <f t="shared" si="23"/>
        <v>2309172.300686467</v>
      </c>
      <c r="DR52" s="24">
        <f t="shared" si="23"/>
        <v>2157537.6520887353</v>
      </c>
      <c r="DS52" s="24">
        <f t="shared" si="23"/>
        <v>2005576.0212727259</v>
      </c>
      <c r="DT52" s="24">
        <f t="shared" si="23"/>
        <v>1853286.7106437332</v>
      </c>
      <c r="DU52" s="24">
        <f t="shared" si="23"/>
        <v>1700669.0211244356</v>
      </c>
      <c r="DV52" s="24">
        <f t="shared" si="23"/>
        <v>1547722.2521517614</v>
      </c>
      <c r="DW52" s="24">
        <f t="shared" si="23"/>
        <v>1394445.7016737543</v>
      </c>
      <c r="DX52" s="24">
        <f t="shared" si="23"/>
        <v>1240838.6661464223</v>
      </c>
      <c r="DY52" s="24">
        <f t="shared" si="23"/>
        <v>1086900.44053059</v>
      </c>
      <c r="DZ52" s="24">
        <f t="shared" si="23"/>
        <v>932630.31828873919</v>
      </c>
      <c r="EA52" s="24">
        <f t="shared" si="23"/>
        <v>778027.59138184402</v>
      </c>
      <c r="EB52" s="24">
        <f t="shared" si="23"/>
        <v>623091.55026619777</v>
      </c>
      <c r="EC52" s="24">
        <f t="shared" si="23"/>
        <v>467821.48389023519</v>
      </c>
      <c r="ED52" s="24">
        <f t="shared" si="23"/>
        <v>312216.67969134939</v>
      </c>
      <c r="EE52" s="24">
        <f t="shared" si="23"/>
        <v>156276.42359269637</v>
      </c>
      <c r="EF52" s="24">
        <f t="shared" si="23"/>
        <v>0</v>
      </c>
    </row>
    <row r="53" spans="2:136" x14ac:dyDescent="0.45"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</row>
    <row r="54" spans="2:136" x14ac:dyDescent="0.45">
      <c r="B54" s="78" t="s">
        <v>139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</row>
    <row r="55" spans="2:136" x14ac:dyDescent="0.45">
      <c r="B55" s="1" t="str">
        <f>+Assumptions!B169</f>
        <v>Reserves</v>
      </c>
      <c r="E55" s="24">
        <f>+Assumptions!$G$169*E31</f>
        <v>1253.3006574000003</v>
      </c>
      <c r="F55" s="24">
        <f>+Assumptions!$G$169*F31</f>
        <v>1207.2563196992248</v>
      </c>
      <c r="G55" s="24">
        <f>+Assumptions!$G$169*G31</f>
        <v>1209.7376397668393</v>
      </c>
      <c r="H55" s="24">
        <f>+Assumptions!$G$169*H31</f>
        <v>1183.8049154761375</v>
      </c>
      <c r="I55" s="24">
        <f>+Assumptions!$G$169*I31</f>
        <v>1142.6471817918132</v>
      </c>
      <c r="J55" s="24">
        <f>+Assumptions!$G$169*J31</f>
        <v>1187.6468119174556</v>
      </c>
      <c r="K55" s="24">
        <f>+Assumptions!$G$169*K31</f>
        <v>1143.7739699498975</v>
      </c>
      <c r="L55" s="24">
        <f>+Assumptions!$G$169*L31</f>
        <v>1166.2450097469734</v>
      </c>
      <c r="M55" s="24">
        <f>+Assumptions!$G$169*M31</f>
        <v>1189.1107395094789</v>
      </c>
      <c r="N55" s="24">
        <f>+Assumptions!$G$169*N31</f>
        <v>1187.4373012778053</v>
      </c>
      <c r="O55" s="24">
        <f>+Assumptions!$G$169*O31</f>
        <v>1211.6246925939445</v>
      </c>
      <c r="P55" s="24">
        <f>+Assumptions!$G$169*P31</f>
        <v>1302.2693807209987</v>
      </c>
      <c r="Q55" s="24">
        <f>+Assumptions!$G$169*Q31</f>
        <v>1340.8347839095802</v>
      </c>
      <c r="R55" s="24">
        <f>+Assumptions!$G$169*R31</f>
        <v>1378.700670082698</v>
      </c>
      <c r="S55" s="24">
        <f>+Assumptions!$G$169*S31</f>
        <v>1410.4236736938683</v>
      </c>
      <c r="T55" s="24">
        <f>+Assumptions!$G$169*T31</f>
        <v>1431.8927695951891</v>
      </c>
      <c r="U55" s="24">
        <f>+Assumptions!$G$169*U31</f>
        <v>1431.1388735109074</v>
      </c>
      <c r="V55" s="24">
        <f>+Assumptions!$G$169*V31</f>
        <v>1426.2014952323825</v>
      </c>
      <c r="W55" s="24">
        <f>+Assumptions!$G$169*W31</f>
        <v>1430.1149656577068</v>
      </c>
      <c r="X55" s="24">
        <f>+Assumptions!$G$169*X31</f>
        <v>1430.2851335944549</v>
      </c>
      <c r="Y55" s="24">
        <f>+Assumptions!$G$169*Y31</f>
        <v>1469.6538391614872</v>
      </c>
      <c r="Z55" s="24">
        <f>+Assumptions!$G$169*Z31</f>
        <v>1528.8272362526807</v>
      </c>
      <c r="AA55" s="24">
        <f>+Assumptions!$G$169*AA31</f>
        <v>1574.1394807703969</v>
      </c>
      <c r="AB55" s="24">
        <f>+Assumptions!$G$169*AB31</f>
        <v>1597.2596926213644</v>
      </c>
      <c r="AC55" s="24">
        <f>+Assumptions!$G$169*AC31</f>
        <v>1595.356147721307</v>
      </c>
      <c r="AD55" s="24">
        <f>+Assumptions!$G$169*AD31</f>
        <v>1570.0728590721451</v>
      </c>
      <c r="AE55" s="24">
        <f>+Assumptions!$G$169*AE31</f>
        <v>1580.7944648841374</v>
      </c>
      <c r="AF55" s="24">
        <f>+Assumptions!$G$169*AF31</f>
        <v>1658.0711764932223</v>
      </c>
      <c r="AG55" s="24">
        <f>+Assumptions!$G$169*AG31</f>
        <v>1735.6556063967873</v>
      </c>
      <c r="AH55" s="24">
        <f>+Assumptions!$G$169*AH31</f>
        <v>1813.5486887166574</v>
      </c>
      <c r="AI55" s="24">
        <f>+Assumptions!$G$169*AI31</f>
        <v>1841.8234224218272</v>
      </c>
      <c r="AJ55" s="24">
        <f>+Assumptions!$G$169*AJ31</f>
        <v>1845.5336701616618</v>
      </c>
      <c r="AK55" s="24">
        <f>+Assumptions!$G$169*AK31</f>
        <v>1849.2514126828746</v>
      </c>
      <c r="AL55" s="24">
        <f>+Assumptions!$G$169*AL31</f>
        <v>1852.9766652330827</v>
      </c>
      <c r="AM55" s="24">
        <f>+Assumptions!$G$169*AM31</f>
        <v>1856.7094430910252</v>
      </c>
      <c r="AN55" s="24">
        <f>+Assumptions!$G$169*AN31</f>
        <v>1860.4497615666173</v>
      </c>
      <c r="AO55" s="24">
        <f>+Assumptions!$G$169*AO31</f>
        <v>1864.197636001004</v>
      </c>
      <c r="AP55" s="24">
        <f>+Assumptions!$G$169*AP31</f>
        <v>1867.9530817666389</v>
      </c>
      <c r="AQ55" s="24">
        <f>+Assumptions!$G$169*AQ31</f>
        <v>1871.716114267324</v>
      </c>
      <c r="AR55" s="24">
        <f>+Assumptions!$G$169*AR31</f>
        <v>1875.4867489383084</v>
      </c>
      <c r="AS55" s="24">
        <f>+Assumptions!$G$169*AS31</f>
        <v>1879.2650012463241</v>
      </c>
      <c r="AT55" s="24">
        <f>+Assumptions!$G$169*AT31</f>
        <v>1883.0508866896557</v>
      </c>
      <c r="AU55" s="24">
        <f>+Assumptions!$G$169*AU31</f>
        <v>1886.8444207982225</v>
      </c>
      <c r="AV55" s="24">
        <f>+Assumptions!$G$169*AV31</f>
        <v>1890.645619133611</v>
      </c>
      <c r="AW55" s="24">
        <f>+Assumptions!$G$169*AW31</f>
        <v>1894.4544972891804</v>
      </c>
      <c r="AX55" s="24">
        <f>+Assumptions!$G$169*AX31</f>
        <v>1898.271070890095</v>
      </c>
      <c r="AY55" s="24">
        <f>+Assumptions!$G$169*AY31</f>
        <v>1902.0953555933945</v>
      </c>
      <c r="AZ55" s="24">
        <f>+Assumptions!$G$169*AZ31</f>
        <v>1905.9273670880686</v>
      </c>
      <c r="BA55" s="24">
        <f>+Assumptions!$G$169*BA31</f>
        <v>1909.7671210951278</v>
      </c>
      <c r="BB55" s="24">
        <f>+Assumptions!$G$169*BB31</f>
        <v>1913.614633367647</v>
      </c>
      <c r="BC55" s="24">
        <f>+Assumptions!$G$169*BC31</f>
        <v>1917.469919690848</v>
      </c>
      <c r="BD55" s="24">
        <f>+Assumptions!$G$169*BD31</f>
        <v>1921.3329958821644</v>
      </c>
      <c r="BE55" s="24">
        <f>+Assumptions!$G$169*BE31</f>
        <v>1925.203877791299</v>
      </c>
      <c r="BF55" s="24">
        <f>+Assumptions!$G$169*BF31</f>
        <v>1929.0825813002928</v>
      </c>
      <c r="BG55" s="24">
        <f>+Assumptions!$G$169*BG31</f>
        <v>1932.9691223236007</v>
      </c>
      <c r="BH55" s="24">
        <f>+Assumptions!$G$169*BH31</f>
        <v>1936.8635168081398</v>
      </c>
      <c r="BI55" s="24">
        <f>+Assumptions!$G$169*BI31</f>
        <v>1940.7657807333735</v>
      </c>
      <c r="BJ55" s="24">
        <f>+Assumptions!$G$169*BJ31</f>
        <v>1944.6759301113736</v>
      </c>
      <c r="BK55" s="24">
        <f>+Assumptions!$G$169*BK31</f>
        <v>1948.5939809868687</v>
      </c>
      <c r="BL55" s="24">
        <f>+Assumptions!$G$169*BL31</f>
        <v>1952.5199494373435</v>
      </c>
      <c r="BM55" s="24">
        <f>+Assumptions!$G$169*BM31</f>
        <v>1956.4538515730806</v>
      </c>
      <c r="BN55" s="24">
        <f>+Assumptions!$G$169*BN31</f>
        <v>1960.3957035372277</v>
      </c>
      <c r="BO55" s="24">
        <f>+Assumptions!$G$169*BO31</f>
        <v>1964.3455215058868</v>
      </c>
      <c r="BP55" s="24">
        <f>+Assumptions!$G$169*BP31</f>
        <v>1968.3033216881574</v>
      </c>
      <c r="BQ55" s="24">
        <f>+Assumptions!$G$169*BQ31</f>
        <v>1972.269120326217</v>
      </c>
      <c r="BR55" s="24">
        <f>+Assumptions!$G$169*BR31</f>
        <v>1976.2429336953885</v>
      </c>
      <c r="BS55" s="24">
        <f>+Assumptions!$G$169*BS31</f>
        <v>1980.224778104202</v>
      </c>
      <c r="BT55" s="24">
        <f>+Assumptions!$G$169*BT31</f>
        <v>1984.2146698944589</v>
      </c>
      <c r="BU55" s="24">
        <f>+Assumptions!$G$169*BU31</f>
        <v>1988.2126254413183</v>
      </c>
      <c r="BV55" s="24">
        <f>+Assumptions!$G$169*BV31</f>
        <v>1992.2186611533418</v>
      </c>
      <c r="BW55" s="24">
        <f>+Assumptions!$G$169*BW31</f>
        <v>1996.2327934725915</v>
      </c>
      <c r="BX55" s="24">
        <f>+Assumptions!$G$169*BX31</f>
        <v>2000.255038874657</v>
      </c>
      <c r="BY55" s="24">
        <f>+Assumptions!$G$169*BY31</f>
        <v>2004.2854138687696</v>
      </c>
      <c r="BZ55" s="24">
        <f>+Assumptions!$G$169*BZ31</f>
        <v>2008.3239349978321</v>
      </c>
      <c r="CA55" s="24">
        <f>+Assumptions!$G$169*CA31</f>
        <v>2012.3706188385115</v>
      </c>
      <c r="CB55" s="24">
        <f>+Assumptions!$G$169*CB31</f>
        <v>2016.4254820013075</v>
      </c>
      <c r="CC55" s="24">
        <f>+Assumptions!$G$169*CC31</f>
        <v>2020.488541130602</v>
      </c>
      <c r="CD55" s="24">
        <f>+Assumptions!$G$169*CD31</f>
        <v>2024.5598129047492</v>
      </c>
      <c r="CE55" s="24">
        <f>+Assumptions!$G$169*CE31</f>
        <v>2028.6393140361383</v>
      </c>
      <c r="CF55" s="24">
        <f>+Assumptions!$G$169*CF31</f>
        <v>2032.727061271258</v>
      </c>
      <c r="CG55" s="24">
        <f>+Assumptions!$G$169*CG31</f>
        <v>2036.8230713907726</v>
      </c>
      <c r="CH55" s="24">
        <f>+Assumptions!$G$169*CH31</f>
        <v>2040.927361209599</v>
      </c>
      <c r="CI55" s="24">
        <f>+Assumptions!$G$169*CI31</f>
        <v>2045.0399475769466</v>
      </c>
      <c r="CJ55" s="24">
        <f>+Assumptions!$G$169*CJ31</f>
        <v>2049.1608473764245</v>
      </c>
      <c r="CK55" s="24">
        <f>+Assumptions!$G$169*CK31</f>
        <v>2053.2900775260937</v>
      </c>
      <c r="CL55" s="24">
        <f>+Assumptions!$G$169*CL31</f>
        <v>2057.4276549785332</v>
      </c>
      <c r="CM55" s="24">
        <f>+Assumptions!$G$169*CM31</f>
        <v>2061.5735967209284</v>
      </c>
      <c r="CN55" s="24">
        <f>+Assumptions!$G$169*CN31</f>
        <v>2065.7279197751109</v>
      </c>
      <c r="CO55" s="24">
        <f>+Assumptions!$G$169*CO31</f>
        <v>2069.8906411976727</v>
      </c>
      <c r="CP55" s="24">
        <f>+Assumptions!$G$169*CP31</f>
        <v>2074.0617780799917</v>
      </c>
      <c r="CQ55" s="24">
        <f>+Assumptions!$G$169*CQ31</f>
        <v>2078.2413475483404</v>
      </c>
      <c r="CR55" s="24">
        <f>+Assumptions!$G$169*CR31</f>
        <v>2082.4293667639276</v>
      </c>
      <c r="CS55" s="24">
        <f>+Assumptions!$G$169*CS31</f>
        <v>2086.6258529230017</v>
      </c>
      <c r="CT55" s="24">
        <f>+Assumptions!$G$169*CT31</f>
        <v>2090.8308232568825</v>
      </c>
      <c r="CU55" s="24">
        <f>+Assumptions!$G$169*CU31</f>
        <v>2095.0442950320703</v>
      </c>
      <c r="CV55" s="24">
        <f>+Assumptions!$G$169*CV31</f>
        <v>2099.2662855502954</v>
      </c>
      <c r="CW55" s="24">
        <f>+Assumptions!$G$169*CW31</f>
        <v>2103.496812148604</v>
      </c>
      <c r="CX55" s="24">
        <f>+Assumptions!$G$169*CX31</f>
        <v>2107.7358921994078</v>
      </c>
      <c r="CY55" s="24">
        <f>+Assumptions!$G$169*CY31</f>
        <v>2111.9835431105967</v>
      </c>
      <c r="CZ55" s="24">
        <f>+Assumptions!$G$169*CZ31</f>
        <v>2116.239782325556</v>
      </c>
      <c r="DA55" s="24">
        <f>+Assumptions!$G$169*DA31</f>
        <v>2120.5046273232942</v>
      </c>
      <c r="DB55" s="24">
        <f>+Assumptions!$G$169*DB31</f>
        <v>2124.7780956184779</v>
      </c>
      <c r="DC55" s="24">
        <f>+Assumptions!$G$169*DC31</f>
        <v>2129.0602047615289</v>
      </c>
      <c r="DD55" s="24">
        <f>+Assumptions!$G$169*DD31</f>
        <v>2133.3509723386719</v>
      </c>
      <c r="DE55" s="24">
        <f>+Assumptions!$G$169*DE31</f>
        <v>2137.6504159720262</v>
      </c>
      <c r="DF55" s="24">
        <f>+Assumptions!$G$169*DF31</f>
        <v>2141.9585533196919</v>
      </c>
      <c r="DG55" s="24">
        <f>+Assumptions!$G$169*DG31</f>
        <v>2146.2754020757798</v>
      </c>
      <c r="DH55" s="24">
        <f>+Assumptions!$G$169*DH31</f>
        <v>2150.6009799705289</v>
      </c>
      <c r="DI55" s="24">
        <f>+Assumptions!$G$169*DI31</f>
        <v>2154.9353047703644</v>
      </c>
      <c r="DJ55" s="24">
        <f>+Assumptions!$G$169*DJ31</f>
        <v>2159.2783942779597</v>
      </c>
      <c r="DK55" s="24">
        <f>+Assumptions!$G$169*DK31</f>
        <v>2163.630266332334</v>
      </c>
      <c r="DL55" s="24">
        <f>+Assumptions!$G$169*DL31</f>
        <v>2167.9909388088895</v>
      </c>
      <c r="DM55" s="24">
        <f>+Assumptions!$G$169*DM31</f>
        <v>2172.3604296195494</v>
      </c>
      <c r="DN55" s="24">
        <f>+Assumptions!$G$169*DN31</f>
        <v>2176.7387567127553</v>
      </c>
      <c r="DO55" s="24">
        <f>+Assumptions!$G$169*DO31</f>
        <v>2181.1259380736005</v>
      </c>
      <c r="DP55" s="24">
        <f>+Assumptions!$G$169*DP31</f>
        <v>2185.5219917238815</v>
      </c>
      <c r="DQ55" s="24">
        <f>+Assumptions!$G$169*DQ31</f>
        <v>2189.9269357221738</v>
      </c>
      <c r="DR55" s="24">
        <f>+Assumptions!$G$169*DR31</f>
        <v>2194.3407881639173</v>
      </c>
      <c r="DS55" s="24">
        <f>+Assumptions!$G$169*DS31</f>
        <v>2198.763567181461</v>
      </c>
      <c r="DT55" s="24">
        <f>+Assumptions!$G$169*DT31</f>
        <v>2203.1952909441825</v>
      </c>
      <c r="DU55" s="24">
        <f>+Assumptions!$G$169*DU31</f>
        <v>2207.6359776585446</v>
      </c>
      <c r="DV55" s="24">
        <f>+Assumptions!$G$169*DV31</f>
        <v>2212.0856455681514</v>
      </c>
      <c r="DW55" s="24">
        <f>+Assumptions!$G$169*DW31</f>
        <v>2216.5443129538494</v>
      </c>
      <c r="DX55" s="24">
        <f>+Assumptions!$G$169*DX31</f>
        <v>2221.0119981338034</v>
      </c>
      <c r="DY55" s="24">
        <f>+Assumptions!$G$169*DY31</f>
        <v>2225.4887194635617</v>
      </c>
      <c r="DZ55" s="24">
        <f>+Assumptions!$G$169*DZ31</f>
        <v>2229.9744953361205</v>
      </c>
      <c r="EA55" s="24">
        <f>+Assumptions!$G$169*EA31</f>
        <v>2234.4693441820414</v>
      </c>
      <c r="EB55" s="24">
        <f>+Assumptions!$G$169*EB31</f>
        <v>2238.9732844694877</v>
      </c>
      <c r="EC55" s="24">
        <f>+Assumptions!$G$169*EC31</f>
        <v>2243.4863347043279</v>
      </c>
      <c r="ED55" s="24">
        <f>+Assumptions!$G$169*ED31</f>
        <v>2248.0085134301753</v>
      </c>
      <c r="EE55" s="24">
        <f>+Assumptions!$G$169*EE31</f>
        <v>2252.5398392285279</v>
      </c>
      <c r="EF55" s="24">
        <f>+Assumptions!$G$169*EF31</f>
        <v>2257.080330718778</v>
      </c>
    </row>
    <row r="56" spans="2:136" x14ac:dyDescent="0.45">
      <c r="B56" s="4" t="s">
        <v>134</v>
      </c>
      <c r="C56" s="4"/>
      <c r="D56" s="4"/>
      <c r="E56" s="26">
        <f t="shared" ref="E56:AJ56" si="24">SUM(E55:E55)</f>
        <v>1253.3006574000003</v>
      </c>
      <c r="F56" s="26">
        <f t="shared" si="24"/>
        <v>1207.2563196992248</v>
      </c>
      <c r="G56" s="26">
        <f t="shared" si="24"/>
        <v>1209.7376397668393</v>
      </c>
      <c r="H56" s="26">
        <f t="shared" si="24"/>
        <v>1183.8049154761375</v>
      </c>
      <c r="I56" s="26">
        <f t="shared" si="24"/>
        <v>1142.6471817918132</v>
      </c>
      <c r="J56" s="26">
        <f t="shared" si="24"/>
        <v>1187.6468119174556</v>
      </c>
      <c r="K56" s="26">
        <f t="shared" si="24"/>
        <v>1143.7739699498975</v>
      </c>
      <c r="L56" s="26">
        <f t="shared" si="24"/>
        <v>1166.2450097469734</v>
      </c>
      <c r="M56" s="26">
        <f t="shared" si="24"/>
        <v>1189.1107395094789</v>
      </c>
      <c r="N56" s="26">
        <f t="shared" si="24"/>
        <v>1187.4373012778053</v>
      </c>
      <c r="O56" s="26">
        <f t="shared" si="24"/>
        <v>1211.6246925939445</v>
      </c>
      <c r="P56" s="26">
        <f t="shared" si="24"/>
        <v>1302.2693807209987</v>
      </c>
      <c r="Q56" s="26">
        <f t="shared" si="24"/>
        <v>1340.8347839095802</v>
      </c>
      <c r="R56" s="26">
        <f t="shared" si="24"/>
        <v>1378.700670082698</v>
      </c>
      <c r="S56" s="26">
        <f t="shared" si="24"/>
        <v>1410.4236736938683</v>
      </c>
      <c r="T56" s="26">
        <f t="shared" si="24"/>
        <v>1431.8927695951891</v>
      </c>
      <c r="U56" s="26">
        <f t="shared" si="24"/>
        <v>1431.1388735109074</v>
      </c>
      <c r="V56" s="26">
        <f t="shared" si="24"/>
        <v>1426.2014952323825</v>
      </c>
      <c r="W56" s="26">
        <f t="shared" si="24"/>
        <v>1430.1149656577068</v>
      </c>
      <c r="X56" s="26">
        <f t="shared" si="24"/>
        <v>1430.2851335944549</v>
      </c>
      <c r="Y56" s="26">
        <f t="shared" si="24"/>
        <v>1469.6538391614872</v>
      </c>
      <c r="Z56" s="26">
        <f t="shared" si="24"/>
        <v>1528.8272362526807</v>
      </c>
      <c r="AA56" s="26">
        <f t="shared" si="24"/>
        <v>1574.1394807703969</v>
      </c>
      <c r="AB56" s="26">
        <f t="shared" si="24"/>
        <v>1597.2596926213644</v>
      </c>
      <c r="AC56" s="26">
        <f t="shared" si="24"/>
        <v>1595.356147721307</v>
      </c>
      <c r="AD56" s="26">
        <f t="shared" si="24"/>
        <v>1570.0728590721451</v>
      </c>
      <c r="AE56" s="26">
        <f t="shared" si="24"/>
        <v>1580.7944648841374</v>
      </c>
      <c r="AF56" s="26">
        <f t="shared" si="24"/>
        <v>1658.0711764932223</v>
      </c>
      <c r="AG56" s="26">
        <f t="shared" si="24"/>
        <v>1735.6556063967873</v>
      </c>
      <c r="AH56" s="26">
        <f t="shared" si="24"/>
        <v>1813.5486887166574</v>
      </c>
      <c r="AI56" s="26">
        <f t="shared" si="24"/>
        <v>1841.8234224218272</v>
      </c>
      <c r="AJ56" s="26">
        <f t="shared" si="24"/>
        <v>1845.5336701616618</v>
      </c>
      <c r="AK56" s="26">
        <f t="shared" ref="AK56:BP56" si="25">SUM(AK55:AK55)</f>
        <v>1849.2514126828746</v>
      </c>
      <c r="AL56" s="26">
        <f t="shared" si="25"/>
        <v>1852.9766652330827</v>
      </c>
      <c r="AM56" s="26">
        <f t="shared" si="25"/>
        <v>1856.7094430910252</v>
      </c>
      <c r="AN56" s="26">
        <f t="shared" si="25"/>
        <v>1860.4497615666173</v>
      </c>
      <c r="AO56" s="26">
        <f t="shared" si="25"/>
        <v>1864.197636001004</v>
      </c>
      <c r="AP56" s="26">
        <f t="shared" si="25"/>
        <v>1867.9530817666389</v>
      </c>
      <c r="AQ56" s="26">
        <f t="shared" si="25"/>
        <v>1871.716114267324</v>
      </c>
      <c r="AR56" s="26">
        <f t="shared" si="25"/>
        <v>1875.4867489383084</v>
      </c>
      <c r="AS56" s="26">
        <f t="shared" si="25"/>
        <v>1879.2650012463241</v>
      </c>
      <c r="AT56" s="26">
        <f t="shared" si="25"/>
        <v>1883.0508866896557</v>
      </c>
      <c r="AU56" s="26">
        <f t="shared" si="25"/>
        <v>1886.8444207982225</v>
      </c>
      <c r="AV56" s="26">
        <f t="shared" si="25"/>
        <v>1890.645619133611</v>
      </c>
      <c r="AW56" s="26">
        <f t="shared" si="25"/>
        <v>1894.4544972891804</v>
      </c>
      <c r="AX56" s="26">
        <f t="shared" si="25"/>
        <v>1898.271070890095</v>
      </c>
      <c r="AY56" s="26">
        <f t="shared" si="25"/>
        <v>1902.0953555933945</v>
      </c>
      <c r="AZ56" s="26">
        <f t="shared" si="25"/>
        <v>1905.9273670880686</v>
      </c>
      <c r="BA56" s="26">
        <f t="shared" si="25"/>
        <v>1909.7671210951278</v>
      </c>
      <c r="BB56" s="26">
        <f t="shared" si="25"/>
        <v>1913.614633367647</v>
      </c>
      <c r="BC56" s="26">
        <f t="shared" si="25"/>
        <v>1917.469919690848</v>
      </c>
      <c r="BD56" s="26">
        <f t="shared" si="25"/>
        <v>1921.3329958821644</v>
      </c>
      <c r="BE56" s="26">
        <f t="shared" si="25"/>
        <v>1925.203877791299</v>
      </c>
      <c r="BF56" s="26">
        <f t="shared" si="25"/>
        <v>1929.0825813002928</v>
      </c>
      <c r="BG56" s="26">
        <f t="shared" si="25"/>
        <v>1932.9691223236007</v>
      </c>
      <c r="BH56" s="26">
        <f t="shared" si="25"/>
        <v>1936.8635168081398</v>
      </c>
      <c r="BI56" s="26">
        <f t="shared" si="25"/>
        <v>1940.7657807333735</v>
      </c>
      <c r="BJ56" s="26">
        <f t="shared" si="25"/>
        <v>1944.6759301113736</v>
      </c>
      <c r="BK56" s="26">
        <f t="shared" si="25"/>
        <v>1948.5939809868687</v>
      </c>
      <c r="BL56" s="26">
        <f t="shared" si="25"/>
        <v>1952.5199494373435</v>
      </c>
      <c r="BM56" s="26">
        <f t="shared" si="25"/>
        <v>1956.4538515730806</v>
      </c>
      <c r="BN56" s="26">
        <f t="shared" si="25"/>
        <v>1960.3957035372277</v>
      </c>
      <c r="BO56" s="26">
        <f t="shared" si="25"/>
        <v>1964.3455215058868</v>
      </c>
      <c r="BP56" s="26">
        <f t="shared" si="25"/>
        <v>1968.3033216881574</v>
      </c>
      <c r="BQ56" s="26">
        <f t="shared" ref="BQ56:CV56" si="26">SUM(BQ55:BQ55)</f>
        <v>1972.269120326217</v>
      </c>
      <c r="BR56" s="26">
        <f t="shared" si="26"/>
        <v>1976.2429336953885</v>
      </c>
      <c r="BS56" s="26">
        <f t="shared" si="26"/>
        <v>1980.224778104202</v>
      </c>
      <c r="BT56" s="26">
        <f t="shared" si="26"/>
        <v>1984.2146698944589</v>
      </c>
      <c r="BU56" s="26">
        <f t="shared" si="26"/>
        <v>1988.2126254413183</v>
      </c>
      <c r="BV56" s="26">
        <f t="shared" si="26"/>
        <v>1992.2186611533418</v>
      </c>
      <c r="BW56" s="26">
        <f t="shared" si="26"/>
        <v>1996.2327934725915</v>
      </c>
      <c r="BX56" s="26">
        <f t="shared" si="26"/>
        <v>2000.255038874657</v>
      </c>
      <c r="BY56" s="26">
        <f t="shared" si="26"/>
        <v>2004.2854138687696</v>
      </c>
      <c r="BZ56" s="26">
        <f t="shared" si="26"/>
        <v>2008.3239349978321</v>
      </c>
      <c r="CA56" s="26">
        <f t="shared" si="26"/>
        <v>2012.3706188385115</v>
      </c>
      <c r="CB56" s="26">
        <f t="shared" si="26"/>
        <v>2016.4254820013075</v>
      </c>
      <c r="CC56" s="26">
        <f t="shared" si="26"/>
        <v>2020.488541130602</v>
      </c>
      <c r="CD56" s="26">
        <f t="shared" si="26"/>
        <v>2024.5598129047492</v>
      </c>
      <c r="CE56" s="26">
        <f t="shared" si="26"/>
        <v>2028.6393140361383</v>
      </c>
      <c r="CF56" s="26">
        <f t="shared" si="26"/>
        <v>2032.727061271258</v>
      </c>
      <c r="CG56" s="26">
        <f t="shared" si="26"/>
        <v>2036.8230713907726</v>
      </c>
      <c r="CH56" s="26">
        <f t="shared" si="26"/>
        <v>2040.927361209599</v>
      </c>
      <c r="CI56" s="26">
        <f t="shared" si="26"/>
        <v>2045.0399475769466</v>
      </c>
      <c r="CJ56" s="26">
        <f t="shared" si="26"/>
        <v>2049.1608473764245</v>
      </c>
      <c r="CK56" s="26">
        <f t="shared" si="26"/>
        <v>2053.2900775260937</v>
      </c>
      <c r="CL56" s="26">
        <f t="shared" si="26"/>
        <v>2057.4276549785332</v>
      </c>
      <c r="CM56" s="26">
        <f t="shared" si="26"/>
        <v>2061.5735967209284</v>
      </c>
      <c r="CN56" s="26">
        <f t="shared" si="26"/>
        <v>2065.7279197751109</v>
      </c>
      <c r="CO56" s="26">
        <f t="shared" si="26"/>
        <v>2069.8906411976727</v>
      </c>
      <c r="CP56" s="26">
        <f t="shared" si="26"/>
        <v>2074.0617780799917</v>
      </c>
      <c r="CQ56" s="26">
        <f t="shared" si="26"/>
        <v>2078.2413475483404</v>
      </c>
      <c r="CR56" s="26">
        <f t="shared" si="26"/>
        <v>2082.4293667639276</v>
      </c>
      <c r="CS56" s="26">
        <f t="shared" si="26"/>
        <v>2086.6258529230017</v>
      </c>
      <c r="CT56" s="26">
        <f t="shared" si="26"/>
        <v>2090.8308232568825</v>
      </c>
      <c r="CU56" s="26">
        <f t="shared" si="26"/>
        <v>2095.0442950320703</v>
      </c>
      <c r="CV56" s="26">
        <f t="shared" si="26"/>
        <v>2099.2662855502954</v>
      </c>
      <c r="CW56" s="26">
        <f t="shared" ref="CW56:EF56" si="27">SUM(CW55:CW55)</f>
        <v>2103.496812148604</v>
      </c>
      <c r="CX56" s="26">
        <f t="shared" si="27"/>
        <v>2107.7358921994078</v>
      </c>
      <c r="CY56" s="26">
        <f t="shared" si="27"/>
        <v>2111.9835431105967</v>
      </c>
      <c r="CZ56" s="26">
        <f t="shared" si="27"/>
        <v>2116.239782325556</v>
      </c>
      <c r="DA56" s="26">
        <f t="shared" si="27"/>
        <v>2120.5046273232942</v>
      </c>
      <c r="DB56" s="26">
        <f t="shared" si="27"/>
        <v>2124.7780956184779</v>
      </c>
      <c r="DC56" s="26">
        <f t="shared" si="27"/>
        <v>2129.0602047615289</v>
      </c>
      <c r="DD56" s="26">
        <f t="shared" si="27"/>
        <v>2133.3509723386719</v>
      </c>
      <c r="DE56" s="26">
        <f t="shared" si="27"/>
        <v>2137.6504159720262</v>
      </c>
      <c r="DF56" s="26">
        <f t="shared" si="27"/>
        <v>2141.9585533196919</v>
      </c>
      <c r="DG56" s="26">
        <f t="shared" si="27"/>
        <v>2146.2754020757798</v>
      </c>
      <c r="DH56" s="26">
        <f t="shared" si="27"/>
        <v>2150.6009799705289</v>
      </c>
      <c r="DI56" s="26">
        <f t="shared" si="27"/>
        <v>2154.9353047703644</v>
      </c>
      <c r="DJ56" s="26">
        <f t="shared" si="27"/>
        <v>2159.2783942779597</v>
      </c>
      <c r="DK56" s="26">
        <f t="shared" si="27"/>
        <v>2163.630266332334</v>
      </c>
      <c r="DL56" s="26">
        <f t="shared" si="27"/>
        <v>2167.9909388088895</v>
      </c>
      <c r="DM56" s="26">
        <f t="shared" si="27"/>
        <v>2172.3604296195494</v>
      </c>
      <c r="DN56" s="26">
        <f t="shared" si="27"/>
        <v>2176.7387567127553</v>
      </c>
      <c r="DO56" s="26">
        <f t="shared" si="27"/>
        <v>2181.1259380736005</v>
      </c>
      <c r="DP56" s="26">
        <f t="shared" si="27"/>
        <v>2185.5219917238815</v>
      </c>
      <c r="DQ56" s="26">
        <f t="shared" si="27"/>
        <v>2189.9269357221738</v>
      </c>
      <c r="DR56" s="26">
        <f t="shared" si="27"/>
        <v>2194.3407881639173</v>
      </c>
      <c r="DS56" s="26">
        <f t="shared" si="27"/>
        <v>2198.763567181461</v>
      </c>
      <c r="DT56" s="26">
        <f t="shared" si="27"/>
        <v>2203.1952909441825</v>
      </c>
      <c r="DU56" s="26">
        <f t="shared" si="27"/>
        <v>2207.6359776585446</v>
      </c>
      <c r="DV56" s="26">
        <f t="shared" si="27"/>
        <v>2212.0856455681514</v>
      </c>
      <c r="DW56" s="26">
        <f t="shared" si="27"/>
        <v>2216.5443129538494</v>
      </c>
      <c r="DX56" s="26">
        <f t="shared" si="27"/>
        <v>2221.0119981338034</v>
      </c>
      <c r="DY56" s="26">
        <f t="shared" si="27"/>
        <v>2225.4887194635617</v>
      </c>
      <c r="DZ56" s="26">
        <f t="shared" si="27"/>
        <v>2229.9744953361205</v>
      </c>
      <c r="EA56" s="26">
        <f t="shared" si="27"/>
        <v>2234.4693441820414</v>
      </c>
      <c r="EB56" s="26">
        <f t="shared" si="27"/>
        <v>2238.9732844694877</v>
      </c>
      <c r="EC56" s="26">
        <f t="shared" si="27"/>
        <v>2243.4863347043279</v>
      </c>
      <c r="ED56" s="26">
        <f t="shared" si="27"/>
        <v>2248.0085134301753</v>
      </c>
      <c r="EE56" s="26">
        <f t="shared" si="27"/>
        <v>2252.5398392285279</v>
      </c>
      <c r="EF56" s="26">
        <f t="shared" si="27"/>
        <v>2257.080330718778</v>
      </c>
    </row>
    <row r="58" spans="2:136" x14ac:dyDescent="0.45">
      <c r="B58" s="133" t="s">
        <v>17</v>
      </c>
      <c r="C58" s="133"/>
      <c r="D58" s="133"/>
      <c r="E58" s="134" cm="1">
        <f t="array" ref="E58">IFERROR(INDEX('Retail Assumptions'!$L$49:$EO$49,,MATCH(E15,'Retail Assumptions'!$L$5:$EO$5,0)),0)</f>
        <v>0</v>
      </c>
      <c r="F58" s="134" cm="1">
        <f t="array" ref="F58">IFERROR(INDEX('Retail Assumptions'!$L$49:$EO$49,,MATCH(F15,'Retail Assumptions'!$L$5:$EO$5,0)),0)</f>
        <v>0</v>
      </c>
      <c r="G58" s="134" cm="1">
        <f t="array" ref="G58">IFERROR(INDEX('Retail Assumptions'!$L$49:$EO$49,,MATCH(G15,'Retail Assumptions'!$L$5:$EO$5,0)),0)</f>
        <v>0</v>
      </c>
      <c r="H58" s="134" cm="1">
        <f t="array" ref="H58">IFERROR(INDEX('Retail Assumptions'!$L$49:$EO$49,,MATCH(H15,'Retail Assumptions'!$L$5:$EO$5,0)),0)</f>
        <v>0</v>
      </c>
      <c r="I58" s="134" cm="1">
        <f t="array" ref="I58">IFERROR(INDEX('Retail Assumptions'!$L$49:$EO$49,,MATCH(I15,'Retail Assumptions'!$L$5:$EO$5,0)),0)</f>
        <v>0</v>
      </c>
      <c r="J58" s="134" cm="1">
        <f t="array" ref="J58">IFERROR(INDEX('Retail Assumptions'!$L$49:$EO$49,,MATCH(J15,'Retail Assumptions'!$L$5:$EO$5,0)),0)</f>
        <v>0</v>
      </c>
      <c r="K58" s="134" cm="1">
        <f t="array" ref="K58">IFERROR(INDEX('Retail Assumptions'!$L$49:$EO$49,,MATCH(K15,'Retail Assumptions'!$L$5:$EO$5,0)),0)</f>
        <v>0</v>
      </c>
      <c r="L58" s="134" cm="1">
        <f t="array" ref="L58">IFERROR(INDEX('Retail Assumptions'!$L$49:$EO$49,,MATCH(L15,'Retail Assumptions'!$L$5:$EO$5,0)),0)</f>
        <v>0</v>
      </c>
      <c r="M58" s="134" cm="1">
        <f t="array" ref="M58">IFERROR(INDEX('Retail Assumptions'!$L$49:$EO$49,,MATCH(M15,'Retail Assumptions'!$L$5:$EO$5,0)),0)</f>
        <v>0</v>
      </c>
      <c r="N58" s="134" cm="1">
        <f t="array" ref="N58">IFERROR(INDEX('Retail Assumptions'!$L$49:$EO$49,,MATCH(N15,'Retail Assumptions'!$L$5:$EO$5,0)),0)</f>
        <v>0</v>
      </c>
      <c r="O58" s="134" cm="1">
        <f t="array" ref="O58">IFERROR(INDEX('Retail Assumptions'!$L$49:$EO$49,,MATCH(O15,'Retail Assumptions'!$L$5:$EO$5,0)),0)</f>
        <v>0</v>
      </c>
      <c r="P58" s="134" cm="1">
        <f t="array" ref="P58">IFERROR(INDEX('Retail Assumptions'!$L$49:$EO$49,,MATCH(P15,'Retail Assumptions'!$L$5:$EO$5,0)),0)</f>
        <v>0</v>
      </c>
      <c r="Q58" s="134" cm="1">
        <f t="array" ref="Q58">IFERROR(INDEX('Retail Assumptions'!$L$49:$EO$49,,MATCH(Q15,'Retail Assumptions'!$L$5:$EO$5,0)),0)</f>
        <v>0</v>
      </c>
      <c r="R58" s="134" cm="1">
        <f t="array" ref="R58">IFERROR(INDEX('Retail Assumptions'!$L$49:$EO$49,,MATCH(R15,'Retail Assumptions'!$L$5:$EO$5,0)),0)</f>
        <v>0</v>
      </c>
      <c r="S58" s="134" cm="1">
        <f t="array" ref="S58">IFERROR(INDEX('Retail Assumptions'!$L$49:$EO$49,,MATCH(S15,'Retail Assumptions'!$L$5:$EO$5,0)),0)</f>
        <v>0</v>
      </c>
      <c r="T58" s="134" cm="1">
        <f t="array" ref="T58">IFERROR(INDEX('Retail Assumptions'!$L$49:$EO$49,,MATCH(T15,'Retail Assumptions'!$L$5:$EO$5,0)),0)</f>
        <v>0</v>
      </c>
      <c r="U58" s="134" cm="1">
        <f t="array" ref="U58">IFERROR(INDEX('Retail Assumptions'!$L$49:$EO$49,,MATCH(U15,'Retail Assumptions'!$L$5:$EO$5,0)),0)</f>
        <v>0</v>
      </c>
      <c r="V58" s="134" cm="1">
        <f t="array" ref="V58">IFERROR(INDEX('Retail Assumptions'!$L$49:$EO$49,,MATCH(V15,'Retail Assumptions'!$L$5:$EO$5,0)),0)</f>
        <v>0</v>
      </c>
      <c r="W58" s="134" cm="1">
        <f t="array" ref="W58">IFERROR(INDEX('Retail Assumptions'!$L$49:$EO$49,,MATCH(W15,'Retail Assumptions'!$L$5:$EO$5,0)),0)</f>
        <v>0</v>
      </c>
      <c r="X58" s="134" cm="1">
        <f t="array" ref="X58">IFERROR(INDEX('Retail Assumptions'!$L$49:$EO$49,,MATCH(X15,'Retail Assumptions'!$L$5:$EO$5,0)),0)</f>
        <v>0</v>
      </c>
      <c r="Y58" s="134" cm="1">
        <f t="array" ref="Y58">IFERROR(INDEX('Retail Assumptions'!$L$49:$EO$49,,MATCH(Y15,'Retail Assumptions'!$L$5:$EO$5,0)),0)</f>
        <v>0</v>
      </c>
      <c r="Z58" s="134" cm="1">
        <f t="array" ref="Z58">IFERROR(INDEX('Retail Assumptions'!$L$49:$EO$49,,MATCH(Z15,'Retail Assumptions'!$L$5:$EO$5,0)),0)</f>
        <v>0</v>
      </c>
      <c r="AA58" s="134" cm="1">
        <f t="array" ref="AA58">IFERROR(INDEX('Retail Assumptions'!$L$49:$EO$49,,MATCH(AA15,'Retail Assumptions'!$L$5:$EO$5,0)),0)</f>
        <v>0</v>
      </c>
      <c r="AB58" s="134" cm="1">
        <f t="array" ref="AB58">IFERROR(INDEX('Retail Assumptions'!$L$49:$EO$49,,MATCH(AB15,'Retail Assumptions'!$L$5:$EO$5,0)),0)</f>
        <v>0</v>
      </c>
      <c r="AC58" s="134" cm="1">
        <f t="array" ref="AC58">IFERROR(INDEX('Retail Assumptions'!$L$49:$EO$49,,MATCH(AC15,'Retail Assumptions'!$L$5:$EO$5,0)),0)</f>
        <v>0</v>
      </c>
      <c r="AD58" s="134" cm="1">
        <f t="array" ref="AD58">IFERROR(INDEX('Retail Assumptions'!$L$49:$EO$49,,MATCH(AD15,'Retail Assumptions'!$L$5:$EO$5,0)),0)</f>
        <v>0</v>
      </c>
      <c r="AE58" s="134" cm="1">
        <f t="array" ref="AE58">IFERROR(INDEX('Retail Assumptions'!$L$49:$EO$49,,MATCH(AE15,'Retail Assumptions'!$L$5:$EO$5,0)),0)</f>
        <v>0</v>
      </c>
      <c r="AF58" s="134" cm="1">
        <f t="array" ref="AF58">IFERROR(INDEX('Retail Assumptions'!$L$49:$EO$49,,MATCH(AF15,'Retail Assumptions'!$L$5:$EO$5,0)),0)</f>
        <v>0</v>
      </c>
      <c r="AG58" s="134" cm="1">
        <f t="array" ref="AG58">IFERROR(INDEX('Retail Assumptions'!$L$49:$EO$49,,MATCH(AG15,'Retail Assumptions'!$L$5:$EO$5,0)),0)</f>
        <v>0</v>
      </c>
      <c r="AH58" s="134" cm="1">
        <f t="array" ref="AH58">IFERROR(INDEX('Retail Assumptions'!$L$49:$EO$49,,MATCH(AH15,'Retail Assumptions'!$L$5:$EO$5,0)),0)</f>
        <v>0</v>
      </c>
      <c r="AI58" s="134" cm="1">
        <f t="array" ref="AI58">IFERROR(INDEX('Retail Assumptions'!$L$49:$EO$49,,MATCH(AI15,'Retail Assumptions'!$L$5:$EO$5,0)),0)</f>
        <v>0</v>
      </c>
      <c r="AJ58" s="134" cm="1">
        <f t="array" ref="AJ58">IFERROR(INDEX('Retail Assumptions'!$L$49:$EO$49,,MATCH(AJ15,'Retail Assumptions'!$L$5:$EO$5,0)),0)</f>
        <v>0</v>
      </c>
      <c r="AK58" s="134" cm="1">
        <f t="array" ref="AK58">IFERROR(INDEX('Retail Assumptions'!$L$49:$EO$49,,MATCH(AK15,'Retail Assumptions'!$L$5:$EO$5,0)),0)</f>
        <v>0</v>
      </c>
      <c r="AL58" s="134" cm="1">
        <f t="array" ref="AL58">IFERROR(INDEX('Retail Assumptions'!$L$49:$EO$49,,MATCH(AL15,'Retail Assumptions'!$L$5:$EO$5,0)),0)</f>
        <v>0</v>
      </c>
      <c r="AM58" s="134" cm="1">
        <f t="array" ref="AM58">IFERROR(INDEX('Retail Assumptions'!$L$49:$EO$49,,MATCH(AM15,'Retail Assumptions'!$L$5:$EO$5,0)),0)</f>
        <v>0</v>
      </c>
      <c r="AN58" s="134" cm="1">
        <f t="array" ref="AN58">IFERROR(INDEX('Retail Assumptions'!$L$49:$EO$49,,MATCH(AN15,'Retail Assumptions'!$L$5:$EO$5,0)),0)</f>
        <v>0</v>
      </c>
      <c r="AO58" s="134" cm="1">
        <f t="array" ref="AO58">IFERROR(INDEX('Retail Assumptions'!$L$49:$EO$49,,MATCH(AO15,'Retail Assumptions'!$L$5:$EO$5,0)),0)</f>
        <v>0</v>
      </c>
      <c r="AP58" s="134" cm="1">
        <f t="array" ref="AP58">IFERROR(INDEX('Retail Assumptions'!$L$49:$EO$49,,MATCH(AP15,'Retail Assumptions'!$L$5:$EO$5,0)),0)</f>
        <v>0</v>
      </c>
      <c r="AQ58" s="134" cm="1">
        <f t="array" ref="AQ58">IFERROR(INDEX('Retail Assumptions'!$L$49:$EO$49,,MATCH(AQ15,'Retail Assumptions'!$L$5:$EO$5,0)),0)</f>
        <v>0</v>
      </c>
      <c r="AR58" s="134" cm="1">
        <f t="array" ref="AR58">IFERROR(INDEX('Retail Assumptions'!$L$49:$EO$49,,MATCH(AR15,'Retail Assumptions'!$L$5:$EO$5,0)),0)</f>
        <v>0</v>
      </c>
      <c r="AS58" s="134" cm="1">
        <f t="array" ref="AS58">IFERROR(INDEX('Retail Assumptions'!$L$49:$EO$49,,MATCH(AS15,'Retail Assumptions'!$L$5:$EO$5,0)),0)</f>
        <v>0</v>
      </c>
      <c r="AT58" s="134" cm="1">
        <f t="array" ref="AT58">IFERROR(INDEX('Retail Assumptions'!$L$49:$EO$49,,MATCH(AT15,'Retail Assumptions'!$L$5:$EO$5,0)),0)</f>
        <v>0</v>
      </c>
      <c r="AU58" s="134" cm="1">
        <f t="array" ref="AU58">IFERROR(INDEX('Retail Assumptions'!$L$49:$EO$49,,MATCH(AU15,'Retail Assumptions'!$L$5:$EO$5,0)),0)</f>
        <v>0</v>
      </c>
      <c r="AV58" s="134" cm="1">
        <f t="array" ref="AV58">IFERROR(INDEX('Retail Assumptions'!$L$49:$EO$49,,MATCH(AV15,'Retail Assumptions'!$L$5:$EO$5,0)),0)</f>
        <v>0</v>
      </c>
      <c r="AW58" s="134" cm="1">
        <f t="array" ref="AW58">IFERROR(INDEX('Retail Assumptions'!$L$49:$EO$49,,MATCH(AW15,'Retail Assumptions'!$L$5:$EO$5,0)),0)</f>
        <v>0</v>
      </c>
      <c r="AX58" s="134" cm="1">
        <f t="array" ref="AX58">IFERROR(INDEX('Retail Assumptions'!$L$49:$EO$49,,MATCH(AX15,'Retail Assumptions'!$L$5:$EO$5,0)),0)</f>
        <v>0</v>
      </c>
      <c r="AY58" s="134" cm="1">
        <f t="array" ref="AY58">IFERROR(INDEX('Retail Assumptions'!$L$49:$EO$49,,MATCH(AY15,'Retail Assumptions'!$L$5:$EO$5,0)),0)</f>
        <v>0</v>
      </c>
      <c r="AZ58" s="134" cm="1">
        <f t="array" ref="AZ58">IFERROR(INDEX('Retail Assumptions'!$L$49:$EO$49,,MATCH(AZ15,'Retail Assumptions'!$L$5:$EO$5,0)),0)</f>
        <v>0</v>
      </c>
      <c r="BA58" s="134" cm="1">
        <f t="array" ref="BA58">IFERROR(INDEX('Retail Assumptions'!$L$49:$EO$49,,MATCH(BA15,'Retail Assumptions'!$L$5:$EO$5,0)),0)</f>
        <v>0</v>
      </c>
      <c r="BB58" s="134" cm="1">
        <f t="array" ref="BB58">IFERROR(INDEX('Retail Assumptions'!$L$49:$EO$49,,MATCH(BB15,'Retail Assumptions'!$L$5:$EO$5,0)),0)</f>
        <v>0</v>
      </c>
      <c r="BC58" s="134" cm="1">
        <f t="array" ref="BC58">IFERROR(INDEX('Retail Assumptions'!$L$49:$EO$49,,MATCH(BC15,'Retail Assumptions'!$L$5:$EO$5,0)),0)</f>
        <v>0</v>
      </c>
      <c r="BD58" s="134" cm="1">
        <f t="array" ref="BD58">IFERROR(INDEX('Retail Assumptions'!$L$49:$EO$49,,MATCH(BD15,'Retail Assumptions'!$L$5:$EO$5,0)),0)</f>
        <v>0</v>
      </c>
      <c r="BE58" s="134" cm="1">
        <f t="array" ref="BE58">IFERROR(INDEX('Retail Assumptions'!$L$49:$EO$49,,MATCH(BE15,'Retail Assumptions'!$L$5:$EO$5,0)),0)</f>
        <v>0</v>
      </c>
      <c r="BF58" s="134" cm="1">
        <f t="array" ref="BF58">IFERROR(INDEX('Retail Assumptions'!$L$49:$EO$49,,MATCH(BF15,'Retail Assumptions'!$L$5:$EO$5,0)),0)</f>
        <v>0</v>
      </c>
      <c r="BG58" s="134" cm="1">
        <f t="array" ref="BG58">IFERROR(INDEX('Retail Assumptions'!$L$49:$EO$49,,MATCH(BG15,'Retail Assumptions'!$L$5:$EO$5,0)),0)</f>
        <v>0</v>
      </c>
      <c r="BH58" s="134" cm="1">
        <f t="array" ref="BH58">IFERROR(INDEX('Retail Assumptions'!$L$49:$EO$49,,MATCH(BH15,'Retail Assumptions'!$L$5:$EO$5,0)),0)</f>
        <v>0</v>
      </c>
      <c r="BI58" s="134" cm="1">
        <f t="array" ref="BI58">IFERROR(INDEX('Retail Assumptions'!$L$49:$EO$49,,MATCH(BI15,'Retail Assumptions'!$L$5:$EO$5,0)),0)</f>
        <v>0</v>
      </c>
      <c r="BJ58" s="134" cm="1">
        <f t="array" ref="BJ58">IFERROR(INDEX('Retail Assumptions'!$L$49:$EO$49,,MATCH(BJ15,'Retail Assumptions'!$L$5:$EO$5,0)),0)</f>
        <v>0</v>
      </c>
      <c r="BK58" s="134" cm="1">
        <f t="array" ref="BK58">IFERROR(INDEX('Retail Assumptions'!$L$49:$EO$49,,MATCH(BK15,'Retail Assumptions'!$L$5:$EO$5,0)),0)</f>
        <v>0</v>
      </c>
      <c r="BL58" s="134" cm="1">
        <f t="array" ref="BL58">IFERROR(INDEX('Retail Assumptions'!$L$49:$EO$49,,MATCH(BL15,'Retail Assumptions'!$L$5:$EO$5,0)),0)</f>
        <v>0</v>
      </c>
      <c r="BM58" s="134" cm="1">
        <f t="array" ref="BM58">IFERROR(INDEX('Retail Assumptions'!$L$49:$EO$49,,MATCH(BM15,'Retail Assumptions'!$L$5:$EO$5,0)),0)</f>
        <v>0</v>
      </c>
      <c r="BN58" s="134" cm="1">
        <f t="array" ref="BN58">IFERROR(INDEX('Retail Assumptions'!$L$49:$EO$49,,MATCH(BN15,'Retail Assumptions'!$L$5:$EO$5,0)),0)</f>
        <v>0</v>
      </c>
      <c r="BO58" s="134" cm="1">
        <f t="array" ref="BO58">IFERROR(INDEX('Retail Assumptions'!$L$49:$EO$49,,MATCH(BO15,'Retail Assumptions'!$L$5:$EO$5,0)),0)</f>
        <v>0</v>
      </c>
      <c r="BP58" s="134" cm="1">
        <f t="array" ref="BP58">IFERROR(INDEX('Retail Assumptions'!$L$49:$EO$49,,MATCH(BP15,'Retail Assumptions'!$L$5:$EO$5,0)),0)</f>
        <v>0</v>
      </c>
      <c r="BQ58" s="134" cm="1">
        <f t="array" ref="BQ58">IFERROR(INDEX('Retail Assumptions'!$L$49:$EO$49,,MATCH(BQ15,'Retail Assumptions'!$L$5:$EO$5,0)),0)</f>
        <v>0</v>
      </c>
      <c r="BR58" s="134" cm="1">
        <f t="array" ref="BR58">IFERROR(INDEX('Retail Assumptions'!$L$49:$EO$49,,MATCH(BR15,'Retail Assumptions'!$L$5:$EO$5,0)),0)</f>
        <v>0</v>
      </c>
      <c r="BS58" s="134" cm="1">
        <f t="array" ref="BS58">IFERROR(INDEX('Retail Assumptions'!$L$49:$EO$49,,MATCH(BS15,'Retail Assumptions'!$L$5:$EO$5,0)),0)</f>
        <v>0</v>
      </c>
      <c r="BT58" s="134" cm="1">
        <f t="array" ref="BT58">IFERROR(INDEX('Retail Assumptions'!$L$49:$EO$49,,MATCH(BT15,'Retail Assumptions'!$L$5:$EO$5,0)),0)</f>
        <v>0</v>
      </c>
      <c r="BU58" s="134" cm="1">
        <f t="array" ref="BU58">IFERROR(INDEX('Retail Assumptions'!$L$49:$EO$49,,MATCH(BU15,'Retail Assumptions'!$L$5:$EO$5,0)),0)</f>
        <v>0</v>
      </c>
      <c r="BV58" s="134" cm="1">
        <f t="array" ref="BV58">IFERROR(INDEX('Retail Assumptions'!$L$49:$EO$49,,MATCH(BV15,'Retail Assumptions'!$L$5:$EO$5,0)),0)</f>
        <v>0</v>
      </c>
      <c r="BW58" s="134" cm="1">
        <f t="array" ref="BW58">IFERROR(INDEX('Retail Assumptions'!$L$49:$EO$49,,MATCH(BW15,'Retail Assumptions'!$L$5:$EO$5,0)),0)</f>
        <v>0</v>
      </c>
      <c r="BX58" s="134" cm="1">
        <f t="array" ref="BX58">IFERROR(INDEX('Retail Assumptions'!$L$49:$EO$49,,MATCH(BX15,'Retail Assumptions'!$L$5:$EO$5,0)),0)</f>
        <v>0</v>
      </c>
      <c r="BY58" s="134" cm="1">
        <f t="array" ref="BY58">IFERROR(INDEX('Retail Assumptions'!$L$49:$EO$49,,MATCH(BY15,'Retail Assumptions'!$L$5:$EO$5,0)),0)</f>
        <v>0</v>
      </c>
      <c r="BZ58" s="134" cm="1">
        <f t="array" ref="BZ58">IFERROR(INDEX('Retail Assumptions'!$L$49:$EO$49,,MATCH(BZ15,'Retail Assumptions'!$L$5:$EO$5,0)),0)</f>
        <v>0</v>
      </c>
      <c r="CA58" s="134" cm="1">
        <f t="array" ref="CA58">IFERROR(INDEX('Retail Assumptions'!$L$49:$EO$49,,MATCH(CA15,'Retail Assumptions'!$L$5:$EO$5,0)),0)</f>
        <v>0</v>
      </c>
      <c r="CB58" s="134" cm="1">
        <f t="array" ref="CB58">IFERROR(INDEX('Retail Assumptions'!$L$49:$EO$49,,MATCH(CB15,'Retail Assumptions'!$L$5:$EO$5,0)),0)</f>
        <v>0</v>
      </c>
      <c r="CC58" s="134" cm="1">
        <f t="array" ref="CC58">IFERROR(INDEX('Retail Assumptions'!$L$49:$EO$49,,MATCH(CC15,'Retail Assumptions'!$L$5:$EO$5,0)),0)</f>
        <v>0</v>
      </c>
      <c r="CD58" s="134" cm="1">
        <f t="array" ref="CD58">IFERROR(INDEX('Retail Assumptions'!$L$49:$EO$49,,MATCH(CD15,'Retail Assumptions'!$L$5:$EO$5,0)),0)</f>
        <v>0</v>
      </c>
      <c r="CE58" s="134" cm="1">
        <f t="array" ref="CE58">IFERROR(INDEX('Retail Assumptions'!$L$49:$EO$49,,MATCH(CE15,'Retail Assumptions'!$L$5:$EO$5,0)),0)</f>
        <v>0</v>
      </c>
      <c r="CF58" s="134" cm="1">
        <f t="array" ref="CF58">IFERROR(INDEX('Retail Assumptions'!$L$49:$EO$49,,MATCH(CF15,'Retail Assumptions'!$L$5:$EO$5,0)),0)</f>
        <v>0</v>
      </c>
      <c r="CG58" s="134" cm="1">
        <f t="array" ref="CG58">IFERROR(INDEX('Retail Assumptions'!$L$49:$EO$49,,MATCH(CG15,'Retail Assumptions'!$L$5:$EO$5,0)),0)</f>
        <v>0</v>
      </c>
      <c r="CH58" s="134" cm="1">
        <f t="array" ref="CH58">IFERROR(INDEX('Retail Assumptions'!$L$49:$EO$49,,MATCH(CH15,'Retail Assumptions'!$L$5:$EO$5,0)),0)</f>
        <v>0</v>
      </c>
      <c r="CI58" s="134" cm="1">
        <f t="array" ref="CI58">IFERROR(INDEX('Retail Assumptions'!$L$49:$EO$49,,MATCH(CI15,'Retail Assumptions'!$L$5:$EO$5,0)),0)</f>
        <v>0</v>
      </c>
      <c r="CJ58" s="134" cm="1">
        <f t="array" ref="CJ58">IFERROR(INDEX('Retail Assumptions'!$L$49:$EO$49,,MATCH(CJ15,'Retail Assumptions'!$L$5:$EO$5,0)),0)</f>
        <v>0</v>
      </c>
      <c r="CK58" s="134" cm="1">
        <f t="array" ref="CK58">IFERROR(INDEX('Retail Assumptions'!$L$49:$EO$49,,MATCH(CK15,'Retail Assumptions'!$L$5:$EO$5,0)),0)</f>
        <v>0</v>
      </c>
      <c r="CL58" s="134" cm="1">
        <f t="array" ref="CL58">IFERROR(INDEX('Retail Assumptions'!$L$49:$EO$49,,MATCH(CL15,'Retail Assumptions'!$L$5:$EO$5,0)),0)</f>
        <v>0</v>
      </c>
      <c r="CM58" s="134" cm="1">
        <f t="array" ref="CM58">IFERROR(INDEX('Retail Assumptions'!$L$49:$EO$49,,MATCH(CM15,'Retail Assumptions'!$L$5:$EO$5,0)),0)</f>
        <v>0</v>
      </c>
      <c r="CN58" s="134" cm="1">
        <f t="array" ref="CN58">IFERROR(INDEX('Retail Assumptions'!$L$49:$EO$49,,MATCH(CN15,'Retail Assumptions'!$L$5:$EO$5,0)),0)</f>
        <v>0</v>
      </c>
      <c r="CO58" s="134" cm="1">
        <f t="array" ref="CO58">IFERROR(INDEX('Retail Assumptions'!$L$49:$EO$49,,MATCH(CO15,'Retail Assumptions'!$L$5:$EO$5,0)),0)</f>
        <v>0</v>
      </c>
      <c r="CP58" s="134" cm="1">
        <f t="array" ref="CP58">IFERROR(INDEX('Retail Assumptions'!$L$49:$EO$49,,MATCH(CP15,'Retail Assumptions'!$L$5:$EO$5,0)),0)</f>
        <v>0</v>
      </c>
      <c r="CQ58" s="134" cm="1">
        <f t="array" ref="CQ58">IFERROR(INDEX('Retail Assumptions'!$L$49:$EO$49,,MATCH(CQ15,'Retail Assumptions'!$L$5:$EO$5,0)),0)</f>
        <v>0</v>
      </c>
      <c r="CR58" s="134" cm="1">
        <f t="array" ref="CR58">IFERROR(INDEX('Retail Assumptions'!$L$49:$EO$49,,MATCH(CR15,'Retail Assumptions'!$L$5:$EO$5,0)),0)</f>
        <v>0</v>
      </c>
      <c r="CS58" s="134" cm="1">
        <f t="array" ref="CS58">IFERROR(INDEX('Retail Assumptions'!$L$49:$EO$49,,MATCH(CS15,'Retail Assumptions'!$L$5:$EO$5,0)),0)</f>
        <v>0</v>
      </c>
      <c r="CT58" s="134" cm="1">
        <f t="array" ref="CT58">IFERROR(INDEX('Retail Assumptions'!$L$49:$EO$49,,MATCH(CT15,'Retail Assumptions'!$L$5:$EO$5,0)),0)</f>
        <v>0</v>
      </c>
      <c r="CU58" s="134" cm="1">
        <f t="array" ref="CU58">IFERROR(INDEX('Retail Assumptions'!$L$49:$EO$49,,MATCH(CU15,'Retail Assumptions'!$L$5:$EO$5,0)),0)</f>
        <v>0</v>
      </c>
      <c r="CV58" s="134" cm="1">
        <f t="array" ref="CV58">IFERROR(INDEX('Retail Assumptions'!$L$49:$EO$49,,MATCH(CV15,'Retail Assumptions'!$L$5:$EO$5,0)),0)</f>
        <v>0</v>
      </c>
      <c r="CW58" s="134" cm="1">
        <f t="array" ref="CW58">IFERROR(INDEX('Retail Assumptions'!$L$49:$EO$49,,MATCH(CW15,'Retail Assumptions'!$L$5:$EO$5,0)),0)</f>
        <v>0</v>
      </c>
      <c r="CX58" s="134" cm="1">
        <f t="array" ref="CX58">IFERROR(INDEX('Retail Assumptions'!$L$49:$EO$49,,MATCH(CX15,'Retail Assumptions'!$L$5:$EO$5,0)),0)</f>
        <v>0</v>
      </c>
      <c r="CY58" s="134" cm="1">
        <f t="array" ref="CY58">IFERROR(INDEX('Retail Assumptions'!$L$49:$EO$49,,MATCH(CY15,'Retail Assumptions'!$L$5:$EO$5,0)),0)</f>
        <v>0</v>
      </c>
      <c r="CZ58" s="134" cm="1">
        <f t="array" ref="CZ58">IFERROR(INDEX('Retail Assumptions'!$L$49:$EO$49,,MATCH(CZ15,'Retail Assumptions'!$L$5:$EO$5,0)),0)</f>
        <v>0</v>
      </c>
      <c r="DA58" s="134" cm="1">
        <f t="array" ref="DA58">IFERROR(INDEX('Retail Assumptions'!$L$49:$EO$49,,MATCH(DA15,'Retail Assumptions'!$L$5:$EO$5,0)),0)</f>
        <v>0</v>
      </c>
      <c r="DB58" s="134" cm="1">
        <f t="array" ref="DB58">IFERROR(INDEX('Retail Assumptions'!$L$49:$EO$49,,MATCH(DB15,'Retail Assumptions'!$L$5:$EO$5,0)),0)</f>
        <v>0</v>
      </c>
      <c r="DC58" s="134" cm="1">
        <f t="array" ref="DC58">IFERROR(INDEX('Retail Assumptions'!$L$49:$EO$49,,MATCH(DC15,'Retail Assumptions'!$L$5:$EO$5,0)),0)</f>
        <v>0</v>
      </c>
      <c r="DD58" s="134" cm="1">
        <f t="array" ref="DD58">IFERROR(INDEX('Retail Assumptions'!$L$49:$EO$49,,MATCH(DD15,'Retail Assumptions'!$L$5:$EO$5,0)),0)</f>
        <v>0</v>
      </c>
      <c r="DE58" s="134" cm="1">
        <f t="array" ref="DE58">IFERROR(INDEX('Retail Assumptions'!$L$49:$EO$49,,MATCH(DE15,'Retail Assumptions'!$L$5:$EO$5,0)),0)</f>
        <v>0</v>
      </c>
      <c r="DF58" s="134" cm="1">
        <f t="array" ref="DF58">IFERROR(INDEX('Retail Assumptions'!$L$49:$EO$49,,MATCH(DF15,'Retail Assumptions'!$L$5:$EO$5,0)),0)</f>
        <v>0</v>
      </c>
      <c r="DG58" s="134" cm="1">
        <f t="array" ref="DG58">IFERROR(INDEX('Retail Assumptions'!$L$49:$EO$49,,MATCH(DG15,'Retail Assumptions'!$L$5:$EO$5,0)),0)</f>
        <v>0</v>
      </c>
      <c r="DH58" s="134" cm="1">
        <f t="array" ref="DH58">IFERROR(INDEX('Retail Assumptions'!$L$49:$EO$49,,MATCH(DH15,'Retail Assumptions'!$L$5:$EO$5,0)),0)</f>
        <v>0</v>
      </c>
      <c r="DI58" s="134" cm="1">
        <f t="array" ref="DI58">IFERROR(INDEX('Retail Assumptions'!$L$49:$EO$49,,MATCH(DI15,'Retail Assumptions'!$L$5:$EO$5,0)),0)</f>
        <v>0</v>
      </c>
      <c r="DJ58" s="134" cm="1">
        <f t="array" ref="DJ58">IFERROR(INDEX('Retail Assumptions'!$L$49:$EO$49,,MATCH(DJ15,'Retail Assumptions'!$L$5:$EO$5,0)),0)</f>
        <v>0</v>
      </c>
      <c r="DK58" s="134" cm="1">
        <f t="array" ref="DK58">IFERROR(INDEX('Retail Assumptions'!$L$49:$EO$49,,MATCH(DK15,'Retail Assumptions'!$L$5:$EO$5,0)),0)</f>
        <v>0</v>
      </c>
      <c r="DL58" s="134" cm="1">
        <f t="array" ref="DL58">IFERROR(INDEX('Retail Assumptions'!$L$49:$EO$49,,MATCH(DL15,'Retail Assumptions'!$L$5:$EO$5,0)),0)</f>
        <v>0</v>
      </c>
      <c r="DM58" s="134" cm="1">
        <f t="array" ref="DM58">IFERROR(INDEX('Retail Assumptions'!$L$49:$EO$49,,MATCH(DM15,'Retail Assumptions'!$L$5:$EO$5,0)),0)</f>
        <v>0</v>
      </c>
      <c r="DN58" s="134" cm="1">
        <f t="array" ref="DN58">IFERROR(INDEX('Retail Assumptions'!$L$49:$EO$49,,MATCH(DN15,'Retail Assumptions'!$L$5:$EO$5,0)),0)</f>
        <v>0</v>
      </c>
      <c r="DO58" s="134" cm="1">
        <f t="array" ref="DO58">IFERROR(INDEX('Retail Assumptions'!$L$49:$EO$49,,MATCH(DO15,'Retail Assumptions'!$L$5:$EO$5,0)),0)</f>
        <v>0</v>
      </c>
      <c r="DP58" s="134" cm="1">
        <f t="array" ref="DP58">IFERROR(INDEX('Retail Assumptions'!$L$49:$EO$49,,MATCH(DP15,'Retail Assumptions'!$L$5:$EO$5,0)),0)</f>
        <v>0</v>
      </c>
      <c r="DQ58" s="134" cm="1">
        <f t="array" ref="DQ58">IFERROR(INDEX('Retail Assumptions'!$L$49:$EO$49,,MATCH(DQ15,'Retail Assumptions'!$L$5:$EO$5,0)),0)</f>
        <v>0</v>
      </c>
      <c r="DR58" s="134" cm="1">
        <f t="array" ref="DR58">IFERROR(INDEX('Retail Assumptions'!$L$49:$EO$49,,MATCH(DR15,'Retail Assumptions'!$L$5:$EO$5,0)),0)</f>
        <v>0</v>
      </c>
      <c r="DS58" s="134" cm="1">
        <f t="array" ref="DS58">IFERROR(INDEX('Retail Assumptions'!$L$49:$EO$49,,MATCH(DS15,'Retail Assumptions'!$L$5:$EO$5,0)),0)</f>
        <v>0</v>
      </c>
      <c r="DT58" s="134" cm="1">
        <f t="array" ref="DT58">IFERROR(INDEX('Retail Assumptions'!$L$49:$EO$49,,MATCH(DT15,'Retail Assumptions'!$L$5:$EO$5,0)),0)</f>
        <v>0</v>
      </c>
      <c r="DU58" s="134" cm="1">
        <f t="array" ref="DU58">IFERROR(INDEX('Retail Assumptions'!$L$49:$EO$49,,MATCH(DU15,'Retail Assumptions'!$L$5:$EO$5,0)),0)</f>
        <v>0</v>
      </c>
      <c r="DV58" s="134" cm="1">
        <f t="array" ref="DV58">IFERROR(INDEX('Retail Assumptions'!$L$49:$EO$49,,MATCH(DV15,'Retail Assumptions'!$L$5:$EO$5,0)),0)</f>
        <v>0</v>
      </c>
      <c r="DW58" s="134" cm="1">
        <f t="array" ref="DW58">IFERROR(INDEX('Retail Assumptions'!$L$49:$EO$49,,MATCH(DW15,'Retail Assumptions'!$L$5:$EO$5,0)),0)</f>
        <v>0</v>
      </c>
      <c r="DX58" s="134" cm="1">
        <f t="array" ref="DX58">IFERROR(INDEX('Retail Assumptions'!$L$49:$EO$49,,MATCH(DX15,'Retail Assumptions'!$L$5:$EO$5,0)),0)</f>
        <v>0</v>
      </c>
      <c r="DY58" s="134" cm="1">
        <f t="array" ref="DY58">IFERROR(INDEX('Retail Assumptions'!$L$49:$EO$49,,MATCH(DY15,'Retail Assumptions'!$L$5:$EO$5,0)),0)</f>
        <v>0</v>
      </c>
      <c r="DZ58" s="134" cm="1">
        <f t="array" ref="DZ58">IFERROR(INDEX('Retail Assumptions'!$L$49:$EO$49,,MATCH(DZ15,'Retail Assumptions'!$L$5:$EO$5,0)),0)</f>
        <v>0</v>
      </c>
      <c r="EA58" s="134" cm="1">
        <f t="array" ref="EA58">IFERROR(INDEX('Retail Assumptions'!$L$49:$EO$49,,MATCH(EA15,'Retail Assumptions'!$L$5:$EO$5,0)),0)</f>
        <v>0</v>
      </c>
      <c r="EB58" s="134" cm="1">
        <f t="array" ref="EB58">IFERROR(INDEX('Retail Assumptions'!$L$49:$EO$49,,MATCH(EB15,'Retail Assumptions'!$L$5:$EO$5,0)),0)</f>
        <v>0</v>
      </c>
      <c r="EC58" s="134" cm="1">
        <f t="array" ref="EC58">IFERROR(INDEX('Retail Assumptions'!$L$49:$EO$49,,MATCH(EC15,'Retail Assumptions'!$L$5:$EO$5,0)),0)</f>
        <v>0</v>
      </c>
      <c r="ED58" s="134" cm="1">
        <f t="array" ref="ED58">IFERROR(INDEX('Retail Assumptions'!$L$49:$EO$49,,MATCH(ED15,'Retail Assumptions'!$L$5:$EO$5,0)),0)</f>
        <v>0</v>
      </c>
      <c r="EE58" s="134" cm="1">
        <f t="array" ref="EE58">IFERROR(INDEX('Retail Assumptions'!$L$49:$EO$49,,MATCH(EE15,'Retail Assumptions'!$L$5:$EO$5,0)),0)</f>
        <v>0</v>
      </c>
      <c r="EF58" s="134" cm="1">
        <f t="array" ref="EF58">IFERROR(INDEX('Retail Assumptions'!$L$49:$EO$49,,MATCH(EF15,'Retail Assumptions'!$L$5:$EO$5,0)),0)</f>
        <v>0</v>
      </c>
    </row>
    <row r="59" spans="2:136" x14ac:dyDescent="0.45">
      <c r="B59" s="1" t="s">
        <v>160</v>
      </c>
      <c r="E59" s="24">
        <f t="shared" ref="E59:AJ59" si="28">SUM(F58:Q58)</f>
        <v>0</v>
      </c>
      <c r="F59" s="24">
        <f t="shared" si="28"/>
        <v>0</v>
      </c>
      <c r="G59" s="24">
        <f t="shared" si="28"/>
        <v>0</v>
      </c>
      <c r="H59" s="24">
        <f t="shared" si="28"/>
        <v>0</v>
      </c>
      <c r="I59" s="24">
        <f t="shared" si="28"/>
        <v>0</v>
      </c>
      <c r="J59" s="24">
        <f t="shared" si="28"/>
        <v>0</v>
      </c>
      <c r="K59" s="24">
        <f t="shared" si="28"/>
        <v>0</v>
      </c>
      <c r="L59" s="24">
        <f t="shared" si="28"/>
        <v>0</v>
      </c>
      <c r="M59" s="24">
        <f t="shared" si="28"/>
        <v>0</v>
      </c>
      <c r="N59" s="24">
        <f t="shared" si="28"/>
        <v>0</v>
      </c>
      <c r="O59" s="24">
        <f t="shared" si="28"/>
        <v>0</v>
      </c>
      <c r="P59" s="24">
        <f t="shared" si="28"/>
        <v>0</v>
      </c>
      <c r="Q59" s="24">
        <f t="shared" si="28"/>
        <v>0</v>
      </c>
      <c r="R59" s="24">
        <f t="shared" si="28"/>
        <v>0</v>
      </c>
      <c r="S59" s="24">
        <f t="shared" si="28"/>
        <v>0</v>
      </c>
      <c r="T59" s="24">
        <f t="shared" si="28"/>
        <v>0</v>
      </c>
      <c r="U59" s="24">
        <f t="shared" si="28"/>
        <v>0</v>
      </c>
      <c r="V59" s="24">
        <f t="shared" si="28"/>
        <v>0</v>
      </c>
      <c r="W59" s="24">
        <f t="shared" si="28"/>
        <v>0</v>
      </c>
      <c r="X59" s="24">
        <f t="shared" si="28"/>
        <v>0</v>
      </c>
      <c r="Y59" s="24">
        <f t="shared" si="28"/>
        <v>0</v>
      </c>
      <c r="Z59" s="24">
        <f t="shared" si="28"/>
        <v>0</v>
      </c>
      <c r="AA59" s="24">
        <f t="shared" si="28"/>
        <v>0</v>
      </c>
      <c r="AB59" s="24">
        <f t="shared" si="28"/>
        <v>0</v>
      </c>
      <c r="AC59" s="24">
        <f t="shared" si="28"/>
        <v>0</v>
      </c>
      <c r="AD59" s="24">
        <f t="shared" si="28"/>
        <v>0</v>
      </c>
      <c r="AE59" s="24">
        <f t="shared" si="28"/>
        <v>0</v>
      </c>
      <c r="AF59" s="24">
        <f t="shared" si="28"/>
        <v>0</v>
      </c>
      <c r="AG59" s="24">
        <f t="shared" si="28"/>
        <v>0</v>
      </c>
      <c r="AH59" s="24">
        <f t="shared" si="28"/>
        <v>0</v>
      </c>
      <c r="AI59" s="24">
        <f t="shared" si="28"/>
        <v>0</v>
      </c>
      <c r="AJ59" s="24">
        <f t="shared" si="28"/>
        <v>0</v>
      </c>
      <c r="AK59" s="24">
        <f t="shared" ref="AK59:BP59" si="29">SUM(AL58:AW58)</f>
        <v>0</v>
      </c>
      <c r="AL59" s="24">
        <f t="shared" si="29"/>
        <v>0</v>
      </c>
      <c r="AM59" s="24">
        <f t="shared" si="29"/>
        <v>0</v>
      </c>
      <c r="AN59" s="24">
        <f t="shared" si="29"/>
        <v>0</v>
      </c>
      <c r="AO59" s="24">
        <f t="shared" si="29"/>
        <v>0</v>
      </c>
      <c r="AP59" s="24">
        <f t="shared" si="29"/>
        <v>0</v>
      </c>
      <c r="AQ59" s="24">
        <f t="shared" si="29"/>
        <v>0</v>
      </c>
      <c r="AR59" s="24">
        <f t="shared" si="29"/>
        <v>0</v>
      </c>
      <c r="AS59" s="24">
        <f t="shared" si="29"/>
        <v>0</v>
      </c>
      <c r="AT59" s="24">
        <f t="shared" si="29"/>
        <v>0</v>
      </c>
      <c r="AU59" s="24">
        <f t="shared" si="29"/>
        <v>0</v>
      </c>
      <c r="AV59" s="24">
        <f t="shared" si="29"/>
        <v>0</v>
      </c>
      <c r="AW59" s="24">
        <f t="shared" si="29"/>
        <v>0</v>
      </c>
      <c r="AX59" s="24">
        <f t="shared" si="29"/>
        <v>0</v>
      </c>
      <c r="AY59" s="24">
        <f t="shared" si="29"/>
        <v>0</v>
      </c>
      <c r="AZ59" s="24">
        <f t="shared" si="29"/>
        <v>0</v>
      </c>
      <c r="BA59" s="24">
        <f t="shared" si="29"/>
        <v>0</v>
      </c>
      <c r="BB59" s="24">
        <f t="shared" si="29"/>
        <v>0</v>
      </c>
      <c r="BC59" s="24">
        <f t="shared" si="29"/>
        <v>0</v>
      </c>
      <c r="BD59" s="24">
        <f t="shared" si="29"/>
        <v>0</v>
      </c>
      <c r="BE59" s="24">
        <f t="shared" si="29"/>
        <v>0</v>
      </c>
      <c r="BF59" s="24">
        <f t="shared" si="29"/>
        <v>0</v>
      </c>
      <c r="BG59" s="24">
        <f t="shared" si="29"/>
        <v>0</v>
      </c>
      <c r="BH59" s="24">
        <f t="shared" si="29"/>
        <v>0</v>
      </c>
      <c r="BI59" s="24">
        <f t="shared" si="29"/>
        <v>0</v>
      </c>
      <c r="BJ59" s="24">
        <f t="shared" si="29"/>
        <v>0</v>
      </c>
      <c r="BK59" s="24">
        <f t="shared" si="29"/>
        <v>0</v>
      </c>
      <c r="BL59" s="24">
        <f t="shared" si="29"/>
        <v>0</v>
      </c>
      <c r="BM59" s="24">
        <f t="shared" si="29"/>
        <v>0</v>
      </c>
      <c r="BN59" s="24">
        <f t="shared" si="29"/>
        <v>0</v>
      </c>
      <c r="BO59" s="24">
        <f t="shared" si="29"/>
        <v>0</v>
      </c>
      <c r="BP59" s="24">
        <f t="shared" si="29"/>
        <v>0</v>
      </c>
      <c r="BQ59" s="24">
        <f t="shared" ref="BQ59:CJ59" si="30">SUM(BR58:CC58)</f>
        <v>0</v>
      </c>
      <c r="BR59" s="24">
        <f t="shared" si="30"/>
        <v>0</v>
      </c>
      <c r="BS59" s="24">
        <f t="shared" si="30"/>
        <v>0</v>
      </c>
      <c r="BT59" s="24">
        <f t="shared" si="30"/>
        <v>0</v>
      </c>
      <c r="BU59" s="24">
        <f t="shared" si="30"/>
        <v>0</v>
      </c>
      <c r="BV59" s="24">
        <f t="shared" si="30"/>
        <v>0</v>
      </c>
      <c r="BW59" s="24">
        <f t="shared" si="30"/>
        <v>0</v>
      </c>
      <c r="BX59" s="24">
        <f t="shared" si="30"/>
        <v>0</v>
      </c>
      <c r="BY59" s="24">
        <f t="shared" si="30"/>
        <v>0</v>
      </c>
      <c r="BZ59" s="24">
        <f t="shared" si="30"/>
        <v>0</v>
      </c>
      <c r="CA59" s="24">
        <f t="shared" si="30"/>
        <v>0</v>
      </c>
      <c r="CB59" s="24">
        <f t="shared" si="30"/>
        <v>0</v>
      </c>
      <c r="CC59" s="24">
        <f t="shared" si="30"/>
        <v>0</v>
      </c>
      <c r="CD59" s="24">
        <f t="shared" si="30"/>
        <v>0</v>
      </c>
      <c r="CE59" s="24">
        <f t="shared" si="30"/>
        <v>0</v>
      </c>
      <c r="CF59" s="24">
        <f t="shared" si="30"/>
        <v>0</v>
      </c>
      <c r="CG59" s="24">
        <f t="shared" si="30"/>
        <v>0</v>
      </c>
      <c r="CH59" s="24">
        <f t="shared" si="30"/>
        <v>0</v>
      </c>
      <c r="CI59" s="24">
        <f t="shared" si="30"/>
        <v>0</v>
      </c>
      <c r="CJ59" s="24">
        <f t="shared" si="30"/>
        <v>0</v>
      </c>
      <c r="CK59" s="24">
        <f t="shared" ref="CK59:CU59" si="31">SUM(CL58:EF58)</f>
        <v>0</v>
      </c>
      <c r="CL59" s="24">
        <f t="shared" si="31"/>
        <v>0</v>
      </c>
      <c r="CM59" s="24">
        <f t="shared" si="31"/>
        <v>0</v>
      </c>
      <c r="CN59" s="24">
        <f t="shared" si="31"/>
        <v>0</v>
      </c>
      <c r="CO59" s="24">
        <f t="shared" si="31"/>
        <v>0</v>
      </c>
      <c r="CP59" s="24">
        <f t="shared" si="31"/>
        <v>0</v>
      </c>
      <c r="CQ59" s="24">
        <f t="shared" si="31"/>
        <v>0</v>
      </c>
      <c r="CR59" s="24">
        <f t="shared" si="31"/>
        <v>0</v>
      </c>
      <c r="CS59" s="24">
        <f t="shared" si="31"/>
        <v>0</v>
      </c>
      <c r="CT59" s="24">
        <f t="shared" si="31"/>
        <v>0</v>
      </c>
      <c r="CU59" s="24">
        <f t="shared" si="31"/>
        <v>0</v>
      </c>
      <c r="CV59" s="24">
        <f>SUM(EG58:EQ58)</f>
        <v>0</v>
      </c>
      <c r="CW59" s="24">
        <f t="shared" ref="CW59:EF59" si="32">SUM(EG58:ER58)</f>
        <v>0</v>
      </c>
      <c r="CX59" s="24">
        <f t="shared" si="32"/>
        <v>0</v>
      </c>
      <c r="CY59" s="24">
        <f t="shared" si="32"/>
        <v>0</v>
      </c>
      <c r="CZ59" s="24">
        <f t="shared" si="32"/>
        <v>0</v>
      </c>
      <c r="DA59" s="24">
        <f t="shared" si="32"/>
        <v>0</v>
      </c>
      <c r="DB59" s="24">
        <f t="shared" si="32"/>
        <v>0</v>
      </c>
      <c r="DC59" s="24">
        <f t="shared" si="32"/>
        <v>0</v>
      </c>
      <c r="DD59" s="24">
        <f t="shared" si="32"/>
        <v>0</v>
      </c>
      <c r="DE59" s="24">
        <f t="shared" si="32"/>
        <v>0</v>
      </c>
      <c r="DF59" s="24">
        <f t="shared" si="32"/>
        <v>0</v>
      </c>
      <c r="DG59" s="24">
        <f t="shared" si="32"/>
        <v>0</v>
      </c>
      <c r="DH59" s="24">
        <f t="shared" si="32"/>
        <v>0</v>
      </c>
      <c r="DI59" s="24">
        <f t="shared" si="32"/>
        <v>0</v>
      </c>
      <c r="DJ59" s="24">
        <f t="shared" si="32"/>
        <v>0</v>
      </c>
      <c r="DK59" s="24">
        <f t="shared" si="32"/>
        <v>0</v>
      </c>
      <c r="DL59" s="24">
        <f t="shared" si="32"/>
        <v>0</v>
      </c>
      <c r="DM59" s="24">
        <f t="shared" si="32"/>
        <v>0</v>
      </c>
      <c r="DN59" s="24">
        <f t="shared" si="32"/>
        <v>0</v>
      </c>
      <c r="DO59" s="24">
        <f t="shared" si="32"/>
        <v>0</v>
      </c>
      <c r="DP59" s="24">
        <f t="shared" si="32"/>
        <v>0</v>
      </c>
      <c r="DQ59" s="24">
        <f t="shared" si="32"/>
        <v>0</v>
      </c>
      <c r="DR59" s="24">
        <f t="shared" si="32"/>
        <v>0</v>
      </c>
      <c r="DS59" s="24">
        <f t="shared" si="32"/>
        <v>0</v>
      </c>
      <c r="DT59" s="24">
        <f t="shared" si="32"/>
        <v>0</v>
      </c>
      <c r="DU59" s="24">
        <f t="shared" si="32"/>
        <v>0</v>
      </c>
      <c r="DV59" s="24">
        <f t="shared" si="32"/>
        <v>0</v>
      </c>
      <c r="DW59" s="24">
        <f t="shared" si="32"/>
        <v>0</v>
      </c>
      <c r="DX59" s="24">
        <f t="shared" si="32"/>
        <v>0</v>
      </c>
      <c r="DY59" s="24">
        <f t="shared" si="32"/>
        <v>0</v>
      </c>
      <c r="DZ59" s="24">
        <f t="shared" si="32"/>
        <v>0</v>
      </c>
      <c r="EA59" s="24">
        <f t="shared" si="32"/>
        <v>0</v>
      </c>
      <c r="EB59" s="24">
        <f t="shared" si="32"/>
        <v>0</v>
      </c>
      <c r="EC59" s="24">
        <f t="shared" si="32"/>
        <v>0</v>
      </c>
      <c r="ED59" s="24">
        <f t="shared" si="32"/>
        <v>0</v>
      </c>
      <c r="EE59" s="24">
        <f t="shared" si="32"/>
        <v>0</v>
      </c>
      <c r="EF59" s="24">
        <f t="shared" si="32"/>
        <v>0</v>
      </c>
    </row>
    <row r="61" spans="2:136" x14ac:dyDescent="0.45">
      <c r="B61" s="78" t="s">
        <v>140</v>
      </c>
    </row>
    <row r="62" spans="2:136" x14ac:dyDescent="0.45">
      <c r="B62" s="4" t="s">
        <v>138</v>
      </c>
      <c r="C62" s="4"/>
      <c r="D62" s="4"/>
      <c r="E62" s="26">
        <f>(E58&gt;0)*'Retail Assumptions'!$J$57/12*'NOI Walk'!E11</f>
        <v>0</v>
      </c>
      <c r="F62" s="26">
        <f>(F58&gt;0)*'Retail Assumptions'!$J$57/12*'NOI Walk'!F11</f>
        <v>0</v>
      </c>
      <c r="G62" s="26">
        <f>(G58&gt;0)*'Retail Assumptions'!$J$57/12*'NOI Walk'!G11</f>
        <v>0</v>
      </c>
      <c r="H62" s="26">
        <f>(H58&gt;0)*'Retail Assumptions'!$J$57/12*'NOI Walk'!H11</f>
        <v>0</v>
      </c>
      <c r="I62" s="26">
        <f>(I58&gt;0)*'Retail Assumptions'!$J$57/12*'NOI Walk'!I11</f>
        <v>0</v>
      </c>
      <c r="J62" s="26">
        <f>(J58&gt;0)*'Retail Assumptions'!$J$57/12*'NOI Walk'!J11</f>
        <v>0</v>
      </c>
      <c r="K62" s="26">
        <f>(K58&gt;0)*'Retail Assumptions'!$J$57/12*'NOI Walk'!K11</f>
        <v>0</v>
      </c>
      <c r="L62" s="26">
        <f>(L58&gt;0)*'Retail Assumptions'!$J$57/12*'NOI Walk'!L11</f>
        <v>0</v>
      </c>
      <c r="M62" s="26">
        <f>(M58&gt;0)*'Retail Assumptions'!$J$57/12*'NOI Walk'!M11</f>
        <v>0</v>
      </c>
      <c r="N62" s="26">
        <f>(N58&gt;0)*'Retail Assumptions'!$J$57/12*'NOI Walk'!N11</f>
        <v>0</v>
      </c>
      <c r="O62" s="26">
        <f>(O58&gt;0)*'Retail Assumptions'!$J$57/12*'NOI Walk'!O11</f>
        <v>0</v>
      </c>
      <c r="P62" s="26">
        <f>(P58&gt;0)*'Retail Assumptions'!$J$57/12*'NOI Walk'!P11</f>
        <v>0</v>
      </c>
      <c r="Q62" s="26">
        <f>(Q58&gt;0)*'Retail Assumptions'!$J$57/12*'NOI Walk'!Q11</f>
        <v>0</v>
      </c>
      <c r="R62" s="26">
        <f>(R58&gt;0)*'Retail Assumptions'!$J$57/12*'NOI Walk'!R11</f>
        <v>0</v>
      </c>
      <c r="S62" s="26">
        <f>(S58&gt;0)*'Retail Assumptions'!$J$57/12*'NOI Walk'!S11</f>
        <v>0</v>
      </c>
      <c r="T62" s="26">
        <f>(T58&gt;0)*'Retail Assumptions'!$J$57/12*'NOI Walk'!T11</f>
        <v>0</v>
      </c>
      <c r="U62" s="26">
        <f>(U58&gt;0)*'Retail Assumptions'!$J$57/12*'NOI Walk'!U11</f>
        <v>0</v>
      </c>
      <c r="V62" s="26">
        <f>(V58&gt;0)*'Retail Assumptions'!$J$57/12*'NOI Walk'!V11</f>
        <v>0</v>
      </c>
      <c r="W62" s="26">
        <f>(W58&gt;0)*'Retail Assumptions'!$J$57/12*'NOI Walk'!W11</f>
        <v>0</v>
      </c>
      <c r="X62" s="26">
        <f>(X58&gt;0)*'Retail Assumptions'!$J$57/12*'NOI Walk'!X11</f>
        <v>0</v>
      </c>
      <c r="Y62" s="26">
        <f>(Y58&gt;0)*'Retail Assumptions'!$J$57/12*'NOI Walk'!Y11</f>
        <v>0</v>
      </c>
      <c r="Z62" s="26">
        <f>(Z58&gt;0)*'Retail Assumptions'!$J$57/12*'NOI Walk'!Z11</f>
        <v>0</v>
      </c>
      <c r="AA62" s="26">
        <f>(AA58&gt;0)*'Retail Assumptions'!$J$57/12*'NOI Walk'!AA11</f>
        <v>0</v>
      </c>
      <c r="AB62" s="26">
        <f>(AB58&gt;0)*'Retail Assumptions'!$J$57/12*'NOI Walk'!AB11</f>
        <v>0</v>
      </c>
      <c r="AC62" s="26">
        <f>(AC58&gt;0)*'Retail Assumptions'!$J$57/12*'NOI Walk'!AC11</f>
        <v>0</v>
      </c>
      <c r="AD62" s="26">
        <f>(AD58&gt;0)*'Retail Assumptions'!$J$57/12*'NOI Walk'!AD11</f>
        <v>0</v>
      </c>
      <c r="AE62" s="26">
        <f>(AE58&gt;0)*'Retail Assumptions'!$J$57/12*'NOI Walk'!AE11</f>
        <v>0</v>
      </c>
      <c r="AF62" s="26">
        <f>(AF58&gt;0)*'Retail Assumptions'!$J$57/12*'NOI Walk'!AF11</f>
        <v>0</v>
      </c>
      <c r="AG62" s="26">
        <f>(AG58&gt;0)*'Retail Assumptions'!$J$57/12*'NOI Walk'!AG11</f>
        <v>0</v>
      </c>
      <c r="AH62" s="26">
        <f>(AH58&gt;0)*'Retail Assumptions'!$J$57/12*'NOI Walk'!AH11</f>
        <v>0</v>
      </c>
      <c r="AI62" s="26">
        <f>(AI58&gt;0)*'Retail Assumptions'!$J$57/12*'NOI Walk'!AI11</f>
        <v>0</v>
      </c>
      <c r="AJ62" s="26">
        <f>(AJ58&gt;0)*'Retail Assumptions'!$J$57/12*'NOI Walk'!AJ11</f>
        <v>0</v>
      </c>
      <c r="AK62" s="26">
        <f>(AK58&gt;0)*'Retail Assumptions'!$J$57/12*'NOI Walk'!AK11</f>
        <v>0</v>
      </c>
      <c r="AL62" s="26">
        <f>(AL58&gt;0)*'Retail Assumptions'!$J$57/12*'NOI Walk'!AL11</f>
        <v>0</v>
      </c>
      <c r="AM62" s="26">
        <f>(AM58&gt;0)*'Retail Assumptions'!$J$57/12*'NOI Walk'!AM11</f>
        <v>0</v>
      </c>
      <c r="AN62" s="26">
        <f>(AN58&gt;0)*'Retail Assumptions'!$J$57/12*'NOI Walk'!AN11</f>
        <v>0</v>
      </c>
      <c r="AO62" s="26">
        <f>(AO58&gt;0)*'Retail Assumptions'!$J$57/12*'NOI Walk'!AO11</f>
        <v>0</v>
      </c>
      <c r="AP62" s="26">
        <f>(AP58&gt;0)*'Retail Assumptions'!$J$57/12*'NOI Walk'!AP11</f>
        <v>0</v>
      </c>
      <c r="AQ62" s="26">
        <f>(AQ58&gt;0)*'Retail Assumptions'!$J$57/12*'NOI Walk'!AQ11</f>
        <v>0</v>
      </c>
      <c r="AR62" s="26">
        <f>(AR58&gt;0)*'Retail Assumptions'!$J$57/12*'NOI Walk'!AR11</f>
        <v>0</v>
      </c>
      <c r="AS62" s="26">
        <f>(AS58&gt;0)*'Retail Assumptions'!$J$57/12*'NOI Walk'!AS11</f>
        <v>0</v>
      </c>
      <c r="AT62" s="26">
        <f>(AT58&gt;0)*'Retail Assumptions'!$J$57/12*'NOI Walk'!AT11</f>
        <v>0</v>
      </c>
      <c r="AU62" s="26">
        <f>(AU58&gt;0)*'Retail Assumptions'!$J$57/12*'NOI Walk'!AU11</f>
        <v>0</v>
      </c>
      <c r="AV62" s="26">
        <f>(AV58&gt;0)*'Retail Assumptions'!$J$57/12*'NOI Walk'!AV11</f>
        <v>0</v>
      </c>
      <c r="AW62" s="26">
        <f>(AW58&gt;0)*'Retail Assumptions'!$J$57/12*'NOI Walk'!AW11</f>
        <v>0</v>
      </c>
      <c r="AX62" s="26">
        <f>(AX58&gt;0)*'Retail Assumptions'!$J$57/12*'NOI Walk'!AX11</f>
        <v>0</v>
      </c>
      <c r="AY62" s="26">
        <f>(AY58&gt;0)*'Retail Assumptions'!$J$57/12*'NOI Walk'!AY11</f>
        <v>0</v>
      </c>
      <c r="AZ62" s="26">
        <f>(AZ58&gt;0)*'Retail Assumptions'!$J$57/12*'NOI Walk'!AZ11</f>
        <v>0</v>
      </c>
      <c r="BA62" s="26">
        <f>(BA58&gt;0)*'Retail Assumptions'!$J$57/12*'NOI Walk'!BA11</f>
        <v>0</v>
      </c>
      <c r="BB62" s="26">
        <f>(BB58&gt;0)*'Retail Assumptions'!$J$57/12*'NOI Walk'!BB11</f>
        <v>0</v>
      </c>
      <c r="BC62" s="26">
        <f>(BC58&gt;0)*'Retail Assumptions'!$J$57/12*'NOI Walk'!BC11</f>
        <v>0</v>
      </c>
      <c r="BD62" s="26">
        <f>(BD58&gt;0)*'Retail Assumptions'!$J$57/12*'NOI Walk'!BD11</f>
        <v>0</v>
      </c>
      <c r="BE62" s="26">
        <f>(BE58&gt;0)*'Retail Assumptions'!$J$57/12*'NOI Walk'!BE11</f>
        <v>0</v>
      </c>
      <c r="BF62" s="26">
        <f>(BF58&gt;0)*'Retail Assumptions'!$J$57/12*'NOI Walk'!BF11</f>
        <v>0</v>
      </c>
      <c r="BG62" s="26">
        <f>(BG58&gt;0)*'Retail Assumptions'!$J$57/12*'NOI Walk'!BG11</f>
        <v>0</v>
      </c>
      <c r="BH62" s="26">
        <f>(BH58&gt;0)*'Retail Assumptions'!$J$57/12*'NOI Walk'!BH11</f>
        <v>0</v>
      </c>
      <c r="BI62" s="26">
        <f>(BI58&gt;0)*'Retail Assumptions'!$J$57/12*'NOI Walk'!BI11</f>
        <v>0</v>
      </c>
      <c r="BJ62" s="26">
        <f>(BJ58&gt;0)*'Retail Assumptions'!$J$57/12*'NOI Walk'!BJ11</f>
        <v>0</v>
      </c>
      <c r="BK62" s="26">
        <f>(BK58&gt;0)*'Retail Assumptions'!$J$57/12*'NOI Walk'!BK11</f>
        <v>0</v>
      </c>
      <c r="BL62" s="26">
        <f>(BL58&gt;0)*'Retail Assumptions'!$J$57/12*'NOI Walk'!BL11</f>
        <v>0</v>
      </c>
      <c r="BM62" s="26">
        <f>(BM58&gt;0)*'Retail Assumptions'!$J$57/12*'NOI Walk'!BM11</f>
        <v>0</v>
      </c>
      <c r="BN62" s="26">
        <f>(BN58&gt;0)*'Retail Assumptions'!$J$57/12*'NOI Walk'!BN11</f>
        <v>0</v>
      </c>
      <c r="BO62" s="26">
        <f>(BO58&gt;0)*'Retail Assumptions'!$J$57/12*'NOI Walk'!BO11</f>
        <v>0</v>
      </c>
      <c r="BP62" s="26">
        <f>(BP58&gt;0)*'Retail Assumptions'!$J$57/12*'NOI Walk'!BP11</f>
        <v>0</v>
      </c>
      <c r="BQ62" s="26">
        <f>(BQ58&gt;0)*'Retail Assumptions'!$J$57/12*'NOI Walk'!BQ11</f>
        <v>0</v>
      </c>
      <c r="BR62" s="26">
        <f>(BR58&gt;0)*'Retail Assumptions'!$J$57/12*'NOI Walk'!BR11</f>
        <v>0</v>
      </c>
      <c r="BS62" s="26">
        <f>(BS58&gt;0)*'Retail Assumptions'!$J$57/12*'NOI Walk'!BS11</f>
        <v>0</v>
      </c>
      <c r="BT62" s="26">
        <f>(BT58&gt;0)*'Retail Assumptions'!$J$57/12*'NOI Walk'!BT11</f>
        <v>0</v>
      </c>
      <c r="BU62" s="26">
        <f>(BU58&gt;0)*'Retail Assumptions'!$J$57/12*'NOI Walk'!BU11</f>
        <v>0</v>
      </c>
      <c r="BV62" s="26">
        <f>(BV58&gt;0)*'Retail Assumptions'!$J$57/12*'NOI Walk'!BV11</f>
        <v>0</v>
      </c>
      <c r="BW62" s="26">
        <f>(BW58&gt;0)*'Retail Assumptions'!$J$57/12*'NOI Walk'!BW11</f>
        <v>0</v>
      </c>
      <c r="BX62" s="26">
        <f>(BX58&gt;0)*'Retail Assumptions'!$J$57/12*'NOI Walk'!BX11</f>
        <v>0</v>
      </c>
      <c r="BY62" s="26">
        <f>(BY58&gt;0)*'Retail Assumptions'!$J$57/12*'NOI Walk'!BY11</f>
        <v>0</v>
      </c>
      <c r="BZ62" s="26">
        <f>(BZ58&gt;0)*'Retail Assumptions'!$J$57/12*'NOI Walk'!BZ11</f>
        <v>0</v>
      </c>
      <c r="CA62" s="26">
        <f>(CA58&gt;0)*'Retail Assumptions'!$J$57/12*'NOI Walk'!CA11</f>
        <v>0</v>
      </c>
      <c r="CB62" s="26">
        <f>(CB58&gt;0)*'Retail Assumptions'!$J$57/12*'NOI Walk'!CB11</f>
        <v>0</v>
      </c>
      <c r="CC62" s="26">
        <f>(CC58&gt;0)*'Retail Assumptions'!$J$57/12*'NOI Walk'!CC11</f>
        <v>0</v>
      </c>
      <c r="CD62" s="26">
        <f>(CD58&gt;0)*'Retail Assumptions'!$J$57/12*'NOI Walk'!CD11</f>
        <v>0</v>
      </c>
      <c r="CE62" s="26">
        <f>(CE58&gt;0)*'Retail Assumptions'!$J$57/12*'NOI Walk'!CE11</f>
        <v>0</v>
      </c>
      <c r="CF62" s="26">
        <f>(CF58&gt;0)*'Retail Assumptions'!$J$57/12*'NOI Walk'!CF11</f>
        <v>0</v>
      </c>
      <c r="CG62" s="26">
        <f>(CG58&gt;0)*'Retail Assumptions'!$J$57/12*'NOI Walk'!CG11</f>
        <v>0</v>
      </c>
      <c r="CH62" s="26">
        <f>(CH58&gt;0)*'Retail Assumptions'!$J$57/12*'NOI Walk'!CH11</f>
        <v>0</v>
      </c>
      <c r="CI62" s="26">
        <f>(CI58&gt;0)*'Retail Assumptions'!$J$57/12*'NOI Walk'!CI11</f>
        <v>0</v>
      </c>
      <c r="CJ62" s="26">
        <f>(CJ58&gt;0)*'Retail Assumptions'!$J$57/12*'NOI Walk'!CJ11</f>
        <v>0</v>
      </c>
      <c r="CK62" s="26">
        <f>(CK58&gt;0)*'Retail Assumptions'!$J$57/12*'NOI Walk'!CK11</f>
        <v>0</v>
      </c>
      <c r="CL62" s="26">
        <f>(CL58&gt;0)*'Retail Assumptions'!$J$57/12*'NOI Walk'!CL11</f>
        <v>0</v>
      </c>
      <c r="CM62" s="26">
        <f>(CM58&gt;0)*'Retail Assumptions'!$J$57/12*'NOI Walk'!CM11</f>
        <v>0</v>
      </c>
      <c r="CN62" s="26">
        <f>(CN58&gt;0)*'Retail Assumptions'!$J$57/12*'NOI Walk'!CN11</f>
        <v>0</v>
      </c>
      <c r="CO62" s="26">
        <f>(CO58&gt;0)*'Retail Assumptions'!$J$57/12*'NOI Walk'!CO11</f>
        <v>0</v>
      </c>
      <c r="CP62" s="26">
        <f>(CP58&gt;0)*'Retail Assumptions'!$J$57/12*'NOI Walk'!CP11</f>
        <v>0</v>
      </c>
      <c r="CQ62" s="26">
        <f>(CQ58&gt;0)*'Retail Assumptions'!$J$57/12*'NOI Walk'!CQ11</f>
        <v>0</v>
      </c>
      <c r="CR62" s="26">
        <f>(CR58&gt;0)*'Retail Assumptions'!$J$57/12*'NOI Walk'!CR11</f>
        <v>0</v>
      </c>
      <c r="CS62" s="26">
        <f>(CS58&gt;0)*'Retail Assumptions'!$J$57/12*'NOI Walk'!CS11</f>
        <v>0</v>
      </c>
      <c r="CT62" s="26">
        <f>(CT58&gt;0)*'Retail Assumptions'!$J$57/12*'NOI Walk'!CT11</f>
        <v>0</v>
      </c>
      <c r="CU62" s="26">
        <f>(CU58&gt;0)*'Retail Assumptions'!$J$57/12*'NOI Walk'!CU11</f>
        <v>0</v>
      </c>
      <c r="CV62" s="26">
        <f>(CV58&gt;0)*'Retail Assumptions'!$J$57/12*'NOI Walk'!CV11</f>
        <v>0</v>
      </c>
      <c r="CW62" s="26">
        <f>(CW58&gt;0)*'Retail Assumptions'!$J$57/12*'NOI Walk'!CW11</f>
        <v>0</v>
      </c>
      <c r="CX62" s="26">
        <f>(CX58&gt;0)*'Retail Assumptions'!$J$57/12*'NOI Walk'!CX11</f>
        <v>0</v>
      </c>
      <c r="CY62" s="26">
        <f>(CY58&gt;0)*'Retail Assumptions'!$J$57/12*'NOI Walk'!CY11</f>
        <v>0</v>
      </c>
      <c r="CZ62" s="26">
        <f>(CZ58&gt;0)*'Retail Assumptions'!$J$57/12*'NOI Walk'!CZ11</f>
        <v>0</v>
      </c>
      <c r="DA62" s="26">
        <f>(DA58&gt;0)*'Retail Assumptions'!$J$57/12*'NOI Walk'!DA11</f>
        <v>0</v>
      </c>
      <c r="DB62" s="26">
        <f>(DB58&gt;0)*'Retail Assumptions'!$J$57/12*'NOI Walk'!DB11</f>
        <v>0</v>
      </c>
      <c r="DC62" s="26">
        <f>(DC58&gt;0)*'Retail Assumptions'!$J$57/12*'NOI Walk'!DC11</f>
        <v>0</v>
      </c>
      <c r="DD62" s="26">
        <f>(DD58&gt;0)*'Retail Assumptions'!$J$57/12*'NOI Walk'!DD11</f>
        <v>0</v>
      </c>
      <c r="DE62" s="26">
        <f>(DE58&gt;0)*'Retail Assumptions'!$J$57/12*'NOI Walk'!DE11</f>
        <v>0</v>
      </c>
      <c r="DF62" s="26">
        <f>(DF58&gt;0)*'Retail Assumptions'!$J$57/12*'NOI Walk'!DF11</f>
        <v>0</v>
      </c>
      <c r="DG62" s="26">
        <f>(DG58&gt;0)*'Retail Assumptions'!$J$57/12*'NOI Walk'!DG11</f>
        <v>0</v>
      </c>
      <c r="DH62" s="26">
        <f>(DH58&gt;0)*'Retail Assumptions'!$J$57/12*'NOI Walk'!DH11</f>
        <v>0</v>
      </c>
      <c r="DI62" s="26">
        <f>(DI58&gt;0)*'Retail Assumptions'!$J$57/12*'NOI Walk'!DI11</f>
        <v>0</v>
      </c>
      <c r="DJ62" s="26">
        <f>(DJ58&gt;0)*'Retail Assumptions'!$J$57/12*'NOI Walk'!DJ11</f>
        <v>0</v>
      </c>
      <c r="DK62" s="26">
        <f>(DK58&gt;0)*'Retail Assumptions'!$J$57/12*'NOI Walk'!DK11</f>
        <v>0</v>
      </c>
      <c r="DL62" s="26">
        <f>(DL58&gt;0)*'Retail Assumptions'!$J$57/12*'NOI Walk'!DL11</f>
        <v>0</v>
      </c>
      <c r="DM62" s="26">
        <f>(DM58&gt;0)*'Retail Assumptions'!$J$57/12*'NOI Walk'!DM11</f>
        <v>0</v>
      </c>
      <c r="DN62" s="26">
        <f>(DN58&gt;0)*'Retail Assumptions'!$J$57/12*'NOI Walk'!DN11</f>
        <v>0</v>
      </c>
      <c r="DO62" s="26">
        <f>(DO58&gt;0)*'Retail Assumptions'!$J$57/12*'NOI Walk'!DO11</f>
        <v>0</v>
      </c>
      <c r="DP62" s="26">
        <f>(DP58&gt;0)*'Retail Assumptions'!$J$57/12*'NOI Walk'!DP11</f>
        <v>0</v>
      </c>
      <c r="DQ62" s="26">
        <f>(DQ58&gt;0)*'Retail Assumptions'!$J$57/12*'NOI Walk'!DQ11</f>
        <v>0</v>
      </c>
      <c r="DR62" s="26">
        <f>(DR58&gt;0)*'Retail Assumptions'!$J$57/12*'NOI Walk'!DR11</f>
        <v>0</v>
      </c>
      <c r="DS62" s="26">
        <f>(DS58&gt;0)*'Retail Assumptions'!$J$57/12*'NOI Walk'!DS11</f>
        <v>0</v>
      </c>
      <c r="DT62" s="26">
        <f>(DT58&gt;0)*'Retail Assumptions'!$J$57/12*'NOI Walk'!DT11</f>
        <v>0</v>
      </c>
      <c r="DU62" s="26">
        <f>(DU58&gt;0)*'Retail Assumptions'!$J$57/12*'NOI Walk'!DU11</f>
        <v>0</v>
      </c>
      <c r="DV62" s="26">
        <f>(DV58&gt;0)*'Retail Assumptions'!$J$57/12*'NOI Walk'!DV11</f>
        <v>0</v>
      </c>
      <c r="DW62" s="26">
        <f>(DW58&gt;0)*'Retail Assumptions'!$J$57/12*'NOI Walk'!DW11</f>
        <v>0</v>
      </c>
      <c r="DX62" s="26">
        <f>(DX58&gt;0)*'Retail Assumptions'!$J$57/12*'NOI Walk'!DX11</f>
        <v>0</v>
      </c>
      <c r="DY62" s="26">
        <f>(DY58&gt;0)*'Retail Assumptions'!$J$57/12*'NOI Walk'!DY11</f>
        <v>0</v>
      </c>
      <c r="DZ62" s="26">
        <f>(DZ58&gt;0)*'Retail Assumptions'!$J$57/12*'NOI Walk'!DZ11</f>
        <v>0</v>
      </c>
      <c r="EA62" s="26">
        <f>(EA58&gt;0)*'Retail Assumptions'!$J$57/12*'NOI Walk'!EA11</f>
        <v>0</v>
      </c>
      <c r="EB62" s="26">
        <f>(EB58&gt;0)*'Retail Assumptions'!$J$57/12*'NOI Walk'!EB11</f>
        <v>0</v>
      </c>
      <c r="EC62" s="26">
        <f>(EC58&gt;0)*'Retail Assumptions'!$J$57/12*'NOI Walk'!EC11</f>
        <v>0</v>
      </c>
      <c r="ED62" s="26">
        <f>(ED58&gt;0)*'Retail Assumptions'!$J$57/12*'NOI Walk'!ED11</f>
        <v>0</v>
      </c>
      <c r="EE62" s="26">
        <f>(EE58&gt;0)*'Retail Assumptions'!$J$57/12*'NOI Walk'!EE11</f>
        <v>0</v>
      </c>
      <c r="EF62" s="26">
        <f>(EF58&gt;0)*'Retail Assumptions'!$J$57/12*'NOI Walk'!EF11</f>
        <v>0</v>
      </c>
    </row>
    <row r="64" spans="2:136" x14ac:dyDescent="0.45">
      <c r="B64" s="133" t="s">
        <v>150</v>
      </c>
      <c r="C64" s="133"/>
      <c r="D64" s="133"/>
      <c r="E64" s="134">
        <f t="shared" ref="E64:AJ64" si="33">+E58+E51-E56-E62</f>
        <v>69645.551443733348</v>
      </c>
      <c r="F64" s="134">
        <f t="shared" si="33"/>
        <v>65416.985376364188</v>
      </c>
      <c r="G64" s="134">
        <f t="shared" si="33"/>
        <v>65571.059400663886</v>
      </c>
      <c r="H64" s="134">
        <f t="shared" si="33"/>
        <v>63181.954132198734</v>
      </c>
      <c r="I64" s="134">
        <f t="shared" si="33"/>
        <v>59424.231722087141</v>
      </c>
      <c r="J64" s="134">
        <f t="shared" si="33"/>
        <v>63567.750352678493</v>
      </c>
      <c r="K64" s="134">
        <f t="shared" si="33"/>
        <v>59550.331693728171</v>
      </c>
      <c r="L64" s="134">
        <f t="shared" si="33"/>
        <v>61623.798231878354</v>
      </c>
      <c r="M64" s="134">
        <f t="shared" si="33"/>
        <v>63735.015417905823</v>
      </c>
      <c r="N64" s="134">
        <f t="shared" si="33"/>
        <v>63583.614651046177</v>
      </c>
      <c r="O64" s="134">
        <f t="shared" si="33"/>
        <v>65821.58694027616</v>
      </c>
      <c r="P64" s="134">
        <f t="shared" si="33"/>
        <v>74439.319694558799</v>
      </c>
      <c r="Q64" s="134">
        <f t="shared" si="33"/>
        <v>77963.551648803652</v>
      </c>
      <c r="R64" s="134">
        <f t="shared" si="33"/>
        <v>81420.176976337942</v>
      </c>
      <c r="S64" s="134">
        <f t="shared" si="33"/>
        <v>84286.631569296107</v>
      </c>
      <c r="T64" s="134">
        <f t="shared" si="33"/>
        <v>86262.474707314017</v>
      </c>
      <c r="U64" s="134">
        <f t="shared" si="33"/>
        <v>86199.144373816147</v>
      </c>
      <c r="V64" s="134">
        <f t="shared" si="33"/>
        <v>85734.37211539282</v>
      </c>
      <c r="W64" s="134">
        <f t="shared" si="33"/>
        <v>86119.454247692003</v>
      </c>
      <c r="X64" s="134">
        <f t="shared" si="33"/>
        <v>86145.352807024479</v>
      </c>
      <c r="Y64" s="134">
        <f t="shared" si="33"/>
        <v>89744.472019252149</v>
      </c>
      <c r="Z64" s="134">
        <f t="shared" si="33"/>
        <v>95149.217979788795</v>
      </c>
      <c r="AA64" s="134">
        <f t="shared" si="33"/>
        <v>99317.839684608363</v>
      </c>
      <c r="AB64" s="134">
        <f t="shared" si="33"/>
        <v>101451.04743818565</v>
      </c>
      <c r="AC64" s="134">
        <f t="shared" si="33"/>
        <v>101277.47210666226</v>
      </c>
      <c r="AD64" s="134">
        <f t="shared" si="33"/>
        <v>98955.41690566302</v>
      </c>
      <c r="AE64" s="134">
        <f t="shared" si="33"/>
        <v>99898.405101005497</v>
      </c>
      <c r="AF64" s="134">
        <f t="shared" si="33"/>
        <v>106942.17827689329</v>
      </c>
      <c r="AG64" s="134">
        <f t="shared" si="33"/>
        <v>114014.38715487681</v>
      </c>
      <c r="AH64" s="134">
        <f t="shared" si="33"/>
        <v>121115.11876755711</v>
      </c>
      <c r="AI64" s="134">
        <f t="shared" si="33"/>
        <v>123547.98022619502</v>
      </c>
      <c r="AJ64" s="134">
        <f t="shared" si="33"/>
        <v>123815.38556200867</v>
      </c>
      <c r="AK64" s="134">
        <f t="shared" ref="AK64:BP64" si="34">+AK58+AK51-AK56-AK62</f>
        <v>124083.36243275588</v>
      </c>
      <c r="AL64" s="134">
        <f t="shared" si="34"/>
        <v>124351.91205560116</v>
      </c>
      <c r="AM64" s="134">
        <f t="shared" si="34"/>
        <v>124621.0356502857</v>
      </c>
      <c r="AN64" s="134">
        <f t="shared" si="34"/>
        <v>124890.73443913179</v>
      </c>
      <c r="AO64" s="134">
        <f t="shared" si="34"/>
        <v>125161.00964704748</v>
      </c>
      <c r="AP64" s="134">
        <f t="shared" si="34"/>
        <v>125431.86250153335</v>
      </c>
      <c r="AQ64" s="134">
        <f t="shared" si="34"/>
        <v>125703.29423268566</v>
      </c>
      <c r="AR64" s="134">
        <f t="shared" si="34"/>
        <v>125975.30607320523</v>
      </c>
      <c r="AS64" s="134">
        <f t="shared" si="34"/>
        <v>126247.89925839991</v>
      </c>
      <c r="AT64" s="134">
        <f t="shared" si="34"/>
        <v>126521.07502619099</v>
      </c>
      <c r="AU64" s="134">
        <f t="shared" si="34"/>
        <v>126794.83461712004</v>
      </c>
      <c r="AV64" s="134">
        <f t="shared" si="34"/>
        <v>127069.17927435151</v>
      </c>
      <c r="AW64" s="134">
        <f t="shared" si="34"/>
        <v>127344.11024368202</v>
      </c>
      <c r="AX64" s="134">
        <f t="shared" si="34"/>
        <v>127619.62877354302</v>
      </c>
      <c r="AY64" s="134">
        <f t="shared" si="34"/>
        <v>127895.73611500658</v>
      </c>
      <c r="AZ64" s="134">
        <f t="shared" si="34"/>
        <v>128172.43352179203</v>
      </c>
      <c r="BA64" s="134">
        <f t="shared" si="34"/>
        <v>128449.72225027194</v>
      </c>
      <c r="BB64" s="134">
        <f t="shared" si="34"/>
        <v>128727.60355947568</v>
      </c>
      <c r="BC64" s="134">
        <f t="shared" si="34"/>
        <v>129006.07871109662</v>
      </c>
      <c r="BD64" s="134">
        <f t="shared" si="34"/>
        <v>129285.14896949759</v>
      </c>
      <c r="BE64" s="134">
        <f t="shared" si="34"/>
        <v>129564.81560171588</v>
      </c>
      <c r="BF64" s="134">
        <f t="shared" si="34"/>
        <v>129845.07987746887</v>
      </c>
      <c r="BG64" s="134">
        <f t="shared" si="34"/>
        <v>130125.94306916081</v>
      </c>
      <c r="BH64" s="134">
        <f t="shared" si="34"/>
        <v>130407.40645188672</v>
      </c>
      <c r="BI64" s="134">
        <f t="shared" si="34"/>
        <v>130689.47130343967</v>
      </c>
      <c r="BJ64" s="134">
        <f t="shared" si="34"/>
        <v>130972.13890431606</v>
      </c>
      <c r="BK64" s="134">
        <f t="shared" si="34"/>
        <v>131255.41053771967</v>
      </c>
      <c r="BL64" s="134">
        <f t="shared" si="34"/>
        <v>131539.28748957015</v>
      </c>
      <c r="BM64" s="134">
        <f t="shared" si="34"/>
        <v>131823.7710485069</v>
      </c>
      <c r="BN64" s="134">
        <f t="shared" si="34"/>
        <v>132108.86250589421</v>
      </c>
      <c r="BO64" s="134">
        <f t="shared" si="34"/>
        <v>132394.56315582932</v>
      </c>
      <c r="BP64" s="134">
        <f t="shared" si="34"/>
        <v>132680.87429514609</v>
      </c>
      <c r="BQ64" s="134">
        <f t="shared" ref="BQ64:CV64" si="35">+BQ58+BQ51-BQ56-BQ62</f>
        <v>132967.7972234216</v>
      </c>
      <c r="BR64" s="134">
        <f t="shared" si="35"/>
        <v>133255.33324298222</v>
      </c>
      <c r="BS64" s="134">
        <f t="shared" si="35"/>
        <v>133543.48365890869</v>
      </c>
      <c r="BT64" s="134">
        <f t="shared" si="35"/>
        <v>133832.24977904154</v>
      </c>
      <c r="BU64" s="134">
        <f t="shared" si="35"/>
        <v>134121.63291398867</v>
      </c>
      <c r="BV64" s="134">
        <f t="shared" si="35"/>
        <v>134411.63437712894</v>
      </c>
      <c r="BW64" s="134">
        <f t="shared" si="35"/>
        <v>134702.25548462092</v>
      </c>
      <c r="BX64" s="134">
        <f t="shared" si="35"/>
        <v>134993.49755540461</v>
      </c>
      <c r="BY64" s="134">
        <f t="shared" si="35"/>
        <v>135285.3619112118</v>
      </c>
      <c r="BZ64" s="134">
        <f t="shared" si="35"/>
        <v>135577.84987656816</v>
      </c>
      <c r="CA64" s="134">
        <f t="shared" si="35"/>
        <v>135870.96277880136</v>
      </c>
      <c r="CB64" s="134">
        <f t="shared" si="35"/>
        <v>136164.70194804695</v>
      </c>
      <c r="CC64" s="134">
        <f t="shared" si="35"/>
        <v>136459.0687172524</v>
      </c>
      <c r="CD64" s="134">
        <f t="shared" si="35"/>
        <v>136754.06442218507</v>
      </c>
      <c r="CE64" s="134">
        <f t="shared" si="35"/>
        <v>137049.69040143728</v>
      </c>
      <c r="CF64" s="134">
        <f t="shared" si="35"/>
        <v>137345.94799643208</v>
      </c>
      <c r="CG64" s="134">
        <f t="shared" si="35"/>
        <v>137642.83855142942</v>
      </c>
      <c r="CH64" s="134">
        <f t="shared" si="35"/>
        <v>137940.36341353331</v>
      </c>
      <c r="CI64" s="134">
        <f t="shared" si="35"/>
        <v>138238.52393269434</v>
      </c>
      <c r="CJ64" s="134">
        <f t="shared" si="35"/>
        <v>138537.32146171975</v>
      </c>
      <c r="CK64" s="134">
        <f t="shared" si="35"/>
        <v>138836.75735627726</v>
      </c>
      <c r="CL64" s="134">
        <f t="shared" si="35"/>
        <v>139136.8329749011</v>
      </c>
      <c r="CM64" s="134">
        <f t="shared" si="35"/>
        <v>139437.54967899932</v>
      </c>
      <c r="CN64" s="134">
        <f t="shared" si="35"/>
        <v>139738.90883285709</v>
      </c>
      <c r="CO64" s="134">
        <f t="shared" si="35"/>
        <v>140040.91180364712</v>
      </c>
      <c r="CP64" s="134">
        <f t="shared" si="35"/>
        <v>140343.55996143087</v>
      </c>
      <c r="CQ64" s="134">
        <f t="shared" si="35"/>
        <v>140646.85467916858</v>
      </c>
      <c r="CR64" s="134">
        <f t="shared" si="35"/>
        <v>140950.79733272252</v>
      </c>
      <c r="CS64" s="134">
        <f t="shared" si="35"/>
        <v>141255.38930086591</v>
      </c>
      <c r="CT64" s="134">
        <f t="shared" si="35"/>
        <v>141560.63196528557</v>
      </c>
      <c r="CU64" s="134">
        <f t="shared" si="35"/>
        <v>141866.52671059128</v>
      </c>
      <c r="CV64" s="134">
        <f t="shared" si="35"/>
        <v>142173.0749243201</v>
      </c>
      <c r="CW64" s="134">
        <f t="shared" ref="CW64:EF64" si="36">+CW58+CW51-CW56-CW62</f>
        <v>142480.27799694351</v>
      </c>
      <c r="CX64" s="134">
        <f t="shared" si="36"/>
        <v>142788.13732187182</v>
      </c>
      <c r="CY64" s="134">
        <f t="shared" si="36"/>
        <v>143096.65429546381</v>
      </c>
      <c r="CZ64" s="134">
        <f t="shared" si="36"/>
        <v>143405.83031702801</v>
      </c>
      <c r="DA64" s="134">
        <f t="shared" si="36"/>
        <v>143715.6667888338</v>
      </c>
      <c r="DB64" s="134">
        <f t="shared" si="36"/>
        <v>144026.16511611443</v>
      </c>
      <c r="DC64" s="134">
        <f t="shared" si="36"/>
        <v>144337.3267070752</v>
      </c>
      <c r="DD64" s="134">
        <f t="shared" si="36"/>
        <v>144649.1529728976</v>
      </c>
      <c r="DE64" s="134">
        <f t="shared" si="36"/>
        <v>144961.64532774687</v>
      </c>
      <c r="DF64" s="134">
        <f t="shared" si="36"/>
        <v>145274.80518878018</v>
      </c>
      <c r="DG64" s="134">
        <f t="shared" si="36"/>
        <v>145588.63397614809</v>
      </c>
      <c r="DH64" s="134">
        <f t="shared" si="36"/>
        <v>145903.13311300549</v>
      </c>
      <c r="DI64" s="134">
        <f t="shared" si="36"/>
        <v>146218.30402551609</v>
      </c>
      <c r="DJ64" s="134">
        <f t="shared" si="36"/>
        <v>146534.14814285783</v>
      </c>
      <c r="DK64" s="134">
        <f t="shared" si="36"/>
        <v>146850.66689723136</v>
      </c>
      <c r="DL64" s="134">
        <f t="shared" si="36"/>
        <v>147167.86172386288</v>
      </c>
      <c r="DM64" s="134">
        <f t="shared" si="36"/>
        <v>147485.73406101658</v>
      </c>
      <c r="DN64" s="134">
        <f t="shared" si="36"/>
        <v>147804.28534999356</v>
      </c>
      <c r="DO64" s="134">
        <f t="shared" si="36"/>
        <v>148123.51703514406</v>
      </c>
      <c r="DP64" s="134">
        <f t="shared" si="36"/>
        <v>148443.43056387108</v>
      </c>
      <c r="DQ64" s="134">
        <f t="shared" si="36"/>
        <v>148764.02738663778</v>
      </c>
      <c r="DR64" s="134">
        <f t="shared" si="36"/>
        <v>149085.30895697398</v>
      </c>
      <c r="DS64" s="134">
        <f t="shared" si="36"/>
        <v>149407.27673148029</v>
      </c>
      <c r="DT64" s="134">
        <f t="shared" si="36"/>
        <v>149729.93216983828</v>
      </c>
      <c r="DU64" s="134">
        <f t="shared" si="36"/>
        <v>150053.27673481571</v>
      </c>
      <c r="DV64" s="134">
        <f t="shared" si="36"/>
        <v>150377.31189227063</v>
      </c>
      <c r="DW64" s="134">
        <f t="shared" si="36"/>
        <v>150702.03911116047</v>
      </c>
      <c r="DX64" s="134">
        <f t="shared" si="36"/>
        <v>151027.45986354875</v>
      </c>
      <c r="DY64" s="134">
        <f t="shared" si="36"/>
        <v>151353.57562461004</v>
      </c>
      <c r="DZ64" s="134">
        <f t="shared" si="36"/>
        <v>151680.38787263585</v>
      </c>
      <c r="EA64" s="134">
        <f t="shared" si="36"/>
        <v>152007.8980890449</v>
      </c>
      <c r="EB64" s="134">
        <f t="shared" si="36"/>
        <v>152336.10775838562</v>
      </c>
      <c r="EC64" s="134">
        <f t="shared" si="36"/>
        <v>152665.01836834583</v>
      </c>
      <c r="ED64" s="134">
        <f t="shared" si="36"/>
        <v>152994.63140975506</v>
      </c>
      <c r="EE64" s="134">
        <f t="shared" si="36"/>
        <v>153324.94837659769</v>
      </c>
      <c r="EF64" s="134">
        <f t="shared" si="36"/>
        <v>153655.97076601279</v>
      </c>
    </row>
    <row r="65" spans="2:136" x14ac:dyDescent="0.45">
      <c r="B65" s="1" t="s">
        <v>218</v>
      </c>
      <c r="E65" s="24">
        <f t="shared" ref="E65:AJ65" si="37">SUM(F64:Q64)</f>
        <v>783879.19926218956</v>
      </c>
      <c r="F65" s="24">
        <f>SUM(G64:R64)</f>
        <v>799882.39086216339</v>
      </c>
      <c r="G65" s="24">
        <f t="shared" si="37"/>
        <v>818597.96303079557</v>
      </c>
      <c r="H65" s="24">
        <f t="shared" si="37"/>
        <v>841678.48360591079</v>
      </c>
      <c r="I65" s="24">
        <f t="shared" si="37"/>
        <v>868453.39625763986</v>
      </c>
      <c r="J65" s="24">
        <f t="shared" si="37"/>
        <v>890620.01802035409</v>
      </c>
      <c r="K65" s="24">
        <f t="shared" si="37"/>
        <v>917189.14057431812</v>
      </c>
      <c r="L65" s="24">
        <f t="shared" si="37"/>
        <v>941710.69514946407</v>
      </c>
      <c r="M65" s="24">
        <f t="shared" si="37"/>
        <v>967720.15175081044</v>
      </c>
      <c r="N65" s="24">
        <f t="shared" si="37"/>
        <v>999285.755079553</v>
      </c>
      <c r="O65" s="24">
        <f t="shared" si="37"/>
        <v>1032782.0078238853</v>
      </c>
      <c r="P65" s="24">
        <f t="shared" si="37"/>
        <v>1059793.735567512</v>
      </c>
      <c r="Q65" s="24">
        <f t="shared" si="37"/>
        <v>1083107.6560253708</v>
      </c>
      <c r="R65" s="24">
        <f t="shared" si="37"/>
        <v>1100642.8959546958</v>
      </c>
      <c r="S65" s="24">
        <f t="shared" si="37"/>
        <v>1116254.6694864051</v>
      </c>
      <c r="T65" s="24">
        <f t="shared" si="37"/>
        <v>1136934.3730559845</v>
      </c>
      <c r="U65" s="24">
        <f t="shared" si="37"/>
        <v>1164749.615837045</v>
      </c>
      <c r="V65" s="24">
        <f t="shared" si="37"/>
        <v>1200130.3624892095</v>
      </c>
      <c r="W65" s="24">
        <f t="shared" si="37"/>
        <v>1237558.8884677123</v>
      </c>
      <c r="X65" s="24">
        <f t="shared" si="37"/>
        <v>1275228.9212226965</v>
      </c>
      <c r="Y65" s="24">
        <f t="shared" si="37"/>
        <v>1309567.8116362006</v>
      </c>
      <c r="Z65" s="24">
        <f t="shared" si="37"/>
        <v>1338770.505712013</v>
      </c>
      <c r="AA65" s="24">
        <f t="shared" si="37"/>
        <v>1364073.70167769</v>
      </c>
      <c r="AB65" s="24">
        <f t="shared" si="37"/>
        <v>1387513.3886786362</v>
      </c>
      <c r="AC65" s="24">
        <f t="shared" si="37"/>
        <v>1411396.9262190214</v>
      </c>
      <c r="AD65" s="24">
        <f t="shared" si="37"/>
        <v>1437873.3718148917</v>
      </c>
      <c r="AE65" s="24">
        <f t="shared" si="37"/>
        <v>1463678.2609465718</v>
      </c>
      <c r="AF65" s="24">
        <f t="shared" si="37"/>
        <v>1482711.3887428839</v>
      </c>
      <c r="AG65" s="24">
        <f t="shared" si="37"/>
        <v>1494944.9008464071</v>
      </c>
      <c r="AH65" s="24">
        <f t="shared" si="37"/>
        <v>1500350.8571050409</v>
      </c>
      <c r="AI65" s="24">
        <f t="shared" si="37"/>
        <v>1503597.711495966</v>
      </c>
      <c r="AJ65" s="24">
        <f t="shared" si="37"/>
        <v>1506851.5052083088</v>
      </c>
      <c r="AK65" s="24">
        <f t="shared" ref="AK65:BP65" si="38">SUM(AL64:AW64)</f>
        <v>1510112.2530192349</v>
      </c>
      <c r="AL65" s="24">
        <f t="shared" si="38"/>
        <v>1513379.9697371768</v>
      </c>
      <c r="AM65" s="24">
        <f t="shared" si="38"/>
        <v>1516654.6702018976</v>
      </c>
      <c r="AN65" s="24">
        <f t="shared" si="38"/>
        <v>1519936.3692845579</v>
      </c>
      <c r="AO65" s="24">
        <f t="shared" si="38"/>
        <v>1523225.0818877826</v>
      </c>
      <c r="AP65" s="24">
        <f t="shared" si="38"/>
        <v>1526520.8229457245</v>
      </c>
      <c r="AQ65" s="24">
        <f t="shared" si="38"/>
        <v>1529823.6074241356</v>
      </c>
      <c r="AR65" s="24">
        <f t="shared" si="38"/>
        <v>1533133.450320428</v>
      </c>
      <c r="AS65" s="24">
        <f t="shared" si="38"/>
        <v>1536450.366663744</v>
      </c>
      <c r="AT65" s="24">
        <f t="shared" si="38"/>
        <v>1539774.3715150217</v>
      </c>
      <c r="AU65" s="24">
        <f t="shared" si="38"/>
        <v>1543105.4799670628</v>
      </c>
      <c r="AV65" s="24">
        <f t="shared" si="38"/>
        <v>1546443.7071445978</v>
      </c>
      <c r="AW65" s="24">
        <f t="shared" si="38"/>
        <v>1549789.0682043557</v>
      </c>
      <c r="AX65" s="24">
        <f t="shared" si="38"/>
        <v>1553141.5783351285</v>
      </c>
      <c r="AY65" s="24">
        <f t="shared" si="38"/>
        <v>1556501.2527578417</v>
      </c>
      <c r="AZ65" s="24">
        <f t="shared" si="38"/>
        <v>1559868.1067256199</v>
      </c>
      <c r="BA65" s="24">
        <f t="shared" si="38"/>
        <v>1563242.1555238548</v>
      </c>
      <c r="BB65" s="24">
        <f t="shared" si="38"/>
        <v>1566623.4144702733</v>
      </c>
      <c r="BC65" s="24">
        <f t="shared" si="38"/>
        <v>1570011.8989150058</v>
      </c>
      <c r="BD65" s="24">
        <f t="shared" si="38"/>
        <v>1573407.6242406545</v>
      </c>
      <c r="BE65" s="24">
        <f t="shared" si="38"/>
        <v>1576810.6058623602</v>
      </c>
      <c r="BF65" s="24">
        <f t="shared" si="38"/>
        <v>1580220.8592278736</v>
      </c>
      <c r="BG65" s="24">
        <f t="shared" si="38"/>
        <v>1583638.3998176213</v>
      </c>
      <c r="BH65" s="24">
        <f t="shared" si="38"/>
        <v>1587063.243144776</v>
      </c>
      <c r="BI65" s="24">
        <f t="shared" si="38"/>
        <v>1590495.4047553251</v>
      </c>
      <c r="BJ65" s="24">
        <f t="shared" si="38"/>
        <v>1593934.9002281381</v>
      </c>
      <c r="BK65" s="24">
        <f t="shared" si="38"/>
        <v>1597381.7451750394</v>
      </c>
      <c r="BL65" s="24">
        <f t="shared" si="38"/>
        <v>1600835.9552408739</v>
      </c>
      <c r="BM65" s="24">
        <f t="shared" si="38"/>
        <v>1604297.5461035785</v>
      </c>
      <c r="BN65" s="24">
        <f t="shared" si="38"/>
        <v>1607766.5334742526</v>
      </c>
      <c r="BO65" s="24">
        <f t="shared" si="38"/>
        <v>1611242.9330972247</v>
      </c>
      <c r="BP65" s="24">
        <f t="shared" si="38"/>
        <v>1614726.7607501254</v>
      </c>
      <c r="BQ65" s="24">
        <f t="shared" ref="BQ65:CV65" si="39">SUM(BR64:CC64)</f>
        <v>1618218.0322439563</v>
      </c>
      <c r="BR65" s="24">
        <f t="shared" si="39"/>
        <v>1621716.7634231593</v>
      </c>
      <c r="BS65" s="24">
        <f t="shared" si="39"/>
        <v>1625222.9701656876</v>
      </c>
      <c r="BT65" s="24">
        <f t="shared" si="39"/>
        <v>1628736.6683830782</v>
      </c>
      <c r="BU65" s="24">
        <f t="shared" si="39"/>
        <v>1632257.874020519</v>
      </c>
      <c r="BV65" s="24">
        <f t="shared" si="39"/>
        <v>1635786.6030569235</v>
      </c>
      <c r="BW65" s="24">
        <f t="shared" si="39"/>
        <v>1639322.8715049969</v>
      </c>
      <c r="BX65" s="24">
        <f t="shared" si="39"/>
        <v>1642866.6954113117</v>
      </c>
      <c r="BY65" s="24">
        <f t="shared" si="39"/>
        <v>1646418.0908563773</v>
      </c>
      <c r="BZ65" s="24">
        <f t="shared" si="39"/>
        <v>1649977.0739547103</v>
      </c>
      <c r="CA65" s="24">
        <f t="shared" si="39"/>
        <v>1653543.6608549082</v>
      </c>
      <c r="CB65" s="24">
        <f t="shared" si="39"/>
        <v>1657117.8677397184</v>
      </c>
      <c r="CC65" s="24">
        <f t="shared" si="39"/>
        <v>1660699.7108261131</v>
      </c>
      <c r="CD65" s="24">
        <f t="shared" si="39"/>
        <v>1664289.206365359</v>
      </c>
      <c r="CE65" s="24">
        <f t="shared" si="39"/>
        <v>1667886.3706430905</v>
      </c>
      <c r="CF65" s="24">
        <f t="shared" si="39"/>
        <v>1671491.219979381</v>
      </c>
      <c r="CG65" s="24">
        <f t="shared" si="39"/>
        <v>1675103.7707288172</v>
      </c>
      <c r="CH65" s="24">
        <f t="shared" si="39"/>
        <v>1678724.0392805696</v>
      </c>
      <c r="CI65" s="24">
        <f t="shared" si="39"/>
        <v>1682352.0420584662</v>
      </c>
      <c r="CJ65" s="24">
        <f t="shared" si="39"/>
        <v>1685987.7955210665</v>
      </c>
      <c r="CK65" s="24">
        <f t="shared" si="39"/>
        <v>1689631.3161617329</v>
      </c>
      <c r="CL65" s="24">
        <f t="shared" si="39"/>
        <v>1693282.6205087039</v>
      </c>
      <c r="CM65" s="24">
        <f t="shared" si="39"/>
        <v>1696941.7251251682</v>
      </c>
      <c r="CN65" s="24">
        <f t="shared" si="39"/>
        <v>1700608.6466093394</v>
      </c>
      <c r="CO65" s="24">
        <f t="shared" si="39"/>
        <v>1704283.4015945257</v>
      </c>
      <c r="CP65" s="24">
        <f t="shared" si="39"/>
        <v>1707966.0067492095</v>
      </c>
      <c r="CQ65" s="24">
        <f t="shared" si="39"/>
        <v>1711656.4787771159</v>
      </c>
      <c r="CR65" s="24">
        <f t="shared" si="39"/>
        <v>1715354.8344172908</v>
      </c>
      <c r="CS65" s="24">
        <f t="shared" si="39"/>
        <v>1719061.090444172</v>
      </c>
      <c r="CT65" s="24">
        <f t="shared" si="39"/>
        <v>1722775.2636676666</v>
      </c>
      <c r="CU65" s="24">
        <f t="shared" si="39"/>
        <v>1726497.3709332235</v>
      </c>
      <c r="CV65" s="24">
        <f t="shared" si="39"/>
        <v>1730227.429121909</v>
      </c>
      <c r="CW65" s="24">
        <f t="shared" ref="CW65:EB65" si="40">SUM(CX64:DI64)</f>
        <v>1733965.4551504813</v>
      </c>
      <c r="CX65" s="24">
        <f t="shared" si="40"/>
        <v>1737711.4659714676</v>
      </c>
      <c r="CY65" s="24">
        <f t="shared" si="40"/>
        <v>1741465.4785732348</v>
      </c>
      <c r="CZ65" s="24">
        <f t="shared" si="40"/>
        <v>1745227.5099800697</v>
      </c>
      <c r="DA65" s="24">
        <f t="shared" si="40"/>
        <v>1748997.5772522525</v>
      </c>
      <c r="DB65" s="24">
        <f t="shared" si="40"/>
        <v>1752775.6974861315</v>
      </c>
      <c r="DC65" s="24">
        <f t="shared" si="40"/>
        <v>1756561.8878142007</v>
      </c>
      <c r="DD65" s="24">
        <f t="shared" si="40"/>
        <v>1760356.1654051743</v>
      </c>
      <c r="DE65" s="24">
        <f t="shared" si="40"/>
        <v>1764158.5474640653</v>
      </c>
      <c r="DF65" s="24">
        <f t="shared" si="40"/>
        <v>1767969.051232259</v>
      </c>
      <c r="DG65" s="24">
        <f t="shared" si="40"/>
        <v>1771787.6939875912</v>
      </c>
      <c r="DH65" s="24">
        <f t="shared" si="40"/>
        <v>1775614.4930444241</v>
      </c>
      <c r="DI65" s="24">
        <f t="shared" si="40"/>
        <v>1779449.4657537234</v>
      </c>
      <c r="DJ65" s="24">
        <f t="shared" si="40"/>
        <v>1783292.6295031363</v>
      </c>
      <c r="DK65" s="24">
        <f t="shared" si="40"/>
        <v>1787144.0017170652</v>
      </c>
      <c r="DL65" s="24">
        <f t="shared" si="40"/>
        <v>1791003.599856751</v>
      </c>
      <c r="DM65" s="24">
        <f t="shared" si="40"/>
        <v>1794871.4414203444</v>
      </c>
      <c r="DN65" s="24">
        <f t="shared" si="40"/>
        <v>1798747.5439429868</v>
      </c>
      <c r="DO65" s="24">
        <f t="shared" si="40"/>
        <v>1802631.9249968878</v>
      </c>
      <c r="DP65" s="24">
        <f t="shared" si="40"/>
        <v>1806524.6021914021</v>
      </c>
      <c r="DQ65" s="24">
        <f t="shared" si="40"/>
        <v>1810425.5931731106</v>
      </c>
      <c r="DR65" s="24">
        <f t="shared" si="40"/>
        <v>1814334.9156258914</v>
      </c>
      <c r="DS65" s="24">
        <f t="shared" si="40"/>
        <v>1818252.5872710089</v>
      </c>
      <c r="DT65" s="24">
        <f t="shared" si="40"/>
        <v>1822178.6258671833</v>
      </c>
      <c r="DU65" s="24">
        <f t="shared" si="40"/>
        <v>1672125.3491323676</v>
      </c>
      <c r="DV65" s="24">
        <f t="shared" si="40"/>
        <v>1521748.0372400968</v>
      </c>
      <c r="DW65" s="24">
        <f t="shared" si="40"/>
        <v>1371045.9981289364</v>
      </c>
      <c r="DX65" s="24">
        <f t="shared" si="40"/>
        <v>1220018.5382653878</v>
      </c>
      <c r="DY65" s="24">
        <f t="shared" si="40"/>
        <v>1068664.9626407777</v>
      </c>
      <c r="DZ65" s="24">
        <f t="shared" si="40"/>
        <v>916984.57476814196</v>
      </c>
      <c r="EA65" s="24">
        <f t="shared" si="40"/>
        <v>764976.676679097</v>
      </c>
      <c r="EB65" s="24">
        <f t="shared" si="40"/>
        <v>612640.5689207114</v>
      </c>
      <c r="EC65" s="24">
        <f t="shared" ref="EC65:FH65" si="41">SUM(ED64:EO64)</f>
        <v>459975.55055236554</v>
      </c>
      <c r="ED65" s="24">
        <f t="shared" si="41"/>
        <v>306980.91914261051</v>
      </c>
      <c r="EE65" s="24">
        <f t="shared" si="41"/>
        <v>153655.97076601279</v>
      </c>
      <c r="EF65" s="24">
        <f t="shared" si="41"/>
        <v>0</v>
      </c>
    </row>
    <row r="66" spans="2:136" x14ac:dyDescent="0.45">
      <c r="E66" s="2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3C2A-57CD-4F2B-98C5-2EACE2F53594}">
  <sheetPr>
    <tabColor theme="4"/>
  </sheetPr>
  <dimension ref="B2:T188"/>
  <sheetViews>
    <sheetView showGridLines="0" workbookViewId="0">
      <selection activeCell="F13" sqref="F13"/>
    </sheetView>
  </sheetViews>
  <sheetFormatPr defaultRowHeight="14.25" x14ac:dyDescent="0.45"/>
  <cols>
    <col min="4" max="4" width="10.1328125" bestFit="1" customWidth="1"/>
    <col min="5" max="5" width="10.1328125" customWidth="1"/>
    <col min="8" max="8" width="10.1328125" bestFit="1" customWidth="1"/>
    <col min="15" max="15" width="9.796875" bestFit="1" customWidth="1"/>
    <col min="16" max="16" width="9.86328125" bestFit="1" customWidth="1"/>
    <col min="17" max="17" width="10.53125" bestFit="1" customWidth="1"/>
    <col min="18" max="18" width="9.796875" bestFit="1" customWidth="1"/>
  </cols>
  <sheetData>
    <row r="2" spans="2:20" x14ac:dyDescent="0.45">
      <c r="B2" s="142" t="str">
        <f>+Assumptions!B27</f>
        <v>Acquisition Loan</v>
      </c>
      <c r="C2" s="3"/>
      <c r="D2" s="3"/>
      <c r="E2" s="3"/>
      <c r="F2" s="4"/>
      <c r="G2" s="143"/>
      <c r="H2" s="200"/>
      <c r="M2" s="142" t="str">
        <f>Assumptions!B33</f>
        <v>Permanent Loan</v>
      </c>
      <c r="N2" s="3"/>
      <c r="O2" s="3"/>
      <c r="P2" s="4"/>
      <c r="Q2" s="143"/>
      <c r="R2" s="200"/>
    </row>
    <row r="3" spans="2:20" x14ac:dyDescent="0.45">
      <c r="B3" s="129" t="str">
        <f>+Assumptions!B28</f>
        <v>Origination</v>
      </c>
      <c r="C3" s="1"/>
      <c r="D3" s="1"/>
      <c r="E3" s="1"/>
      <c r="F3" s="1"/>
      <c r="G3" s="6"/>
      <c r="H3" s="201">
        <f>+Assumptions!G28</f>
        <v>0</v>
      </c>
      <c r="M3" s="129" t="str">
        <f>Assumptions!B35</f>
        <v>Seasoning Period Post Stabilization</v>
      </c>
      <c r="N3" s="1"/>
      <c r="O3" s="1"/>
      <c r="P3" s="1"/>
      <c r="Q3" s="6"/>
      <c r="R3" s="201">
        <f>Assumptions!G35</f>
        <v>5</v>
      </c>
    </row>
    <row r="4" spans="2:20" x14ac:dyDescent="0.45">
      <c r="B4" s="129" t="str">
        <f>+Assumptions!I29</f>
        <v>Rate</v>
      </c>
      <c r="C4" s="1"/>
      <c r="D4" s="1"/>
      <c r="E4" s="1"/>
      <c r="F4" s="1"/>
      <c r="G4" s="6"/>
      <c r="H4" s="203">
        <f>+Assumptions!L29</f>
        <v>7.4999999999999997E-2</v>
      </c>
      <c r="M4" s="129" t="str">
        <f>Assumptions!B36</f>
        <v>Refinancing Month</v>
      </c>
      <c r="N4" s="1"/>
      <c r="O4" s="1"/>
      <c r="P4" s="1"/>
      <c r="Q4" s="6"/>
      <c r="R4" s="202">
        <f>Assumptions!G36</f>
        <v>36</v>
      </c>
    </row>
    <row r="5" spans="2:20" x14ac:dyDescent="0.45">
      <c r="B5" s="129" t="str">
        <f>+Assumptions!I30</f>
        <v>Amortization</v>
      </c>
      <c r="C5" s="1"/>
      <c r="D5" s="1"/>
      <c r="E5" s="1"/>
      <c r="F5" s="1"/>
      <c r="G5" s="6"/>
      <c r="H5" s="204">
        <f>+Assumptions!L30</f>
        <v>30</v>
      </c>
      <c r="M5" s="129" t="str">
        <f>Assumptions!B37</f>
        <v>Fixed Interest Rate</v>
      </c>
      <c r="N5" s="1"/>
      <c r="O5" s="1"/>
      <c r="P5" s="1"/>
      <c r="Q5" s="6"/>
      <c r="R5" s="203">
        <f>Assumptions!G37</f>
        <v>5.7064400000000001E-2</v>
      </c>
    </row>
    <row r="6" spans="2:20" x14ac:dyDescent="0.45">
      <c r="B6" s="129"/>
      <c r="C6" s="1"/>
      <c r="D6" s="1"/>
      <c r="E6" s="1"/>
      <c r="F6" s="1"/>
      <c r="G6" s="6"/>
      <c r="H6" s="204"/>
      <c r="M6" s="129" t="str">
        <f>Assumptions!B39</f>
        <v>Amortization</v>
      </c>
      <c r="N6" s="1"/>
      <c r="O6" s="1"/>
      <c r="P6" s="1"/>
      <c r="Q6" s="6"/>
      <c r="R6" s="204">
        <f>Assumptions!G39</f>
        <v>30</v>
      </c>
    </row>
    <row r="7" spans="2:20" x14ac:dyDescent="0.45">
      <c r="B7" s="129" t="s">
        <v>260</v>
      </c>
      <c r="C7" s="1"/>
      <c r="D7" s="1"/>
      <c r="E7" s="1"/>
      <c r="F7" s="1"/>
      <c r="G7" s="6"/>
      <c r="H7" s="203">
        <f>IF(H5=0,H4,PMT(H4/12,H5*12,-1)*12)</f>
        <v>8.3905741026333511E-2</v>
      </c>
      <c r="M7" s="129" t="s">
        <v>260</v>
      </c>
      <c r="N7" s="1"/>
      <c r="O7" s="1"/>
      <c r="P7" s="1"/>
      <c r="Q7" s="6"/>
      <c r="R7" s="203">
        <f>PMT(R5/12,R6*12,-1)*12</f>
        <v>6.9697032011790422E-2</v>
      </c>
    </row>
    <row r="8" spans="2:20" x14ac:dyDescent="0.45">
      <c r="B8" s="131" t="s">
        <v>362</v>
      </c>
      <c r="C8" s="2"/>
      <c r="D8" s="2"/>
      <c r="E8" s="2"/>
      <c r="F8" s="205"/>
      <c r="G8" s="205"/>
      <c r="H8" s="206">
        <f>+Assumptions!R30</f>
        <v>10430000</v>
      </c>
      <c r="M8" s="131" t="str">
        <f>Assumptions!I37</f>
        <v>Max Perm. Loan</v>
      </c>
      <c r="N8" s="2"/>
      <c r="O8" s="2"/>
      <c r="P8" s="205"/>
      <c r="Q8" s="205"/>
      <c r="R8" s="206">
        <f>IF(Assumptions!G34="Yes",Assumptions!L37,0)</f>
        <v>17127872.151652358</v>
      </c>
    </row>
    <row r="10" spans="2:20" x14ac:dyDescent="0.45">
      <c r="G10" s="211"/>
    </row>
    <row r="11" spans="2:20" x14ac:dyDescent="0.45">
      <c r="B11" s="208" t="s">
        <v>261</v>
      </c>
      <c r="C11" s="208" t="s">
        <v>237</v>
      </c>
      <c r="D11" s="208" t="s">
        <v>262</v>
      </c>
      <c r="E11" s="208" t="s">
        <v>361</v>
      </c>
      <c r="F11" s="208" t="s">
        <v>263</v>
      </c>
      <c r="G11" s="208" t="s">
        <v>264</v>
      </c>
      <c r="H11" s="208" t="s">
        <v>265</v>
      </c>
      <c r="M11" s="208" t="s">
        <v>261</v>
      </c>
      <c r="N11" s="208" t="s">
        <v>237</v>
      </c>
      <c r="O11" s="208" t="s">
        <v>262</v>
      </c>
      <c r="P11" s="208" t="s">
        <v>263</v>
      </c>
      <c r="Q11" s="208" t="s">
        <v>264</v>
      </c>
      <c r="R11" s="208" t="s">
        <v>265</v>
      </c>
    </row>
    <row r="12" spans="2:20" x14ac:dyDescent="0.45">
      <c r="B12" s="209">
        <f>+Assumptions!G28</f>
        <v>0</v>
      </c>
      <c r="C12" s="207">
        <v>0</v>
      </c>
      <c r="D12" s="207"/>
      <c r="E12" s="207"/>
      <c r="F12" s="207"/>
      <c r="G12" s="207"/>
      <c r="H12" s="210">
        <f>+H8</f>
        <v>10430000</v>
      </c>
      <c r="M12" s="209">
        <f>+R4</f>
        <v>36</v>
      </c>
      <c r="N12" s="207">
        <v>0</v>
      </c>
      <c r="O12" s="207"/>
      <c r="P12" s="207"/>
      <c r="Q12" s="207"/>
      <c r="R12" s="210">
        <f>+R8</f>
        <v>17127872.151652358</v>
      </c>
    </row>
    <row r="13" spans="2:20" x14ac:dyDescent="0.45">
      <c r="B13" s="209">
        <f>+B12+1</f>
        <v>1</v>
      </c>
      <c r="C13" s="207">
        <f>+C12+1</f>
        <v>1</v>
      </c>
      <c r="D13" s="210">
        <f>IF(B13&gt;Assumptions!$E$175,0,H12)</f>
        <v>10430000</v>
      </c>
      <c r="E13" s="210" cm="1">
        <f t="array" ref="E13">IFERROR(INDEX(Model!$G$40:$EI$40,,MATCH('Debt Schedule'!B13,Model!$G$4:$EI$4,0)),0)</f>
        <v>-559509.62924044952</v>
      </c>
      <c r="F13" s="210">
        <f>IF(AND(Assumptions!$G$34="Yes",'Debt Schedule'!B13&gt;Assumptions!$G$36),0,IF(B13&gt;Assumptions!$E$175,0,-IFERROR(PPMT($H$4/12,C13,$H$5*12,-$H$8),0)))</f>
        <v>-7740.5732420548748</v>
      </c>
      <c r="G13" s="210">
        <f>IF(AND(Assumptions!$G$34="yes",'Debt Schedule'!B13&gt;Assumptions!$G$36),0,IFERROR(IF(B13&gt;Assumptions!$E$175,0,IPMT($H$4/12,C13,$H$5*12,-$H$8)),$H$4/12*D13))</f>
        <v>65187.499999999993</v>
      </c>
      <c r="H13" s="210">
        <f t="shared" ref="H13:H44" si="0">SUM(D13:F13)</f>
        <v>9862749.7975174952</v>
      </c>
      <c r="M13" s="209">
        <f>+M12+1</f>
        <v>37</v>
      </c>
      <c r="N13" s="207">
        <f>+N12+1</f>
        <v>1</v>
      </c>
      <c r="O13" s="210">
        <f>IF(M13&gt;Assumptions!$E$175,0,R12)</f>
        <v>17127872.151652358</v>
      </c>
      <c r="P13" s="210">
        <f>IF(M13&gt;Assumptions!$E$175,0,-PPMT($R$5/12,N13,$R$6*12,-$R$8))</f>
        <v>-18030.842169734788</v>
      </c>
      <c r="Q13" s="210">
        <f>IF(M13&gt;Assumptions!$E$175,0,-IPMT($R$5/12,N13,$R$6*12,-$R$8))</f>
        <v>-81449.312300895908</v>
      </c>
      <c r="R13" s="210">
        <f>+P13+O13</f>
        <v>17109841.309482623</v>
      </c>
      <c r="S13" s="211"/>
      <c r="T13" s="211"/>
    </row>
    <row r="14" spans="2:20" x14ac:dyDescent="0.45">
      <c r="B14" s="209">
        <f t="shared" ref="B14:C29" si="1">+B13+1</f>
        <v>2</v>
      </c>
      <c r="C14" s="207">
        <f t="shared" si="1"/>
        <v>2</v>
      </c>
      <c r="D14" s="210">
        <f>IF(B14&gt;Assumptions!$E$175,0,H13)</f>
        <v>9862749.7975174952</v>
      </c>
      <c r="E14" s="210" cm="1">
        <f t="array" ref="E14">IFERROR(INDEX(Model!$G$40:$EI$40,,MATCH('Debt Schedule'!B14,Model!$G$4:$EI$4,0)),0)</f>
        <v>7740.5732420552522</v>
      </c>
      <c r="F14" s="210">
        <f>IF(AND(Assumptions!$G$34="Yes",'Debt Schedule'!B14&gt;Assumptions!$G$36),0,IF(B14&gt;Assumptions!$E$175,0,-IFERROR(PPMT($H$4/12,C14,$H$5*12,-$H$8),0)))</f>
        <v>-7788.9518248177183</v>
      </c>
      <c r="G14" s="210">
        <f>IF(AND(Assumptions!$G$34="yes",'Debt Schedule'!B14&gt;Assumptions!$G$36),0,IFERROR(IF(B14&gt;Assumptions!$E$175,0,IPMT($H$4/12,C14,$H$5*12,-$H$8)),$H$4/12*D14))</f>
        <v>65139.121417237147</v>
      </c>
      <c r="H14" s="210">
        <f t="shared" si="0"/>
        <v>9862701.4189347327</v>
      </c>
      <c r="M14" s="209">
        <f>+M13+1</f>
        <v>38</v>
      </c>
      <c r="N14" s="207">
        <f>+N13+1</f>
        <v>2</v>
      </c>
      <c r="O14" s="210">
        <f>IF(M14&gt;Assumptions!$E$175,0,R13)</f>
        <v>17109841.309482623</v>
      </c>
      <c r="P14" s="210">
        <f>IF(M14&gt;Assumptions!$E$175,0,-PPMT($R$5/12,N14,$R$6*12,-$R$8))</f>
        <v>-18116.585435560672</v>
      </c>
      <c r="Q14" s="210">
        <f>IF(M14&gt;Assumptions!$E$175,0,-IPMT($R$5/12,N14,$R$6*12,-$R$8))</f>
        <v>-81363.569035070017</v>
      </c>
      <c r="R14" s="210">
        <f t="shared" ref="R14:R77" si="2">+P14+O14</f>
        <v>17091724.724047061</v>
      </c>
    </row>
    <row r="15" spans="2:20" x14ac:dyDescent="0.45">
      <c r="B15" s="209">
        <f t="shared" si="1"/>
        <v>3</v>
      </c>
      <c r="C15" s="207">
        <f t="shared" si="1"/>
        <v>3</v>
      </c>
      <c r="D15" s="210">
        <f>IF(B15&gt;Assumptions!$E$175,0,H14)</f>
        <v>9862701.4189347327</v>
      </c>
      <c r="E15" s="210" cm="1">
        <f t="array" ref="E15">IFERROR(INDEX(Model!$G$40:$EI$40,,MATCH('Debt Schedule'!B15,Model!$G$4:$EI$4,0)),0)</f>
        <v>7788.9518248178065</v>
      </c>
      <c r="F15" s="210">
        <f>IF(AND(Assumptions!$G$34="Yes",'Debt Schedule'!B15&gt;Assumptions!$G$36),0,IF(B15&gt;Assumptions!$E$175,0,-IFERROR(PPMT($H$4/12,C15,$H$5*12,-$H$8),0)))</f>
        <v>-7837.6327737228285</v>
      </c>
      <c r="G15" s="210">
        <f>IF(AND(Assumptions!$G$34="yes",'Debt Schedule'!B15&gt;Assumptions!$G$36),0,IFERROR(IF(B15&gt;Assumptions!$E$175,0,IPMT($H$4/12,C15,$H$5*12,-$H$8)),$H$4/12*D15))</f>
        <v>65090.440468332046</v>
      </c>
      <c r="H15" s="210">
        <f t="shared" si="0"/>
        <v>9862652.737985827</v>
      </c>
      <c r="M15" s="209">
        <f t="shared" ref="M15:M78" si="3">+M14+1</f>
        <v>39</v>
      </c>
      <c r="N15" s="207">
        <f t="shared" ref="N15:N78" si="4">+N14+1</f>
        <v>3</v>
      </c>
      <c r="O15" s="210">
        <f>IF(M15&gt;Assumptions!$E$175,0,R14)</f>
        <v>17091724.724047061</v>
      </c>
      <c r="P15" s="210">
        <f>IF(M15&gt;Assumptions!$E$175,0,-PPMT($R$5/12,N15,$R$6*12,-$R$8))</f>
        <v>-18202.736442054753</v>
      </c>
      <c r="Q15" s="210">
        <f>IF(M15&gt;Assumptions!$E$175,0,-IPMT($R$5/12,N15,$R$6*12,-$R$8))</f>
        <v>-81277.418028575921</v>
      </c>
      <c r="R15" s="210">
        <f t="shared" si="2"/>
        <v>17073521.987605006</v>
      </c>
    </row>
    <row r="16" spans="2:20" x14ac:dyDescent="0.45">
      <c r="B16" s="209">
        <f t="shared" si="1"/>
        <v>4</v>
      </c>
      <c r="C16" s="207">
        <f t="shared" si="1"/>
        <v>4</v>
      </c>
      <c r="D16" s="210">
        <f>IF(B16&gt;Assumptions!$E$175,0,H15)</f>
        <v>9862652.737985827</v>
      </c>
      <c r="E16" s="210" cm="1">
        <f t="array" ref="E16">IFERROR(INDEX(Model!$G$40:$EI$40,,MATCH('Debt Schedule'!B16,Model!$G$4:$EI$4,0)),0)</f>
        <v>7837.6327737234533</v>
      </c>
      <c r="F16" s="210">
        <f>IF(AND(Assumptions!$G$34="Yes",'Debt Schedule'!B16&gt;Assumptions!$G$36),0,IF(B16&gt;Assumptions!$E$175,0,-IFERROR(PPMT($H$4/12,C16,$H$5*12,-$H$8),0)))</f>
        <v>-7886.6179785585973</v>
      </c>
      <c r="G16" s="210">
        <f>IF(AND(Assumptions!$G$34="yes",'Debt Schedule'!B16&gt;Assumptions!$G$36),0,IFERROR(IF(B16&gt;Assumptions!$E$175,0,IPMT($H$4/12,C16,$H$5*12,-$H$8)),$H$4/12*D16))</f>
        <v>65041.455263496275</v>
      </c>
      <c r="H16" s="210">
        <f t="shared" si="0"/>
        <v>9862603.7527809925</v>
      </c>
      <c r="M16" s="209">
        <f t="shared" si="3"/>
        <v>40</v>
      </c>
      <c r="N16" s="207">
        <f t="shared" si="4"/>
        <v>4</v>
      </c>
      <c r="O16" s="210">
        <f>IF(M16&gt;Assumptions!$E$175,0,R15)</f>
        <v>17073521.987605006</v>
      </c>
      <c r="P16" s="210">
        <f>IF(M16&gt;Assumptions!$E$175,0,-PPMT($R$5/12,N16,$R$6*12,-$R$8))</f>
        <v>-18289.297128173421</v>
      </c>
      <c r="Q16" s="210">
        <f>IF(M16&gt;Assumptions!$E$175,0,-IPMT($R$5/12,N16,$R$6*12,-$R$8))</f>
        <v>-81190.857342457282</v>
      </c>
      <c r="R16" s="210">
        <f t="shared" si="2"/>
        <v>17055232.690476831</v>
      </c>
    </row>
    <row r="17" spans="2:18" x14ac:dyDescent="0.45">
      <c r="B17" s="209">
        <f t="shared" si="1"/>
        <v>5</v>
      </c>
      <c r="C17" s="207">
        <f t="shared" si="1"/>
        <v>5</v>
      </c>
      <c r="D17" s="210">
        <f>IF(B17&gt;Assumptions!$E$175,0,H16)</f>
        <v>9862603.7527809925</v>
      </c>
      <c r="E17" s="210" cm="1">
        <f t="array" ref="E17">IFERROR(INDEX(Model!$G$40:$EI$40,,MATCH('Debt Schedule'!B17,Model!$G$4:$EI$4,0)),0)</f>
        <v>7886.6179785579443</v>
      </c>
      <c r="F17" s="210">
        <f>IF(AND(Assumptions!$G$34="Yes",'Debt Schedule'!B17&gt;Assumptions!$G$36),0,IF(B17&gt;Assumptions!$E$175,0,-IFERROR(PPMT($H$4/12,C17,$H$5*12,-$H$8),0)))</f>
        <v>-7935.909340924587</v>
      </c>
      <c r="G17" s="210">
        <f>IF(AND(Assumptions!$G$34="yes",'Debt Schedule'!B17&gt;Assumptions!$G$36),0,IFERROR(IF(B17&gt;Assumptions!$E$175,0,IPMT($H$4/12,C17,$H$5*12,-$H$8)),$H$4/12*D17))</f>
        <v>64992.163901130276</v>
      </c>
      <c r="H17" s="210">
        <f t="shared" si="0"/>
        <v>9862554.461418625</v>
      </c>
      <c r="M17" s="209">
        <f t="shared" si="3"/>
        <v>41</v>
      </c>
      <c r="N17" s="207">
        <f t="shared" si="4"/>
        <v>5</v>
      </c>
      <c r="O17" s="210">
        <f>IF(M17&gt;Assumptions!$E$175,0,R16)</f>
        <v>17055232.690476831</v>
      </c>
      <c r="P17" s="210">
        <f>IF(M17&gt;Assumptions!$E$175,0,-PPMT($R$5/12,N17,$R$6*12,-$R$8))</f>
        <v>-18376.269442093497</v>
      </c>
      <c r="Q17" s="210">
        <f>IF(M17&gt;Assumptions!$E$175,0,-IPMT($R$5/12,N17,$R$6*12,-$R$8))</f>
        <v>-81103.885028537188</v>
      </c>
      <c r="R17" s="210">
        <f t="shared" si="2"/>
        <v>17036856.421034738</v>
      </c>
    </row>
    <row r="18" spans="2:18" x14ac:dyDescent="0.45">
      <c r="B18" s="209">
        <f t="shared" si="1"/>
        <v>6</v>
      </c>
      <c r="C18" s="207">
        <f t="shared" si="1"/>
        <v>6</v>
      </c>
      <c r="D18" s="210">
        <f>IF(B18&gt;Assumptions!$E$175,0,H17)</f>
        <v>9862554.461418625</v>
      </c>
      <c r="E18" s="210" cm="1">
        <f t="array" ref="E18">IFERROR(INDEX(Model!$G$40:$EI$40,,MATCH('Debt Schedule'!B18,Model!$G$4:$EI$4,0)),0)</f>
        <v>7935.9093409255147</v>
      </c>
      <c r="F18" s="210">
        <f>IF(AND(Assumptions!$G$34="Yes",'Debt Schedule'!B18&gt;Assumptions!$G$36),0,IF(B18&gt;Assumptions!$E$175,0,-IFERROR(PPMT($H$4/12,C18,$H$5*12,-$H$8),0)))</f>
        <v>-7985.5087743053673</v>
      </c>
      <c r="G18" s="210">
        <f>IF(AND(Assumptions!$G$34="yes",'Debt Schedule'!B18&gt;Assumptions!$G$36),0,IFERROR(IF(B18&gt;Assumptions!$E$175,0,IPMT($H$4/12,C18,$H$5*12,-$H$8)),$H$4/12*D18))</f>
        <v>64942.564467749507</v>
      </c>
      <c r="H18" s="210">
        <f t="shared" si="0"/>
        <v>9862504.8619852457</v>
      </c>
      <c r="M18" s="209">
        <f t="shared" si="3"/>
        <v>42</v>
      </c>
      <c r="N18" s="207">
        <f t="shared" si="4"/>
        <v>6</v>
      </c>
      <c r="O18" s="210">
        <f>IF(M18&gt;Assumptions!$E$175,0,R17)</f>
        <v>17036856.421034738</v>
      </c>
      <c r="P18" s="210">
        <f>IF(M18&gt;Assumptions!$E$175,0,-PPMT($R$5/12,N18,$R$6*12,-$R$8))</f>
        <v>-18463.655341256115</v>
      </c>
      <c r="Q18" s="210">
        <f>IF(M18&gt;Assumptions!$E$175,0,-IPMT($R$5/12,N18,$R$6*12,-$R$8))</f>
        <v>-81016.499129374584</v>
      </c>
      <c r="R18" s="210">
        <f t="shared" si="2"/>
        <v>17018392.765693482</v>
      </c>
    </row>
    <row r="19" spans="2:18" x14ac:dyDescent="0.45">
      <c r="B19" s="209">
        <f t="shared" si="1"/>
        <v>7</v>
      </c>
      <c r="C19" s="207">
        <f t="shared" si="1"/>
        <v>7</v>
      </c>
      <c r="D19" s="210">
        <f>IF(B19&gt;Assumptions!$E$175,0,H18)</f>
        <v>9862504.8619852457</v>
      </c>
      <c r="E19" s="210" cm="1">
        <f t="array" ref="E19">IFERROR(INDEX(Model!$G$40:$EI$40,,MATCH('Debt Schedule'!B19,Model!$G$4:$EI$4,0)),0)</f>
        <v>7985.5087743047625</v>
      </c>
      <c r="F19" s="210">
        <f>IF(AND(Assumptions!$G$34="Yes",'Debt Schedule'!B19&gt;Assumptions!$G$36),0,IF(B19&gt;Assumptions!$E$175,0,-IFERROR(PPMT($H$4/12,C19,$H$5*12,-$H$8),0)))</f>
        <v>-8035.4182041447766</v>
      </c>
      <c r="G19" s="210">
        <f>IF(AND(Assumptions!$G$34="yes",'Debt Schedule'!B19&gt;Assumptions!$G$36),0,IFERROR(IF(B19&gt;Assumptions!$E$175,0,IPMT($H$4/12,C19,$H$5*12,-$H$8)),$H$4/12*D19))</f>
        <v>64892.655037910103</v>
      </c>
      <c r="H19" s="210">
        <f t="shared" si="0"/>
        <v>9862454.952555405</v>
      </c>
      <c r="M19" s="209">
        <f t="shared" si="3"/>
        <v>43</v>
      </c>
      <c r="N19" s="207">
        <f t="shared" si="4"/>
        <v>7</v>
      </c>
      <c r="O19" s="210">
        <f>IF(M19&gt;Assumptions!$E$175,0,R18)</f>
        <v>17018392.765693482</v>
      </c>
      <c r="P19" s="210">
        <f>IF(M19&gt;Assumptions!$E$175,0,-PPMT($R$5/12,N19,$R$6*12,-$R$8))</f>
        <v>-18551.456792410747</v>
      </c>
      <c r="Q19" s="210">
        <f>IF(M19&gt;Assumptions!$E$175,0,-IPMT($R$5/12,N19,$R$6*12,-$R$8))</f>
        <v>-80928.697678219949</v>
      </c>
      <c r="R19" s="210">
        <f t="shared" si="2"/>
        <v>16999841.308901072</v>
      </c>
    </row>
    <row r="20" spans="2:18" x14ac:dyDescent="0.45">
      <c r="B20" s="209">
        <f t="shared" si="1"/>
        <v>8</v>
      </c>
      <c r="C20" s="207">
        <f t="shared" si="1"/>
        <v>8</v>
      </c>
      <c r="D20" s="210">
        <f>IF(B20&gt;Assumptions!$E$175,0,H19)</f>
        <v>9862454.952555405</v>
      </c>
      <c r="E20" s="210" cm="1">
        <f t="array" ref="E20">IFERROR(INDEX(Model!$G$40:$EI$40,,MATCH('Debt Schedule'!B20,Model!$G$4:$EI$4,0)),0)</f>
        <v>8035.418204145506</v>
      </c>
      <c r="F20" s="210">
        <f>IF(AND(Assumptions!$G$34="Yes",'Debt Schedule'!B20&gt;Assumptions!$G$36),0,IF(B20&gt;Assumptions!$E$175,0,-IFERROR(PPMT($H$4/12,C20,$H$5*12,-$H$8),0)))</f>
        <v>-8085.6395679206798</v>
      </c>
      <c r="G20" s="210">
        <f>IF(AND(Assumptions!$G$34="yes",'Debt Schedule'!B20&gt;Assumptions!$G$36),0,IFERROR(IF(B20&gt;Assumptions!$E$175,0,IPMT($H$4/12,C20,$H$5*12,-$H$8)),$H$4/12*D20))</f>
        <v>64842.43367413419</v>
      </c>
      <c r="H20" s="210">
        <f t="shared" si="0"/>
        <v>9862404.7311916295</v>
      </c>
      <c r="M20" s="209">
        <f t="shared" si="3"/>
        <v>44</v>
      </c>
      <c r="N20" s="207">
        <f t="shared" si="4"/>
        <v>8</v>
      </c>
      <c r="O20" s="210">
        <f>IF(M20&gt;Assumptions!$E$175,0,R19)</f>
        <v>16999841.308901072</v>
      </c>
      <c r="P20" s="210">
        <f>IF(M20&gt;Assumptions!$E$175,0,-PPMT($R$5/12,N20,$R$6*12,-$R$8))</f>
        <v>-18639.675771659484</v>
      </c>
      <c r="Q20" s="210">
        <f>IF(M20&gt;Assumptions!$E$175,0,-IPMT($R$5/12,N20,$R$6*12,-$R$8))</f>
        <v>-80840.478698971216</v>
      </c>
      <c r="R20" s="210">
        <f t="shared" si="2"/>
        <v>16981201.63312941</v>
      </c>
    </row>
    <row r="21" spans="2:18" x14ac:dyDescent="0.45">
      <c r="B21" s="209">
        <f t="shared" si="1"/>
        <v>9</v>
      </c>
      <c r="C21" s="207">
        <f t="shared" si="1"/>
        <v>9</v>
      </c>
      <c r="D21" s="210">
        <f>IF(B21&gt;Assumptions!$E$175,0,H20)</f>
        <v>9862404.7311916295</v>
      </c>
      <c r="E21" s="210" cm="1">
        <f t="array" ref="E21">IFERROR(INDEX(Model!$G$40:$EI$40,,MATCH('Debt Schedule'!B21,Model!$G$4:$EI$4,0)),0)</f>
        <v>8085.6395679209381</v>
      </c>
      <c r="F21" s="210">
        <f>IF(AND(Assumptions!$G$34="Yes",'Debt Schedule'!B21&gt;Assumptions!$G$36),0,IF(B21&gt;Assumptions!$E$175,0,-IFERROR(PPMT($H$4/12,C21,$H$5*12,-$H$8),0)))</f>
        <v>-8136.1748152201844</v>
      </c>
      <c r="G21" s="210">
        <f>IF(AND(Assumptions!$G$34="yes",'Debt Schedule'!B21&gt;Assumptions!$G$36),0,IFERROR(IF(B21&gt;Assumptions!$E$175,0,IPMT($H$4/12,C21,$H$5*12,-$H$8)),$H$4/12*D21))</f>
        <v>64791.898426834683</v>
      </c>
      <c r="H21" s="210">
        <f t="shared" si="0"/>
        <v>9862354.1959443297</v>
      </c>
      <c r="M21" s="209">
        <f t="shared" si="3"/>
        <v>45</v>
      </c>
      <c r="N21" s="207">
        <f t="shared" si="4"/>
        <v>9</v>
      </c>
      <c r="O21" s="210">
        <f>IF(M21&gt;Assumptions!$E$175,0,R20)</f>
        <v>16981201.63312941</v>
      </c>
      <c r="P21" s="210">
        <f>IF(M21&gt;Assumptions!$E$175,0,-PPMT($R$5/12,N21,$R$6*12,-$R$8))</f>
        <v>-18728.314264501507</v>
      </c>
      <c r="Q21" s="210">
        <f>IF(M21&gt;Assumptions!$E$175,0,-IPMT($R$5/12,N21,$R$6*12,-$R$8))</f>
        <v>-80751.840206129185</v>
      </c>
      <c r="R21" s="210">
        <f t="shared" si="2"/>
        <v>16962473.318864908</v>
      </c>
    </row>
    <row r="22" spans="2:18" x14ac:dyDescent="0.45">
      <c r="B22" s="209">
        <f t="shared" si="1"/>
        <v>10</v>
      </c>
      <c r="C22" s="207">
        <f t="shared" si="1"/>
        <v>10</v>
      </c>
      <c r="D22" s="210">
        <f>IF(B22&gt;Assumptions!$E$175,0,H21)</f>
        <v>9862354.1959443297</v>
      </c>
      <c r="E22" s="210" cm="1">
        <f t="array" ref="E22">IFERROR(INDEX(Model!$G$40:$EI$40,,MATCH('Debt Schedule'!B22,Model!$G$4:$EI$4,0)),0)</f>
        <v>8136.1748152207583</v>
      </c>
      <c r="F22" s="210">
        <f>IF(AND(Assumptions!$G$34="Yes",'Debt Schedule'!B22&gt;Assumptions!$G$36),0,IF(B22&gt;Assumptions!$E$175,0,-IFERROR(PPMT($H$4/12,C22,$H$5*12,-$H$8),0)))</f>
        <v>-8187.0259078153113</v>
      </c>
      <c r="G22" s="210">
        <f>IF(AND(Assumptions!$G$34="yes",'Debt Schedule'!B22&gt;Assumptions!$G$36),0,IFERROR(IF(B22&gt;Assumptions!$E$175,0,IPMT($H$4/12,C22,$H$5*12,-$H$8)),$H$4/12*D22))</f>
        <v>64741.047334239571</v>
      </c>
      <c r="H22" s="210">
        <f t="shared" si="0"/>
        <v>9862303.344851736</v>
      </c>
      <c r="M22" s="209">
        <f t="shared" si="3"/>
        <v>46</v>
      </c>
      <c r="N22" s="207">
        <f t="shared" si="4"/>
        <v>10</v>
      </c>
      <c r="O22" s="210">
        <f>IF(M22&gt;Assumptions!$E$175,0,R21)</f>
        <v>16962473.318864908</v>
      </c>
      <c r="P22" s="210">
        <f>IF(M22&gt;Assumptions!$E$175,0,-PPMT($R$5/12,N22,$R$6*12,-$R$8))</f>
        <v>-18817.374265877774</v>
      </c>
      <c r="Q22" s="210">
        <f>IF(M22&gt;Assumptions!$E$175,0,-IPMT($R$5/12,N22,$R$6*12,-$R$8))</f>
        <v>-80662.780204752911</v>
      </c>
      <c r="R22" s="210">
        <f t="shared" si="2"/>
        <v>16943655.944599029</v>
      </c>
    </row>
    <row r="23" spans="2:18" x14ac:dyDescent="0.45">
      <c r="B23" s="209">
        <f t="shared" si="1"/>
        <v>11</v>
      </c>
      <c r="C23" s="207">
        <f t="shared" si="1"/>
        <v>11</v>
      </c>
      <c r="D23" s="210">
        <f>IF(B23&gt;Assumptions!$E$175,0,H22)</f>
        <v>9862303.344851736</v>
      </c>
      <c r="E23" s="210" cm="1">
        <f t="array" ref="E23">IFERROR(INDEX(Model!$G$40:$EI$40,,MATCH('Debt Schedule'!B23,Model!$G$4:$EI$4,0)),0)</f>
        <v>8187.0259078145027</v>
      </c>
      <c r="F23" s="210">
        <f>IF(AND(Assumptions!$G$34="Yes",'Debt Schedule'!B23&gt;Assumptions!$G$36),0,IF(B23&gt;Assumptions!$E$175,0,-IFERROR(PPMT($H$4/12,C23,$H$5*12,-$H$8),0)))</f>
        <v>-8238.1948197391557</v>
      </c>
      <c r="G23" s="210">
        <f>IF(AND(Assumptions!$G$34="yes",'Debt Schedule'!B23&gt;Assumptions!$G$36),0,IFERROR(IF(B23&gt;Assumptions!$E$175,0,IPMT($H$4/12,C23,$H$5*12,-$H$8)),$H$4/12*D23))</f>
        <v>64689.878422315713</v>
      </c>
      <c r="H23" s="210">
        <f t="shared" si="0"/>
        <v>9862252.1759398114</v>
      </c>
      <c r="M23" s="209">
        <f t="shared" si="3"/>
        <v>47</v>
      </c>
      <c r="N23" s="207">
        <f t="shared" si="4"/>
        <v>11</v>
      </c>
      <c r="O23" s="210">
        <f>IF(M23&gt;Assumptions!$E$175,0,R22)</f>
        <v>16943655.944599029</v>
      </c>
      <c r="P23" s="210">
        <f>IF(M23&gt;Assumptions!$E$175,0,-PPMT($R$5/12,N23,$R$6*12,-$R$8))</f>
        <v>-18906.857780215927</v>
      </c>
      <c r="Q23" s="210">
        <f>IF(M23&gt;Assumptions!$E$175,0,-IPMT($R$5/12,N23,$R$6*12,-$R$8))</f>
        <v>-80573.296690414776</v>
      </c>
      <c r="R23" s="210">
        <f t="shared" si="2"/>
        <v>16924749.086818814</v>
      </c>
    </row>
    <row r="24" spans="2:18" x14ac:dyDescent="0.45">
      <c r="B24" s="209">
        <f t="shared" si="1"/>
        <v>12</v>
      </c>
      <c r="C24" s="207">
        <f t="shared" si="1"/>
        <v>12</v>
      </c>
      <c r="D24" s="210">
        <f>IF(B24&gt;Assumptions!$E$175,0,H23)</f>
        <v>9862252.1759398114</v>
      </c>
      <c r="E24" s="210" cm="1">
        <f t="array" ref="E24">IFERROR(INDEX(Model!$G$40:$EI$40,,MATCH('Debt Schedule'!B24,Model!$G$4:$EI$4,0)),0)</f>
        <v>8238.1948197390884</v>
      </c>
      <c r="F24" s="210">
        <f>IF(AND(Assumptions!$G$34="Yes",'Debt Schedule'!B24&gt;Assumptions!$G$36),0,IF(B24&gt;Assumptions!$E$175,0,-IFERROR(PPMT($H$4/12,C24,$H$5*12,-$H$8),0)))</f>
        <v>-8289.6835373625217</v>
      </c>
      <c r="G24" s="210">
        <f>IF(AND(Assumptions!$G$34="yes",'Debt Schedule'!B24&gt;Assumptions!$G$36),0,IFERROR(IF(B24&gt;Assumptions!$E$175,0,IPMT($H$4/12,C24,$H$5*12,-$H$8)),$H$4/12*D24))</f>
        <v>64638.389704692359</v>
      </c>
      <c r="H24" s="210">
        <f t="shared" si="0"/>
        <v>9862200.6872221883</v>
      </c>
      <c r="M24" s="209">
        <f t="shared" si="3"/>
        <v>48</v>
      </c>
      <c r="N24" s="207">
        <f t="shared" si="4"/>
        <v>12</v>
      </c>
      <c r="O24" s="210">
        <f>IF(M24&gt;Assumptions!$E$175,0,R23)</f>
        <v>16924749.086818814</v>
      </c>
      <c r="P24" s="210">
        <f>IF(M24&gt;Assumptions!$E$175,0,-PPMT($R$5/12,N24,$R$6*12,-$R$8))</f>
        <v>-18996.766821475368</v>
      </c>
      <c r="Q24" s="210">
        <f>IF(M24&gt;Assumptions!$E$175,0,-IPMT($R$5/12,N24,$R$6*12,-$R$8))</f>
        <v>-80483.387649155338</v>
      </c>
      <c r="R24" s="210">
        <f t="shared" si="2"/>
        <v>16905752.31999734</v>
      </c>
    </row>
    <row r="25" spans="2:18" x14ac:dyDescent="0.45">
      <c r="B25" s="209">
        <f t="shared" si="1"/>
        <v>13</v>
      </c>
      <c r="C25" s="207">
        <f t="shared" si="1"/>
        <v>13</v>
      </c>
      <c r="D25" s="210">
        <f>IF(B25&gt;Assumptions!$E$175,0,H24)</f>
        <v>9862200.6872221883</v>
      </c>
      <c r="E25" s="210" cm="1">
        <f t="array" ref="E25">IFERROR(INDEX(Model!$G$40:$EI$40,,MATCH('Debt Schedule'!B25,Model!$G$4:$EI$4,0)),0)</f>
        <v>8289.6835373621434</v>
      </c>
      <c r="F25" s="210">
        <f>IF(AND(Assumptions!$G$34="Yes",'Debt Schedule'!B25&gt;Assumptions!$G$36),0,IF(B25&gt;Assumptions!$E$175,0,-IFERROR(PPMT($H$4/12,C25,$H$5*12,-$H$8),0)))</f>
        <v>-8341.4940594710388</v>
      </c>
      <c r="G25" s="210">
        <f>IF(AND(Assumptions!$G$34="yes",'Debt Schedule'!B25&gt;Assumptions!$G$36),0,IFERROR(IF(B25&gt;Assumptions!$E$175,0,IPMT($H$4/12,C25,$H$5*12,-$H$8)),$H$4/12*D25))</f>
        <v>64586.579182583831</v>
      </c>
      <c r="H25" s="210">
        <f t="shared" si="0"/>
        <v>9862148.8767000791</v>
      </c>
      <c r="M25" s="209">
        <f t="shared" si="3"/>
        <v>49</v>
      </c>
      <c r="N25" s="207">
        <f t="shared" si="4"/>
        <v>13</v>
      </c>
      <c r="O25" s="210">
        <f>IF(M25&gt;Assumptions!$E$175,0,R24)</f>
        <v>16905752.31999734</v>
      </c>
      <c r="P25" s="210">
        <f>IF(M25&gt;Assumptions!$E$175,0,-PPMT($R$5/12,N25,$R$6*12,-$R$8))</f>
        <v>-19087.103413192654</v>
      </c>
      <c r="Q25" s="210">
        <f>IF(M25&gt;Assumptions!$E$175,0,-IPMT($R$5/12,N25,$R$6*12,-$R$8))</f>
        <v>-80393.051057438046</v>
      </c>
      <c r="R25" s="210">
        <f t="shared" si="2"/>
        <v>16886665.216584146</v>
      </c>
    </row>
    <row r="26" spans="2:18" x14ac:dyDescent="0.45">
      <c r="B26" s="209">
        <f t="shared" si="1"/>
        <v>14</v>
      </c>
      <c r="C26" s="207">
        <f t="shared" si="1"/>
        <v>14</v>
      </c>
      <c r="D26" s="210">
        <f>IF(B26&gt;Assumptions!$E$175,0,H25)</f>
        <v>9862148.8767000791</v>
      </c>
      <c r="E26" s="210" cm="1">
        <f t="array" ref="E26">IFERROR(INDEX(Model!$G$40:$EI$40,,MATCH('Debt Schedule'!B26,Model!$G$4:$EI$4,0)),0)</f>
        <v>8341.4940594714135</v>
      </c>
      <c r="F26" s="210">
        <f>IF(AND(Assumptions!$G$34="Yes",'Debt Schedule'!B26&gt;Assumptions!$G$36),0,IF(B26&gt;Assumptions!$E$175,0,-IFERROR(PPMT($H$4/12,C26,$H$5*12,-$H$8),0)))</f>
        <v>-8393.6283973427326</v>
      </c>
      <c r="G26" s="210">
        <f>IF(AND(Assumptions!$G$34="yes",'Debt Schedule'!B26&gt;Assumptions!$G$36),0,IFERROR(IF(B26&gt;Assumptions!$E$175,0,IPMT($H$4/12,C26,$H$5*12,-$H$8)),$H$4/12*D26))</f>
        <v>64534.444844712147</v>
      </c>
      <c r="H26" s="210">
        <f t="shared" si="0"/>
        <v>9862096.7423622087</v>
      </c>
      <c r="M26" s="209">
        <f t="shared" si="3"/>
        <v>50</v>
      </c>
      <c r="N26" s="207">
        <f t="shared" si="4"/>
        <v>14</v>
      </c>
      <c r="O26" s="210">
        <f>IF(M26&gt;Assumptions!$E$175,0,R25)</f>
        <v>16886665.216584146</v>
      </c>
      <c r="P26" s="210">
        <f>IF(M26&gt;Assumptions!$E$175,0,-PPMT($R$5/12,N26,$R$6*12,-$R$8))</f>
        <v>-19177.869588526966</v>
      </c>
      <c r="Q26" s="210">
        <f>IF(M26&gt;Assumptions!$E$175,0,-IPMT($R$5/12,N26,$R$6*12,-$R$8))</f>
        <v>-80302.284882103719</v>
      </c>
      <c r="R26" s="210">
        <f t="shared" si="2"/>
        <v>16867487.346995618</v>
      </c>
    </row>
    <row r="27" spans="2:18" x14ac:dyDescent="0.45">
      <c r="B27" s="209">
        <f t="shared" si="1"/>
        <v>15</v>
      </c>
      <c r="C27" s="207">
        <f t="shared" si="1"/>
        <v>15</v>
      </c>
      <c r="D27" s="210">
        <f>IF(B27&gt;Assumptions!$E$175,0,H26)</f>
        <v>9862096.7423622087</v>
      </c>
      <c r="E27" s="210" cm="1">
        <f t="array" ref="E27">IFERROR(INDEX(Model!$G$40:$EI$40,,MATCH('Debt Schedule'!B27,Model!$G$4:$EI$4,0)),0)</f>
        <v>8393.6283973418176</v>
      </c>
      <c r="F27" s="210">
        <f>IF(AND(Assumptions!$G$34="Yes",'Debt Schedule'!B27&gt;Assumptions!$G$36),0,IF(B27&gt;Assumptions!$E$175,0,-IFERROR(PPMT($H$4/12,C27,$H$5*12,-$H$8),0)))</f>
        <v>-8446.0885748261244</v>
      </c>
      <c r="G27" s="210">
        <f>IF(AND(Assumptions!$G$34="yes",'Debt Schedule'!B27&gt;Assumptions!$G$36),0,IFERROR(IF(B27&gt;Assumptions!$E$175,0,IPMT($H$4/12,C27,$H$5*12,-$H$8)),$H$4/12*D27))</f>
        <v>64481.984667228753</v>
      </c>
      <c r="H27" s="210">
        <f t="shared" si="0"/>
        <v>9862044.2821847238</v>
      </c>
      <c r="M27" s="209">
        <f t="shared" si="3"/>
        <v>51</v>
      </c>
      <c r="N27" s="207">
        <f t="shared" si="4"/>
        <v>15</v>
      </c>
      <c r="O27" s="210">
        <f>IF(M27&gt;Assumptions!$E$175,0,R26)</f>
        <v>16867487.346995618</v>
      </c>
      <c r="P27" s="210">
        <f>IF(M27&gt;Assumptions!$E$175,0,-PPMT($R$5/12,N27,$R$6*12,-$R$8))</f>
        <v>-19269.067390305929</v>
      </c>
      <c r="Q27" s="210">
        <f>IF(M27&gt;Assumptions!$E$175,0,-IPMT($R$5/12,N27,$R$6*12,-$R$8))</f>
        <v>-80211.087080324767</v>
      </c>
      <c r="R27" s="210">
        <f t="shared" si="2"/>
        <v>16848218.27960531</v>
      </c>
    </row>
    <row r="28" spans="2:18" x14ac:dyDescent="0.45">
      <c r="B28" s="209">
        <f t="shared" si="1"/>
        <v>16</v>
      </c>
      <c r="C28" s="207">
        <f t="shared" si="1"/>
        <v>16</v>
      </c>
      <c r="D28" s="210">
        <f>IF(B28&gt;Assumptions!$E$175,0,H27)</f>
        <v>9862044.2821847238</v>
      </c>
      <c r="E28" s="210" cm="1">
        <f t="array" ref="E28">IFERROR(INDEX(Model!$G$40:$EI$40,,MATCH('Debt Schedule'!B28,Model!$G$4:$EI$4,0)),0)</f>
        <v>8446.0885748267174</v>
      </c>
      <c r="F28" s="210">
        <f>IF(AND(Assumptions!$G$34="Yes",'Debt Schedule'!B28&gt;Assumptions!$G$36),0,IF(B28&gt;Assumptions!$E$175,0,-IFERROR(PPMT($H$4/12,C28,$H$5*12,-$H$8),0)))</f>
        <v>-8498.8766284187877</v>
      </c>
      <c r="G28" s="210">
        <f>IF(AND(Assumptions!$G$34="yes",'Debt Schedule'!B28&gt;Assumptions!$G$36),0,IFERROR(IF(B28&gt;Assumptions!$E$175,0,IPMT($H$4/12,C28,$H$5*12,-$H$8)),$H$4/12*D28))</f>
        <v>64429.196613636086</v>
      </c>
      <c r="H28" s="210">
        <f t="shared" si="0"/>
        <v>9861991.4941311311</v>
      </c>
      <c r="M28" s="209">
        <f t="shared" si="3"/>
        <v>52</v>
      </c>
      <c r="N28" s="207">
        <f t="shared" si="4"/>
        <v>16</v>
      </c>
      <c r="O28" s="210">
        <f>IF(M28&gt;Assumptions!$E$175,0,R27)</f>
        <v>16848218.27960531</v>
      </c>
      <c r="P28" s="210">
        <f>IF(M28&gt;Assumptions!$E$175,0,-PPMT($R$5/12,N28,$R$6*12,-$R$8))</f>
        <v>-19360.698871071545</v>
      </c>
      <c r="Q28" s="210">
        <f>IF(M28&gt;Assumptions!$E$175,0,-IPMT($R$5/12,N28,$R$6*12,-$R$8))</f>
        <v>-80119.455599559136</v>
      </c>
      <c r="R28" s="210">
        <f t="shared" si="2"/>
        <v>16828857.580734238</v>
      </c>
    </row>
    <row r="29" spans="2:18" x14ac:dyDescent="0.45">
      <c r="B29" s="209">
        <f t="shared" si="1"/>
        <v>17</v>
      </c>
      <c r="C29" s="207">
        <f t="shared" si="1"/>
        <v>17</v>
      </c>
      <c r="D29" s="210">
        <f>IF(B29&gt;Assumptions!$E$175,0,H28)</f>
        <v>9861991.4941311311</v>
      </c>
      <c r="E29" s="210" cm="1">
        <f t="array" ref="E29">IFERROR(INDEX(Model!$G$40:$EI$40,,MATCH('Debt Schedule'!B29,Model!$G$4:$EI$4,0)),0)</f>
        <v>8498.8766284193844</v>
      </c>
      <c r="F29" s="210">
        <f>IF(AND(Assumptions!$G$34="Yes",'Debt Schedule'!B29&gt;Assumptions!$G$36),0,IF(B29&gt;Assumptions!$E$175,0,-IFERROR(PPMT($H$4/12,C29,$H$5*12,-$H$8),0)))</f>
        <v>-8551.9946073464052</v>
      </c>
      <c r="G29" s="210">
        <f>IF(AND(Assumptions!$G$34="yes",'Debt Schedule'!B29&gt;Assumptions!$G$36),0,IFERROR(IF(B29&gt;Assumptions!$E$175,0,IPMT($H$4/12,C29,$H$5*12,-$H$8)),$H$4/12*D29))</f>
        <v>64376.078634708465</v>
      </c>
      <c r="H29" s="210">
        <f t="shared" si="0"/>
        <v>9861938.3761522043</v>
      </c>
      <c r="M29" s="209">
        <f t="shared" si="3"/>
        <v>53</v>
      </c>
      <c r="N29" s="207">
        <f t="shared" si="4"/>
        <v>17</v>
      </c>
      <c r="O29" s="210">
        <f>IF(M29&gt;Assumptions!$E$175,0,R28)</f>
        <v>16828857.580734238</v>
      </c>
      <c r="P29" s="210">
        <f>IF(M29&gt;Assumptions!$E$175,0,-PPMT($R$5/12,N29,$R$6*12,-$R$8))</f>
        <v>-19452.766093126411</v>
      </c>
      <c r="Q29" s="210">
        <f>IF(M29&gt;Assumptions!$E$175,0,-IPMT($R$5/12,N29,$R$6*12,-$R$8))</f>
        <v>-80027.388377504278</v>
      </c>
      <c r="R29" s="210">
        <f t="shared" si="2"/>
        <v>16809404.814641111</v>
      </c>
    </row>
    <row r="30" spans="2:18" x14ac:dyDescent="0.45">
      <c r="B30" s="209">
        <f t="shared" ref="B30:C45" si="5">+B29+1</f>
        <v>18</v>
      </c>
      <c r="C30" s="207">
        <f t="shared" si="5"/>
        <v>18</v>
      </c>
      <c r="D30" s="210">
        <f>IF(B30&gt;Assumptions!$E$175,0,H29)</f>
        <v>9861938.3761522043</v>
      </c>
      <c r="E30" s="210" cm="1">
        <f t="array" ref="E30">IFERROR(INDEX(Model!$G$40:$EI$40,,MATCH('Debt Schedule'!B30,Model!$G$4:$EI$4,0)),0)</f>
        <v>8551.9946073461324</v>
      </c>
      <c r="F30" s="210">
        <f>IF(AND(Assumptions!$G$34="Yes",'Debt Schedule'!B30&gt;Assumptions!$G$36),0,IF(B30&gt;Assumptions!$E$175,0,-IFERROR(PPMT($H$4/12,C30,$H$5*12,-$H$8),0)))</f>
        <v>-8605.4445736423204</v>
      </c>
      <c r="G30" s="210">
        <f>IF(AND(Assumptions!$G$34="yes",'Debt Schedule'!B30&gt;Assumptions!$G$36),0,IFERROR(IF(B30&gt;Assumptions!$E$175,0,IPMT($H$4/12,C30,$H$5*12,-$H$8)),$H$4/12*D30))</f>
        <v>64322.628668412552</v>
      </c>
      <c r="H30" s="210">
        <f t="shared" si="0"/>
        <v>9861884.9261859078</v>
      </c>
      <c r="M30" s="209">
        <f t="shared" si="3"/>
        <v>54</v>
      </c>
      <c r="N30" s="207">
        <f t="shared" si="4"/>
        <v>18</v>
      </c>
      <c r="O30" s="210">
        <f>IF(M30&gt;Assumptions!$E$175,0,R29)</f>
        <v>16809404.814641111</v>
      </c>
      <c r="P30" s="210">
        <f>IF(M30&gt;Assumptions!$E$175,0,-PPMT($R$5/12,N30,$R$6*12,-$R$8))</f>
        <v>-19545.271128580123</v>
      </c>
      <c r="Q30" s="210">
        <f>IF(M30&gt;Assumptions!$E$175,0,-IPMT($R$5/12,N30,$R$6*12,-$R$8))</f>
        <v>-79934.883342050569</v>
      </c>
      <c r="R30" s="210">
        <f t="shared" si="2"/>
        <v>16789859.543512531</v>
      </c>
    </row>
    <row r="31" spans="2:18" x14ac:dyDescent="0.45">
      <c r="B31" s="209">
        <f t="shared" si="5"/>
        <v>19</v>
      </c>
      <c r="C31" s="207">
        <f t="shared" si="5"/>
        <v>19</v>
      </c>
      <c r="D31" s="210">
        <f>IF(B31&gt;Assumptions!$E$175,0,H30)</f>
        <v>9861884.9261859078</v>
      </c>
      <c r="E31" s="210" cm="1">
        <f t="array" ref="E31">IFERROR(INDEX(Model!$G$40:$EI$40,,MATCH('Debt Schedule'!B31,Model!$G$4:$EI$4,0)),0)</f>
        <v>8605.444573642686</v>
      </c>
      <c r="F31" s="210">
        <f>IF(AND(Assumptions!$G$34="Yes",'Debt Schedule'!B31&gt;Assumptions!$G$36),0,IF(B31&gt;Assumptions!$E$175,0,-IFERROR(PPMT($H$4/12,C31,$H$5*12,-$H$8),0)))</f>
        <v>-8659.2286022275857</v>
      </c>
      <c r="G31" s="210">
        <f>IF(AND(Assumptions!$G$34="yes",'Debt Schedule'!B31&gt;Assumptions!$G$36),0,IFERROR(IF(B31&gt;Assumptions!$E$175,0,IPMT($H$4/12,C31,$H$5*12,-$H$8)),$H$4/12*D31))</f>
        <v>64268.844639827294</v>
      </c>
      <c r="H31" s="210">
        <f t="shared" si="0"/>
        <v>9861831.1421573237</v>
      </c>
      <c r="M31" s="209">
        <f t="shared" si="3"/>
        <v>55</v>
      </c>
      <c r="N31" s="207">
        <f t="shared" si="4"/>
        <v>19</v>
      </c>
      <c r="O31" s="210">
        <f>IF(M31&gt;Assumptions!$E$175,0,R30)</f>
        <v>16789859.543512531</v>
      </c>
      <c r="P31" s="210">
        <f>IF(M31&gt;Assumptions!$E$175,0,-PPMT($R$5/12,N31,$R$6*12,-$R$8))</f>
        <v>-19638.216059395934</v>
      </c>
      <c r="Q31" s="210">
        <f>IF(M31&gt;Assumptions!$E$175,0,-IPMT($R$5/12,N31,$R$6*12,-$R$8))</f>
        <v>-79841.938411234762</v>
      </c>
      <c r="R31" s="210">
        <f t="shared" si="2"/>
        <v>16770221.327453135</v>
      </c>
    </row>
    <row r="32" spans="2:18" x14ac:dyDescent="0.45">
      <c r="B32" s="209">
        <f t="shared" si="5"/>
        <v>20</v>
      </c>
      <c r="C32" s="207">
        <f t="shared" si="5"/>
        <v>20</v>
      </c>
      <c r="D32" s="210">
        <f>IF(B32&gt;Assumptions!$E$175,0,H31)</f>
        <v>9861831.1421573237</v>
      </c>
      <c r="E32" s="210" cm="1">
        <f t="array" ref="E32">IFERROR(INDEX(Model!$G$40:$EI$40,,MATCH('Debt Schedule'!B32,Model!$G$4:$EI$4,0)),0)</f>
        <v>8659.2286022268236</v>
      </c>
      <c r="F32" s="210">
        <f>IF(AND(Assumptions!$G$34="Yes",'Debt Schedule'!B32&gt;Assumptions!$G$36),0,IF(B32&gt;Assumptions!$E$175,0,-IFERROR(PPMT($H$4/12,C32,$H$5*12,-$H$8),0)))</f>
        <v>-8713.3487809915077</v>
      </c>
      <c r="G32" s="210">
        <f>IF(AND(Assumptions!$G$34="yes",'Debt Schedule'!B32&gt;Assumptions!$G$36),0,IFERROR(IF(B32&gt;Assumptions!$E$175,0,IPMT($H$4/12,C32,$H$5*12,-$H$8)),$H$4/12*D32))</f>
        <v>64214.724461063364</v>
      </c>
      <c r="H32" s="210">
        <f t="shared" si="0"/>
        <v>9861777.021978559</v>
      </c>
      <c r="M32" s="209">
        <f t="shared" si="3"/>
        <v>56</v>
      </c>
      <c r="N32" s="207">
        <f t="shared" si="4"/>
        <v>20</v>
      </c>
      <c r="O32" s="210">
        <f>IF(M32&gt;Assumptions!$E$175,0,R31)</f>
        <v>16770221.327453135</v>
      </c>
      <c r="P32" s="210">
        <f>IF(M32&gt;Assumptions!$E$175,0,-PPMT($R$5/12,N32,$R$6*12,-$R$8))</f>
        <v>-19731.602977437586</v>
      </c>
      <c r="Q32" s="210">
        <f>IF(M32&gt;Assumptions!$E$175,0,-IPMT($R$5/12,N32,$R$6*12,-$R$8))</f>
        <v>-79748.551493193096</v>
      </c>
      <c r="R32" s="210">
        <f t="shared" si="2"/>
        <v>16750489.724475697</v>
      </c>
    </row>
    <row r="33" spans="2:18" x14ac:dyDescent="0.45">
      <c r="B33" s="209">
        <f t="shared" si="5"/>
        <v>21</v>
      </c>
      <c r="C33" s="207">
        <f t="shared" si="5"/>
        <v>21</v>
      </c>
      <c r="D33" s="210">
        <f>IF(B33&gt;Assumptions!$E$175,0,H32)</f>
        <v>9861777.021978559</v>
      </c>
      <c r="E33" s="210" cm="1">
        <f t="array" ref="E33">IFERROR(INDEX(Model!$G$40:$EI$40,,MATCH('Debt Schedule'!B33,Model!$G$4:$EI$4,0)),0)</f>
        <v>8713.3487809915096</v>
      </c>
      <c r="F33" s="210">
        <f>IF(AND(Assumptions!$G$34="Yes",'Debt Schedule'!B33&gt;Assumptions!$G$36),0,IF(B33&gt;Assumptions!$E$175,0,-IFERROR(PPMT($H$4/12,C33,$H$5*12,-$H$8),0)))</f>
        <v>-8767.8072108727065</v>
      </c>
      <c r="G33" s="210">
        <f>IF(AND(Assumptions!$G$34="yes",'Debt Schedule'!B33&gt;Assumptions!$G$36),0,IFERROR(IF(B33&gt;Assumptions!$E$175,0,IPMT($H$4/12,C33,$H$5*12,-$H$8)),$H$4/12*D33))</f>
        <v>64160.266031182167</v>
      </c>
      <c r="H33" s="210">
        <f t="shared" si="0"/>
        <v>9861722.5635486785</v>
      </c>
      <c r="M33" s="209">
        <f t="shared" si="3"/>
        <v>57</v>
      </c>
      <c r="N33" s="207">
        <f t="shared" si="4"/>
        <v>21</v>
      </c>
      <c r="O33" s="210">
        <f>IF(M33&gt;Assumptions!$E$175,0,R32)</f>
        <v>16750489.724475697</v>
      </c>
      <c r="P33" s="210">
        <f>IF(M33&gt;Assumptions!$E$175,0,-PPMT($R$5/12,N33,$R$6*12,-$R$8))</f>
        <v>-19825.433984516396</v>
      </c>
      <c r="Q33" s="210">
        <f>IF(M33&gt;Assumptions!$E$175,0,-IPMT($R$5/12,N33,$R$6*12,-$R$8))</f>
        <v>-79654.720486114296</v>
      </c>
      <c r="R33" s="210">
        <f t="shared" si="2"/>
        <v>16730664.29049118</v>
      </c>
    </row>
    <row r="34" spans="2:18" x14ac:dyDescent="0.45">
      <c r="B34" s="209">
        <f t="shared" si="5"/>
        <v>22</v>
      </c>
      <c r="C34" s="207">
        <f t="shared" si="5"/>
        <v>22</v>
      </c>
      <c r="D34" s="210">
        <f>IF(B34&gt;Assumptions!$E$175,0,H33)</f>
        <v>9861722.5635486785</v>
      </c>
      <c r="E34" s="210" cm="1">
        <f t="array" ref="E34">IFERROR(INDEX(Model!$G$40:$EI$40,,MATCH('Debt Schedule'!B34,Model!$G$4:$EI$4,0)),0)</f>
        <v>8767.8072108719498</v>
      </c>
      <c r="F34" s="210">
        <f>IF(AND(Assumptions!$G$34="Yes",'Debt Schedule'!B34&gt;Assumptions!$G$36),0,IF(B34&gt;Assumptions!$E$175,0,-IFERROR(PPMT($H$4/12,C34,$H$5*12,-$H$8),0)))</f>
        <v>-8822.6060059406591</v>
      </c>
      <c r="G34" s="210">
        <f>IF(AND(Assumptions!$G$34="yes",'Debt Schedule'!B34&gt;Assumptions!$G$36),0,IFERROR(IF(B34&gt;Assumptions!$E$175,0,IPMT($H$4/12,C34,$H$5*12,-$H$8)),$H$4/12*D34))</f>
        <v>64105.467236114215</v>
      </c>
      <c r="H34" s="210">
        <f t="shared" si="0"/>
        <v>9861667.7647536099</v>
      </c>
      <c r="M34" s="209">
        <f t="shared" si="3"/>
        <v>58</v>
      </c>
      <c r="N34" s="207">
        <f t="shared" si="4"/>
        <v>22</v>
      </c>
      <c r="O34" s="210">
        <f>IF(M34&gt;Assumptions!$E$175,0,R33)</f>
        <v>16730664.29049118</v>
      </c>
      <c r="P34" s="210">
        <f>IF(M34&gt;Assumptions!$E$175,0,-PPMT($R$5/12,N34,$R$6*12,-$R$8))</f>
        <v>-19919.711192438564</v>
      </c>
      <c r="Q34" s="210">
        <f>IF(M34&gt;Assumptions!$E$175,0,-IPMT($R$5/12,N34,$R$6*12,-$R$8))</f>
        <v>-79560.443278192135</v>
      </c>
      <c r="R34" s="210">
        <f t="shared" si="2"/>
        <v>16710744.579298742</v>
      </c>
    </row>
    <row r="35" spans="2:18" x14ac:dyDescent="0.45">
      <c r="B35" s="209">
        <f t="shared" si="5"/>
        <v>23</v>
      </c>
      <c r="C35" s="207">
        <f t="shared" si="5"/>
        <v>23</v>
      </c>
      <c r="D35" s="210">
        <f>IF(B35&gt;Assumptions!$E$175,0,H34)</f>
        <v>9861667.7647536099</v>
      </c>
      <c r="E35" s="210" cm="1">
        <f t="array" ref="E35">IFERROR(INDEX(Model!$G$40:$EI$40,,MATCH('Debt Schedule'!B35,Model!$G$4:$EI$4,0)),0)</f>
        <v>8822.6060059405863</v>
      </c>
      <c r="F35" s="210">
        <f>IF(AND(Assumptions!$G$34="Yes",'Debt Schedule'!B35&gt;Assumptions!$G$36),0,IF(B35&gt;Assumptions!$E$175,0,-IFERROR(PPMT($H$4/12,C35,$H$5*12,-$H$8),0)))</f>
        <v>-8877.7472934777888</v>
      </c>
      <c r="G35" s="210">
        <f>IF(AND(Assumptions!$G$34="yes",'Debt Schedule'!B35&gt;Assumptions!$G$36),0,IFERROR(IF(B35&gt;Assumptions!$E$175,0,IPMT($H$4/12,C35,$H$5*12,-$H$8)),$H$4/12*D35))</f>
        <v>64050.32594857709</v>
      </c>
      <c r="H35" s="210">
        <f t="shared" si="0"/>
        <v>9861612.6234660726</v>
      </c>
      <c r="M35" s="209">
        <f t="shared" si="3"/>
        <v>59</v>
      </c>
      <c r="N35" s="207">
        <f t="shared" si="4"/>
        <v>23</v>
      </c>
      <c r="O35" s="210">
        <f>IF(M35&gt;Assumptions!$E$175,0,R34)</f>
        <v>16710744.579298742</v>
      </c>
      <c r="P35" s="210">
        <f>IF(M35&gt;Assumptions!$E$175,0,-PPMT($R$5/12,N35,$R$6*12,-$R$8))</f>
        <v>-20014.436723052713</v>
      </c>
      <c r="Q35" s="210">
        <f>IF(M35&gt;Assumptions!$E$175,0,-IPMT($R$5/12,N35,$R$6*12,-$R$8))</f>
        <v>-79465.717747577975</v>
      </c>
      <c r="R35" s="210">
        <f t="shared" si="2"/>
        <v>16690730.142575689</v>
      </c>
    </row>
    <row r="36" spans="2:18" x14ac:dyDescent="0.45">
      <c r="B36" s="209">
        <f t="shared" si="5"/>
        <v>24</v>
      </c>
      <c r="C36" s="207">
        <f t="shared" si="5"/>
        <v>24</v>
      </c>
      <c r="D36" s="210">
        <f>IF(B36&gt;Assumptions!$E$175,0,H35)</f>
        <v>9861612.6234660726</v>
      </c>
      <c r="E36" s="210" cm="1">
        <f t="array" ref="E36">IFERROR(INDEX(Model!$G$40:$EI$40,,MATCH('Debt Schedule'!B36,Model!$G$4:$EI$4,0)),0)</f>
        <v>8877.747293477878</v>
      </c>
      <c r="F36" s="210">
        <f>IF(AND(Assumptions!$G$34="Yes",'Debt Schedule'!B36&gt;Assumptions!$G$36),0,IF(B36&gt;Assumptions!$E$175,0,-IFERROR(PPMT($H$4/12,C36,$H$5*12,-$H$8),0)))</f>
        <v>-8933.2332140620256</v>
      </c>
      <c r="G36" s="210">
        <f>IF(AND(Assumptions!$G$34="yes",'Debt Schedule'!B36&gt;Assumptions!$G$36),0,IFERROR(IF(B36&gt;Assumptions!$E$175,0,IPMT($H$4/12,C36,$H$5*12,-$H$8)),$H$4/12*D36))</f>
        <v>63994.840027992839</v>
      </c>
      <c r="H36" s="210">
        <f t="shared" si="0"/>
        <v>9861557.1375454888</v>
      </c>
      <c r="M36" s="209">
        <f t="shared" si="3"/>
        <v>60</v>
      </c>
      <c r="N36" s="207">
        <f t="shared" si="4"/>
        <v>24</v>
      </c>
      <c r="O36" s="210">
        <f>IF(M36&gt;Assumptions!$E$175,0,R35)</f>
        <v>16690730.142575689</v>
      </c>
      <c r="P36" s="210">
        <f>IF(M36&gt;Assumptions!$E$175,0,-PPMT($R$5/12,N36,$R$6*12,-$R$8))</f>
        <v>-20109.612708297627</v>
      </c>
      <c r="Q36" s="210">
        <f>IF(M36&gt;Assumptions!$E$175,0,-IPMT($R$5/12,N36,$R$6*12,-$R$8))</f>
        <v>-79370.541762333058</v>
      </c>
      <c r="R36" s="210">
        <f t="shared" si="2"/>
        <v>16670620.52986739</v>
      </c>
    </row>
    <row r="37" spans="2:18" x14ac:dyDescent="0.45">
      <c r="B37" s="209">
        <f t="shared" si="5"/>
        <v>25</v>
      </c>
      <c r="C37" s="207">
        <f t="shared" si="5"/>
        <v>25</v>
      </c>
      <c r="D37" s="210">
        <f>IF(B37&gt;Assumptions!$E$175,0,H36)</f>
        <v>9861557.1375454888</v>
      </c>
      <c r="E37" s="210" cm="1">
        <f t="array" ref="E37">IFERROR(INDEX(Model!$G$40:$EI$40,,MATCH('Debt Schedule'!B37,Model!$G$4:$EI$4,0)),0)</f>
        <v>0</v>
      </c>
      <c r="F37" s="210">
        <f>IF(AND(Assumptions!$G$34="Yes",'Debt Schedule'!B37&gt;Assumptions!$G$36),0,IF(B37&gt;Assumptions!$E$175,0,-IFERROR(PPMT($H$4/12,C37,$H$5*12,-$H$8),0)))</f>
        <v>-8989.0659216499116</v>
      </c>
      <c r="G37" s="210">
        <f>IF(AND(Assumptions!$G$34="yes",'Debt Schedule'!B37&gt;Assumptions!$G$36),0,IFERROR(IF(B37&gt;Assumptions!$E$175,0,IPMT($H$4/12,C37,$H$5*12,-$H$8)),$H$4/12*D37))</f>
        <v>63939.007320404955</v>
      </c>
      <c r="H37" s="210">
        <f t="shared" si="0"/>
        <v>9852568.0716238394</v>
      </c>
      <c r="M37" s="209">
        <f t="shared" si="3"/>
        <v>61</v>
      </c>
      <c r="N37" s="207">
        <f t="shared" si="4"/>
        <v>25</v>
      </c>
      <c r="O37" s="210">
        <f>IF(M37&gt;Assumptions!$E$175,0,R36)</f>
        <v>0</v>
      </c>
      <c r="P37" s="210">
        <f>IF(M37&gt;Assumptions!$E$175,0,-PPMT($R$5/12,N37,$R$6*12,-$R$8))</f>
        <v>0</v>
      </c>
      <c r="Q37" s="210">
        <f>IF(M37&gt;Assumptions!$E$175,0,-IPMT($R$5/12,N37,$R$6*12,-$R$8))</f>
        <v>0</v>
      </c>
      <c r="R37" s="210">
        <f t="shared" si="2"/>
        <v>0</v>
      </c>
    </row>
    <row r="38" spans="2:18" x14ac:dyDescent="0.45">
      <c r="B38" s="209">
        <f t="shared" si="5"/>
        <v>26</v>
      </c>
      <c r="C38" s="207">
        <f t="shared" si="5"/>
        <v>26</v>
      </c>
      <c r="D38" s="210">
        <f>IF(B38&gt;Assumptions!$E$175,0,H37)</f>
        <v>9852568.0716238394</v>
      </c>
      <c r="E38" s="210" cm="1">
        <f t="array" ref="E38">IFERROR(INDEX(Model!$G$40:$EI$40,,MATCH('Debt Schedule'!B38,Model!$G$4:$EI$4,0)),0)</f>
        <v>0</v>
      </c>
      <c r="F38" s="210">
        <f>IF(AND(Assumptions!$G$34="Yes",'Debt Schedule'!B38&gt;Assumptions!$G$36),0,IF(B38&gt;Assumptions!$E$175,0,-IFERROR(PPMT($H$4/12,C38,$H$5*12,-$H$8),0)))</f>
        <v>-9045.2475836602243</v>
      </c>
      <c r="G38" s="210">
        <f>IF(AND(Assumptions!$G$34="yes",'Debt Schedule'!B38&gt;Assumptions!$G$36),0,IFERROR(IF(B38&gt;Assumptions!$E$175,0,IPMT($H$4/12,C38,$H$5*12,-$H$8)),$H$4/12*D38))</f>
        <v>63882.82565839465</v>
      </c>
      <c r="H38" s="210">
        <f t="shared" si="0"/>
        <v>9843522.8240401801</v>
      </c>
      <c r="M38" s="209">
        <f t="shared" si="3"/>
        <v>62</v>
      </c>
      <c r="N38" s="207">
        <f t="shared" si="4"/>
        <v>26</v>
      </c>
      <c r="O38" s="210">
        <f>IF(M38&gt;Assumptions!$E$175,0,R37)</f>
        <v>0</v>
      </c>
      <c r="P38" s="210">
        <f>IF(M38&gt;Assumptions!$E$175,0,-PPMT($R$5/12,N38,$R$6*12,-$R$8))</f>
        <v>0</v>
      </c>
      <c r="Q38" s="210">
        <f>IF(M38&gt;Assumptions!$E$175,0,-IPMT($R$5/12,N38,$R$6*12,-$R$8))</f>
        <v>0</v>
      </c>
      <c r="R38" s="210">
        <f t="shared" si="2"/>
        <v>0</v>
      </c>
    </row>
    <row r="39" spans="2:18" x14ac:dyDescent="0.45">
      <c r="B39" s="209">
        <f t="shared" si="5"/>
        <v>27</v>
      </c>
      <c r="C39" s="207">
        <f t="shared" si="5"/>
        <v>27</v>
      </c>
      <c r="D39" s="210">
        <f>IF(B39&gt;Assumptions!$E$175,0,H38)</f>
        <v>9843522.8240401801</v>
      </c>
      <c r="E39" s="210" cm="1">
        <f t="array" ref="E39">IFERROR(INDEX(Model!$G$40:$EI$40,,MATCH('Debt Schedule'!B39,Model!$G$4:$EI$4,0)),0)</f>
        <v>0</v>
      </c>
      <c r="F39" s="210">
        <f>IF(AND(Assumptions!$G$34="Yes",'Debt Schedule'!B39&gt;Assumptions!$G$36),0,IF(B39&gt;Assumptions!$E$175,0,-IFERROR(PPMT($H$4/12,C39,$H$5*12,-$H$8),0)))</f>
        <v>-9101.7803810581026</v>
      </c>
      <c r="G39" s="210">
        <f>IF(AND(Assumptions!$G$34="yes",'Debt Schedule'!B39&gt;Assumptions!$G$36),0,IFERROR(IF(B39&gt;Assumptions!$E$175,0,IPMT($H$4/12,C39,$H$5*12,-$H$8)),$H$4/12*D39))</f>
        <v>63826.292860996778</v>
      </c>
      <c r="H39" s="210">
        <f t="shared" si="0"/>
        <v>9834421.0436591227</v>
      </c>
      <c r="M39" s="209">
        <f t="shared" si="3"/>
        <v>63</v>
      </c>
      <c r="N39" s="207">
        <f t="shared" si="4"/>
        <v>27</v>
      </c>
      <c r="O39" s="210">
        <f>IF(M39&gt;Assumptions!$E$175,0,R38)</f>
        <v>0</v>
      </c>
      <c r="P39" s="210">
        <f>IF(M39&gt;Assumptions!$E$175,0,-PPMT($R$5/12,N39,$R$6*12,-$R$8))</f>
        <v>0</v>
      </c>
      <c r="Q39" s="210">
        <f>IF(M39&gt;Assumptions!$E$175,0,-IPMT($R$5/12,N39,$R$6*12,-$R$8))</f>
        <v>0</v>
      </c>
      <c r="R39" s="210">
        <f t="shared" si="2"/>
        <v>0</v>
      </c>
    </row>
    <row r="40" spans="2:18" x14ac:dyDescent="0.45">
      <c r="B40" s="209">
        <f t="shared" si="5"/>
        <v>28</v>
      </c>
      <c r="C40" s="207">
        <f t="shared" si="5"/>
        <v>28</v>
      </c>
      <c r="D40" s="210">
        <f>IF(B40&gt;Assumptions!$E$175,0,H39)</f>
        <v>9834421.0436591227</v>
      </c>
      <c r="E40" s="210" cm="1">
        <f t="array" ref="E40">IFERROR(INDEX(Model!$G$40:$EI$40,,MATCH('Debt Schedule'!B40,Model!$G$4:$EI$4,0)),0)</f>
        <v>0</v>
      </c>
      <c r="F40" s="210">
        <f>IF(AND(Assumptions!$G$34="Yes",'Debt Schedule'!B40&gt;Assumptions!$G$36),0,IF(B40&gt;Assumptions!$E$175,0,-IFERROR(PPMT($H$4/12,C40,$H$5*12,-$H$8),0)))</f>
        <v>-9158.6665084397155</v>
      </c>
      <c r="G40" s="210">
        <f>IF(AND(Assumptions!$G$34="yes",'Debt Schedule'!B40&gt;Assumptions!$G$36),0,IFERROR(IF(B40&gt;Assumptions!$E$175,0,IPMT($H$4/12,C40,$H$5*12,-$H$8)),$H$4/12*D40))</f>
        <v>63769.406733615157</v>
      </c>
      <c r="H40" s="210">
        <f t="shared" si="0"/>
        <v>9825262.3771506827</v>
      </c>
      <c r="M40" s="209">
        <f t="shared" si="3"/>
        <v>64</v>
      </c>
      <c r="N40" s="207">
        <f t="shared" si="4"/>
        <v>28</v>
      </c>
      <c r="O40" s="210">
        <f>IF(M40&gt;Assumptions!$E$175,0,R39)</f>
        <v>0</v>
      </c>
      <c r="P40" s="210">
        <f>IF(M40&gt;Assumptions!$E$175,0,-PPMT($R$5/12,N40,$R$6*12,-$R$8))</f>
        <v>0</v>
      </c>
      <c r="Q40" s="210">
        <f>IF(M40&gt;Assumptions!$E$175,0,-IPMT($R$5/12,N40,$R$6*12,-$R$8))</f>
        <v>0</v>
      </c>
      <c r="R40" s="210">
        <f t="shared" si="2"/>
        <v>0</v>
      </c>
    </row>
    <row r="41" spans="2:18" x14ac:dyDescent="0.45">
      <c r="B41" s="209">
        <f t="shared" si="5"/>
        <v>29</v>
      </c>
      <c r="C41" s="207">
        <f t="shared" si="5"/>
        <v>29</v>
      </c>
      <c r="D41" s="210">
        <f>IF(B41&gt;Assumptions!$E$175,0,H40)</f>
        <v>9825262.3771506827</v>
      </c>
      <c r="E41" s="210" cm="1">
        <f t="array" ref="E41">IFERROR(INDEX(Model!$G$40:$EI$40,,MATCH('Debt Schedule'!B41,Model!$G$4:$EI$4,0)),0)</f>
        <v>0</v>
      </c>
      <c r="F41" s="210">
        <f>IF(AND(Assumptions!$G$34="Yes",'Debt Schedule'!B41&gt;Assumptions!$G$36),0,IF(B41&gt;Assumptions!$E$175,0,-IFERROR(PPMT($H$4/12,C41,$H$5*12,-$H$8),0)))</f>
        <v>-9215.9081741174632</v>
      </c>
      <c r="G41" s="210">
        <f>IF(AND(Assumptions!$G$34="yes",'Debt Schedule'!B41&gt;Assumptions!$G$36),0,IFERROR(IF(B41&gt;Assumptions!$E$175,0,IPMT($H$4/12,C41,$H$5*12,-$H$8)),$H$4/12*D41))</f>
        <v>63712.165067937407</v>
      </c>
      <c r="H41" s="210">
        <f t="shared" si="0"/>
        <v>9816046.4689765647</v>
      </c>
      <c r="M41" s="209">
        <f t="shared" si="3"/>
        <v>65</v>
      </c>
      <c r="N41" s="207">
        <f t="shared" si="4"/>
        <v>29</v>
      </c>
      <c r="O41" s="210">
        <f>IF(M41&gt;Assumptions!$E$175,0,R40)</f>
        <v>0</v>
      </c>
      <c r="P41" s="210">
        <f>IF(M41&gt;Assumptions!$E$175,0,-PPMT($R$5/12,N41,$R$6*12,-$R$8))</f>
        <v>0</v>
      </c>
      <c r="Q41" s="210">
        <f>IF(M41&gt;Assumptions!$E$175,0,-IPMT($R$5/12,N41,$R$6*12,-$R$8))</f>
        <v>0</v>
      </c>
      <c r="R41" s="210">
        <f t="shared" si="2"/>
        <v>0</v>
      </c>
    </row>
    <row r="42" spans="2:18" x14ac:dyDescent="0.45">
      <c r="B42" s="209">
        <f t="shared" si="5"/>
        <v>30</v>
      </c>
      <c r="C42" s="207">
        <f t="shared" si="5"/>
        <v>30</v>
      </c>
      <c r="D42" s="210">
        <f>IF(B42&gt;Assumptions!$E$175,0,H41)</f>
        <v>9816046.4689765647</v>
      </c>
      <c r="E42" s="210" cm="1">
        <f t="array" ref="E42">IFERROR(INDEX(Model!$G$40:$EI$40,,MATCH('Debt Schedule'!B42,Model!$G$4:$EI$4,0)),0)</f>
        <v>0</v>
      </c>
      <c r="F42" s="210">
        <f>IF(AND(Assumptions!$G$34="Yes",'Debt Schedule'!B42&gt;Assumptions!$G$36),0,IF(B42&gt;Assumptions!$E$175,0,-IFERROR(PPMT($H$4/12,C42,$H$5*12,-$H$8),0)))</f>
        <v>-9273.5076002056976</v>
      </c>
      <c r="G42" s="210">
        <f>IF(AND(Assumptions!$G$34="yes",'Debt Schedule'!B42&gt;Assumptions!$G$36),0,IFERROR(IF(B42&gt;Assumptions!$E$175,0,IPMT($H$4/12,C42,$H$5*12,-$H$8)),$H$4/12*D42))</f>
        <v>63654.565641849178</v>
      </c>
      <c r="H42" s="210">
        <f t="shared" si="0"/>
        <v>9806772.9613763597</v>
      </c>
      <c r="M42" s="209">
        <f t="shared" si="3"/>
        <v>66</v>
      </c>
      <c r="N42" s="207">
        <f t="shared" si="4"/>
        <v>30</v>
      </c>
      <c r="O42" s="210">
        <f>IF(M42&gt;Assumptions!$E$175,0,R41)</f>
        <v>0</v>
      </c>
      <c r="P42" s="210">
        <f>IF(M42&gt;Assumptions!$E$175,0,-PPMT($R$5/12,N42,$R$6*12,-$R$8))</f>
        <v>0</v>
      </c>
      <c r="Q42" s="210">
        <f>IF(M42&gt;Assumptions!$E$175,0,-IPMT($R$5/12,N42,$R$6*12,-$R$8))</f>
        <v>0</v>
      </c>
      <c r="R42" s="210">
        <f t="shared" si="2"/>
        <v>0</v>
      </c>
    </row>
    <row r="43" spans="2:18" x14ac:dyDescent="0.45">
      <c r="B43" s="209">
        <f t="shared" si="5"/>
        <v>31</v>
      </c>
      <c r="C43" s="207">
        <f t="shared" si="5"/>
        <v>31</v>
      </c>
      <c r="D43" s="210">
        <f>IF(B43&gt;Assumptions!$E$175,0,H42)</f>
        <v>9806772.9613763597</v>
      </c>
      <c r="E43" s="210" cm="1">
        <f t="array" ref="E43">IFERROR(INDEX(Model!$G$40:$EI$40,,MATCH('Debt Schedule'!B43,Model!$G$4:$EI$4,0)),0)</f>
        <v>0</v>
      </c>
      <c r="F43" s="210">
        <f>IF(AND(Assumptions!$G$34="Yes",'Debt Schedule'!B43&gt;Assumptions!$G$36),0,IF(B43&gt;Assumptions!$E$175,0,-IFERROR(PPMT($H$4/12,C43,$H$5*12,-$H$8),0)))</f>
        <v>-9331.4670227069837</v>
      </c>
      <c r="G43" s="210">
        <f>IF(AND(Assumptions!$G$34="yes",'Debt Schedule'!B43&gt;Assumptions!$G$36),0,IFERROR(IF(B43&gt;Assumptions!$E$175,0,IPMT($H$4/12,C43,$H$5*12,-$H$8)),$H$4/12*D43))</f>
        <v>63596.606219347901</v>
      </c>
      <c r="H43" s="210">
        <f t="shared" si="0"/>
        <v>9797441.494353652</v>
      </c>
      <c r="M43" s="209">
        <f t="shared" si="3"/>
        <v>67</v>
      </c>
      <c r="N43" s="207">
        <f t="shared" si="4"/>
        <v>31</v>
      </c>
      <c r="O43" s="210">
        <f>IF(M43&gt;Assumptions!$E$175,0,R42)</f>
        <v>0</v>
      </c>
      <c r="P43" s="210">
        <f>IF(M43&gt;Assumptions!$E$175,0,-PPMT($R$5/12,N43,$R$6*12,-$R$8))</f>
        <v>0</v>
      </c>
      <c r="Q43" s="210">
        <f>IF(M43&gt;Assumptions!$E$175,0,-IPMT($R$5/12,N43,$R$6*12,-$R$8))</f>
        <v>0</v>
      </c>
      <c r="R43" s="210">
        <f t="shared" si="2"/>
        <v>0</v>
      </c>
    </row>
    <row r="44" spans="2:18" x14ac:dyDescent="0.45">
      <c r="B44" s="209">
        <f t="shared" si="5"/>
        <v>32</v>
      </c>
      <c r="C44" s="207">
        <f t="shared" si="5"/>
        <v>32</v>
      </c>
      <c r="D44" s="210">
        <f>IF(B44&gt;Assumptions!$E$175,0,H43)</f>
        <v>9797441.494353652</v>
      </c>
      <c r="E44" s="210" cm="1">
        <f t="array" ref="E44">IFERROR(INDEX(Model!$G$40:$EI$40,,MATCH('Debt Schedule'!B44,Model!$G$4:$EI$4,0)),0)</f>
        <v>0</v>
      </c>
      <c r="F44" s="210">
        <f>IF(AND(Assumptions!$G$34="Yes",'Debt Schedule'!B44&gt;Assumptions!$G$36),0,IF(B44&gt;Assumptions!$E$175,0,-IFERROR(PPMT($H$4/12,C44,$H$5*12,-$H$8),0)))</f>
        <v>-9389.7886915989002</v>
      </c>
      <c r="G44" s="210">
        <f>IF(AND(Assumptions!$G$34="yes",'Debt Schedule'!B44&gt;Assumptions!$G$36),0,IFERROR(IF(B44&gt;Assumptions!$E$175,0,IPMT($H$4/12,C44,$H$5*12,-$H$8)),$H$4/12*D44))</f>
        <v>63538.284550455974</v>
      </c>
      <c r="H44" s="210">
        <f t="shared" si="0"/>
        <v>9788051.7056620531</v>
      </c>
      <c r="M44" s="209">
        <f t="shared" si="3"/>
        <v>68</v>
      </c>
      <c r="N44" s="207">
        <f t="shared" si="4"/>
        <v>32</v>
      </c>
      <c r="O44" s="210">
        <f>IF(M44&gt;Assumptions!$E$175,0,R43)</f>
        <v>0</v>
      </c>
      <c r="P44" s="210">
        <f>IF(M44&gt;Assumptions!$E$175,0,-PPMT($R$5/12,N44,$R$6*12,-$R$8))</f>
        <v>0</v>
      </c>
      <c r="Q44" s="210">
        <f>IF(M44&gt;Assumptions!$E$175,0,-IPMT($R$5/12,N44,$R$6*12,-$R$8))</f>
        <v>0</v>
      </c>
      <c r="R44" s="210">
        <f t="shared" si="2"/>
        <v>0</v>
      </c>
    </row>
    <row r="45" spans="2:18" x14ac:dyDescent="0.45">
      <c r="B45" s="209">
        <f t="shared" si="5"/>
        <v>33</v>
      </c>
      <c r="C45" s="207">
        <f t="shared" si="5"/>
        <v>33</v>
      </c>
      <c r="D45" s="210">
        <f>IF(B45&gt;Assumptions!$E$175,0,H44)</f>
        <v>9788051.7056620531</v>
      </c>
      <c r="E45" s="210" cm="1">
        <f t="array" ref="E45">IFERROR(INDEX(Model!$G$40:$EI$40,,MATCH('Debt Schedule'!B45,Model!$G$4:$EI$4,0)),0)</f>
        <v>0</v>
      </c>
      <c r="F45" s="210">
        <f>IF(AND(Assumptions!$G$34="Yes",'Debt Schedule'!B45&gt;Assumptions!$G$36),0,IF(B45&gt;Assumptions!$E$175,0,-IFERROR(PPMT($H$4/12,C45,$H$5*12,-$H$8),0)))</f>
        <v>-9448.4748709213964</v>
      </c>
      <c r="G45" s="210">
        <f>IF(AND(Assumptions!$G$34="yes",'Debt Schedule'!B45&gt;Assumptions!$G$36),0,IFERROR(IF(B45&gt;Assumptions!$E$175,0,IPMT($H$4/12,C45,$H$5*12,-$H$8)),$H$4/12*D45))</f>
        <v>63479.598371133485</v>
      </c>
      <c r="H45" s="210">
        <f t="shared" ref="H45:H76" si="6">SUM(D45:F45)</f>
        <v>9778603.230791131</v>
      </c>
      <c r="M45" s="209">
        <f t="shared" si="3"/>
        <v>69</v>
      </c>
      <c r="N45" s="207">
        <f t="shared" si="4"/>
        <v>33</v>
      </c>
      <c r="O45" s="210">
        <f>IF(M45&gt;Assumptions!$E$175,0,R44)</f>
        <v>0</v>
      </c>
      <c r="P45" s="210">
        <f>IF(M45&gt;Assumptions!$E$175,0,-PPMT($R$5/12,N45,$R$6*12,-$R$8))</f>
        <v>0</v>
      </c>
      <c r="Q45" s="210">
        <f>IF(M45&gt;Assumptions!$E$175,0,-IPMT($R$5/12,N45,$R$6*12,-$R$8))</f>
        <v>0</v>
      </c>
      <c r="R45" s="210">
        <f t="shared" si="2"/>
        <v>0</v>
      </c>
    </row>
    <row r="46" spans="2:18" x14ac:dyDescent="0.45">
      <c r="B46" s="209">
        <f t="shared" ref="B46:C61" si="7">+B45+1</f>
        <v>34</v>
      </c>
      <c r="C46" s="207">
        <f t="shared" si="7"/>
        <v>34</v>
      </c>
      <c r="D46" s="210">
        <f>IF(B46&gt;Assumptions!$E$175,0,H45)</f>
        <v>9778603.230791131</v>
      </c>
      <c r="E46" s="210" cm="1">
        <f t="array" ref="E46">IFERROR(INDEX(Model!$G$40:$EI$40,,MATCH('Debt Schedule'!B46,Model!$G$4:$EI$4,0)),0)</f>
        <v>0</v>
      </c>
      <c r="F46" s="210">
        <f>IF(AND(Assumptions!$G$34="Yes",'Debt Schedule'!B46&gt;Assumptions!$G$36),0,IF(B46&gt;Assumptions!$E$175,0,-IFERROR(PPMT($H$4/12,C46,$H$5*12,-$H$8),0)))</f>
        <v>-9507.5278388646529</v>
      </c>
      <c r="G46" s="210">
        <f>IF(AND(Assumptions!$G$34="yes",'Debt Schedule'!B46&gt;Assumptions!$G$36),0,IFERROR(IF(B46&gt;Assumptions!$E$175,0,IPMT($H$4/12,C46,$H$5*12,-$H$8)),$H$4/12*D46))</f>
        <v>63420.545403190219</v>
      </c>
      <c r="H46" s="210">
        <f t="shared" si="6"/>
        <v>9769095.7029522657</v>
      </c>
      <c r="M46" s="209">
        <f t="shared" si="3"/>
        <v>70</v>
      </c>
      <c r="N46" s="207">
        <f t="shared" si="4"/>
        <v>34</v>
      </c>
      <c r="O46" s="210">
        <f>IF(M46&gt;Assumptions!$E$175,0,R45)</f>
        <v>0</v>
      </c>
      <c r="P46" s="210">
        <f>IF(M46&gt;Assumptions!$E$175,0,-PPMT($R$5/12,N46,$R$6*12,-$R$8))</f>
        <v>0</v>
      </c>
      <c r="Q46" s="210">
        <f>IF(M46&gt;Assumptions!$E$175,0,-IPMT($R$5/12,N46,$R$6*12,-$R$8))</f>
        <v>0</v>
      </c>
      <c r="R46" s="210">
        <f t="shared" si="2"/>
        <v>0</v>
      </c>
    </row>
    <row r="47" spans="2:18" x14ac:dyDescent="0.45">
      <c r="B47" s="209">
        <f t="shared" si="7"/>
        <v>35</v>
      </c>
      <c r="C47" s="207">
        <f t="shared" si="7"/>
        <v>35</v>
      </c>
      <c r="D47" s="210">
        <f>IF(B47&gt;Assumptions!$E$175,0,H46)</f>
        <v>9769095.7029522657</v>
      </c>
      <c r="E47" s="210" cm="1">
        <f t="array" ref="E47">IFERROR(INDEX(Model!$G$40:$EI$40,,MATCH('Debt Schedule'!B47,Model!$G$4:$EI$4,0)),0)</f>
        <v>0</v>
      </c>
      <c r="F47" s="210">
        <f>IF(AND(Assumptions!$G$34="Yes",'Debt Schedule'!B47&gt;Assumptions!$G$36),0,IF(B47&gt;Assumptions!$E$175,0,-IFERROR(PPMT($H$4/12,C47,$H$5*12,-$H$8),0)))</f>
        <v>-9566.9498878575578</v>
      </c>
      <c r="G47" s="210">
        <f>IF(AND(Assumptions!$G$34="yes",'Debt Schedule'!B47&gt;Assumptions!$G$36),0,IFERROR(IF(B47&gt;Assumptions!$E$175,0,IPMT($H$4/12,C47,$H$5*12,-$H$8)),$H$4/12*D47))</f>
        <v>63361.12335419732</v>
      </c>
      <c r="H47" s="210">
        <f t="shared" si="6"/>
        <v>9759528.7530644089</v>
      </c>
      <c r="M47" s="209">
        <f t="shared" si="3"/>
        <v>71</v>
      </c>
      <c r="N47" s="207">
        <f t="shared" si="4"/>
        <v>35</v>
      </c>
      <c r="O47" s="210">
        <f>IF(M47&gt;Assumptions!$E$175,0,R46)</f>
        <v>0</v>
      </c>
      <c r="P47" s="210">
        <f>IF(M47&gt;Assumptions!$E$175,0,-PPMT($R$5/12,N47,$R$6*12,-$R$8))</f>
        <v>0</v>
      </c>
      <c r="Q47" s="210">
        <f>IF(M47&gt;Assumptions!$E$175,0,-IPMT($R$5/12,N47,$R$6*12,-$R$8))</f>
        <v>0</v>
      </c>
      <c r="R47" s="210">
        <f t="shared" si="2"/>
        <v>0</v>
      </c>
    </row>
    <row r="48" spans="2:18" x14ac:dyDescent="0.45">
      <c r="B48" s="209">
        <f t="shared" si="7"/>
        <v>36</v>
      </c>
      <c r="C48" s="207">
        <f t="shared" si="7"/>
        <v>36</v>
      </c>
      <c r="D48" s="210">
        <f>IF(B48&gt;Assumptions!$E$175,0,H47)</f>
        <v>9759528.7530644089</v>
      </c>
      <c r="E48" s="210" cm="1">
        <f t="array" ref="E48">IFERROR(INDEX(Model!$G$40:$EI$40,,MATCH('Debt Schedule'!B48,Model!$G$4:$EI$4,0)),0)</f>
        <v>0</v>
      </c>
      <c r="F48" s="210">
        <f>IF(AND(Assumptions!$G$34="Yes",'Debt Schedule'!B48&gt;Assumptions!$G$36),0,IF(B48&gt;Assumptions!$E$175,0,-IFERROR(PPMT($H$4/12,C48,$H$5*12,-$H$8),0)))</f>
        <v>-9626.743324656667</v>
      </c>
      <c r="G48" s="210">
        <f>IF(AND(Assumptions!$G$34="yes",'Debt Schedule'!B48&gt;Assumptions!$G$36),0,IFERROR(IF(B48&gt;Assumptions!$E$175,0,IPMT($H$4/12,C48,$H$5*12,-$H$8)),$H$4/12*D48))</f>
        <v>63301.329917398209</v>
      </c>
      <c r="H48" s="210">
        <f t="shared" si="6"/>
        <v>9749902.0097397529</v>
      </c>
      <c r="M48" s="209">
        <f t="shared" si="3"/>
        <v>72</v>
      </c>
      <c r="N48" s="207">
        <f t="shared" si="4"/>
        <v>36</v>
      </c>
      <c r="O48" s="210">
        <f>IF(M48&gt;Assumptions!$E$175,0,R47)</f>
        <v>0</v>
      </c>
      <c r="P48" s="210">
        <f>IF(M48&gt;Assumptions!$E$175,0,-PPMT($R$5/12,N48,$R$6*12,-$R$8))</f>
        <v>0</v>
      </c>
      <c r="Q48" s="210">
        <f>IF(M48&gt;Assumptions!$E$175,0,-IPMT($R$5/12,N48,$R$6*12,-$R$8))</f>
        <v>0</v>
      </c>
      <c r="R48" s="210">
        <f t="shared" si="2"/>
        <v>0</v>
      </c>
    </row>
    <row r="49" spans="2:18" x14ac:dyDescent="0.45">
      <c r="B49" s="209">
        <f t="shared" si="7"/>
        <v>37</v>
      </c>
      <c r="C49" s="207">
        <f t="shared" si="7"/>
        <v>37</v>
      </c>
      <c r="D49" s="210">
        <f>IF(B49&gt;Assumptions!$E$175,0,H48)</f>
        <v>9749902.0097397529</v>
      </c>
      <c r="E49" s="210" cm="1">
        <f t="array" ref="E49">IFERROR(INDEX(Model!$G$40:$EI$40,,MATCH('Debt Schedule'!B49,Model!$G$4:$EI$4,0)),0)</f>
        <v>0</v>
      </c>
      <c r="F49" s="210">
        <f>IF(AND(Assumptions!$G$34="Yes",'Debt Schedule'!B49&gt;Assumptions!$G$36),0,IF(B49&gt;Assumptions!$E$175,0,-IFERROR(PPMT($H$4/12,C49,$H$5*12,-$H$8),0)))</f>
        <v>0</v>
      </c>
      <c r="G49" s="210">
        <f>IF(AND(Assumptions!$G$34="yes",'Debt Schedule'!B49&gt;Assumptions!$G$36),0,IFERROR(IF(B49&gt;Assumptions!$E$175,0,IPMT($H$4/12,C49,$H$5*12,-$H$8)),$H$4/12*D49))</f>
        <v>0</v>
      </c>
      <c r="H49" s="210">
        <f t="shared" si="6"/>
        <v>9749902.0097397529</v>
      </c>
      <c r="M49" s="209">
        <f t="shared" si="3"/>
        <v>73</v>
      </c>
      <c r="N49" s="207">
        <f t="shared" si="4"/>
        <v>37</v>
      </c>
      <c r="O49" s="210">
        <f>IF(M49&gt;Assumptions!$E$175,0,R48)</f>
        <v>0</v>
      </c>
      <c r="P49" s="210">
        <f>IF(M49&gt;Assumptions!$E$175,0,-PPMT($R$5/12,N49,$R$6*12,-$R$8))</f>
        <v>0</v>
      </c>
      <c r="Q49" s="210">
        <f>IF(M49&gt;Assumptions!$E$175,0,-IPMT($R$5/12,N49,$R$6*12,-$R$8))</f>
        <v>0</v>
      </c>
      <c r="R49" s="210">
        <f t="shared" si="2"/>
        <v>0</v>
      </c>
    </row>
    <row r="50" spans="2:18" x14ac:dyDescent="0.45">
      <c r="B50" s="209">
        <f t="shared" si="7"/>
        <v>38</v>
      </c>
      <c r="C50" s="207">
        <f t="shared" si="7"/>
        <v>38</v>
      </c>
      <c r="D50" s="210">
        <f>IF(B50&gt;Assumptions!$E$175,0,H49)</f>
        <v>9749902.0097397529</v>
      </c>
      <c r="E50" s="210" cm="1">
        <f t="array" ref="E50">IFERROR(INDEX(Model!$G$40:$EI$40,,MATCH('Debt Schedule'!B50,Model!$G$4:$EI$4,0)),0)</f>
        <v>0</v>
      </c>
      <c r="F50" s="210">
        <f>IF(AND(Assumptions!$G$34="Yes",'Debt Schedule'!B50&gt;Assumptions!$G$36),0,IF(B50&gt;Assumptions!$E$175,0,-IFERROR(PPMT($H$4/12,C50,$H$5*12,-$H$8),0)))</f>
        <v>0</v>
      </c>
      <c r="G50" s="210">
        <f>IF(AND(Assumptions!$G$34="yes",'Debt Schedule'!B50&gt;Assumptions!$G$36),0,IFERROR(IF(B50&gt;Assumptions!$E$175,0,IPMT($H$4/12,C50,$H$5*12,-$H$8)),$H$4/12*D50))</f>
        <v>0</v>
      </c>
      <c r="H50" s="210">
        <f t="shared" si="6"/>
        <v>9749902.0097397529</v>
      </c>
      <c r="M50" s="209">
        <f t="shared" si="3"/>
        <v>74</v>
      </c>
      <c r="N50" s="207">
        <f t="shared" si="4"/>
        <v>38</v>
      </c>
      <c r="O50" s="210">
        <f>IF(M50&gt;Assumptions!$E$175,0,R49)</f>
        <v>0</v>
      </c>
      <c r="P50" s="210">
        <f>IF(M50&gt;Assumptions!$E$175,0,-PPMT($R$5/12,N50,$R$6*12,-$R$8))</f>
        <v>0</v>
      </c>
      <c r="Q50" s="210">
        <f>IF(M50&gt;Assumptions!$E$175,0,-IPMT($R$5/12,N50,$R$6*12,-$R$8))</f>
        <v>0</v>
      </c>
      <c r="R50" s="210">
        <f t="shared" si="2"/>
        <v>0</v>
      </c>
    </row>
    <row r="51" spans="2:18" x14ac:dyDescent="0.45">
      <c r="B51" s="209">
        <f t="shared" si="7"/>
        <v>39</v>
      </c>
      <c r="C51" s="207">
        <f t="shared" si="7"/>
        <v>39</v>
      </c>
      <c r="D51" s="210">
        <f>IF(B51&gt;Assumptions!$E$175,0,H50)</f>
        <v>9749902.0097397529</v>
      </c>
      <c r="E51" s="210" cm="1">
        <f t="array" ref="E51">IFERROR(INDEX(Model!$G$40:$EI$40,,MATCH('Debt Schedule'!B51,Model!$G$4:$EI$4,0)),0)</f>
        <v>0</v>
      </c>
      <c r="F51" s="210">
        <f>IF(AND(Assumptions!$G$34="Yes",'Debt Schedule'!B51&gt;Assumptions!$G$36),0,IF(B51&gt;Assumptions!$E$175,0,-IFERROR(PPMT($H$4/12,C51,$H$5*12,-$H$8),0)))</f>
        <v>0</v>
      </c>
      <c r="G51" s="210">
        <f>IF(AND(Assumptions!$G$34="yes",'Debt Schedule'!B51&gt;Assumptions!$G$36),0,IFERROR(IF(B51&gt;Assumptions!$E$175,0,IPMT($H$4/12,C51,$H$5*12,-$H$8)),$H$4/12*D51))</f>
        <v>0</v>
      </c>
      <c r="H51" s="210">
        <f t="shared" si="6"/>
        <v>9749902.0097397529</v>
      </c>
      <c r="M51" s="209">
        <f t="shared" si="3"/>
        <v>75</v>
      </c>
      <c r="N51" s="207">
        <f t="shared" si="4"/>
        <v>39</v>
      </c>
      <c r="O51" s="210">
        <f>IF(M51&gt;Assumptions!$E$175,0,R50)</f>
        <v>0</v>
      </c>
      <c r="P51" s="210">
        <f>IF(M51&gt;Assumptions!$E$175,0,-PPMT($R$5/12,N51,$R$6*12,-$R$8))</f>
        <v>0</v>
      </c>
      <c r="Q51" s="210">
        <f>IF(M51&gt;Assumptions!$E$175,0,-IPMT($R$5/12,N51,$R$6*12,-$R$8))</f>
        <v>0</v>
      </c>
      <c r="R51" s="210">
        <f t="shared" si="2"/>
        <v>0</v>
      </c>
    </row>
    <row r="52" spans="2:18" x14ac:dyDescent="0.45">
      <c r="B52" s="209">
        <f t="shared" si="7"/>
        <v>40</v>
      </c>
      <c r="C52" s="207">
        <f t="shared" si="7"/>
        <v>40</v>
      </c>
      <c r="D52" s="210">
        <f>IF(B52&gt;Assumptions!$E$175,0,H51)</f>
        <v>9749902.0097397529</v>
      </c>
      <c r="E52" s="210" cm="1">
        <f t="array" ref="E52">IFERROR(INDEX(Model!$G$40:$EI$40,,MATCH('Debt Schedule'!B52,Model!$G$4:$EI$4,0)),0)</f>
        <v>0</v>
      </c>
      <c r="F52" s="210">
        <f>IF(AND(Assumptions!$G$34="Yes",'Debt Schedule'!B52&gt;Assumptions!$G$36),0,IF(B52&gt;Assumptions!$E$175,0,-IFERROR(PPMT($H$4/12,C52,$H$5*12,-$H$8),0)))</f>
        <v>0</v>
      </c>
      <c r="G52" s="210">
        <f>IF(AND(Assumptions!$G$34="yes",'Debt Schedule'!B52&gt;Assumptions!$G$36),0,IFERROR(IF(B52&gt;Assumptions!$E$175,0,IPMT($H$4/12,C52,$H$5*12,-$H$8)),$H$4/12*D52))</f>
        <v>0</v>
      </c>
      <c r="H52" s="210">
        <f t="shared" si="6"/>
        <v>9749902.0097397529</v>
      </c>
      <c r="M52" s="209">
        <f t="shared" si="3"/>
        <v>76</v>
      </c>
      <c r="N52" s="207">
        <f t="shared" si="4"/>
        <v>40</v>
      </c>
      <c r="O52" s="210">
        <f>IF(M52&gt;Assumptions!$E$175,0,R51)</f>
        <v>0</v>
      </c>
      <c r="P52" s="210">
        <f>IF(M52&gt;Assumptions!$E$175,0,-PPMT($R$5/12,N52,$R$6*12,-$R$8))</f>
        <v>0</v>
      </c>
      <c r="Q52" s="210">
        <f>IF(M52&gt;Assumptions!$E$175,0,-IPMT($R$5/12,N52,$R$6*12,-$R$8))</f>
        <v>0</v>
      </c>
      <c r="R52" s="210">
        <f t="shared" si="2"/>
        <v>0</v>
      </c>
    </row>
    <row r="53" spans="2:18" x14ac:dyDescent="0.45">
      <c r="B53" s="209">
        <f t="shared" si="7"/>
        <v>41</v>
      </c>
      <c r="C53" s="207">
        <f t="shared" si="7"/>
        <v>41</v>
      </c>
      <c r="D53" s="210">
        <f>IF(B53&gt;Assumptions!$E$175,0,H52)</f>
        <v>9749902.0097397529</v>
      </c>
      <c r="E53" s="210" cm="1">
        <f t="array" ref="E53">IFERROR(INDEX(Model!$G$40:$EI$40,,MATCH('Debt Schedule'!B53,Model!$G$4:$EI$4,0)),0)</f>
        <v>0</v>
      </c>
      <c r="F53" s="210">
        <f>IF(AND(Assumptions!$G$34="Yes",'Debt Schedule'!B53&gt;Assumptions!$G$36),0,IF(B53&gt;Assumptions!$E$175,0,-IFERROR(PPMT($H$4/12,C53,$H$5*12,-$H$8),0)))</f>
        <v>0</v>
      </c>
      <c r="G53" s="210">
        <f>IF(AND(Assumptions!$G$34="yes",'Debt Schedule'!B53&gt;Assumptions!$G$36),0,IFERROR(IF(B53&gt;Assumptions!$E$175,0,IPMT($H$4/12,C53,$H$5*12,-$H$8)),$H$4/12*D53))</f>
        <v>0</v>
      </c>
      <c r="H53" s="210">
        <f t="shared" si="6"/>
        <v>9749902.0097397529</v>
      </c>
      <c r="M53" s="209">
        <f t="shared" si="3"/>
        <v>77</v>
      </c>
      <c r="N53" s="207">
        <f t="shared" si="4"/>
        <v>41</v>
      </c>
      <c r="O53" s="210">
        <f>IF(M53&gt;Assumptions!$E$175,0,R52)</f>
        <v>0</v>
      </c>
      <c r="P53" s="210">
        <f>IF(M53&gt;Assumptions!$E$175,0,-PPMT($R$5/12,N53,$R$6*12,-$R$8))</f>
        <v>0</v>
      </c>
      <c r="Q53" s="210">
        <f>IF(M53&gt;Assumptions!$E$175,0,-IPMT($R$5/12,N53,$R$6*12,-$R$8))</f>
        <v>0</v>
      </c>
      <c r="R53" s="210">
        <f t="shared" si="2"/>
        <v>0</v>
      </c>
    </row>
    <row r="54" spans="2:18" x14ac:dyDescent="0.45">
      <c r="B54" s="209">
        <f t="shared" si="7"/>
        <v>42</v>
      </c>
      <c r="C54" s="207">
        <f t="shared" si="7"/>
        <v>42</v>
      </c>
      <c r="D54" s="210">
        <f>IF(B54&gt;Assumptions!$E$175,0,H53)</f>
        <v>9749902.0097397529</v>
      </c>
      <c r="E54" s="210" cm="1">
        <f t="array" ref="E54">IFERROR(INDEX(Model!$G$40:$EI$40,,MATCH('Debt Schedule'!B54,Model!$G$4:$EI$4,0)),0)</f>
        <v>0</v>
      </c>
      <c r="F54" s="210">
        <f>IF(AND(Assumptions!$G$34="Yes",'Debt Schedule'!B54&gt;Assumptions!$G$36),0,IF(B54&gt;Assumptions!$E$175,0,-IFERROR(PPMT($H$4/12,C54,$H$5*12,-$H$8),0)))</f>
        <v>0</v>
      </c>
      <c r="G54" s="210">
        <f>IF(AND(Assumptions!$G$34="yes",'Debt Schedule'!B54&gt;Assumptions!$G$36),0,IFERROR(IF(B54&gt;Assumptions!$E$175,0,IPMT($H$4/12,C54,$H$5*12,-$H$8)),$H$4/12*D54))</f>
        <v>0</v>
      </c>
      <c r="H54" s="210">
        <f t="shared" si="6"/>
        <v>9749902.0097397529</v>
      </c>
      <c r="M54" s="209">
        <f t="shared" si="3"/>
        <v>78</v>
      </c>
      <c r="N54" s="207">
        <f t="shared" si="4"/>
        <v>42</v>
      </c>
      <c r="O54" s="210">
        <f>IF(M54&gt;Assumptions!$E$175,0,R53)</f>
        <v>0</v>
      </c>
      <c r="P54" s="210">
        <f>IF(M54&gt;Assumptions!$E$175,0,-PPMT($R$5/12,N54,$R$6*12,-$R$8))</f>
        <v>0</v>
      </c>
      <c r="Q54" s="210">
        <f>IF(M54&gt;Assumptions!$E$175,0,-IPMT($R$5/12,N54,$R$6*12,-$R$8))</f>
        <v>0</v>
      </c>
      <c r="R54" s="210">
        <f t="shared" si="2"/>
        <v>0</v>
      </c>
    </row>
    <row r="55" spans="2:18" x14ac:dyDescent="0.45">
      <c r="B55" s="209">
        <f t="shared" si="7"/>
        <v>43</v>
      </c>
      <c r="C55" s="207">
        <f t="shared" si="7"/>
        <v>43</v>
      </c>
      <c r="D55" s="210">
        <f>IF(B55&gt;Assumptions!$E$175,0,H54)</f>
        <v>9749902.0097397529</v>
      </c>
      <c r="E55" s="210" cm="1">
        <f t="array" ref="E55">IFERROR(INDEX(Model!$G$40:$EI$40,,MATCH('Debt Schedule'!B55,Model!$G$4:$EI$4,0)),0)</f>
        <v>0</v>
      </c>
      <c r="F55" s="210">
        <f>IF(AND(Assumptions!$G$34="Yes",'Debt Schedule'!B55&gt;Assumptions!$G$36),0,IF(B55&gt;Assumptions!$E$175,0,-IFERROR(PPMT($H$4/12,C55,$H$5*12,-$H$8),0)))</f>
        <v>0</v>
      </c>
      <c r="G55" s="210">
        <f>IF(AND(Assumptions!$G$34="yes",'Debt Schedule'!B55&gt;Assumptions!$G$36),0,IFERROR(IF(B55&gt;Assumptions!$E$175,0,IPMT($H$4/12,C55,$H$5*12,-$H$8)),$H$4/12*D55))</f>
        <v>0</v>
      </c>
      <c r="H55" s="210">
        <f t="shared" si="6"/>
        <v>9749902.0097397529</v>
      </c>
      <c r="M55" s="209">
        <f t="shared" si="3"/>
        <v>79</v>
      </c>
      <c r="N55" s="207">
        <f t="shared" si="4"/>
        <v>43</v>
      </c>
      <c r="O55" s="210">
        <f>IF(M55&gt;Assumptions!$E$175,0,R54)</f>
        <v>0</v>
      </c>
      <c r="P55" s="210">
        <f>IF(M55&gt;Assumptions!$E$175,0,-PPMT($R$5/12,N55,$R$6*12,-$R$8))</f>
        <v>0</v>
      </c>
      <c r="Q55" s="210">
        <f>IF(M55&gt;Assumptions!$E$175,0,-IPMT($R$5/12,N55,$R$6*12,-$R$8))</f>
        <v>0</v>
      </c>
      <c r="R55" s="210">
        <f t="shared" si="2"/>
        <v>0</v>
      </c>
    </row>
    <row r="56" spans="2:18" x14ac:dyDescent="0.45">
      <c r="B56" s="209">
        <f t="shared" si="7"/>
        <v>44</v>
      </c>
      <c r="C56" s="207">
        <f t="shared" si="7"/>
        <v>44</v>
      </c>
      <c r="D56" s="210">
        <f>IF(B56&gt;Assumptions!$E$175,0,H55)</f>
        <v>9749902.0097397529</v>
      </c>
      <c r="E56" s="210" cm="1">
        <f t="array" ref="E56">IFERROR(INDEX(Model!$G$40:$EI$40,,MATCH('Debt Schedule'!B56,Model!$G$4:$EI$4,0)),0)</f>
        <v>0</v>
      </c>
      <c r="F56" s="210">
        <f>IF(AND(Assumptions!$G$34="Yes",'Debt Schedule'!B56&gt;Assumptions!$G$36),0,IF(B56&gt;Assumptions!$E$175,0,-IFERROR(PPMT($H$4/12,C56,$H$5*12,-$H$8),0)))</f>
        <v>0</v>
      </c>
      <c r="G56" s="210">
        <f>IF(AND(Assumptions!$G$34="yes",'Debt Schedule'!B56&gt;Assumptions!$G$36),0,IFERROR(IF(B56&gt;Assumptions!$E$175,0,IPMT($H$4/12,C56,$H$5*12,-$H$8)),$H$4/12*D56))</f>
        <v>0</v>
      </c>
      <c r="H56" s="210">
        <f t="shared" si="6"/>
        <v>9749902.0097397529</v>
      </c>
      <c r="M56" s="209">
        <f t="shared" si="3"/>
        <v>80</v>
      </c>
      <c r="N56" s="207">
        <f t="shared" si="4"/>
        <v>44</v>
      </c>
      <c r="O56" s="210">
        <f>IF(M56&gt;Assumptions!$E$175,0,R55)</f>
        <v>0</v>
      </c>
      <c r="P56" s="210">
        <f>IF(M56&gt;Assumptions!$E$175,0,-PPMT($R$5/12,N56,$R$6*12,-$R$8))</f>
        <v>0</v>
      </c>
      <c r="Q56" s="210">
        <f>IF(M56&gt;Assumptions!$E$175,0,-IPMT($R$5/12,N56,$R$6*12,-$R$8))</f>
        <v>0</v>
      </c>
      <c r="R56" s="210">
        <f t="shared" si="2"/>
        <v>0</v>
      </c>
    </row>
    <row r="57" spans="2:18" x14ac:dyDescent="0.45">
      <c r="B57" s="209">
        <f t="shared" si="7"/>
        <v>45</v>
      </c>
      <c r="C57" s="207">
        <f t="shared" si="7"/>
        <v>45</v>
      </c>
      <c r="D57" s="210">
        <f>IF(B57&gt;Assumptions!$E$175,0,H56)</f>
        <v>9749902.0097397529</v>
      </c>
      <c r="E57" s="210" cm="1">
        <f t="array" ref="E57">IFERROR(INDEX(Model!$G$40:$EI$40,,MATCH('Debt Schedule'!B57,Model!$G$4:$EI$4,0)),0)</f>
        <v>0</v>
      </c>
      <c r="F57" s="210">
        <f>IF(AND(Assumptions!$G$34="Yes",'Debt Schedule'!B57&gt;Assumptions!$G$36),0,IF(B57&gt;Assumptions!$E$175,0,-IFERROR(PPMT($H$4/12,C57,$H$5*12,-$H$8),0)))</f>
        <v>0</v>
      </c>
      <c r="G57" s="210">
        <f>IF(AND(Assumptions!$G$34="yes",'Debt Schedule'!B57&gt;Assumptions!$G$36),0,IFERROR(IF(B57&gt;Assumptions!$E$175,0,IPMT($H$4/12,C57,$H$5*12,-$H$8)),$H$4/12*D57))</f>
        <v>0</v>
      </c>
      <c r="H57" s="210">
        <f t="shared" si="6"/>
        <v>9749902.0097397529</v>
      </c>
      <c r="M57" s="209">
        <f t="shared" si="3"/>
        <v>81</v>
      </c>
      <c r="N57" s="207">
        <f t="shared" si="4"/>
        <v>45</v>
      </c>
      <c r="O57" s="210">
        <f>IF(M57&gt;Assumptions!$E$175,0,R56)</f>
        <v>0</v>
      </c>
      <c r="P57" s="210">
        <f>IF(M57&gt;Assumptions!$E$175,0,-PPMT($R$5/12,N57,$R$6*12,-$R$8))</f>
        <v>0</v>
      </c>
      <c r="Q57" s="210">
        <f>IF(M57&gt;Assumptions!$E$175,0,-IPMT($R$5/12,N57,$R$6*12,-$R$8))</f>
        <v>0</v>
      </c>
      <c r="R57" s="210">
        <f t="shared" si="2"/>
        <v>0</v>
      </c>
    </row>
    <row r="58" spans="2:18" x14ac:dyDescent="0.45">
      <c r="B58" s="209">
        <f t="shared" si="7"/>
        <v>46</v>
      </c>
      <c r="C58" s="207">
        <f t="shared" si="7"/>
        <v>46</v>
      </c>
      <c r="D58" s="210">
        <f>IF(B58&gt;Assumptions!$E$175,0,H57)</f>
        <v>9749902.0097397529</v>
      </c>
      <c r="E58" s="210" cm="1">
        <f t="array" ref="E58">IFERROR(INDEX(Model!$G$40:$EI$40,,MATCH('Debt Schedule'!B58,Model!$G$4:$EI$4,0)),0)</f>
        <v>0</v>
      </c>
      <c r="F58" s="210">
        <f>IF(AND(Assumptions!$G$34="Yes",'Debt Schedule'!B58&gt;Assumptions!$G$36),0,IF(B58&gt;Assumptions!$E$175,0,-IFERROR(PPMT($H$4/12,C58,$H$5*12,-$H$8),0)))</f>
        <v>0</v>
      </c>
      <c r="G58" s="210">
        <f>IF(AND(Assumptions!$G$34="yes",'Debt Schedule'!B58&gt;Assumptions!$G$36),0,IFERROR(IF(B58&gt;Assumptions!$E$175,0,IPMT($H$4/12,C58,$H$5*12,-$H$8)),$H$4/12*D58))</f>
        <v>0</v>
      </c>
      <c r="H58" s="210">
        <f t="shared" si="6"/>
        <v>9749902.0097397529</v>
      </c>
      <c r="M58" s="209">
        <f t="shared" si="3"/>
        <v>82</v>
      </c>
      <c r="N58" s="207">
        <f t="shared" si="4"/>
        <v>46</v>
      </c>
      <c r="O58" s="210">
        <f>IF(M58&gt;Assumptions!$E$175,0,R57)</f>
        <v>0</v>
      </c>
      <c r="P58" s="210">
        <f>IF(M58&gt;Assumptions!$E$175,0,-PPMT($R$5/12,N58,$R$6*12,-$R$8))</f>
        <v>0</v>
      </c>
      <c r="Q58" s="210">
        <f>IF(M58&gt;Assumptions!$E$175,0,-IPMT($R$5/12,N58,$R$6*12,-$R$8))</f>
        <v>0</v>
      </c>
      <c r="R58" s="210">
        <f t="shared" si="2"/>
        <v>0</v>
      </c>
    </row>
    <row r="59" spans="2:18" x14ac:dyDescent="0.45">
      <c r="B59" s="209">
        <f t="shared" si="7"/>
        <v>47</v>
      </c>
      <c r="C59" s="207">
        <f t="shared" si="7"/>
        <v>47</v>
      </c>
      <c r="D59" s="210">
        <f>IF(B59&gt;Assumptions!$E$175,0,H58)</f>
        <v>9749902.0097397529</v>
      </c>
      <c r="E59" s="210" cm="1">
        <f t="array" ref="E59">IFERROR(INDEX(Model!$G$40:$EI$40,,MATCH('Debt Schedule'!B59,Model!$G$4:$EI$4,0)),0)</f>
        <v>0</v>
      </c>
      <c r="F59" s="210">
        <f>IF(AND(Assumptions!$G$34="Yes",'Debt Schedule'!B59&gt;Assumptions!$G$36),0,IF(B59&gt;Assumptions!$E$175,0,-IFERROR(PPMT($H$4/12,C59,$H$5*12,-$H$8),0)))</f>
        <v>0</v>
      </c>
      <c r="G59" s="210">
        <f>IF(AND(Assumptions!$G$34="yes",'Debt Schedule'!B59&gt;Assumptions!$G$36),0,IFERROR(IF(B59&gt;Assumptions!$E$175,0,IPMT($H$4/12,C59,$H$5*12,-$H$8)),$H$4/12*D59))</f>
        <v>0</v>
      </c>
      <c r="H59" s="210">
        <f t="shared" si="6"/>
        <v>9749902.0097397529</v>
      </c>
      <c r="M59" s="209">
        <f t="shared" si="3"/>
        <v>83</v>
      </c>
      <c r="N59" s="207">
        <f t="shared" si="4"/>
        <v>47</v>
      </c>
      <c r="O59" s="210">
        <f>IF(M59&gt;Assumptions!$E$175,0,R58)</f>
        <v>0</v>
      </c>
      <c r="P59" s="210">
        <f>IF(M59&gt;Assumptions!$E$175,0,-PPMT($R$5/12,N59,$R$6*12,-$R$8))</f>
        <v>0</v>
      </c>
      <c r="Q59" s="210">
        <f>IF(M59&gt;Assumptions!$E$175,0,-IPMT($R$5/12,N59,$R$6*12,-$R$8))</f>
        <v>0</v>
      </c>
      <c r="R59" s="210">
        <f t="shared" si="2"/>
        <v>0</v>
      </c>
    </row>
    <row r="60" spans="2:18" x14ac:dyDescent="0.45">
      <c r="B60" s="209">
        <f t="shared" si="7"/>
        <v>48</v>
      </c>
      <c r="C60" s="207">
        <f t="shared" si="7"/>
        <v>48</v>
      </c>
      <c r="D60" s="210">
        <f>IF(B60&gt;Assumptions!$E$175,0,H59)</f>
        <v>9749902.0097397529</v>
      </c>
      <c r="E60" s="210" cm="1">
        <f t="array" ref="E60">IFERROR(INDEX(Model!$G$40:$EI$40,,MATCH('Debt Schedule'!B60,Model!$G$4:$EI$4,0)),0)</f>
        <v>0</v>
      </c>
      <c r="F60" s="210">
        <f>IF(AND(Assumptions!$G$34="Yes",'Debt Schedule'!B60&gt;Assumptions!$G$36),0,IF(B60&gt;Assumptions!$E$175,0,-IFERROR(PPMT($H$4/12,C60,$H$5*12,-$H$8),0)))</f>
        <v>0</v>
      </c>
      <c r="G60" s="210">
        <f>IF(AND(Assumptions!$G$34="yes",'Debt Schedule'!B60&gt;Assumptions!$G$36),0,IFERROR(IF(B60&gt;Assumptions!$E$175,0,IPMT($H$4/12,C60,$H$5*12,-$H$8)),$H$4/12*D60))</f>
        <v>0</v>
      </c>
      <c r="H60" s="210">
        <f t="shared" si="6"/>
        <v>9749902.0097397529</v>
      </c>
      <c r="M60" s="209">
        <f t="shared" si="3"/>
        <v>84</v>
      </c>
      <c r="N60" s="207">
        <f t="shared" si="4"/>
        <v>48</v>
      </c>
      <c r="O60" s="210">
        <f>IF(M60&gt;Assumptions!$E$175,0,R59)</f>
        <v>0</v>
      </c>
      <c r="P60" s="210">
        <f>IF(M60&gt;Assumptions!$E$175,0,-PPMT($R$5/12,N60,$R$6*12,-$R$8))</f>
        <v>0</v>
      </c>
      <c r="Q60" s="210">
        <f>IF(M60&gt;Assumptions!$E$175,0,-IPMT($R$5/12,N60,$R$6*12,-$R$8))</f>
        <v>0</v>
      </c>
      <c r="R60" s="210">
        <f t="shared" si="2"/>
        <v>0</v>
      </c>
    </row>
    <row r="61" spans="2:18" x14ac:dyDescent="0.45">
      <c r="B61" s="209">
        <f t="shared" si="7"/>
        <v>49</v>
      </c>
      <c r="C61" s="207">
        <f t="shared" si="7"/>
        <v>49</v>
      </c>
      <c r="D61" s="210">
        <f>IF(B61&gt;Assumptions!$E$175,0,H60)</f>
        <v>9749902.0097397529</v>
      </c>
      <c r="E61" s="210" cm="1">
        <f t="array" ref="E61">IFERROR(INDEX(Model!$G$40:$EI$40,,MATCH('Debt Schedule'!B61,Model!$G$4:$EI$4,0)),0)</f>
        <v>0</v>
      </c>
      <c r="F61" s="210">
        <f>IF(AND(Assumptions!$G$34="Yes",'Debt Schedule'!B61&gt;Assumptions!$G$36),0,IF(B61&gt;Assumptions!$E$175,0,-IFERROR(PPMT($H$4/12,C61,$H$5*12,-$H$8),0)))</f>
        <v>0</v>
      </c>
      <c r="G61" s="210">
        <f>IF(AND(Assumptions!$G$34="yes",'Debt Schedule'!B61&gt;Assumptions!$G$36),0,IFERROR(IF(B61&gt;Assumptions!$E$175,0,IPMT($H$4/12,C61,$H$5*12,-$H$8)),$H$4/12*D61))</f>
        <v>0</v>
      </c>
      <c r="H61" s="210">
        <f t="shared" si="6"/>
        <v>9749902.0097397529</v>
      </c>
      <c r="M61" s="209">
        <f t="shared" si="3"/>
        <v>85</v>
      </c>
      <c r="N61" s="207">
        <f t="shared" si="4"/>
        <v>49</v>
      </c>
      <c r="O61" s="210">
        <f>IF(M61&gt;Assumptions!$E$175,0,R60)</f>
        <v>0</v>
      </c>
      <c r="P61" s="210">
        <f>IF(M61&gt;Assumptions!$E$175,0,-PPMT($R$5/12,N61,$R$6*12,-$R$8))</f>
        <v>0</v>
      </c>
      <c r="Q61" s="210">
        <f>IF(M61&gt;Assumptions!$E$175,0,-IPMT($R$5/12,N61,$R$6*12,-$R$8))</f>
        <v>0</v>
      </c>
      <c r="R61" s="210">
        <f t="shared" si="2"/>
        <v>0</v>
      </c>
    </row>
    <row r="62" spans="2:18" x14ac:dyDescent="0.45">
      <c r="B62" s="209">
        <f t="shared" ref="B62:C77" si="8">+B61+1</f>
        <v>50</v>
      </c>
      <c r="C62" s="207">
        <f t="shared" si="8"/>
        <v>50</v>
      </c>
      <c r="D62" s="210">
        <f>IF(B62&gt;Assumptions!$E$175,0,H61)</f>
        <v>9749902.0097397529</v>
      </c>
      <c r="E62" s="210" cm="1">
        <f t="array" ref="E62">IFERROR(INDEX(Model!$G$40:$EI$40,,MATCH('Debt Schedule'!B62,Model!$G$4:$EI$4,0)),0)</f>
        <v>0</v>
      </c>
      <c r="F62" s="210">
        <f>IF(AND(Assumptions!$G$34="Yes",'Debt Schedule'!B62&gt;Assumptions!$G$36),0,IF(B62&gt;Assumptions!$E$175,0,-IFERROR(PPMT($H$4/12,C62,$H$5*12,-$H$8),0)))</f>
        <v>0</v>
      </c>
      <c r="G62" s="210">
        <f>IF(AND(Assumptions!$G$34="yes",'Debt Schedule'!B62&gt;Assumptions!$G$36),0,IFERROR(IF(B62&gt;Assumptions!$E$175,0,IPMT($H$4/12,C62,$H$5*12,-$H$8)),$H$4/12*D62))</f>
        <v>0</v>
      </c>
      <c r="H62" s="210">
        <f t="shared" si="6"/>
        <v>9749902.0097397529</v>
      </c>
      <c r="M62" s="209">
        <f t="shared" si="3"/>
        <v>86</v>
      </c>
      <c r="N62" s="207">
        <f t="shared" si="4"/>
        <v>50</v>
      </c>
      <c r="O62" s="210">
        <f>IF(M62&gt;Assumptions!$E$175,0,R61)</f>
        <v>0</v>
      </c>
      <c r="P62" s="210">
        <f>IF(M62&gt;Assumptions!$E$175,0,-PPMT($R$5/12,N62,$R$6*12,-$R$8))</f>
        <v>0</v>
      </c>
      <c r="Q62" s="210">
        <f>IF(M62&gt;Assumptions!$E$175,0,-IPMT($R$5/12,N62,$R$6*12,-$R$8))</f>
        <v>0</v>
      </c>
      <c r="R62" s="210">
        <f t="shared" si="2"/>
        <v>0</v>
      </c>
    </row>
    <row r="63" spans="2:18" x14ac:dyDescent="0.45">
      <c r="B63" s="209">
        <f t="shared" si="8"/>
        <v>51</v>
      </c>
      <c r="C63" s="207">
        <f t="shared" si="8"/>
        <v>51</v>
      </c>
      <c r="D63" s="210">
        <f>IF(B63&gt;Assumptions!$E$175,0,H62)</f>
        <v>9749902.0097397529</v>
      </c>
      <c r="E63" s="210" cm="1">
        <f t="array" ref="E63">IFERROR(INDEX(Model!$G$40:$EI$40,,MATCH('Debt Schedule'!B63,Model!$G$4:$EI$4,0)),0)</f>
        <v>0</v>
      </c>
      <c r="F63" s="210">
        <f>IF(AND(Assumptions!$G$34="Yes",'Debt Schedule'!B63&gt;Assumptions!$G$36),0,IF(B63&gt;Assumptions!$E$175,0,-IFERROR(PPMT($H$4/12,C63,$H$5*12,-$H$8),0)))</f>
        <v>0</v>
      </c>
      <c r="G63" s="210">
        <f>IF(AND(Assumptions!$G$34="yes",'Debt Schedule'!B63&gt;Assumptions!$G$36),0,IFERROR(IF(B63&gt;Assumptions!$E$175,0,IPMT($H$4/12,C63,$H$5*12,-$H$8)),$H$4/12*D63))</f>
        <v>0</v>
      </c>
      <c r="H63" s="210">
        <f t="shared" si="6"/>
        <v>9749902.0097397529</v>
      </c>
      <c r="M63" s="209">
        <f t="shared" si="3"/>
        <v>87</v>
      </c>
      <c r="N63" s="207">
        <f t="shared" si="4"/>
        <v>51</v>
      </c>
      <c r="O63" s="210">
        <f>IF(M63&gt;Assumptions!$E$175,0,R62)</f>
        <v>0</v>
      </c>
      <c r="P63" s="210">
        <f>IF(M63&gt;Assumptions!$E$175,0,-PPMT($R$5/12,N63,$R$6*12,-$R$8))</f>
        <v>0</v>
      </c>
      <c r="Q63" s="210">
        <f>IF(M63&gt;Assumptions!$E$175,0,-IPMT($R$5/12,N63,$R$6*12,-$R$8))</f>
        <v>0</v>
      </c>
      <c r="R63" s="210">
        <f t="shared" si="2"/>
        <v>0</v>
      </c>
    </row>
    <row r="64" spans="2:18" x14ac:dyDescent="0.45">
      <c r="B64" s="209">
        <f t="shared" si="8"/>
        <v>52</v>
      </c>
      <c r="C64" s="207">
        <f t="shared" si="8"/>
        <v>52</v>
      </c>
      <c r="D64" s="210">
        <f>IF(B64&gt;Assumptions!$E$175,0,H63)</f>
        <v>9749902.0097397529</v>
      </c>
      <c r="E64" s="210" cm="1">
        <f t="array" ref="E64">IFERROR(INDEX(Model!$G$40:$EI$40,,MATCH('Debt Schedule'!B64,Model!$G$4:$EI$4,0)),0)</f>
        <v>0</v>
      </c>
      <c r="F64" s="210">
        <f>IF(AND(Assumptions!$G$34="Yes",'Debt Schedule'!B64&gt;Assumptions!$G$36),0,IF(B64&gt;Assumptions!$E$175,0,-IFERROR(PPMT($H$4/12,C64,$H$5*12,-$H$8),0)))</f>
        <v>0</v>
      </c>
      <c r="G64" s="210">
        <f>IF(AND(Assumptions!$G$34="yes",'Debt Schedule'!B64&gt;Assumptions!$G$36),0,IFERROR(IF(B64&gt;Assumptions!$E$175,0,IPMT($H$4/12,C64,$H$5*12,-$H$8)),$H$4/12*D64))</f>
        <v>0</v>
      </c>
      <c r="H64" s="210">
        <f t="shared" si="6"/>
        <v>9749902.0097397529</v>
      </c>
      <c r="M64" s="209">
        <f t="shared" si="3"/>
        <v>88</v>
      </c>
      <c r="N64" s="207">
        <f t="shared" si="4"/>
        <v>52</v>
      </c>
      <c r="O64" s="210">
        <f>IF(M64&gt;Assumptions!$E$175,0,R63)</f>
        <v>0</v>
      </c>
      <c r="P64" s="210">
        <f>IF(M64&gt;Assumptions!$E$175,0,-PPMT($R$5/12,N64,$R$6*12,-$R$8))</f>
        <v>0</v>
      </c>
      <c r="Q64" s="210">
        <f>IF(M64&gt;Assumptions!$E$175,0,-IPMT($R$5/12,N64,$R$6*12,-$R$8))</f>
        <v>0</v>
      </c>
      <c r="R64" s="210">
        <f t="shared" si="2"/>
        <v>0</v>
      </c>
    </row>
    <row r="65" spans="2:18" x14ac:dyDescent="0.45">
      <c r="B65" s="209">
        <f t="shared" si="8"/>
        <v>53</v>
      </c>
      <c r="C65" s="207">
        <f t="shared" si="8"/>
        <v>53</v>
      </c>
      <c r="D65" s="210">
        <f>IF(B65&gt;Assumptions!$E$175,0,H64)</f>
        <v>9749902.0097397529</v>
      </c>
      <c r="E65" s="210" cm="1">
        <f t="array" ref="E65">IFERROR(INDEX(Model!$G$40:$EI$40,,MATCH('Debt Schedule'!B65,Model!$G$4:$EI$4,0)),0)</f>
        <v>0</v>
      </c>
      <c r="F65" s="210">
        <f>IF(AND(Assumptions!$G$34="Yes",'Debt Schedule'!B65&gt;Assumptions!$G$36),0,IF(B65&gt;Assumptions!$E$175,0,-IFERROR(PPMT($H$4/12,C65,$H$5*12,-$H$8),0)))</f>
        <v>0</v>
      </c>
      <c r="G65" s="210">
        <f>IF(AND(Assumptions!$G$34="yes",'Debt Schedule'!B65&gt;Assumptions!$G$36),0,IFERROR(IF(B65&gt;Assumptions!$E$175,0,IPMT($H$4/12,C65,$H$5*12,-$H$8)),$H$4/12*D65))</f>
        <v>0</v>
      </c>
      <c r="H65" s="210">
        <f t="shared" si="6"/>
        <v>9749902.0097397529</v>
      </c>
      <c r="M65" s="209">
        <f t="shared" si="3"/>
        <v>89</v>
      </c>
      <c r="N65" s="207">
        <f t="shared" si="4"/>
        <v>53</v>
      </c>
      <c r="O65" s="210">
        <f>IF(M65&gt;Assumptions!$E$175,0,R64)</f>
        <v>0</v>
      </c>
      <c r="P65" s="210">
        <f>IF(M65&gt;Assumptions!$E$175,0,-PPMT($R$5/12,N65,$R$6*12,-$R$8))</f>
        <v>0</v>
      </c>
      <c r="Q65" s="210">
        <f>IF(M65&gt;Assumptions!$E$175,0,-IPMT($R$5/12,N65,$R$6*12,-$R$8))</f>
        <v>0</v>
      </c>
      <c r="R65" s="210">
        <f t="shared" si="2"/>
        <v>0</v>
      </c>
    </row>
    <row r="66" spans="2:18" x14ac:dyDescent="0.45">
      <c r="B66" s="209">
        <f t="shared" si="8"/>
        <v>54</v>
      </c>
      <c r="C66" s="207">
        <f t="shared" si="8"/>
        <v>54</v>
      </c>
      <c r="D66" s="210">
        <f>IF(B66&gt;Assumptions!$E$175,0,H65)</f>
        <v>9749902.0097397529</v>
      </c>
      <c r="E66" s="210" cm="1">
        <f t="array" ref="E66">IFERROR(INDEX(Model!$G$40:$EI$40,,MATCH('Debt Schedule'!B66,Model!$G$4:$EI$4,0)),0)</f>
        <v>0</v>
      </c>
      <c r="F66" s="210">
        <f>IF(AND(Assumptions!$G$34="Yes",'Debt Schedule'!B66&gt;Assumptions!$G$36),0,IF(B66&gt;Assumptions!$E$175,0,-IFERROR(PPMT($H$4/12,C66,$H$5*12,-$H$8),0)))</f>
        <v>0</v>
      </c>
      <c r="G66" s="210">
        <f>IF(AND(Assumptions!$G$34="yes",'Debt Schedule'!B66&gt;Assumptions!$G$36),0,IFERROR(IF(B66&gt;Assumptions!$E$175,0,IPMT($H$4/12,C66,$H$5*12,-$H$8)),$H$4/12*D66))</f>
        <v>0</v>
      </c>
      <c r="H66" s="210">
        <f t="shared" si="6"/>
        <v>9749902.0097397529</v>
      </c>
      <c r="M66" s="209">
        <f t="shared" si="3"/>
        <v>90</v>
      </c>
      <c r="N66" s="207">
        <f t="shared" si="4"/>
        <v>54</v>
      </c>
      <c r="O66" s="210">
        <f>IF(M66&gt;Assumptions!$E$175,0,R65)</f>
        <v>0</v>
      </c>
      <c r="P66" s="210">
        <f>IF(M66&gt;Assumptions!$E$175,0,-PPMT($R$5/12,N66,$R$6*12,-$R$8))</f>
        <v>0</v>
      </c>
      <c r="Q66" s="210">
        <f>IF(M66&gt;Assumptions!$E$175,0,-IPMT($R$5/12,N66,$R$6*12,-$R$8))</f>
        <v>0</v>
      </c>
      <c r="R66" s="210">
        <f t="shared" si="2"/>
        <v>0</v>
      </c>
    </row>
    <row r="67" spans="2:18" x14ac:dyDescent="0.45">
      <c r="B67" s="209">
        <f t="shared" si="8"/>
        <v>55</v>
      </c>
      <c r="C67" s="207">
        <f t="shared" si="8"/>
        <v>55</v>
      </c>
      <c r="D67" s="210">
        <f>IF(B67&gt;Assumptions!$E$175,0,H66)</f>
        <v>9749902.0097397529</v>
      </c>
      <c r="E67" s="210" cm="1">
        <f t="array" ref="E67">IFERROR(INDEX(Model!$G$40:$EI$40,,MATCH('Debt Schedule'!B67,Model!$G$4:$EI$4,0)),0)</f>
        <v>0</v>
      </c>
      <c r="F67" s="210">
        <f>IF(AND(Assumptions!$G$34="Yes",'Debt Schedule'!B67&gt;Assumptions!$G$36),0,IF(B67&gt;Assumptions!$E$175,0,-IFERROR(PPMT($H$4/12,C67,$H$5*12,-$H$8),0)))</f>
        <v>0</v>
      </c>
      <c r="G67" s="210">
        <f>IF(AND(Assumptions!$G$34="yes",'Debt Schedule'!B67&gt;Assumptions!$G$36),0,IFERROR(IF(B67&gt;Assumptions!$E$175,0,IPMT($H$4/12,C67,$H$5*12,-$H$8)),$H$4/12*D67))</f>
        <v>0</v>
      </c>
      <c r="H67" s="210">
        <f t="shared" si="6"/>
        <v>9749902.0097397529</v>
      </c>
      <c r="M67" s="209">
        <f t="shared" si="3"/>
        <v>91</v>
      </c>
      <c r="N67" s="207">
        <f t="shared" si="4"/>
        <v>55</v>
      </c>
      <c r="O67" s="210">
        <f>IF(M67&gt;Assumptions!$E$175,0,R66)</f>
        <v>0</v>
      </c>
      <c r="P67" s="210">
        <f>IF(M67&gt;Assumptions!$E$175,0,-PPMT($R$5/12,N67,$R$6*12,-$R$8))</f>
        <v>0</v>
      </c>
      <c r="Q67" s="210">
        <f>IF(M67&gt;Assumptions!$E$175,0,-IPMT($R$5/12,N67,$R$6*12,-$R$8))</f>
        <v>0</v>
      </c>
      <c r="R67" s="210">
        <f t="shared" si="2"/>
        <v>0</v>
      </c>
    </row>
    <row r="68" spans="2:18" x14ac:dyDescent="0.45">
      <c r="B68" s="209">
        <f t="shared" si="8"/>
        <v>56</v>
      </c>
      <c r="C68" s="207">
        <f t="shared" si="8"/>
        <v>56</v>
      </c>
      <c r="D68" s="210">
        <f>IF(B68&gt;Assumptions!$E$175,0,H67)</f>
        <v>9749902.0097397529</v>
      </c>
      <c r="E68" s="210" cm="1">
        <f t="array" ref="E68">IFERROR(INDEX(Model!$G$40:$EI$40,,MATCH('Debt Schedule'!B68,Model!$G$4:$EI$4,0)),0)</f>
        <v>0</v>
      </c>
      <c r="F68" s="210">
        <f>IF(AND(Assumptions!$G$34="Yes",'Debt Schedule'!B68&gt;Assumptions!$G$36),0,IF(B68&gt;Assumptions!$E$175,0,-IFERROR(PPMT($H$4/12,C68,$H$5*12,-$H$8),0)))</f>
        <v>0</v>
      </c>
      <c r="G68" s="210">
        <f>IF(AND(Assumptions!$G$34="yes",'Debt Schedule'!B68&gt;Assumptions!$G$36),0,IFERROR(IF(B68&gt;Assumptions!$E$175,0,IPMT($H$4/12,C68,$H$5*12,-$H$8)),$H$4/12*D68))</f>
        <v>0</v>
      </c>
      <c r="H68" s="210">
        <f t="shared" si="6"/>
        <v>9749902.0097397529</v>
      </c>
      <c r="M68" s="209">
        <f t="shared" si="3"/>
        <v>92</v>
      </c>
      <c r="N68" s="207">
        <f t="shared" si="4"/>
        <v>56</v>
      </c>
      <c r="O68" s="210">
        <f>IF(M68&gt;Assumptions!$E$175,0,R67)</f>
        <v>0</v>
      </c>
      <c r="P68" s="210">
        <f>IF(M68&gt;Assumptions!$E$175,0,-PPMT($R$5/12,N68,$R$6*12,-$R$8))</f>
        <v>0</v>
      </c>
      <c r="Q68" s="210">
        <f>IF(M68&gt;Assumptions!$E$175,0,-IPMT($R$5/12,N68,$R$6*12,-$R$8))</f>
        <v>0</v>
      </c>
      <c r="R68" s="210">
        <f t="shared" si="2"/>
        <v>0</v>
      </c>
    </row>
    <row r="69" spans="2:18" x14ac:dyDescent="0.45">
      <c r="B69" s="209">
        <f t="shared" si="8"/>
        <v>57</v>
      </c>
      <c r="C69" s="207">
        <f t="shared" si="8"/>
        <v>57</v>
      </c>
      <c r="D69" s="210">
        <f>IF(B69&gt;Assumptions!$E$175,0,H68)</f>
        <v>9749902.0097397529</v>
      </c>
      <c r="E69" s="210" cm="1">
        <f t="array" ref="E69">IFERROR(INDEX(Model!$G$40:$EI$40,,MATCH('Debt Schedule'!B69,Model!$G$4:$EI$4,0)),0)</f>
        <v>0</v>
      </c>
      <c r="F69" s="210">
        <f>IF(AND(Assumptions!$G$34="Yes",'Debt Schedule'!B69&gt;Assumptions!$G$36),0,IF(B69&gt;Assumptions!$E$175,0,-IFERROR(PPMT($H$4/12,C69,$H$5*12,-$H$8),0)))</f>
        <v>0</v>
      </c>
      <c r="G69" s="210">
        <f>IF(AND(Assumptions!$G$34="yes",'Debt Schedule'!B69&gt;Assumptions!$G$36),0,IFERROR(IF(B69&gt;Assumptions!$E$175,0,IPMT($H$4/12,C69,$H$5*12,-$H$8)),$H$4/12*D69))</f>
        <v>0</v>
      </c>
      <c r="H69" s="210">
        <f t="shared" si="6"/>
        <v>9749902.0097397529</v>
      </c>
      <c r="M69" s="209">
        <f t="shared" si="3"/>
        <v>93</v>
      </c>
      <c r="N69" s="207">
        <f t="shared" si="4"/>
        <v>57</v>
      </c>
      <c r="O69" s="210">
        <f>IF(M69&gt;Assumptions!$E$175,0,R68)</f>
        <v>0</v>
      </c>
      <c r="P69" s="210">
        <f>IF(M69&gt;Assumptions!$E$175,0,-PPMT($R$5/12,N69,$R$6*12,-$R$8))</f>
        <v>0</v>
      </c>
      <c r="Q69" s="210">
        <f>IF(M69&gt;Assumptions!$E$175,0,-IPMT($R$5/12,N69,$R$6*12,-$R$8))</f>
        <v>0</v>
      </c>
      <c r="R69" s="210">
        <f t="shared" si="2"/>
        <v>0</v>
      </c>
    </row>
    <row r="70" spans="2:18" x14ac:dyDescent="0.45">
      <c r="B70" s="209">
        <f t="shared" si="8"/>
        <v>58</v>
      </c>
      <c r="C70" s="207">
        <f t="shared" si="8"/>
        <v>58</v>
      </c>
      <c r="D70" s="210">
        <f>IF(B70&gt;Assumptions!$E$175,0,H69)</f>
        <v>9749902.0097397529</v>
      </c>
      <c r="E70" s="210" cm="1">
        <f t="array" ref="E70">IFERROR(INDEX(Model!$G$40:$EI$40,,MATCH('Debt Schedule'!B70,Model!$G$4:$EI$4,0)),0)</f>
        <v>0</v>
      </c>
      <c r="F70" s="210">
        <f>IF(AND(Assumptions!$G$34="Yes",'Debt Schedule'!B70&gt;Assumptions!$G$36),0,IF(B70&gt;Assumptions!$E$175,0,-IFERROR(PPMT($H$4/12,C70,$H$5*12,-$H$8),0)))</f>
        <v>0</v>
      </c>
      <c r="G70" s="210">
        <f>IF(AND(Assumptions!$G$34="yes",'Debt Schedule'!B70&gt;Assumptions!$G$36),0,IFERROR(IF(B70&gt;Assumptions!$E$175,0,IPMT($H$4/12,C70,$H$5*12,-$H$8)),$H$4/12*D70))</f>
        <v>0</v>
      </c>
      <c r="H70" s="210">
        <f t="shared" si="6"/>
        <v>9749902.0097397529</v>
      </c>
      <c r="M70" s="209">
        <f t="shared" si="3"/>
        <v>94</v>
      </c>
      <c r="N70" s="207">
        <f t="shared" si="4"/>
        <v>58</v>
      </c>
      <c r="O70" s="210">
        <f>IF(M70&gt;Assumptions!$E$175,0,R69)</f>
        <v>0</v>
      </c>
      <c r="P70" s="210">
        <f>IF(M70&gt;Assumptions!$E$175,0,-PPMT($R$5/12,N70,$R$6*12,-$R$8))</f>
        <v>0</v>
      </c>
      <c r="Q70" s="210">
        <f>IF(M70&gt;Assumptions!$E$175,0,-IPMT($R$5/12,N70,$R$6*12,-$R$8))</f>
        <v>0</v>
      </c>
      <c r="R70" s="210">
        <f t="shared" si="2"/>
        <v>0</v>
      </c>
    </row>
    <row r="71" spans="2:18" x14ac:dyDescent="0.45">
      <c r="B71" s="209">
        <f t="shared" si="8"/>
        <v>59</v>
      </c>
      <c r="C71" s="207">
        <f t="shared" si="8"/>
        <v>59</v>
      </c>
      <c r="D71" s="210">
        <f>IF(B71&gt;Assumptions!$E$175,0,H70)</f>
        <v>9749902.0097397529</v>
      </c>
      <c r="E71" s="210" cm="1">
        <f t="array" ref="E71">IFERROR(INDEX(Model!$G$40:$EI$40,,MATCH('Debt Schedule'!B71,Model!$G$4:$EI$4,0)),0)</f>
        <v>0</v>
      </c>
      <c r="F71" s="210">
        <f>IF(AND(Assumptions!$G$34="Yes",'Debt Schedule'!B71&gt;Assumptions!$G$36),0,IF(B71&gt;Assumptions!$E$175,0,-IFERROR(PPMT($H$4/12,C71,$H$5*12,-$H$8),0)))</f>
        <v>0</v>
      </c>
      <c r="G71" s="210">
        <f>IF(AND(Assumptions!$G$34="yes",'Debt Schedule'!B71&gt;Assumptions!$G$36),0,IFERROR(IF(B71&gt;Assumptions!$E$175,0,IPMT($H$4/12,C71,$H$5*12,-$H$8)),$H$4/12*D71))</f>
        <v>0</v>
      </c>
      <c r="H71" s="210">
        <f t="shared" si="6"/>
        <v>9749902.0097397529</v>
      </c>
      <c r="M71" s="209">
        <f t="shared" si="3"/>
        <v>95</v>
      </c>
      <c r="N71" s="207">
        <f t="shared" si="4"/>
        <v>59</v>
      </c>
      <c r="O71" s="210">
        <f>IF(M71&gt;Assumptions!$E$175,0,R70)</f>
        <v>0</v>
      </c>
      <c r="P71" s="210">
        <f>IF(M71&gt;Assumptions!$E$175,0,-PPMT($R$5/12,N71,$R$6*12,-$R$8))</f>
        <v>0</v>
      </c>
      <c r="Q71" s="210">
        <f>IF(M71&gt;Assumptions!$E$175,0,-IPMT($R$5/12,N71,$R$6*12,-$R$8))</f>
        <v>0</v>
      </c>
      <c r="R71" s="210">
        <f t="shared" si="2"/>
        <v>0</v>
      </c>
    </row>
    <row r="72" spans="2:18" x14ac:dyDescent="0.45">
      <c r="B72" s="209">
        <f t="shared" si="8"/>
        <v>60</v>
      </c>
      <c r="C72" s="207">
        <f t="shared" si="8"/>
        <v>60</v>
      </c>
      <c r="D72" s="210">
        <f>IF(B72&gt;Assumptions!$E$175,0,H71)</f>
        <v>9749902.0097397529</v>
      </c>
      <c r="E72" s="210" cm="1">
        <f t="array" ref="E72">IFERROR(INDEX(Model!$G$40:$EI$40,,MATCH('Debt Schedule'!B72,Model!$G$4:$EI$4,0)),0)</f>
        <v>0</v>
      </c>
      <c r="F72" s="210">
        <f>IF(AND(Assumptions!$G$34="Yes",'Debt Schedule'!B72&gt;Assumptions!$G$36),0,IF(B72&gt;Assumptions!$E$175,0,-IFERROR(PPMT($H$4/12,C72,$H$5*12,-$H$8),0)))</f>
        <v>0</v>
      </c>
      <c r="G72" s="210">
        <f>IF(AND(Assumptions!$G$34="yes",'Debt Schedule'!B72&gt;Assumptions!$G$36),0,IFERROR(IF(B72&gt;Assumptions!$E$175,0,IPMT($H$4/12,C72,$H$5*12,-$H$8)),$H$4/12*D72))</f>
        <v>0</v>
      </c>
      <c r="H72" s="210">
        <f t="shared" si="6"/>
        <v>9749902.0097397529</v>
      </c>
      <c r="M72" s="209">
        <f t="shared" si="3"/>
        <v>96</v>
      </c>
      <c r="N72" s="207">
        <f t="shared" si="4"/>
        <v>60</v>
      </c>
      <c r="O72" s="210">
        <f>IF(M72&gt;Assumptions!$E$175,0,R71)</f>
        <v>0</v>
      </c>
      <c r="P72" s="210">
        <f>IF(M72&gt;Assumptions!$E$175,0,-PPMT($R$5/12,N72,$R$6*12,-$R$8))</f>
        <v>0</v>
      </c>
      <c r="Q72" s="210">
        <f>IF(M72&gt;Assumptions!$E$175,0,-IPMT($R$5/12,N72,$R$6*12,-$R$8))</f>
        <v>0</v>
      </c>
      <c r="R72" s="210">
        <f t="shared" si="2"/>
        <v>0</v>
      </c>
    </row>
    <row r="73" spans="2:18" x14ac:dyDescent="0.45">
      <c r="B73" s="209">
        <f t="shared" si="8"/>
        <v>61</v>
      </c>
      <c r="C73" s="207">
        <f t="shared" si="8"/>
        <v>61</v>
      </c>
      <c r="D73" s="210">
        <f>IF(B73&gt;Assumptions!$E$175,0,H72)</f>
        <v>0</v>
      </c>
      <c r="E73" s="210" cm="1">
        <f t="array" ref="E73">IFERROR(INDEX(Model!$G$40:$EI$40,,MATCH('Debt Schedule'!B73,Model!$G$4:$EI$4,0)),0)</f>
        <v>0</v>
      </c>
      <c r="F73" s="210">
        <f>IF(AND(Assumptions!$G$34="Yes",'Debt Schedule'!B73&gt;Assumptions!$G$36),0,IF(B73&gt;Assumptions!$E$175,0,-IFERROR(PPMT($H$4/12,C73,$H$5*12,-$H$8),0)))</f>
        <v>0</v>
      </c>
      <c r="G73" s="210">
        <f>IF(AND(Assumptions!$G$34="yes",'Debt Schedule'!B73&gt;Assumptions!$G$36),0,IFERROR(IF(B73&gt;Assumptions!$E$175,0,IPMT($H$4/12,C73,$H$5*12,-$H$8)),$H$4/12*D73))</f>
        <v>0</v>
      </c>
      <c r="H73" s="210">
        <f t="shared" si="6"/>
        <v>0</v>
      </c>
      <c r="M73" s="209">
        <f t="shared" si="3"/>
        <v>97</v>
      </c>
      <c r="N73" s="207">
        <f t="shared" si="4"/>
        <v>61</v>
      </c>
      <c r="O73" s="210">
        <f>IF(M73&gt;Assumptions!$E$175,0,R72)</f>
        <v>0</v>
      </c>
      <c r="P73" s="210">
        <f>IF(M73&gt;Assumptions!$E$175,0,-PPMT($R$5/12,N73,$R$6*12,-$R$8))</f>
        <v>0</v>
      </c>
      <c r="Q73" s="210">
        <f>IF(M73&gt;Assumptions!$E$175,0,-IPMT($R$5/12,N73,$R$6*12,-$R$8))</f>
        <v>0</v>
      </c>
      <c r="R73" s="210">
        <f t="shared" si="2"/>
        <v>0</v>
      </c>
    </row>
    <row r="74" spans="2:18" x14ac:dyDescent="0.45">
      <c r="B74" s="209">
        <f t="shared" si="8"/>
        <v>62</v>
      </c>
      <c r="C74" s="207">
        <f t="shared" si="8"/>
        <v>62</v>
      </c>
      <c r="D74" s="210">
        <f>IF(B74&gt;Assumptions!$E$175,0,H73)</f>
        <v>0</v>
      </c>
      <c r="E74" s="210" cm="1">
        <f t="array" ref="E74">IFERROR(INDEX(Model!$G$40:$EI$40,,MATCH('Debt Schedule'!B74,Model!$G$4:$EI$4,0)),0)</f>
        <v>0</v>
      </c>
      <c r="F74" s="210">
        <f>IF(AND(Assumptions!$G$34="Yes",'Debt Schedule'!B74&gt;Assumptions!$G$36),0,IF(B74&gt;Assumptions!$E$175,0,-IFERROR(PPMT($H$4/12,C74,$H$5*12,-$H$8),0)))</f>
        <v>0</v>
      </c>
      <c r="G74" s="210">
        <f>IF(AND(Assumptions!$G$34="yes",'Debt Schedule'!B74&gt;Assumptions!$G$36),0,IFERROR(IF(B74&gt;Assumptions!$E$175,0,IPMT($H$4/12,C74,$H$5*12,-$H$8)),$H$4/12*D74))</f>
        <v>0</v>
      </c>
      <c r="H74" s="210">
        <f t="shared" si="6"/>
        <v>0</v>
      </c>
      <c r="M74" s="209">
        <f t="shared" si="3"/>
        <v>98</v>
      </c>
      <c r="N74" s="207">
        <f t="shared" si="4"/>
        <v>62</v>
      </c>
      <c r="O74" s="210">
        <f>IF(M74&gt;Assumptions!$E$175,0,R73)</f>
        <v>0</v>
      </c>
      <c r="P74" s="210">
        <f>IF(M74&gt;Assumptions!$E$175,0,-PPMT($R$5/12,N74,$R$6*12,-$R$8))</f>
        <v>0</v>
      </c>
      <c r="Q74" s="210">
        <f>IF(M74&gt;Assumptions!$E$175,0,-IPMT($R$5/12,N74,$R$6*12,-$R$8))</f>
        <v>0</v>
      </c>
      <c r="R74" s="210">
        <f t="shared" si="2"/>
        <v>0</v>
      </c>
    </row>
    <row r="75" spans="2:18" x14ac:dyDescent="0.45">
      <c r="B75" s="209">
        <f t="shared" si="8"/>
        <v>63</v>
      </c>
      <c r="C75" s="207">
        <f t="shared" si="8"/>
        <v>63</v>
      </c>
      <c r="D75" s="210">
        <f>IF(B75&gt;Assumptions!$E$175,0,H74)</f>
        <v>0</v>
      </c>
      <c r="E75" s="210" cm="1">
        <f t="array" ref="E75">IFERROR(INDEX(Model!$G$40:$EI$40,,MATCH('Debt Schedule'!B75,Model!$G$4:$EI$4,0)),0)</f>
        <v>0</v>
      </c>
      <c r="F75" s="210">
        <f>IF(AND(Assumptions!$G$34="Yes",'Debt Schedule'!B75&gt;Assumptions!$G$36),0,IF(B75&gt;Assumptions!$E$175,0,-IFERROR(PPMT($H$4/12,C75,$H$5*12,-$H$8),0)))</f>
        <v>0</v>
      </c>
      <c r="G75" s="210">
        <f>IF(AND(Assumptions!$G$34="yes",'Debt Schedule'!B75&gt;Assumptions!$G$36),0,IFERROR(IF(B75&gt;Assumptions!$E$175,0,IPMT($H$4/12,C75,$H$5*12,-$H$8)),$H$4/12*D75))</f>
        <v>0</v>
      </c>
      <c r="H75" s="210">
        <f t="shared" si="6"/>
        <v>0</v>
      </c>
      <c r="M75" s="209">
        <f t="shared" si="3"/>
        <v>99</v>
      </c>
      <c r="N75" s="207">
        <f t="shared" si="4"/>
        <v>63</v>
      </c>
      <c r="O75" s="210">
        <f>IF(M75&gt;Assumptions!$E$175,0,R74)</f>
        <v>0</v>
      </c>
      <c r="P75" s="210">
        <f>IF(M75&gt;Assumptions!$E$175,0,-PPMT($R$5/12,N75,$R$6*12,-$R$8))</f>
        <v>0</v>
      </c>
      <c r="Q75" s="210">
        <f>IF(M75&gt;Assumptions!$E$175,0,-IPMT($R$5/12,N75,$R$6*12,-$R$8))</f>
        <v>0</v>
      </c>
      <c r="R75" s="210">
        <f t="shared" si="2"/>
        <v>0</v>
      </c>
    </row>
    <row r="76" spans="2:18" x14ac:dyDescent="0.45">
      <c r="B76" s="209">
        <f t="shared" si="8"/>
        <v>64</v>
      </c>
      <c r="C76" s="207">
        <f t="shared" si="8"/>
        <v>64</v>
      </c>
      <c r="D76" s="210">
        <f>IF(B76&gt;Assumptions!$E$175,0,H75)</f>
        <v>0</v>
      </c>
      <c r="E76" s="210" cm="1">
        <f t="array" ref="E76">IFERROR(INDEX(Model!$G$40:$EI$40,,MATCH('Debt Schedule'!B76,Model!$G$4:$EI$4,0)),0)</f>
        <v>0</v>
      </c>
      <c r="F76" s="210">
        <f>IF(AND(Assumptions!$G$34="Yes",'Debt Schedule'!B76&gt;Assumptions!$G$36),0,IF(B76&gt;Assumptions!$E$175,0,-IFERROR(PPMT($H$4/12,C76,$H$5*12,-$H$8),0)))</f>
        <v>0</v>
      </c>
      <c r="G76" s="210">
        <f>IF(AND(Assumptions!$G$34="yes",'Debt Schedule'!B76&gt;Assumptions!$G$36),0,IFERROR(IF(B76&gt;Assumptions!$E$175,0,IPMT($H$4/12,C76,$H$5*12,-$H$8)),$H$4/12*D76))</f>
        <v>0</v>
      </c>
      <c r="H76" s="210">
        <f t="shared" si="6"/>
        <v>0</v>
      </c>
      <c r="M76" s="209">
        <f t="shared" si="3"/>
        <v>100</v>
      </c>
      <c r="N76" s="207">
        <f t="shared" si="4"/>
        <v>64</v>
      </c>
      <c r="O76" s="210">
        <f>IF(M76&gt;Assumptions!$E$175,0,R75)</f>
        <v>0</v>
      </c>
      <c r="P76" s="210">
        <f>IF(M76&gt;Assumptions!$E$175,0,-PPMT($R$5/12,N76,$R$6*12,-$R$8))</f>
        <v>0</v>
      </c>
      <c r="Q76" s="210">
        <f>IF(M76&gt;Assumptions!$E$175,0,-IPMT($R$5/12,N76,$R$6*12,-$R$8))</f>
        <v>0</v>
      </c>
      <c r="R76" s="210">
        <f t="shared" si="2"/>
        <v>0</v>
      </c>
    </row>
    <row r="77" spans="2:18" x14ac:dyDescent="0.45">
      <c r="B77" s="209">
        <f t="shared" si="8"/>
        <v>65</v>
      </c>
      <c r="C77" s="207">
        <f t="shared" si="8"/>
        <v>65</v>
      </c>
      <c r="D77" s="210">
        <f>IF(B77&gt;Assumptions!$E$175,0,H76)</f>
        <v>0</v>
      </c>
      <c r="E77" s="210" cm="1">
        <f t="array" ref="E77">IFERROR(INDEX(Model!$G$40:$EI$40,,MATCH('Debt Schedule'!B77,Model!$G$4:$EI$4,0)),0)</f>
        <v>0</v>
      </c>
      <c r="F77" s="210">
        <f>IF(AND(Assumptions!$G$34="Yes",'Debt Schedule'!B77&gt;Assumptions!$G$36),0,IF(B77&gt;Assumptions!$E$175,0,-IFERROR(PPMT($H$4/12,C77,$H$5*12,-$H$8),0)))</f>
        <v>0</v>
      </c>
      <c r="G77" s="210">
        <f>IF(AND(Assumptions!$G$34="yes",'Debt Schedule'!B77&gt;Assumptions!$G$36),0,IFERROR(IF(B77&gt;Assumptions!$E$175,0,IPMT($H$4/12,C77,$H$5*12,-$H$8)),$H$4/12*D77))</f>
        <v>0</v>
      </c>
      <c r="H77" s="210">
        <f t="shared" ref="H77:H108" si="9">SUM(D77:F77)</f>
        <v>0</v>
      </c>
      <c r="M77" s="209">
        <f t="shared" si="3"/>
        <v>101</v>
      </c>
      <c r="N77" s="207">
        <f t="shared" si="4"/>
        <v>65</v>
      </c>
      <c r="O77" s="210">
        <f>IF(M77&gt;Assumptions!$E$175,0,R76)</f>
        <v>0</v>
      </c>
      <c r="P77" s="210">
        <f>IF(M77&gt;Assumptions!$E$175,0,-PPMT($R$5/12,N77,$R$6*12,-$R$8))</f>
        <v>0</v>
      </c>
      <c r="Q77" s="210">
        <f>IF(M77&gt;Assumptions!$E$175,0,-IPMT($R$5/12,N77,$R$6*12,-$R$8))</f>
        <v>0</v>
      </c>
      <c r="R77" s="210">
        <f t="shared" si="2"/>
        <v>0</v>
      </c>
    </row>
    <row r="78" spans="2:18" x14ac:dyDescent="0.45">
      <c r="B78" s="209">
        <f t="shared" ref="B78:C82" si="10">+B77+1</f>
        <v>66</v>
      </c>
      <c r="C78" s="207">
        <f t="shared" si="10"/>
        <v>66</v>
      </c>
      <c r="D78" s="210">
        <f>IF(B78&gt;Assumptions!$E$175,0,H77)</f>
        <v>0</v>
      </c>
      <c r="E78" s="210" cm="1">
        <f t="array" ref="E78">IFERROR(INDEX(Model!$G$40:$EI$40,,MATCH('Debt Schedule'!B78,Model!$G$4:$EI$4,0)),0)</f>
        <v>0</v>
      </c>
      <c r="F78" s="210">
        <f>IF(AND(Assumptions!$G$34="Yes",'Debt Schedule'!B78&gt;Assumptions!$G$36),0,IF(B78&gt;Assumptions!$E$175,0,-IFERROR(PPMT($H$4/12,C78,$H$5*12,-$H$8),0)))</f>
        <v>0</v>
      </c>
      <c r="G78" s="210">
        <f>IF(AND(Assumptions!$G$34="yes",'Debt Schedule'!B78&gt;Assumptions!$G$36),0,IFERROR(IF(B78&gt;Assumptions!$E$175,0,IPMT($H$4/12,C78,$H$5*12,-$H$8)),$H$4/12*D78))</f>
        <v>0</v>
      </c>
      <c r="H78" s="210">
        <f t="shared" si="9"/>
        <v>0</v>
      </c>
      <c r="M78" s="209">
        <f t="shared" si="3"/>
        <v>102</v>
      </c>
      <c r="N78" s="207">
        <f t="shared" si="4"/>
        <v>66</v>
      </c>
      <c r="O78" s="210">
        <f>IF(M78&gt;Assumptions!$E$175,0,R77)</f>
        <v>0</v>
      </c>
      <c r="P78" s="210">
        <f>IF(M78&gt;Assumptions!$E$175,0,-PPMT($R$5/12,N78,$R$6*12,-$R$8))</f>
        <v>0</v>
      </c>
      <c r="Q78" s="210">
        <f>IF(M78&gt;Assumptions!$E$175,0,-IPMT($R$5/12,N78,$R$6*12,-$R$8))</f>
        <v>0</v>
      </c>
      <c r="R78" s="210">
        <f>+P78+O78</f>
        <v>0</v>
      </c>
    </row>
    <row r="79" spans="2:18" x14ac:dyDescent="0.45">
      <c r="B79" s="209">
        <f t="shared" si="10"/>
        <v>67</v>
      </c>
      <c r="C79" s="207">
        <f t="shared" si="10"/>
        <v>67</v>
      </c>
      <c r="D79" s="210">
        <f>IF(B79&gt;Assumptions!$E$175,0,H78)</f>
        <v>0</v>
      </c>
      <c r="E79" s="210" cm="1">
        <f t="array" ref="E79">IFERROR(INDEX(Model!$G$40:$EI$40,,MATCH('Debt Schedule'!B79,Model!$G$4:$EI$4,0)),0)</f>
        <v>0</v>
      </c>
      <c r="F79" s="210">
        <f>IF(AND(Assumptions!$G$34="Yes",'Debt Schedule'!B79&gt;Assumptions!$G$36),0,IF(B79&gt;Assumptions!$E$175,0,-IFERROR(PPMT($H$4/12,C79,$H$5*12,-$H$8),0)))</f>
        <v>0</v>
      </c>
      <c r="G79" s="210">
        <f>IF(AND(Assumptions!$G$34="yes",'Debt Schedule'!B79&gt;Assumptions!$G$36),0,IFERROR(IF(B79&gt;Assumptions!$E$175,0,IPMT($H$4/12,C79,$H$5*12,-$H$8)),$H$4/12*D79))</f>
        <v>0</v>
      </c>
      <c r="H79" s="210">
        <f t="shared" si="9"/>
        <v>0</v>
      </c>
      <c r="M79" s="209">
        <f t="shared" ref="M79:M108" si="11">+M78+1</f>
        <v>103</v>
      </c>
      <c r="N79" s="207">
        <f t="shared" ref="N79:N108" si="12">+N78+1</f>
        <v>67</v>
      </c>
      <c r="O79" s="210">
        <f>IF(M79&gt;Assumptions!$E$175,0,R78)</f>
        <v>0</v>
      </c>
      <c r="P79" s="210">
        <f>IF(M79&gt;Assumptions!$E$175,0,-PPMT($R$5/12,N79,$R$6*12,-$R$8))</f>
        <v>0</v>
      </c>
      <c r="Q79" s="210">
        <f>IF(M79&gt;Assumptions!$E$175,0,-IPMT($R$5/12,N79,$R$6*12,-$R$8))</f>
        <v>0</v>
      </c>
      <c r="R79" s="210">
        <f>+P79+O79</f>
        <v>0</v>
      </c>
    </row>
    <row r="80" spans="2:18" x14ac:dyDescent="0.45">
      <c r="B80" s="209">
        <f t="shared" si="10"/>
        <v>68</v>
      </c>
      <c r="C80" s="207">
        <f t="shared" si="10"/>
        <v>68</v>
      </c>
      <c r="D80" s="210">
        <f>IF(B80&gt;Assumptions!$E$175,0,H79)</f>
        <v>0</v>
      </c>
      <c r="E80" s="210" cm="1">
        <f t="array" ref="E80">IFERROR(INDEX(Model!$G$40:$EI$40,,MATCH('Debt Schedule'!B80,Model!$G$4:$EI$4,0)),0)</f>
        <v>0</v>
      </c>
      <c r="F80" s="210">
        <f>IF(AND(Assumptions!$G$34="Yes",'Debt Schedule'!B80&gt;Assumptions!$G$36),0,IF(B80&gt;Assumptions!$E$175,0,-IFERROR(PPMT($H$4/12,C80,$H$5*12,-$H$8),0)))</f>
        <v>0</v>
      </c>
      <c r="G80" s="210">
        <f>IF(AND(Assumptions!$G$34="yes",'Debt Schedule'!B80&gt;Assumptions!$G$36),0,IFERROR(IF(B80&gt;Assumptions!$E$175,0,IPMT($H$4/12,C80,$H$5*12,-$H$8)),$H$4/12*D80))</f>
        <v>0</v>
      </c>
      <c r="H80" s="210">
        <f t="shared" si="9"/>
        <v>0</v>
      </c>
      <c r="M80" s="209">
        <f t="shared" si="11"/>
        <v>104</v>
      </c>
      <c r="N80" s="207">
        <f t="shared" si="12"/>
        <v>68</v>
      </c>
      <c r="O80" s="210">
        <f>IF(M80&gt;Assumptions!$E$175,0,R79)</f>
        <v>0</v>
      </c>
      <c r="P80" s="210">
        <f>IF(M80&gt;Assumptions!$E$175,0,-PPMT($R$5/12,N80,$R$6*12,-$R$8))</f>
        <v>0</v>
      </c>
      <c r="Q80" s="210">
        <f>IF(M80&gt;Assumptions!$E$175,0,-IPMT($R$5/12,N80,$R$6*12,-$R$8))</f>
        <v>0</v>
      </c>
      <c r="R80" s="210">
        <f>+P80+O80</f>
        <v>0</v>
      </c>
    </row>
    <row r="81" spans="2:18" x14ac:dyDescent="0.45">
      <c r="B81" s="209">
        <f t="shared" si="10"/>
        <v>69</v>
      </c>
      <c r="C81" s="207">
        <f t="shared" si="10"/>
        <v>69</v>
      </c>
      <c r="D81" s="210">
        <f>IF(B81&gt;Assumptions!$E$175,0,H80)</f>
        <v>0</v>
      </c>
      <c r="E81" s="210" cm="1">
        <f t="array" ref="E81">IFERROR(INDEX(Model!$G$40:$EI$40,,MATCH('Debt Schedule'!B81,Model!$G$4:$EI$4,0)),0)</f>
        <v>0</v>
      </c>
      <c r="F81" s="210">
        <f>IF(AND(Assumptions!$G$34="Yes",'Debt Schedule'!B81&gt;Assumptions!$G$36),0,IF(B81&gt;Assumptions!$E$175,0,-IFERROR(PPMT($H$4/12,C81,$H$5*12,-$H$8),0)))</f>
        <v>0</v>
      </c>
      <c r="G81" s="210">
        <f>IF(AND(Assumptions!$G$34="yes",'Debt Schedule'!B81&gt;Assumptions!$G$36),0,IFERROR(IF(B81&gt;Assumptions!$E$175,0,IPMT($H$4/12,C81,$H$5*12,-$H$8)),$H$4/12*D81))</f>
        <v>0</v>
      </c>
      <c r="H81" s="210">
        <f t="shared" si="9"/>
        <v>0</v>
      </c>
      <c r="M81" s="209">
        <f t="shared" si="11"/>
        <v>105</v>
      </c>
      <c r="N81" s="207">
        <f t="shared" si="12"/>
        <v>69</v>
      </c>
      <c r="O81" s="210">
        <f>IF(M81&gt;Assumptions!$E$175,0,R80)</f>
        <v>0</v>
      </c>
      <c r="P81" s="210">
        <f>IF(M81&gt;Assumptions!$E$175,0,-PPMT($R$5/12,N81,$R$6*12,-$R$8))</f>
        <v>0</v>
      </c>
      <c r="Q81" s="210">
        <f>IF(M81&gt;Assumptions!$E$175,0,-IPMT($R$5/12,N81,$R$6*12,-$R$8))</f>
        <v>0</v>
      </c>
      <c r="R81" s="210">
        <f>+P81+O81</f>
        <v>0</v>
      </c>
    </row>
    <row r="82" spans="2:18" x14ac:dyDescent="0.45">
      <c r="B82" s="209">
        <f t="shared" si="10"/>
        <v>70</v>
      </c>
      <c r="C82" s="207">
        <f t="shared" si="10"/>
        <v>70</v>
      </c>
      <c r="D82" s="210">
        <f>IF(B82&gt;Assumptions!$E$175,0,H81)</f>
        <v>0</v>
      </c>
      <c r="E82" s="210" cm="1">
        <f t="array" ref="E82">IFERROR(INDEX(Model!$G$40:$EI$40,,MATCH('Debt Schedule'!B82,Model!$G$4:$EI$4,0)),0)</f>
        <v>0</v>
      </c>
      <c r="F82" s="210">
        <f>IF(AND(Assumptions!$G$34="Yes",'Debt Schedule'!B82&gt;Assumptions!$G$36),0,IF(B82&gt;Assumptions!$E$175,0,-IFERROR(PPMT($H$4/12,C82,$H$5*12,-$H$8),0)))</f>
        <v>0</v>
      </c>
      <c r="G82" s="210">
        <f>IF(AND(Assumptions!$G$34="yes",'Debt Schedule'!B82&gt;Assumptions!$G$36),0,IFERROR(IF(B82&gt;Assumptions!$E$175,0,IPMT($H$4/12,C82,$H$5*12,-$H$8)),$H$4/12*D82))</f>
        <v>0</v>
      </c>
      <c r="H82" s="210">
        <f t="shared" si="9"/>
        <v>0</v>
      </c>
      <c r="M82" s="209">
        <f t="shared" si="11"/>
        <v>106</v>
      </c>
      <c r="N82" s="207">
        <f t="shared" si="12"/>
        <v>70</v>
      </c>
      <c r="O82" s="210">
        <f>IF(M82&gt;Assumptions!$E$175,0,R81)</f>
        <v>0</v>
      </c>
      <c r="P82" s="210">
        <f>IF(M82&gt;Assumptions!$E$175,0,-PPMT($R$5/12,N82,$R$6*12,-$R$8))</f>
        <v>0</v>
      </c>
      <c r="Q82" s="210">
        <f>IF(M82&gt;Assumptions!$E$175,0,-IPMT($R$5/12,N82,$R$6*12,-$R$8))</f>
        <v>0</v>
      </c>
      <c r="R82" s="210">
        <f>+P82+O82</f>
        <v>0</v>
      </c>
    </row>
    <row r="83" spans="2:18" x14ac:dyDescent="0.45">
      <c r="B83" s="209">
        <f t="shared" ref="B83:B108" si="13">+B82+1</f>
        <v>71</v>
      </c>
      <c r="C83" s="207">
        <f t="shared" ref="C83:C108" si="14">+C82+1</f>
        <v>71</v>
      </c>
      <c r="D83" s="210">
        <f>IF(B83&gt;Assumptions!$E$175,0,H82)</f>
        <v>0</v>
      </c>
      <c r="E83" s="210" cm="1">
        <f t="array" ref="E83">IFERROR(INDEX(Model!$G$40:$EI$40,,MATCH('Debt Schedule'!B83,Model!$G$4:$EI$4,0)),0)</f>
        <v>0</v>
      </c>
      <c r="F83" s="210">
        <f>IF(AND(Assumptions!$G$34="Yes",'Debt Schedule'!B83&gt;Assumptions!$G$36),0,IF(B83&gt;Assumptions!$E$175,0,-IFERROR(PPMT($H$4/12,C83,$H$5*12,-$H$8),0)))</f>
        <v>0</v>
      </c>
      <c r="G83" s="210">
        <f>IF(AND(Assumptions!$G$34="yes",'Debt Schedule'!B83&gt;Assumptions!$G$36),0,IFERROR(IF(B83&gt;Assumptions!$E$175,0,IPMT($H$4/12,C83,$H$5*12,-$H$8)),$H$4/12*D83))</f>
        <v>0</v>
      </c>
      <c r="H83" s="210">
        <f t="shared" si="9"/>
        <v>0</v>
      </c>
      <c r="M83" s="209">
        <f t="shared" si="11"/>
        <v>107</v>
      </c>
      <c r="N83" s="207">
        <f t="shared" si="12"/>
        <v>71</v>
      </c>
      <c r="O83" s="210">
        <f>IF(M83&gt;Assumptions!$E$175,0,R82)</f>
        <v>0</v>
      </c>
      <c r="P83" s="210">
        <f>IF(M83&gt;Assumptions!$E$175,0,-PPMT($R$5/12,N83,$R$6*12,-$R$8))</f>
        <v>0</v>
      </c>
      <c r="Q83" s="210">
        <f>IF(M83&gt;Assumptions!$E$175,0,-IPMT($R$5/12,N83,$R$6*12,-$R$8))</f>
        <v>0</v>
      </c>
      <c r="R83" s="210">
        <f t="shared" ref="R83:R108" si="15">+P83+O83</f>
        <v>0</v>
      </c>
    </row>
    <row r="84" spans="2:18" x14ac:dyDescent="0.45">
      <c r="B84" s="209">
        <f t="shared" si="13"/>
        <v>72</v>
      </c>
      <c r="C84" s="207">
        <f t="shared" si="14"/>
        <v>72</v>
      </c>
      <c r="D84" s="210">
        <f>IF(B84&gt;Assumptions!$E$175,0,H83)</f>
        <v>0</v>
      </c>
      <c r="E84" s="210" cm="1">
        <f t="array" ref="E84">IFERROR(INDEX(Model!$G$40:$EI$40,,MATCH('Debt Schedule'!B84,Model!$G$4:$EI$4,0)),0)</f>
        <v>0</v>
      </c>
      <c r="F84" s="210">
        <f>IF(AND(Assumptions!$G$34="Yes",'Debt Schedule'!B84&gt;Assumptions!$G$36),0,IF(B84&gt;Assumptions!$E$175,0,-IFERROR(PPMT($H$4/12,C84,$H$5*12,-$H$8),0)))</f>
        <v>0</v>
      </c>
      <c r="G84" s="210">
        <f>IF(AND(Assumptions!$G$34="yes",'Debt Schedule'!B84&gt;Assumptions!$G$36),0,IFERROR(IF(B84&gt;Assumptions!$E$175,0,IPMT($H$4/12,C84,$H$5*12,-$H$8)),$H$4/12*D84))</f>
        <v>0</v>
      </c>
      <c r="H84" s="210">
        <f t="shared" si="9"/>
        <v>0</v>
      </c>
      <c r="M84" s="209">
        <f t="shared" si="11"/>
        <v>108</v>
      </c>
      <c r="N84" s="207">
        <f t="shared" si="12"/>
        <v>72</v>
      </c>
      <c r="O84" s="210">
        <f>IF(M84&gt;Assumptions!$E$175,0,R83)</f>
        <v>0</v>
      </c>
      <c r="P84" s="210">
        <f>IF(M84&gt;Assumptions!$E$175,0,-PPMT($R$5/12,N84,$R$6*12,-$R$8))</f>
        <v>0</v>
      </c>
      <c r="Q84" s="210">
        <f>IF(M84&gt;Assumptions!$E$175,0,-IPMT($R$5/12,N84,$R$6*12,-$R$8))</f>
        <v>0</v>
      </c>
      <c r="R84" s="210">
        <f t="shared" si="15"/>
        <v>0</v>
      </c>
    </row>
    <row r="85" spans="2:18" x14ac:dyDescent="0.45">
      <c r="B85" s="209">
        <f t="shared" si="13"/>
        <v>73</v>
      </c>
      <c r="C85" s="207">
        <f t="shared" si="14"/>
        <v>73</v>
      </c>
      <c r="D85" s="210">
        <f>IF(B85&gt;Assumptions!$E$175,0,H84)</f>
        <v>0</v>
      </c>
      <c r="E85" s="210" cm="1">
        <f t="array" ref="E85">IFERROR(INDEX(Model!$G$40:$EI$40,,MATCH('Debt Schedule'!B85,Model!$G$4:$EI$4,0)),0)</f>
        <v>0</v>
      </c>
      <c r="F85" s="210">
        <f>IF(AND(Assumptions!$G$34="Yes",'Debt Schedule'!B85&gt;Assumptions!$G$36),0,IF(B85&gt;Assumptions!$E$175,0,-IFERROR(PPMT($H$4/12,C85,$H$5*12,-$H$8),0)))</f>
        <v>0</v>
      </c>
      <c r="G85" s="210">
        <f>IF(AND(Assumptions!$G$34="yes",'Debt Schedule'!B85&gt;Assumptions!$G$36),0,IFERROR(IF(B85&gt;Assumptions!$E$175,0,IPMT($H$4/12,C85,$H$5*12,-$H$8)),$H$4/12*D85))</f>
        <v>0</v>
      </c>
      <c r="H85" s="210">
        <f t="shared" si="9"/>
        <v>0</v>
      </c>
      <c r="M85" s="209">
        <f t="shared" si="11"/>
        <v>109</v>
      </c>
      <c r="N85" s="207">
        <f t="shared" si="12"/>
        <v>73</v>
      </c>
      <c r="O85" s="210">
        <f>IF(M85&gt;Assumptions!$E$175,0,R84)</f>
        <v>0</v>
      </c>
      <c r="P85" s="210">
        <f>IF(M85&gt;Assumptions!$E$175,0,-PPMT($R$5/12,N85,$R$6*12,-$R$8))</f>
        <v>0</v>
      </c>
      <c r="Q85" s="210">
        <f>IF(M85&gt;Assumptions!$E$175,0,-IPMT($R$5/12,N85,$R$6*12,-$R$8))</f>
        <v>0</v>
      </c>
      <c r="R85" s="210">
        <f t="shared" si="15"/>
        <v>0</v>
      </c>
    </row>
    <row r="86" spans="2:18" x14ac:dyDescent="0.45">
      <c r="B86" s="209">
        <f t="shared" si="13"/>
        <v>74</v>
      </c>
      <c r="C86" s="207">
        <f t="shared" si="14"/>
        <v>74</v>
      </c>
      <c r="D86" s="210">
        <f>IF(B86&gt;Assumptions!$E$175,0,H85)</f>
        <v>0</v>
      </c>
      <c r="E86" s="210" cm="1">
        <f t="array" ref="E86">IFERROR(INDEX(Model!$G$40:$EI$40,,MATCH('Debt Schedule'!B86,Model!$G$4:$EI$4,0)),0)</f>
        <v>0</v>
      </c>
      <c r="F86" s="210">
        <f>IF(AND(Assumptions!$G$34="Yes",'Debt Schedule'!B86&gt;Assumptions!$G$36),0,IF(B86&gt;Assumptions!$E$175,0,-IFERROR(PPMT($H$4/12,C86,$H$5*12,-$H$8),0)))</f>
        <v>0</v>
      </c>
      <c r="G86" s="210">
        <f>IF(AND(Assumptions!$G$34="yes",'Debt Schedule'!B86&gt;Assumptions!$G$36),0,IFERROR(IF(B86&gt;Assumptions!$E$175,0,IPMT($H$4/12,C86,$H$5*12,-$H$8)),$H$4/12*D86))</f>
        <v>0</v>
      </c>
      <c r="H86" s="210">
        <f t="shared" si="9"/>
        <v>0</v>
      </c>
      <c r="M86" s="209">
        <f t="shared" si="11"/>
        <v>110</v>
      </c>
      <c r="N86" s="207">
        <f t="shared" si="12"/>
        <v>74</v>
      </c>
      <c r="O86" s="210">
        <f>IF(M86&gt;Assumptions!$E$175,0,R85)</f>
        <v>0</v>
      </c>
      <c r="P86" s="210">
        <f>IF(M86&gt;Assumptions!$E$175,0,-PPMT($R$5/12,N86,$R$6*12,-$R$8))</f>
        <v>0</v>
      </c>
      <c r="Q86" s="210">
        <f>IF(M86&gt;Assumptions!$E$175,0,-IPMT($R$5/12,N86,$R$6*12,-$R$8))</f>
        <v>0</v>
      </c>
      <c r="R86" s="210">
        <f t="shared" si="15"/>
        <v>0</v>
      </c>
    </row>
    <row r="87" spans="2:18" x14ac:dyDescent="0.45">
      <c r="B87" s="209">
        <f t="shared" si="13"/>
        <v>75</v>
      </c>
      <c r="C87" s="207">
        <f t="shared" si="14"/>
        <v>75</v>
      </c>
      <c r="D87" s="210">
        <f>IF(B87&gt;Assumptions!$E$175,0,H86)</f>
        <v>0</v>
      </c>
      <c r="E87" s="210" cm="1">
        <f t="array" ref="E87">IFERROR(INDEX(Model!$G$40:$EI$40,,MATCH('Debt Schedule'!B87,Model!$G$4:$EI$4,0)),0)</f>
        <v>0</v>
      </c>
      <c r="F87" s="210">
        <f>IF(AND(Assumptions!$G$34="Yes",'Debt Schedule'!B87&gt;Assumptions!$G$36),0,IF(B87&gt;Assumptions!$E$175,0,-IFERROR(PPMT($H$4/12,C87,$H$5*12,-$H$8),0)))</f>
        <v>0</v>
      </c>
      <c r="G87" s="210">
        <f>IF(AND(Assumptions!$G$34="yes",'Debt Schedule'!B87&gt;Assumptions!$G$36),0,IFERROR(IF(B87&gt;Assumptions!$E$175,0,IPMT($H$4/12,C87,$H$5*12,-$H$8)),$H$4/12*D87))</f>
        <v>0</v>
      </c>
      <c r="H87" s="210">
        <f t="shared" si="9"/>
        <v>0</v>
      </c>
      <c r="M87" s="209">
        <f t="shared" si="11"/>
        <v>111</v>
      </c>
      <c r="N87" s="207">
        <f t="shared" si="12"/>
        <v>75</v>
      </c>
      <c r="O87" s="210">
        <f>IF(M87&gt;Assumptions!$E$175,0,R86)</f>
        <v>0</v>
      </c>
      <c r="P87" s="210">
        <f>IF(M87&gt;Assumptions!$E$175,0,-PPMT($R$5/12,N87,$R$6*12,-$R$8))</f>
        <v>0</v>
      </c>
      <c r="Q87" s="210">
        <f>IF(M87&gt;Assumptions!$E$175,0,-IPMT($R$5/12,N87,$R$6*12,-$R$8))</f>
        <v>0</v>
      </c>
      <c r="R87" s="210">
        <f t="shared" si="15"/>
        <v>0</v>
      </c>
    </row>
    <row r="88" spans="2:18" x14ac:dyDescent="0.45">
      <c r="B88" s="209">
        <f t="shared" si="13"/>
        <v>76</v>
      </c>
      <c r="C88" s="207">
        <f t="shared" si="14"/>
        <v>76</v>
      </c>
      <c r="D88" s="210">
        <f>IF(B88&gt;Assumptions!$E$175,0,H87)</f>
        <v>0</v>
      </c>
      <c r="E88" s="210" cm="1">
        <f t="array" ref="E88">IFERROR(INDEX(Model!$G$40:$EI$40,,MATCH('Debt Schedule'!B88,Model!$G$4:$EI$4,0)),0)</f>
        <v>0</v>
      </c>
      <c r="F88" s="210">
        <f>IF(AND(Assumptions!$G$34="Yes",'Debt Schedule'!B88&gt;Assumptions!$G$36),0,IF(B88&gt;Assumptions!$E$175,0,-IFERROR(PPMT($H$4/12,C88,$H$5*12,-$H$8),0)))</f>
        <v>0</v>
      </c>
      <c r="G88" s="210">
        <f>IF(AND(Assumptions!$G$34="yes",'Debt Schedule'!B88&gt;Assumptions!$G$36),0,IFERROR(IF(B88&gt;Assumptions!$E$175,0,IPMT($H$4/12,C88,$H$5*12,-$H$8)),$H$4/12*D88))</f>
        <v>0</v>
      </c>
      <c r="H88" s="210">
        <f t="shared" si="9"/>
        <v>0</v>
      </c>
      <c r="M88" s="209">
        <f t="shared" si="11"/>
        <v>112</v>
      </c>
      <c r="N88" s="207">
        <f t="shared" si="12"/>
        <v>76</v>
      </c>
      <c r="O88" s="210">
        <f>IF(M88&gt;Assumptions!$E$175,0,R87)</f>
        <v>0</v>
      </c>
      <c r="P88" s="210">
        <f>IF(M88&gt;Assumptions!$E$175,0,-PPMT($R$5/12,N88,$R$6*12,-$R$8))</f>
        <v>0</v>
      </c>
      <c r="Q88" s="210">
        <f>IF(M88&gt;Assumptions!$E$175,0,-IPMT($R$5/12,N88,$R$6*12,-$R$8))</f>
        <v>0</v>
      </c>
      <c r="R88" s="210">
        <f t="shared" si="15"/>
        <v>0</v>
      </c>
    </row>
    <row r="89" spans="2:18" x14ac:dyDescent="0.45">
      <c r="B89" s="209">
        <f t="shared" si="13"/>
        <v>77</v>
      </c>
      <c r="C89" s="207">
        <f t="shared" si="14"/>
        <v>77</v>
      </c>
      <c r="D89" s="210">
        <f>IF(B89&gt;Assumptions!$E$175,0,H88)</f>
        <v>0</v>
      </c>
      <c r="E89" s="210" cm="1">
        <f t="array" ref="E89">IFERROR(INDEX(Model!$G$40:$EI$40,,MATCH('Debt Schedule'!B89,Model!$G$4:$EI$4,0)),0)</f>
        <v>0</v>
      </c>
      <c r="F89" s="210">
        <f>IF(AND(Assumptions!$G$34="Yes",'Debt Schedule'!B89&gt;Assumptions!$G$36),0,IF(B89&gt;Assumptions!$E$175,0,-IFERROR(PPMT($H$4/12,C89,$H$5*12,-$H$8),0)))</f>
        <v>0</v>
      </c>
      <c r="G89" s="210">
        <f>IF(AND(Assumptions!$G$34="yes",'Debt Schedule'!B89&gt;Assumptions!$G$36),0,IFERROR(IF(B89&gt;Assumptions!$E$175,0,IPMT($H$4/12,C89,$H$5*12,-$H$8)),$H$4/12*D89))</f>
        <v>0</v>
      </c>
      <c r="H89" s="210">
        <f t="shared" si="9"/>
        <v>0</v>
      </c>
      <c r="M89" s="209">
        <f t="shared" si="11"/>
        <v>113</v>
      </c>
      <c r="N89" s="207">
        <f t="shared" si="12"/>
        <v>77</v>
      </c>
      <c r="O89" s="210">
        <f>IF(M89&gt;Assumptions!$E$175,0,R88)</f>
        <v>0</v>
      </c>
      <c r="P89" s="210">
        <f>IF(M89&gt;Assumptions!$E$175,0,-PPMT($R$5/12,N89,$R$6*12,-$R$8))</f>
        <v>0</v>
      </c>
      <c r="Q89" s="210">
        <f>IF(M89&gt;Assumptions!$E$175,0,-IPMT($R$5/12,N89,$R$6*12,-$R$8))</f>
        <v>0</v>
      </c>
      <c r="R89" s="210">
        <f t="shared" si="15"/>
        <v>0</v>
      </c>
    </row>
    <row r="90" spans="2:18" x14ac:dyDescent="0.45">
      <c r="B90" s="209">
        <f t="shared" si="13"/>
        <v>78</v>
      </c>
      <c r="C90" s="207">
        <f t="shared" si="14"/>
        <v>78</v>
      </c>
      <c r="D90" s="210">
        <f>IF(B90&gt;Assumptions!$E$175,0,H89)</f>
        <v>0</v>
      </c>
      <c r="E90" s="210" cm="1">
        <f t="array" ref="E90">IFERROR(INDEX(Model!$G$40:$EI$40,,MATCH('Debt Schedule'!B90,Model!$G$4:$EI$4,0)),0)</f>
        <v>0</v>
      </c>
      <c r="F90" s="210">
        <f>IF(AND(Assumptions!$G$34="Yes",'Debt Schedule'!B90&gt;Assumptions!$G$36),0,IF(B90&gt;Assumptions!$E$175,0,-IFERROR(PPMT($H$4/12,C90,$H$5*12,-$H$8),0)))</f>
        <v>0</v>
      </c>
      <c r="G90" s="210">
        <f>IF(AND(Assumptions!$G$34="yes",'Debt Schedule'!B90&gt;Assumptions!$G$36),0,IFERROR(IF(B90&gt;Assumptions!$E$175,0,IPMT($H$4/12,C90,$H$5*12,-$H$8)),$H$4/12*D90))</f>
        <v>0</v>
      </c>
      <c r="H90" s="210">
        <f t="shared" si="9"/>
        <v>0</v>
      </c>
      <c r="M90" s="209">
        <f t="shared" si="11"/>
        <v>114</v>
      </c>
      <c r="N90" s="207">
        <f t="shared" si="12"/>
        <v>78</v>
      </c>
      <c r="O90" s="210">
        <f>IF(M90&gt;Assumptions!$E$175,0,R89)</f>
        <v>0</v>
      </c>
      <c r="P90" s="210">
        <f>IF(M90&gt;Assumptions!$E$175,0,-PPMT($R$5/12,N90,$R$6*12,-$R$8))</f>
        <v>0</v>
      </c>
      <c r="Q90" s="210">
        <f>IF(M90&gt;Assumptions!$E$175,0,-IPMT($R$5/12,N90,$R$6*12,-$R$8))</f>
        <v>0</v>
      </c>
      <c r="R90" s="210">
        <f t="shared" si="15"/>
        <v>0</v>
      </c>
    </row>
    <row r="91" spans="2:18" x14ac:dyDescent="0.45">
      <c r="B91" s="209">
        <f t="shared" si="13"/>
        <v>79</v>
      </c>
      <c r="C91" s="207">
        <f t="shared" si="14"/>
        <v>79</v>
      </c>
      <c r="D91" s="210">
        <f>IF(B91&gt;Assumptions!$E$175,0,H90)</f>
        <v>0</v>
      </c>
      <c r="E91" s="210" cm="1">
        <f t="array" ref="E91">IFERROR(INDEX(Model!$G$40:$EI$40,,MATCH('Debt Schedule'!B91,Model!$G$4:$EI$4,0)),0)</f>
        <v>0</v>
      </c>
      <c r="F91" s="210">
        <f>IF(AND(Assumptions!$G$34="Yes",'Debt Schedule'!B91&gt;Assumptions!$G$36),0,IF(B91&gt;Assumptions!$E$175,0,-IFERROR(PPMT($H$4/12,C91,$H$5*12,-$H$8),0)))</f>
        <v>0</v>
      </c>
      <c r="G91" s="210">
        <f>IF(AND(Assumptions!$G$34="yes",'Debt Schedule'!B91&gt;Assumptions!$G$36),0,IFERROR(IF(B91&gt;Assumptions!$E$175,0,IPMT($H$4/12,C91,$H$5*12,-$H$8)),$H$4/12*D91))</f>
        <v>0</v>
      </c>
      <c r="H91" s="210">
        <f t="shared" si="9"/>
        <v>0</v>
      </c>
      <c r="M91" s="209">
        <f t="shared" si="11"/>
        <v>115</v>
      </c>
      <c r="N91" s="207">
        <f t="shared" si="12"/>
        <v>79</v>
      </c>
      <c r="O91" s="210">
        <f>IF(M91&gt;Assumptions!$E$175,0,R90)</f>
        <v>0</v>
      </c>
      <c r="P91" s="210">
        <f>IF(M91&gt;Assumptions!$E$175,0,-PPMT($R$5/12,N91,$R$6*12,-$R$8))</f>
        <v>0</v>
      </c>
      <c r="Q91" s="210">
        <f>IF(M91&gt;Assumptions!$E$175,0,-IPMT($R$5/12,N91,$R$6*12,-$R$8))</f>
        <v>0</v>
      </c>
      <c r="R91" s="210">
        <f t="shared" si="15"/>
        <v>0</v>
      </c>
    </row>
    <row r="92" spans="2:18" x14ac:dyDescent="0.45">
      <c r="B92" s="209">
        <f t="shared" si="13"/>
        <v>80</v>
      </c>
      <c r="C92" s="207">
        <f t="shared" si="14"/>
        <v>80</v>
      </c>
      <c r="D92" s="210">
        <f>IF(B92&gt;Assumptions!$E$175,0,H91)</f>
        <v>0</v>
      </c>
      <c r="E92" s="210" cm="1">
        <f t="array" ref="E92">IFERROR(INDEX(Model!$G$40:$EI$40,,MATCH('Debt Schedule'!B92,Model!$G$4:$EI$4,0)),0)</f>
        <v>0</v>
      </c>
      <c r="F92" s="210">
        <f>IF(AND(Assumptions!$G$34="Yes",'Debt Schedule'!B92&gt;Assumptions!$G$36),0,IF(B92&gt;Assumptions!$E$175,0,-IFERROR(PPMT($H$4/12,C92,$H$5*12,-$H$8),0)))</f>
        <v>0</v>
      </c>
      <c r="G92" s="210">
        <f>IF(AND(Assumptions!$G$34="yes",'Debt Schedule'!B92&gt;Assumptions!$G$36),0,IFERROR(IF(B92&gt;Assumptions!$E$175,0,IPMT($H$4/12,C92,$H$5*12,-$H$8)),$H$4/12*D92))</f>
        <v>0</v>
      </c>
      <c r="H92" s="210">
        <f t="shared" si="9"/>
        <v>0</v>
      </c>
      <c r="M92" s="209">
        <f t="shared" si="11"/>
        <v>116</v>
      </c>
      <c r="N92" s="207">
        <f t="shared" si="12"/>
        <v>80</v>
      </c>
      <c r="O92" s="210">
        <f>IF(M92&gt;Assumptions!$E$175,0,R91)</f>
        <v>0</v>
      </c>
      <c r="P92" s="210">
        <f>IF(M92&gt;Assumptions!$E$175,0,-PPMT($R$5/12,N92,$R$6*12,-$R$8))</f>
        <v>0</v>
      </c>
      <c r="Q92" s="210">
        <f>IF(M92&gt;Assumptions!$E$175,0,-IPMT($R$5/12,N92,$R$6*12,-$R$8))</f>
        <v>0</v>
      </c>
      <c r="R92" s="210">
        <f t="shared" si="15"/>
        <v>0</v>
      </c>
    </row>
    <row r="93" spans="2:18" x14ac:dyDescent="0.45">
      <c r="B93" s="209">
        <f t="shared" si="13"/>
        <v>81</v>
      </c>
      <c r="C93" s="207">
        <f t="shared" si="14"/>
        <v>81</v>
      </c>
      <c r="D93" s="210">
        <f>IF(B93&gt;Assumptions!$E$175,0,H92)</f>
        <v>0</v>
      </c>
      <c r="E93" s="210" cm="1">
        <f t="array" ref="E93">IFERROR(INDEX(Model!$G$40:$EI$40,,MATCH('Debt Schedule'!B93,Model!$G$4:$EI$4,0)),0)</f>
        <v>0</v>
      </c>
      <c r="F93" s="210">
        <f>IF(AND(Assumptions!$G$34="Yes",'Debt Schedule'!B93&gt;Assumptions!$G$36),0,IF(B93&gt;Assumptions!$E$175,0,-IFERROR(PPMT($H$4/12,C93,$H$5*12,-$H$8),0)))</f>
        <v>0</v>
      </c>
      <c r="G93" s="210">
        <f>IF(AND(Assumptions!$G$34="yes",'Debt Schedule'!B93&gt;Assumptions!$G$36),0,IFERROR(IF(B93&gt;Assumptions!$E$175,0,IPMT($H$4/12,C93,$H$5*12,-$H$8)),$H$4/12*D93))</f>
        <v>0</v>
      </c>
      <c r="H93" s="210">
        <f t="shared" si="9"/>
        <v>0</v>
      </c>
      <c r="M93" s="209">
        <f t="shared" si="11"/>
        <v>117</v>
      </c>
      <c r="N93" s="207">
        <f t="shared" si="12"/>
        <v>81</v>
      </c>
      <c r="O93" s="210">
        <f>IF(M93&gt;Assumptions!$E$175,0,R92)</f>
        <v>0</v>
      </c>
      <c r="P93" s="210">
        <f>IF(M93&gt;Assumptions!$E$175,0,-PPMT($R$5/12,N93,$R$6*12,-$R$8))</f>
        <v>0</v>
      </c>
      <c r="Q93" s="210">
        <f>IF(M93&gt;Assumptions!$E$175,0,-IPMT($R$5/12,N93,$R$6*12,-$R$8))</f>
        <v>0</v>
      </c>
      <c r="R93" s="210">
        <f t="shared" si="15"/>
        <v>0</v>
      </c>
    </row>
    <row r="94" spans="2:18" x14ac:dyDescent="0.45">
      <c r="B94" s="209">
        <f t="shared" si="13"/>
        <v>82</v>
      </c>
      <c r="C94" s="207">
        <f t="shared" si="14"/>
        <v>82</v>
      </c>
      <c r="D94" s="210">
        <f>IF(B94&gt;Assumptions!$E$175,0,H93)</f>
        <v>0</v>
      </c>
      <c r="E94" s="210" cm="1">
        <f t="array" ref="E94">IFERROR(INDEX(Model!$G$40:$EI$40,,MATCH('Debt Schedule'!B94,Model!$G$4:$EI$4,0)),0)</f>
        <v>0</v>
      </c>
      <c r="F94" s="210">
        <f>IF(AND(Assumptions!$G$34="Yes",'Debt Schedule'!B94&gt;Assumptions!$G$36),0,IF(B94&gt;Assumptions!$E$175,0,-IFERROR(PPMT($H$4/12,C94,$H$5*12,-$H$8),0)))</f>
        <v>0</v>
      </c>
      <c r="G94" s="210">
        <f>IF(AND(Assumptions!$G$34="yes",'Debt Schedule'!B94&gt;Assumptions!$G$36),0,IFERROR(IF(B94&gt;Assumptions!$E$175,0,IPMT($H$4/12,C94,$H$5*12,-$H$8)),$H$4/12*D94))</f>
        <v>0</v>
      </c>
      <c r="H94" s="210">
        <f t="shared" si="9"/>
        <v>0</v>
      </c>
      <c r="M94" s="209">
        <f t="shared" si="11"/>
        <v>118</v>
      </c>
      <c r="N94" s="207">
        <f t="shared" si="12"/>
        <v>82</v>
      </c>
      <c r="O94" s="210">
        <f>IF(M94&gt;Assumptions!$E$175,0,R93)</f>
        <v>0</v>
      </c>
      <c r="P94" s="210">
        <f>IF(M94&gt;Assumptions!$E$175,0,-PPMT($R$5/12,N94,$R$6*12,-$R$8))</f>
        <v>0</v>
      </c>
      <c r="Q94" s="210">
        <f>IF(M94&gt;Assumptions!$E$175,0,-IPMT($R$5/12,N94,$R$6*12,-$R$8))</f>
        <v>0</v>
      </c>
      <c r="R94" s="210">
        <f t="shared" si="15"/>
        <v>0</v>
      </c>
    </row>
    <row r="95" spans="2:18" x14ac:dyDescent="0.45">
      <c r="B95" s="209">
        <f t="shared" si="13"/>
        <v>83</v>
      </c>
      <c r="C95" s="207">
        <f t="shared" si="14"/>
        <v>83</v>
      </c>
      <c r="D95" s="210">
        <f>IF(B95&gt;Assumptions!$E$175,0,H94)</f>
        <v>0</v>
      </c>
      <c r="E95" s="210" cm="1">
        <f t="array" ref="E95">IFERROR(INDEX(Model!$G$40:$EI$40,,MATCH('Debt Schedule'!B95,Model!$G$4:$EI$4,0)),0)</f>
        <v>0</v>
      </c>
      <c r="F95" s="210">
        <f>IF(AND(Assumptions!$G$34="Yes",'Debt Schedule'!B95&gt;Assumptions!$G$36),0,IF(B95&gt;Assumptions!$E$175,0,-IFERROR(PPMT($H$4/12,C95,$H$5*12,-$H$8),0)))</f>
        <v>0</v>
      </c>
      <c r="G95" s="210">
        <f>IF(AND(Assumptions!$G$34="yes",'Debt Schedule'!B95&gt;Assumptions!$G$36),0,IFERROR(IF(B95&gt;Assumptions!$E$175,0,IPMT($H$4/12,C95,$H$5*12,-$H$8)),$H$4/12*D95))</f>
        <v>0</v>
      </c>
      <c r="H95" s="210">
        <f t="shared" si="9"/>
        <v>0</v>
      </c>
      <c r="M95" s="209">
        <f t="shared" si="11"/>
        <v>119</v>
      </c>
      <c r="N95" s="207">
        <f t="shared" si="12"/>
        <v>83</v>
      </c>
      <c r="O95" s="210">
        <f>IF(M95&gt;Assumptions!$E$175,0,R94)</f>
        <v>0</v>
      </c>
      <c r="P95" s="210">
        <f>IF(M95&gt;Assumptions!$E$175,0,-PPMT($R$5/12,N95,$R$6*12,-$R$8))</f>
        <v>0</v>
      </c>
      <c r="Q95" s="210">
        <f>IF(M95&gt;Assumptions!$E$175,0,-IPMT($R$5/12,N95,$R$6*12,-$R$8))</f>
        <v>0</v>
      </c>
      <c r="R95" s="210">
        <f t="shared" si="15"/>
        <v>0</v>
      </c>
    </row>
    <row r="96" spans="2:18" x14ac:dyDescent="0.45">
      <c r="B96" s="209">
        <f t="shared" si="13"/>
        <v>84</v>
      </c>
      <c r="C96" s="207">
        <f t="shared" si="14"/>
        <v>84</v>
      </c>
      <c r="D96" s="210">
        <f>IF(B96&gt;Assumptions!$E$175,0,H95)</f>
        <v>0</v>
      </c>
      <c r="E96" s="210" cm="1">
        <f t="array" ref="E96">IFERROR(INDEX(Model!$G$40:$EI$40,,MATCH('Debt Schedule'!B96,Model!$G$4:$EI$4,0)),0)</f>
        <v>0</v>
      </c>
      <c r="F96" s="210">
        <f>IF(AND(Assumptions!$G$34="Yes",'Debt Schedule'!B96&gt;Assumptions!$G$36),0,IF(B96&gt;Assumptions!$E$175,0,-IFERROR(PPMT($H$4/12,C96,$H$5*12,-$H$8),0)))</f>
        <v>0</v>
      </c>
      <c r="G96" s="210">
        <f>IF(AND(Assumptions!$G$34="yes",'Debt Schedule'!B96&gt;Assumptions!$G$36),0,IFERROR(IF(B96&gt;Assumptions!$E$175,0,IPMT($H$4/12,C96,$H$5*12,-$H$8)),$H$4/12*D96))</f>
        <v>0</v>
      </c>
      <c r="H96" s="210">
        <f t="shared" si="9"/>
        <v>0</v>
      </c>
      <c r="M96" s="209">
        <f t="shared" si="11"/>
        <v>120</v>
      </c>
      <c r="N96" s="207">
        <f t="shared" si="12"/>
        <v>84</v>
      </c>
      <c r="O96" s="210">
        <f>IF(M96&gt;Assumptions!$E$175,0,R95)</f>
        <v>0</v>
      </c>
      <c r="P96" s="210">
        <f>IF(M96&gt;Assumptions!$E$175,0,-PPMT($R$5/12,N96,$R$6*12,-$R$8))</f>
        <v>0</v>
      </c>
      <c r="Q96" s="210">
        <f>IF(M96&gt;Assumptions!$E$175,0,-IPMT($R$5/12,N96,$R$6*12,-$R$8))</f>
        <v>0</v>
      </c>
      <c r="R96" s="210">
        <f t="shared" si="15"/>
        <v>0</v>
      </c>
    </row>
    <row r="97" spans="2:18" x14ac:dyDescent="0.45">
      <c r="B97" s="209">
        <f t="shared" si="13"/>
        <v>85</v>
      </c>
      <c r="C97" s="207">
        <f t="shared" si="14"/>
        <v>85</v>
      </c>
      <c r="D97" s="210">
        <f>IF(B97&gt;Assumptions!$E$175,0,H96)</f>
        <v>0</v>
      </c>
      <c r="E97" s="210" cm="1">
        <f t="array" ref="E97">IFERROR(INDEX(Model!$G$40:$EI$40,,MATCH('Debt Schedule'!B97,Model!$G$4:$EI$4,0)),0)</f>
        <v>0</v>
      </c>
      <c r="F97" s="210">
        <f>IF(AND(Assumptions!$G$34="Yes",'Debt Schedule'!B97&gt;Assumptions!$G$36),0,IF(B97&gt;Assumptions!$E$175,0,-IFERROR(PPMT($H$4/12,C97,$H$5*12,-$H$8),0)))</f>
        <v>0</v>
      </c>
      <c r="G97" s="210">
        <f>IF(AND(Assumptions!$G$34="yes",'Debt Schedule'!B97&gt;Assumptions!$G$36),0,IFERROR(IF(B97&gt;Assumptions!$E$175,0,IPMT($H$4/12,C97,$H$5*12,-$H$8)),$H$4/12*D97))</f>
        <v>0</v>
      </c>
      <c r="H97" s="210">
        <f t="shared" si="9"/>
        <v>0</v>
      </c>
      <c r="M97" s="209">
        <f t="shared" si="11"/>
        <v>121</v>
      </c>
      <c r="N97" s="207">
        <f t="shared" si="12"/>
        <v>85</v>
      </c>
      <c r="O97" s="210">
        <f>IF(M97&gt;Assumptions!$E$175,0,R96)</f>
        <v>0</v>
      </c>
      <c r="P97" s="210">
        <f>IF(M97&gt;Assumptions!$E$175,0,-PPMT($R$5/12,N97,$R$6*12,-$R$8))</f>
        <v>0</v>
      </c>
      <c r="Q97" s="210">
        <f>IF(M97&gt;Assumptions!$E$175,0,-IPMT($R$5/12,N97,$R$6*12,-$R$8))</f>
        <v>0</v>
      </c>
      <c r="R97" s="210">
        <f t="shared" si="15"/>
        <v>0</v>
      </c>
    </row>
    <row r="98" spans="2:18" x14ac:dyDescent="0.45">
      <c r="B98" s="209">
        <f t="shared" si="13"/>
        <v>86</v>
      </c>
      <c r="C98" s="207">
        <f t="shared" si="14"/>
        <v>86</v>
      </c>
      <c r="D98" s="210">
        <f>IF(B98&gt;Assumptions!$E$175,0,H97)</f>
        <v>0</v>
      </c>
      <c r="E98" s="210" cm="1">
        <f t="array" ref="E98">IFERROR(INDEX(Model!$G$40:$EI$40,,MATCH('Debt Schedule'!B98,Model!$G$4:$EI$4,0)),0)</f>
        <v>0</v>
      </c>
      <c r="F98" s="210">
        <f>IF(AND(Assumptions!$G$34="Yes",'Debt Schedule'!B98&gt;Assumptions!$G$36),0,IF(B98&gt;Assumptions!$E$175,0,-IFERROR(PPMT($H$4/12,C98,$H$5*12,-$H$8),0)))</f>
        <v>0</v>
      </c>
      <c r="G98" s="210">
        <f>IF(AND(Assumptions!$G$34="yes",'Debt Schedule'!B98&gt;Assumptions!$G$36),0,IFERROR(IF(B98&gt;Assumptions!$E$175,0,IPMT($H$4/12,C98,$H$5*12,-$H$8)),$H$4/12*D98))</f>
        <v>0</v>
      </c>
      <c r="H98" s="210">
        <f t="shared" si="9"/>
        <v>0</v>
      </c>
      <c r="M98" s="209">
        <f t="shared" si="11"/>
        <v>122</v>
      </c>
      <c r="N98" s="207">
        <f t="shared" si="12"/>
        <v>86</v>
      </c>
      <c r="O98" s="210">
        <f>IF(M98&gt;Assumptions!$E$175,0,R97)</f>
        <v>0</v>
      </c>
      <c r="P98" s="210">
        <f>IF(M98&gt;Assumptions!$E$175,0,-PPMT($R$5/12,N98,$R$6*12,-$R$8))</f>
        <v>0</v>
      </c>
      <c r="Q98" s="210">
        <f>IF(M98&gt;Assumptions!$E$175,0,-IPMT($R$5/12,N98,$R$6*12,-$R$8))</f>
        <v>0</v>
      </c>
      <c r="R98" s="210">
        <f t="shared" si="15"/>
        <v>0</v>
      </c>
    </row>
    <row r="99" spans="2:18" x14ac:dyDescent="0.45">
      <c r="B99" s="209">
        <f t="shared" si="13"/>
        <v>87</v>
      </c>
      <c r="C99" s="207">
        <f t="shared" si="14"/>
        <v>87</v>
      </c>
      <c r="D99" s="210">
        <f>IF(B99&gt;Assumptions!$E$175,0,H98)</f>
        <v>0</v>
      </c>
      <c r="E99" s="210" cm="1">
        <f t="array" ref="E99">IFERROR(INDEX(Model!$G$40:$EI$40,,MATCH('Debt Schedule'!B99,Model!$G$4:$EI$4,0)),0)</f>
        <v>0</v>
      </c>
      <c r="F99" s="210">
        <f>IF(AND(Assumptions!$G$34="Yes",'Debt Schedule'!B99&gt;Assumptions!$G$36),0,IF(B99&gt;Assumptions!$E$175,0,-IFERROR(PPMT($H$4/12,C99,$H$5*12,-$H$8),0)))</f>
        <v>0</v>
      </c>
      <c r="G99" s="210">
        <f>IF(AND(Assumptions!$G$34="yes",'Debt Schedule'!B99&gt;Assumptions!$G$36),0,IFERROR(IF(B99&gt;Assumptions!$E$175,0,IPMT($H$4/12,C99,$H$5*12,-$H$8)),$H$4/12*D99))</f>
        <v>0</v>
      </c>
      <c r="H99" s="210">
        <f t="shared" si="9"/>
        <v>0</v>
      </c>
      <c r="M99" s="209">
        <f t="shared" si="11"/>
        <v>123</v>
      </c>
      <c r="N99" s="207">
        <f t="shared" si="12"/>
        <v>87</v>
      </c>
      <c r="O99" s="210">
        <f>IF(M99&gt;Assumptions!$E$175,0,R98)</f>
        <v>0</v>
      </c>
      <c r="P99" s="210">
        <f>IF(M99&gt;Assumptions!$E$175,0,-PPMT($R$5/12,N99,$R$6*12,-$R$8))</f>
        <v>0</v>
      </c>
      <c r="Q99" s="210">
        <f>IF(M99&gt;Assumptions!$E$175,0,-IPMT($R$5/12,N99,$R$6*12,-$R$8))</f>
        <v>0</v>
      </c>
      <c r="R99" s="210">
        <f t="shared" si="15"/>
        <v>0</v>
      </c>
    </row>
    <row r="100" spans="2:18" x14ac:dyDescent="0.45">
      <c r="B100" s="209">
        <f t="shared" si="13"/>
        <v>88</v>
      </c>
      <c r="C100" s="207">
        <f t="shared" si="14"/>
        <v>88</v>
      </c>
      <c r="D100" s="210">
        <f>IF(B100&gt;Assumptions!$E$175,0,H99)</f>
        <v>0</v>
      </c>
      <c r="E100" s="210" cm="1">
        <f t="array" ref="E100">IFERROR(INDEX(Model!$G$40:$EI$40,,MATCH('Debt Schedule'!B100,Model!$G$4:$EI$4,0)),0)</f>
        <v>0</v>
      </c>
      <c r="F100" s="210">
        <f>IF(AND(Assumptions!$G$34="Yes",'Debt Schedule'!B100&gt;Assumptions!$G$36),0,IF(B100&gt;Assumptions!$E$175,0,-IFERROR(PPMT($H$4/12,C100,$H$5*12,-$H$8),0)))</f>
        <v>0</v>
      </c>
      <c r="G100" s="210">
        <f>IF(AND(Assumptions!$G$34="yes",'Debt Schedule'!B100&gt;Assumptions!$G$36),0,IFERROR(IF(B100&gt;Assumptions!$E$175,0,IPMT($H$4/12,C100,$H$5*12,-$H$8)),$H$4/12*D100))</f>
        <v>0</v>
      </c>
      <c r="H100" s="210">
        <f t="shared" si="9"/>
        <v>0</v>
      </c>
      <c r="M100" s="209">
        <f t="shared" si="11"/>
        <v>124</v>
      </c>
      <c r="N100" s="207">
        <f t="shared" si="12"/>
        <v>88</v>
      </c>
      <c r="O100" s="210">
        <f>IF(M100&gt;Assumptions!$E$175,0,R99)</f>
        <v>0</v>
      </c>
      <c r="P100" s="210">
        <f>IF(M100&gt;Assumptions!$E$175,0,-PPMT($R$5/12,N100,$R$6*12,-$R$8))</f>
        <v>0</v>
      </c>
      <c r="Q100" s="210">
        <f>IF(M100&gt;Assumptions!$E$175,0,-IPMT($R$5/12,N100,$R$6*12,-$R$8))</f>
        <v>0</v>
      </c>
      <c r="R100" s="210">
        <f t="shared" si="15"/>
        <v>0</v>
      </c>
    </row>
    <row r="101" spans="2:18" x14ac:dyDescent="0.45">
      <c r="B101" s="209">
        <f t="shared" si="13"/>
        <v>89</v>
      </c>
      <c r="C101" s="207">
        <f t="shared" si="14"/>
        <v>89</v>
      </c>
      <c r="D101" s="210">
        <f>IF(B101&gt;Assumptions!$E$175,0,H100)</f>
        <v>0</v>
      </c>
      <c r="E101" s="210" cm="1">
        <f t="array" ref="E101">IFERROR(INDEX(Model!$G$40:$EI$40,,MATCH('Debt Schedule'!B101,Model!$G$4:$EI$4,0)),0)</f>
        <v>0</v>
      </c>
      <c r="F101" s="210">
        <f>IF(AND(Assumptions!$G$34="Yes",'Debt Schedule'!B101&gt;Assumptions!$G$36),0,IF(B101&gt;Assumptions!$E$175,0,-IFERROR(PPMT($H$4/12,C101,$H$5*12,-$H$8),0)))</f>
        <v>0</v>
      </c>
      <c r="G101" s="210">
        <f>IF(AND(Assumptions!$G$34="yes",'Debt Schedule'!B101&gt;Assumptions!$G$36),0,IFERROR(IF(B101&gt;Assumptions!$E$175,0,IPMT($H$4/12,C101,$H$5*12,-$H$8)),$H$4/12*D101))</f>
        <v>0</v>
      </c>
      <c r="H101" s="210">
        <f t="shared" si="9"/>
        <v>0</v>
      </c>
      <c r="M101" s="209">
        <f t="shared" si="11"/>
        <v>125</v>
      </c>
      <c r="N101" s="207">
        <f t="shared" si="12"/>
        <v>89</v>
      </c>
      <c r="O101" s="210">
        <f>IF(M101&gt;Assumptions!$E$175,0,R100)</f>
        <v>0</v>
      </c>
      <c r="P101" s="210">
        <f>IF(M101&gt;Assumptions!$E$175,0,-PPMT($R$5/12,N101,$R$6*12,-$R$8))</f>
        <v>0</v>
      </c>
      <c r="Q101" s="210">
        <f>IF(M101&gt;Assumptions!$E$175,0,-IPMT($R$5/12,N101,$R$6*12,-$R$8))</f>
        <v>0</v>
      </c>
      <c r="R101" s="210">
        <f t="shared" si="15"/>
        <v>0</v>
      </c>
    </row>
    <row r="102" spans="2:18" x14ac:dyDescent="0.45">
      <c r="B102" s="209">
        <f t="shared" si="13"/>
        <v>90</v>
      </c>
      <c r="C102" s="207">
        <f t="shared" si="14"/>
        <v>90</v>
      </c>
      <c r="D102" s="210">
        <f>IF(B102&gt;Assumptions!$E$175,0,H101)</f>
        <v>0</v>
      </c>
      <c r="E102" s="210" cm="1">
        <f t="array" ref="E102">IFERROR(INDEX(Model!$G$40:$EI$40,,MATCH('Debt Schedule'!B102,Model!$G$4:$EI$4,0)),0)</f>
        <v>0</v>
      </c>
      <c r="F102" s="210">
        <f>IF(AND(Assumptions!$G$34="Yes",'Debt Schedule'!B102&gt;Assumptions!$G$36),0,IF(B102&gt;Assumptions!$E$175,0,-IFERROR(PPMT($H$4/12,C102,$H$5*12,-$H$8),0)))</f>
        <v>0</v>
      </c>
      <c r="G102" s="210">
        <f>IF(AND(Assumptions!$G$34="yes",'Debt Schedule'!B102&gt;Assumptions!$G$36),0,IFERROR(IF(B102&gt;Assumptions!$E$175,0,IPMT($H$4/12,C102,$H$5*12,-$H$8)),$H$4/12*D102))</f>
        <v>0</v>
      </c>
      <c r="H102" s="210">
        <f t="shared" si="9"/>
        <v>0</v>
      </c>
      <c r="M102" s="209">
        <f t="shared" si="11"/>
        <v>126</v>
      </c>
      <c r="N102" s="207">
        <f t="shared" si="12"/>
        <v>90</v>
      </c>
      <c r="O102" s="210">
        <f>IF(M102&gt;Assumptions!$E$175,0,R101)</f>
        <v>0</v>
      </c>
      <c r="P102" s="210">
        <f>IF(M102&gt;Assumptions!$E$175,0,-PPMT($R$5/12,N102,$R$6*12,-$R$8))</f>
        <v>0</v>
      </c>
      <c r="Q102" s="210">
        <f>IF(M102&gt;Assumptions!$E$175,0,-IPMT($R$5/12,N102,$R$6*12,-$R$8))</f>
        <v>0</v>
      </c>
      <c r="R102" s="210">
        <f t="shared" si="15"/>
        <v>0</v>
      </c>
    </row>
    <row r="103" spans="2:18" x14ac:dyDescent="0.45">
      <c r="B103" s="209">
        <f t="shared" si="13"/>
        <v>91</v>
      </c>
      <c r="C103" s="207">
        <f t="shared" si="14"/>
        <v>91</v>
      </c>
      <c r="D103" s="210">
        <f>IF(B103&gt;Assumptions!$E$175,0,H102)</f>
        <v>0</v>
      </c>
      <c r="E103" s="210" cm="1">
        <f t="array" ref="E103">IFERROR(INDEX(Model!$G$40:$EI$40,,MATCH('Debt Schedule'!B103,Model!$G$4:$EI$4,0)),0)</f>
        <v>0</v>
      </c>
      <c r="F103" s="210">
        <f>IF(AND(Assumptions!$G$34="Yes",'Debt Schedule'!B103&gt;Assumptions!$G$36),0,IF(B103&gt;Assumptions!$E$175,0,-IFERROR(PPMT($H$4/12,C103,$H$5*12,-$H$8),0)))</f>
        <v>0</v>
      </c>
      <c r="G103" s="210">
        <f>IF(AND(Assumptions!$G$34="yes",'Debt Schedule'!B103&gt;Assumptions!$G$36),0,IFERROR(IF(B103&gt;Assumptions!$E$175,0,IPMT($H$4/12,C103,$H$5*12,-$H$8)),$H$4/12*D103))</f>
        <v>0</v>
      </c>
      <c r="H103" s="210">
        <f t="shared" si="9"/>
        <v>0</v>
      </c>
      <c r="M103" s="209">
        <f t="shared" si="11"/>
        <v>127</v>
      </c>
      <c r="N103" s="207">
        <f t="shared" si="12"/>
        <v>91</v>
      </c>
      <c r="O103" s="210">
        <f>IF(M103&gt;Assumptions!$E$175,0,R102)</f>
        <v>0</v>
      </c>
      <c r="P103" s="210">
        <f>IF(M103&gt;Assumptions!$E$175,0,-PPMT($R$5/12,N103,$R$6*12,-$R$8))</f>
        <v>0</v>
      </c>
      <c r="Q103" s="210">
        <f>IF(M103&gt;Assumptions!$E$175,0,-IPMT($R$5/12,N103,$R$6*12,-$R$8))</f>
        <v>0</v>
      </c>
      <c r="R103" s="210">
        <f t="shared" si="15"/>
        <v>0</v>
      </c>
    </row>
    <row r="104" spans="2:18" x14ac:dyDescent="0.45">
      <c r="B104" s="209">
        <f t="shared" si="13"/>
        <v>92</v>
      </c>
      <c r="C104" s="207">
        <f t="shared" si="14"/>
        <v>92</v>
      </c>
      <c r="D104" s="210">
        <f>IF(B104&gt;Assumptions!$E$175,0,H103)</f>
        <v>0</v>
      </c>
      <c r="E104" s="210" cm="1">
        <f t="array" ref="E104">IFERROR(INDEX(Model!$G$40:$EI$40,,MATCH('Debt Schedule'!B104,Model!$G$4:$EI$4,0)),0)</f>
        <v>0</v>
      </c>
      <c r="F104" s="210">
        <f>IF(AND(Assumptions!$G$34="Yes",'Debt Schedule'!B104&gt;Assumptions!$G$36),0,IF(B104&gt;Assumptions!$E$175,0,-IFERROR(PPMT($H$4/12,C104,$H$5*12,-$H$8),0)))</f>
        <v>0</v>
      </c>
      <c r="G104" s="210">
        <f>IF(AND(Assumptions!$G$34="yes",'Debt Schedule'!B104&gt;Assumptions!$G$36),0,IFERROR(IF(B104&gt;Assumptions!$E$175,0,IPMT($H$4/12,C104,$H$5*12,-$H$8)),$H$4/12*D104))</f>
        <v>0</v>
      </c>
      <c r="H104" s="210">
        <f t="shared" si="9"/>
        <v>0</v>
      </c>
      <c r="M104" s="209">
        <f t="shared" si="11"/>
        <v>128</v>
      </c>
      <c r="N104" s="207">
        <f t="shared" si="12"/>
        <v>92</v>
      </c>
      <c r="O104" s="210">
        <f>IF(M104&gt;Assumptions!$E$175,0,R103)</f>
        <v>0</v>
      </c>
      <c r="P104" s="210">
        <f>IF(M104&gt;Assumptions!$E$175,0,-PPMT($R$5/12,N104,$R$6*12,-$R$8))</f>
        <v>0</v>
      </c>
      <c r="Q104" s="210">
        <f>IF(M104&gt;Assumptions!$E$175,0,-IPMT($R$5/12,N104,$R$6*12,-$R$8))</f>
        <v>0</v>
      </c>
      <c r="R104" s="210">
        <f t="shared" si="15"/>
        <v>0</v>
      </c>
    </row>
    <row r="105" spans="2:18" x14ac:dyDescent="0.45">
      <c r="B105" s="209">
        <f t="shared" si="13"/>
        <v>93</v>
      </c>
      <c r="C105" s="207">
        <f t="shared" si="14"/>
        <v>93</v>
      </c>
      <c r="D105" s="210">
        <f>IF(B105&gt;Assumptions!$E$175,0,H104)</f>
        <v>0</v>
      </c>
      <c r="E105" s="210" cm="1">
        <f t="array" ref="E105">IFERROR(INDEX(Model!$G$40:$EI$40,,MATCH('Debt Schedule'!B105,Model!$G$4:$EI$4,0)),0)</f>
        <v>0</v>
      </c>
      <c r="F105" s="210">
        <f>IF(AND(Assumptions!$G$34="Yes",'Debt Schedule'!B105&gt;Assumptions!$G$36),0,IF(B105&gt;Assumptions!$E$175,0,-IFERROR(PPMT($H$4/12,C105,$H$5*12,-$H$8),0)))</f>
        <v>0</v>
      </c>
      <c r="G105" s="210">
        <f>IF(AND(Assumptions!$G$34="yes",'Debt Schedule'!B105&gt;Assumptions!$G$36),0,IFERROR(IF(B105&gt;Assumptions!$E$175,0,IPMT($H$4/12,C105,$H$5*12,-$H$8)),$H$4/12*D105))</f>
        <v>0</v>
      </c>
      <c r="H105" s="210">
        <f t="shared" si="9"/>
        <v>0</v>
      </c>
      <c r="M105" s="209">
        <f t="shared" si="11"/>
        <v>129</v>
      </c>
      <c r="N105" s="207">
        <f t="shared" si="12"/>
        <v>93</v>
      </c>
      <c r="O105" s="210">
        <f>IF(M105&gt;Assumptions!$E$175,0,R104)</f>
        <v>0</v>
      </c>
      <c r="P105" s="210">
        <f>IF(M105&gt;Assumptions!$E$175,0,-PPMT($R$5/12,N105,$R$6*12,-$R$8))</f>
        <v>0</v>
      </c>
      <c r="Q105" s="210">
        <f>IF(M105&gt;Assumptions!$E$175,0,-IPMT($R$5/12,N105,$R$6*12,-$R$8))</f>
        <v>0</v>
      </c>
      <c r="R105" s="210">
        <f t="shared" si="15"/>
        <v>0</v>
      </c>
    </row>
    <row r="106" spans="2:18" x14ac:dyDescent="0.45">
      <c r="B106" s="209">
        <f t="shared" si="13"/>
        <v>94</v>
      </c>
      <c r="C106" s="207">
        <f t="shared" si="14"/>
        <v>94</v>
      </c>
      <c r="D106" s="210">
        <f>IF(B106&gt;Assumptions!$E$175,0,H105)</f>
        <v>0</v>
      </c>
      <c r="E106" s="210" cm="1">
        <f t="array" ref="E106">IFERROR(INDEX(Model!$G$40:$EI$40,,MATCH('Debt Schedule'!B106,Model!$G$4:$EI$4,0)),0)</f>
        <v>0</v>
      </c>
      <c r="F106" s="210">
        <f>IF(AND(Assumptions!$G$34="Yes",'Debt Schedule'!B106&gt;Assumptions!$G$36),0,IF(B106&gt;Assumptions!$E$175,0,-IFERROR(PPMT($H$4/12,C106,$H$5*12,-$H$8),0)))</f>
        <v>0</v>
      </c>
      <c r="G106" s="210">
        <f>IF(AND(Assumptions!$G$34="yes",'Debt Schedule'!B106&gt;Assumptions!$G$36),0,IFERROR(IF(B106&gt;Assumptions!$E$175,0,IPMT($H$4/12,C106,$H$5*12,-$H$8)),$H$4/12*D106))</f>
        <v>0</v>
      </c>
      <c r="H106" s="210">
        <f t="shared" si="9"/>
        <v>0</v>
      </c>
      <c r="M106" s="209">
        <f t="shared" si="11"/>
        <v>130</v>
      </c>
      <c r="N106" s="207">
        <f t="shared" si="12"/>
        <v>94</v>
      </c>
      <c r="O106" s="210">
        <f>IF(M106&gt;Assumptions!$E$175,0,R105)</f>
        <v>0</v>
      </c>
      <c r="P106" s="210">
        <f>IF(M106&gt;Assumptions!$E$175,0,-PPMT($R$5/12,N106,$R$6*12,-$R$8))</f>
        <v>0</v>
      </c>
      <c r="Q106" s="210">
        <f>IF(M106&gt;Assumptions!$E$175,0,-IPMT($R$5/12,N106,$R$6*12,-$R$8))</f>
        <v>0</v>
      </c>
      <c r="R106" s="210">
        <f t="shared" si="15"/>
        <v>0</v>
      </c>
    </row>
    <row r="107" spans="2:18" x14ac:dyDescent="0.45">
      <c r="B107" s="209">
        <f t="shared" si="13"/>
        <v>95</v>
      </c>
      <c r="C107" s="207">
        <f t="shared" si="14"/>
        <v>95</v>
      </c>
      <c r="D107" s="210">
        <f>IF(B107&gt;Assumptions!$E$175,0,H106)</f>
        <v>0</v>
      </c>
      <c r="E107" s="210" cm="1">
        <f t="array" ref="E107">IFERROR(INDEX(Model!$G$40:$EI$40,,MATCH('Debt Schedule'!B107,Model!$G$4:$EI$4,0)),0)</f>
        <v>0</v>
      </c>
      <c r="F107" s="210">
        <f>IF(AND(Assumptions!$G$34="Yes",'Debt Schedule'!B107&gt;Assumptions!$G$36),0,IF(B107&gt;Assumptions!$E$175,0,-IFERROR(PPMT($H$4/12,C107,$H$5*12,-$H$8),0)))</f>
        <v>0</v>
      </c>
      <c r="G107" s="210">
        <f>IF(AND(Assumptions!$G$34="yes",'Debt Schedule'!B107&gt;Assumptions!$G$36),0,IFERROR(IF(B107&gt;Assumptions!$E$175,0,IPMT($H$4/12,C107,$H$5*12,-$H$8)),$H$4/12*D107))</f>
        <v>0</v>
      </c>
      <c r="H107" s="210">
        <f t="shared" si="9"/>
        <v>0</v>
      </c>
      <c r="M107" s="209">
        <f t="shared" si="11"/>
        <v>131</v>
      </c>
      <c r="N107" s="207">
        <f t="shared" si="12"/>
        <v>95</v>
      </c>
      <c r="O107" s="210">
        <f>IF(M107&gt;Assumptions!$E$175,0,R106)</f>
        <v>0</v>
      </c>
      <c r="P107" s="210">
        <f>IF(M107&gt;Assumptions!$E$175,0,-PPMT($R$5/12,N107,$R$6*12,-$R$8))</f>
        <v>0</v>
      </c>
      <c r="Q107" s="210">
        <f>IF(M107&gt;Assumptions!$E$175,0,-IPMT($R$5/12,N107,$R$6*12,-$R$8))</f>
        <v>0</v>
      </c>
      <c r="R107" s="210">
        <f t="shared" si="15"/>
        <v>0</v>
      </c>
    </row>
    <row r="108" spans="2:18" x14ac:dyDescent="0.45">
      <c r="B108" s="209">
        <f t="shared" si="13"/>
        <v>96</v>
      </c>
      <c r="C108" s="207">
        <f t="shared" si="14"/>
        <v>96</v>
      </c>
      <c r="D108" s="210">
        <f>IF(B108&gt;Assumptions!$E$175,0,H107)</f>
        <v>0</v>
      </c>
      <c r="E108" s="210" cm="1">
        <f t="array" ref="E108">IFERROR(INDEX(Model!$G$40:$EI$40,,MATCH('Debt Schedule'!B108,Model!$G$4:$EI$4,0)),0)</f>
        <v>0</v>
      </c>
      <c r="F108" s="210">
        <f>IF(AND(Assumptions!$G$34="Yes",'Debt Schedule'!B108&gt;Assumptions!$G$36),0,IF(B108&gt;Assumptions!$E$175,0,-IFERROR(PPMT($H$4/12,C108,$H$5*12,-$H$8),0)))</f>
        <v>0</v>
      </c>
      <c r="G108" s="210">
        <f>IF(AND(Assumptions!$G$34="yes",'Debt Schedule'!B108&gt;Assumptions!$G$36),0,IFERROR(IF(B108&gt;Assumptions!$E$175,0,IPMT($H$4/12,C108,$H$5*12,-$H$8)),$H$4/12*D108))</f>
        <v>0</v>
      </c>
      <c r="H108" s="210">
        <f t="shared" si="9"/>
        <v>0</v>
      </c>
      <c r="M108" s="209">
        <f t="shared" si="11"/>
        <v>132</v>
      </c>
      <c r="N108" s="207">
        <f t="shared" si="12"/>
        <v>96</v>
      </c>
      <c r="O108" s="210">
        <f>IF(M108&gt;Assumptions!$E$175,0,R107)</f>
        <v>0</v>
      </c>
      <c r="P108" s="210">
        <f>IF(M108&gt;Assumptions!$E$175,0,-PPMT($R$5/12,N108,$R$6*12,-$R$8))</f>
        <v>0</v>
      </c>
      <c r="Q108" s="210">
        <f>IF(M108&gt;Assumptions!$E$175,0,-IPMT($R$5/12,N108,$R$6*12,-$R$8))</f>
        <v>0</v>
      </c>
      <c r="R108" s="210">
        <f t="shared" si="15"/>
        <v>0</v>
      </c>
    </row>
    <row r="109" spans="2:18" x14ac:dyDescent="0.45">
      <c r="M109" s="209"/>
      <c r="N109" s="207"/>
      <c r="O109" s="210"/>
      <c r="P109" s="210"/>
      <c r="Q109" s="210"/>
      <c r="R109" s="210"/>
    </row>
    <row r="110" spans="2:18" x14ac:dyDescent="0.45">
      <c r="M110" s="209"/>
      <c r="N110" s="207"/>
      <c r="O110" s="210"/>
      <c r="P110" s="210"/>
      <c r="Q110" s="210"/>
      <c r="R110" s="210"/>
    </row>
    <row r="111" spans="2:18" x14ac:dyDescent="0.45">
      <c r="M111" s="207"/>
      <c r="N111" s="207"/>
      <c r="O111" s="207"/>
      <c r="P111" s="207"/>
      <c r="Q111" s="207"/>
      <c r="R111" s="207"/>
    </row>
    <row r="112" spans="2:18" x14ac:dyDescent="0.45">
      <c r="M112" s="207"/>
      <c r="N112" s="207"/>
      <c r="O112" s="207"/>
      <c r="P112" s="207"/>
      <c r="Q112" s="207"/>
      <c r="R112" s="207"/>
    </row>
    <row r="113" spans="13:18" x14ac:dyDescent="0.45">
      <c r="M113" s="207"/>
      <c r="N113" s="207"/>
      <c r="O113" s="207"/>
      <c r="P113" s="207"/>
      <c r="Q113" s="207"/>
      <c r="R113" s="207"/>
    </row>
    <row r="114" spans="13:18" x14ac:dyDescent="0.45">
      <c r="M114" s="207"/>
      <c r="N114" s="207"/>
      <c r="O114" s="207"/>
      <c r="P114" s="207"/>
      <c r="Q114" s="207"/>
      <c r="R114" s="207"/>
    </row>
    <row r="115" spans="13:18" x14ac:dyDescent="0.45">
      <c r="M115" s="207"/>
      <c r="N115" s="207"/>
      <c r="O115" s="207"/>
      <c r="P115" s="207"/>
      <c r="Q115" s="207"/>
      <c r="R115" s="207"/>
    </row>
    <row r="116" spans="13:18" x14ac:dyDescent="0.45">
      <c r="M116" s="207"/>
      <c r="N116" s="207"/>
      <c r="O116" s="207"/>
      <c r="P116" s="207"/>
      <c r="Q116" s="207"/>
      <c r="R116" s="207"/>
    </row>
    <row r="117" spans="13:18" x14ac:dyDescent="0.45">
      <c r="M117" s="207"/>
      <c r="N117" s="207"/>
      <c r="O117" s="207"/>
      <c r="P117" s="207"/>
      <c r="Q117" s="207"/>
      <c r="R117" s="207"/>
    </row>
    <row r="118" spans="13:18" x14ac:dyDescent="0.45">
      <c r="M118" s="207"/>
      <c r="N118" s="207"/>
      <c r="O118" s="207"/>
      <c r="P118" s="207"/>
      <c r="Q118" s="207"/>
      <c r="R118" s="207"/>
    </row>
    <row r="119" spans="13:18" x14ac:dyDescent="0.45">
      <c r="M119" s="207"/>
      <c r="N119" s="207"/>
      <c r="O119" s="207"/>
      <c r="P119" s="207"/>
      <c r="Q119" s="207"/>
      <c r="R119" s="207"/>
    </row>
    <row r="120" spans="13:18" x14ac:dyDescent="0.45">
      <c r="M120" s="207"/>
      <c r="N120" s="207"/>
      <c r="O120" s="207"/>
      <c r="P120" s="207"/>
      <c r="Q120" s="207"/>
      <c r="R120" s="207"/>
    </row>
    <row r="121" spans="13:18" x14ac:dyDescent="0.45">
      <c r="M121" s="207"/>
      <c r="N121" s="207"/>
      <c r="O121" s="207"/>
      <c r="P121" s="207"/>
      <c r="Q121" s="207"/>
      <c r="R121" s="207"/>
    </row>
    <row r="122" spans="13:18" x14ac:dyDescent="0.45">
      <c r="M122" s="207"/>
      <c r="N122" s="207"/>
      <c r="O122" s="207"/>
      <c r="P122" s="207"/>
      <c r="Q122" s="207"/>
      <c r="R122" s="207"/>
    </row>
    <row r="123" spans="13:18" x14ac:dyDescent="0.45">
      <c r="M123" s="207"/>
      <c r="N123" s="207"/>
      <c r="O123" s="207"/>
      <c r="P123" s="207"/>
      <c r="Q123" s="207"/>
      <c r="R123" s="207"/>
    </row>
    <row r="124" spans="13:18" x14ac:dyDescent="0.45">
      <c r="M124" s="207"/>
      <c r="N124" s="207"/>
      <c r="O124" s="207"/>
      <c r="P124" s="207"/>
      <c r="Q124" s="207"/>
      <c r="R124" s="207"/>
    </row>
    <row r="125" spans="13:18" x14ac:dyDescent="0.45">
      <c r="M125" s="207"/>
      <c r="N125" s="207"/>
      <c r="O125" s="207"/>
      <c r="P125" s="207"/>
      <c r="Q125" s="207"/>
      <c r="R125" s="207"/>
    </row>
    <row r="126" spans="13:18" x14ac:dyDescent="0.45">
      <c r="M126" s="207"/>
      <c r="N126" s="207"/>
      <c r="O126" s="207"/>
      <c r="P126" s="207"/>
      <c r="Q126" s="207"/>
      <c r="R126" s="207"/>
    </row>
    <row r="127" spans="13:18" x14ac:dyDescent="0.45">
      <c r="M127" s="207"/>
      <c r="N127" s="207"/>
      <c r="O127" s="207"/>
      <c r="P127" s="207"/>
      <c r="Q127" s="207"/>
      <c r="R127" s="207"/>
    </row>
    <row r="128" spans="13:18" x14ac:dyDescent="0.45">
      <c r="M128" s="207"/>
      <c r="N128" s="207"/>
      <c r="O128" s="207"/>
      <c r="P128" s="207"/>
      <c r="Q128" s="207"/>
      <c r="R128" s="207"/>
    </row>
    <row r="129" spans="13:18" x14ac:dyDescent="0.45">
      <c r="M129" s="207"/>
      <c r="N129" s="207"/>
      <c r="O129" s="207"/>
      <c r="P129" s="207"/>
      <c r="Q129" s="207"/>
      <c r="R129" s="207"/>
    </row>
    <row r="130" spans="13:18" x14ac:dyDescent="0.45">
      <c r="M130" s="207"/>
      <c r="N130" s="207"/>
      <c r="O130" s="207"/>
      <c r="P130" s="207"/>
      <c r="Q130" s="207"/>
      <c r="R130" s="207"/>
    </row>
    <row r="131" spans="13:18" x14ac:dyDescent="0.45">
      <c r="M131" s="207"/>
      <c r="N131" s="207"/>
      <c r="O131" s="207"/>
      <c r="P131" s="207"/>
      <c r="Q131" s="207"/>
      <c r="R131" s="207"/>
    </row>
    <row r="132" spans="13:18" x14ac:dyDescent="0.45">
      <c r="M132" s="207"/>
      <c r="N132" s="207"/>
      <c r="O132" s="207"/>
      <c r="P132" s="207"/>
      <c r="Q132" s="207"/>
      <c r="R132" s="207"/>
    </row>
    <row r="133" spans="13:18" x14ac:dyDescent="0.45">
      <c r="M133" s="207"/>
      <c r="N133" s="207"/>
      <c r="O133" s="207"/>
      <c r="P133" s="207"/>
      <c r="Q133" s="207"/>
      <c r="R133" s="207"/>
    </row>
    <row r="134" spans="13:18" x14ac:dyDescent="0.45">
      <c r="M134" s="207"/>
      <c r="N134" s="207"/>
      <c r="O134" s="207"/>
      <c r="P134" s="207"/>
      <c r="Q134" s="207"/>
      <c r="R134" s="207"/>
    </row>
    <row r="135" spans="13:18" x14ac:dyDescent="0.45">
      <c r="M135" s="207"/>
      <c r="N135" s="207"/>
      <c r="O135" s="207"/>
      <c r="P135" s="207"/>
      <c r="Q135" s="207"/>
      <c r="R135" s="207"/>
    </row>
    <row r="136" spans="13:18" x14ac:dyDescent="0.45">
      <c r="M136" s="207"/>
      <c r="N136" s="207"/>
      <c r="O136" s="207"/>
      <c r="P136" s="207"/>
      <c r="Q136" s="207"/>
      <c r="R136" s="207"/>
    </row>
    <row r="137" spans="13:18" x14ac:dyDescent="0.45">
      <c r="M137" s="207"/>
      <c r="N137" s="207"/>
      <c r="O137" s="207"/>
      <c r="P137" s="207"/>
      <c r="Q137" s="207"/>
      <c r="R137" s="207"/>
    </row>
    <row r="138" spans="13:18" x14ac:dyDescent="0.45">
      <c r="M138" s="207"/>
      <c r="N138" s="207"/>
      <c r="O138" s="207"/>
      <c r="P138" s="207"/>
      <c r="Q138" s="207"/>
      <c r="R138" s="207"/>
    </row>
    <row r="139" spans="13:18" x14ac:dyDescent="0.45">
      <c r="M139" s="207"/>
      <c r="N139" s="207"/>
      <c r="O139" s="207"/>
      <c r="P139" s="207"/>
      <c r="Q139" s="207"/>
      <c r="R139" s="207"/>
    </row>
    <row r="140" spans="13:18" x14ac:dyDescent="0.45">
      <c r="M140" s="207"/>
      <c r="N140" s="207"/>
      <c r="O140" s="207"/>
      <c r="P140" s="207"/>
      <c r="Q140" s="207"/>
      <c r="R140" s="207"/>
    </row>
    <row r="141" spans="13:18" x14ac:dyDescent="0.45">
      <c r="M141" s="207"/>
      <c r="N141" s="207"/>
      <c r="O141" s="207"/>
      <c r="P141" s="207"/>
      <c r="Q141" s="207"/>
      <c r="R141" s="207"/>
    </row>
    <row r="142" spans="13:18" x14ac:dyDescent="0.45">
      <c r="M142" s="207"/>
      <c r="N142" s="207"/>
      <c r="O142" s="207"/>
      <c r="P142" s="207"/>
      <c r="Q142" s="207"/>
      <c r="R142" s="207"/>
    </row>
    <row r="143" spans="13:18" x14ac:dyDescent="0.45">
      <c r="M143" s="207"/>
      <c r="N143" s="207"/>
      <c r="O143" s="207"/>
      <c r="P143" s="207"/>
      <c r="Q143" s="207"/>
      <c r="R143" s="207"/>
    </row>
    <row r="144" spans="13:18" x14ac:dyDescent="0.45">
      <c r="M144" s="207"/>
      <c r="N144" s="207"/>
      <c r="O144" s="207"/>
      <c r="P144" s="207"/>
      <c r="Q144" s="207"/>
      <c r="R144" s="207"/>
    </row>
    <row r="145" spans="13:18" x14ac:dyDescent="0.45">
      <c r="M145" s="207"/>
      <c r="N145" s="207"/>
      <c r="O145" s="207"/>
      <c r="P145" s="207"/>
      <c r="Q145" s="207"/>
      <c r="R145" s="207"/>
    </row>
    <row r="146" spans="13:18" x14ac:dyDescent="0.45">
      <c r="M146" s="207"/>
      <c r="N146" s="207"/>
      <c r="O146" s="207"/>
      <c r="P146" s="207"/>
      <c r="Q146" s="207"/>
      <c r="R146" s="207"/>
    </row>
    <row r="147" spans="13:18" x14ac:dyDescent="0.45">
      <c r="M147" s="207"/>
      <c r="N147" s="207"/>
      <c r="O147" s="207"/>
      <c r="P147" s="207"/>
      <c r="Q147" s="207"/>
      <c r="R147" s="207"/>
    </row>
    <row r="148" spans="13:18" x14ac:dyDescent="0.45">
      <c r="M148" s="207"/>
      <c r="N148" s="207"/>
      <c r="O148" s="207"/>
      <c r="P148" s="207"/>
      <c r="Q148" s="207"/>
      <c r="R148" s="207"/>
    </row>
    <row r="149" spans="13:18" x14ac:dyDescent="0.45">
      <c r="M149" s="207"/>
      <c r="N149" s="207"/>
      <c r="O149" s="207"/>
      <c r="P149" s="207"/>
      <c r="Q149" s="207"/>
      <c r="R149" s="207"/>
    </row>
    <row r="150" spans="13:18" x14ac:dyDescent="0.45">
      <c r="M150" s="207"/>
      <c r="N150" s="207"/>
      <c r="O150" s="207"/>
      <c r="P150" s="207"/>
      <c r="Q150" s="207"/>
      <c r="R150" s="207"/>
    </row>
    <row r="151" spans="13:18" x14ac:dyDescent="0.45">
      <c r="M151" s="207"/>
      <c r="N151" s="207"/>
      <c r="O151" s="207"/>
      <c r="P151" s="207"/>
      <c r="Q151" s="207"/>
      <c r="R151" s="207"/>
    </row>
    <row r="152" spans="13:18" x14ac:dyDescent="0.45">
      <c r="M152" s="207"/>
      <c r="N152" s="207"/>
      <c r="O152" s="207"/>
      <c r="P152" s="207"/>
      <c r="Q152" s="207"/>
      <c r="R152" s="207"/>
    </row>
    <row r="153" spans="13:18" x14ac:dyDescent="0.45">
      <c r="M153" s="207"/>
      <c r="N153" s="207"/>
      <c r="O153" s="207"/>
      <c r="P153" s="207"/>
      <c r="Q153" s="207"/>
      <c r="R153" s="207"/>
    </row>
    <row r="154" spans="13:18" x14ac:dyDescent="0.45">
      <c r="M154" s="207"/>
      <c r="N154" s="207"/>
      <c r="O154" s="207"/>
      <c r="P154" s="207"/>
      <c r="Q154" s="207"/>
      <c r="R154" s="207"/>
    </row>
    <row r="155" spans="13:18" x14ac:dyDescent="0.45">
      <c r="M155" s="207"/>
      <c r="N155" s="207"/>
      <c r="O155" s="207"/>
      <c r="P155" s="207"/>
      <c r="Q155" s="207"/>
      <c r="R155" s="207"/>
    </row>
    <row r="156" spans="13:18" x14ac:dyDescent="0.45">
      <c r="M156" s="207"/>
      <c r="N156" s="207"/>
      <c r="O156" s="207"/>
      <c r="P156" s="207"/>
      <c r="Q156" s="207"/>
      <c r="R156" s="207"/>
    </row>
    <row r="157" spans="13:18" x14ac:dyDescent="0.45">
      <c r="M157" s="207"/>
      <c r="N157" s="207"/>
      <c r="O157" s="207"/>
      <c r="P157" s="207"/>
      <c r="Q157" s="207"/>
      <c r="R157" s="207"/>
    </row>
    <row r="158" spans="13:18" x14ac:dyDescent="0.45">
      <c r="M158" s="207"/>
      <c r="N158" s="207"/>
      <c r="O158" s="207"/>
      <c r="P158" s="207"/>
      <c r="Q158" s="207"/>
      <c r="R158" s="207"/>
    </row>
    <row r="159" spans="13:18" x14ac:dyDescent="0.45">
      <c r="M159" s="207"/>
      <c r="N159" s="207"/>
      <c r="O159" s="207"/>
      <c r="P159" s="207"/>
      <c r="Q159" s="207"/>
      <c r="R159" s="207"/>
    </row>
    <row r="160" spans="13:18" x14ac:dyDescent="0.45">
      <c r="M160" s="207"/>
      <c r="N160" s="207"/>
      <c r="O160" s="207"/>
      <c r="P160" s="207"/>
      <c r="Q160" s="207"/>
      <c r="R160" s="207"/>
    </row>
    <row r="161" spans="13:18" x14ac:dyDescent="0.45">
      <c r="M161" s="207"/>
      <c r="N161" s="207"/>
      <c r="O161" s="207"/>
      <c r="P161" s="207"/>
      <c r="Q161" s="207"/>
      <c r="R161" s="207"/>
    </row>
    <row r="162" spans="13:18" x14ac:dyDescent="0.45">
      <c r="M162" s="207"/>
      <c r="N162" s="207"/>
      <c r="O162" s="207"/>
      <c r="P162" s="207"/>
      <c r="Q162" s="207"/>
      <c r="R162" s="207"/>
    </row>
    <row r="163" spans="13:18" x14ac:dyDescent="0.45">
      <c r="M163" s="207"/>
      <c r="N163" s="207"/>
      <c r="O163" s="207"/>
      <c r="P163" s="207"/>
      <c r="Q163" s="207"/>
      <c r="R163" s="207"/>
    </row>
    <row r="164" spans="13:18" x14ac:dyDescent="0.45">
      <c r="M164" s="207"/>
      <c r="N164" s="207"/>
      <c r="O164" s="207"/>
      <c r="P164" s="207"/>
      <c r="Q164" s="207"/>
      <c r="R164" s="207"/>
    </row>
    <row r="165" spans="13:18" x14ac:dyDescent="0.45">
      <c r="M165" s="207"/>
      <c r="N165" s="207"/>
      <c r="O165" s="207"/>
      <c r="P165" s="207"/>
      <c r="Q165" s="207"/>
      <c r="R165" s="207"/>
    </row>
    <row r="166" spans="13:18" x14ac:dyDescent="0.45">
      <c r="M166" s="207"/>
      <c r="N166" s="207"/>
      <c r="O166" s="207"/>
      <c r="P166" s="207"/>
      <c r="Q166" s="207"/>
      <c r="R166" s="207"/>
    </row>
    <row r="167" spans="13:18" x14ac:dyDescent="0.45">
      <c r="M167" s="207"/>
      <c r="N167" s="207"/>
      <c r="O167" s="207"/>
      <c r="P167" s="207"/>
      <c r="Q167" s="207"/>
      <c r="R167" s="207"/>
    </row>
    <row r="168" spans="13:18" x14ac:dyDescent="0.45">
      <c r="M168" s="207"/>
      <c r="N168" s="207"/>
      <c r="O168" s="207"/>
      <c r="P168" s="207"/>
      <c r="Q168" s="207"/>
      <c r="R168" s="207"/>
    </row>
    <row r="169" spans="13:18" x14ac:dyDescent="0.45">
      <c r="M169" s="207"/>
      <c r="N169" s="207"/>
      <c r="O169" s="207"/>
      <c r="P169" s="207"/>
      <c r="Q169" s="207"/>
      <c r="R169" s="207"/>
    </row>
    <row r="170" spans="13:18" x14ac:dyDescent="0.45">
      <c r="M170" s="207"/>
      <c r="N170" s="207"/>
      <c r="O170" s="207"/>
      <c r="P170" s="207"/>
      <c r="Q170" s="207"/>
      <c r="R170" s="207"/>
    </row>
    <row r="171" spans="13:18" x14ac:dyDescent="0.45">
      <c r="M171" s="207"/>
      <c r="N171" s="207"/>
      <c r="O171" s="207"/>
      <c r="P171" s="207"/>
      <c r="Q171" s="207"/>
      <c r="R171" s="207"/>
    </row>
    <row r="172" spans="13:18" x14ac:dyDescent="0.45">
      <c r="M172" s="207"/>
      <c r="N172" s="207"/>
      <c r="O172" s="207"/>
      <c r="P172" s="207"/>
      <c r="Q172" s="207"/>
      <c r="R172" s="207"/>
    </row>
    <row r="173" spans="13:18" x14ac:dyDescent="0.45">
      <c r="M173" s="207"/>
      <c r="N173" s="207"/>
      <c r="O173" s="207"/>
      <c r="P173" s="207"/>
      <c r="Q173" s="207"/>
      <c r="R173" s="207"/>
    </row>
    <row r="174" spans="13:18" x14ac:dyDescent="0.45">
      <c r="M174" s="207"/>
      <c r="N174" s="207"/>
      <c r="O174" s="207"/>
      <c r="P174" s="207"/>
      <c r="Q174" s="207"/>
      <c r="R174" s="207"/>
    </row>
    <row r="175" spans="13:18" x14ac:dyDescent="0.45">
      <c r="M175" s="207"/>
      <c r="N175" s="207"/>
      <c r="O175" s="207"/>
      <c r="P175" s="207"/>
      <c r="Q175" s="207"/>
      <c r="R175" s="207"/>
    </row>
    <row r="176" spans="13:18" x14ac:dyDescent="0.45">
      <c r="M176" s="207"/>
      <c r="N176" s="207"/>
      <c r="O176" s="207"/>
      <c r="P176" s="207"/>
      <c r="Q176" s="207"/>
      <c r="R176" s="207"/>
    </row>
    <row r="177" spans="13:18" x14ac:dyDescent="0.45">
      <c r="M177" s="207"/>
      <c r="N177" s="207"/>
      <c r="O177" s="207"/>
      <c r="P177" s="207"/>
      <c r="Q177" s="207"/>
      <c r="R177" s="207"/>
    </row>
    <row r="178" spans="13:18" x14ac:dyDescent="0.45">
      <c r="M178" s="207"/>
      <c r="N178" s="207"/>
      <c r="O178" s="207"/>
      <c r="P178" s="207"/>
      <c r="Q178" s="207"/>
      <c r="R178" s="207"/>
    </row>
    <row r="179" spans="13:18" x14ac:dyDescent="0.45">
      <c r="M179" s="207"/>
      <c r="N179" s="207"/>
      <c r="O179" s="207"/>
      <c r="P179" s="207"/>
      <c r="Q179" s="207"/>
      <c r="R179" s="207"/>
    </row>
    <row r="180" spans="13:18" x14ac:dyDescent="0.45">
      <c r="M180" s="207"/>
      <c r="N180" s="207"/>
      <c r="O180" s="207"/>
      <c r="P180" s="207"/>
      <c r="Q180" s="207"/>
      <c r="R180" s="207"/>
    </row>
    <row r="181" spans="13:18" x14ac:dyDescent="0.45">
      <c r="M181" s="207"/>
      <c r="N181" s="207"/>
      <c r="O181" s="207"/>
      <c r="P181" s="207"/>
      <c r="Q181" s="207"/>
      <c r="R181" s="207"/>
    </row>
    <row r="182" spans="13:18" x14ac:dyDescent="0.45">
      <c r="M182" s="207"/>
      <c r="N182" s="207"/>
      <c r="O182" s="207"/>
      <c r="P182" s="207"/>
      <c r="Q182" s="207"/>
      <c r="R182" s="207"/>
    </row>
    <row r="183" spans="13:18" x14ac:dyDescent="0.45">
      <c r="M183" s="207"/>
      <c r="N183" s="207"/>
      <c r="O183" s="207"/>
      <c r="P183" s="207"/>
      <c r="Q183" s="207"/>
      <c r="R183" s="207"/>
    </row>
    <row r="184" spans="13:18" x14ac:dyDescent="0.45">
      <c r="M184" s="207"/>
      <c r="N184" s="207"/>
      <c r="O184" s="207"/>
      <c r="P184" s="207"/>
      <c r="Q184" s="207"/>
      <c r="R184" s="207"/>
    </row>
    <row r="185" spans="13:18" x14ac:dyDescent="0.45">
      <c r="M185" s="207"/>
      <c r="N185" s="207"/>
      <c r="O185" s="207"/>
      <c r="P185" s="207"/>
      <c r="Q185" s="207"/>
      <c r="R185" s="207"/>
    </row>
    <row r="186" spans="13:18" x14ac:dyDescent="0.45">
      <c r="M186" s="207"/>
      <c r="N186" s="207"/>
      <c r="O186" s="207"/>
      <c r="P186" s="207"/>
      <c r="Q186" s="207"/>
      <c r="R186" s="207"/>
    </row>
    <row r="187" spans="13:18" x14ac:dyDescent="0.45">
      <c r="M187" s="207"/>
      <c r="N187" s="207"/>
      <c r="O187" s="207"/>
      <c r="P187" s="207"/>
      <c r="Q187" s="207"/>
      <c r="R187" s="207"/>
    </row>
    <row r="188" spans="13:18" x14ac:dyDescent="0.45">
      <c r="M188" s="207"/>
      <c r="N188" s="207"/>
      <c r="O188" s="207"/>
      <c r="P188" s="207"/>
      <c r="Q188" s="207"/>
      <c r="R188" s="20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09B-E911-4883-9606-84ACD93F1868}">
  <sheetPr>
    <tabColor theme="4"/>
  </sheetPr>
  <dimension ref="B3:EO64"/>
  <sheetViews>
    <sheetView showGridLines="0" workbookViewId="0">
      <selection activeCell="J6" sqref="J6"/>
    </sheetView>
  </sheetViews>
  <sheetFormatPr defaultColWidth="9.1328125" defaultRowHeight="13.15" x14ac:dyDescent="0.45"/>
  <cols>
    <col min="1" max="2" width="9.1328125" style="58"/>
    <col min="3" max="3" width="11.796875" style="58" bestFit="1" customWidth="1"/>
    <col min="4" max="4" width="9.46484375" style="58" bestFit="1" customWidth="1"/>
    <col min="5" max="5" width="11" style="58" bestFit="1" customWidth="1"/>
    <col min="6" max="6" width="9.1328125" style="58"/>
    <col min="7" max="7" width="10" style="58" bestFit="1" customWidth="1"/>
    <col min="8" max="8" width="13.1328125" style="58" bestFit="1" customWidth="1"/>
    <col min="9" max="9" width="12" style="58" bestFit="1" customWidth="1"/>
    <col min="10" max="10" width="16.19921875" style="58" bestFit="1" customWidth="1"/>
    <col min="11" max="16384" width="9.1328125" style="58"/>
  </cols>
  <sheetData>
    <row r="3" spans="2:145" x14ac:dyDescent="0.45">
      <c r="L3" s="123">
        <f>+EOMONTH(Assumptions!F2,'Retail Assumptions'!L5)</f>
        <v>45838</v>
      </c>
      <c r="M3" s="123">
        <f>+EOMONTH(L3,1)</f>
        <v>45869</v>
      </c>
      <c r="N3" s="123">
        <f t="shared" ref="N3:BY3" si="0">+EOMONTH(M3,1)</f>
        <v>45900</v>
      </c>
      <c r="O3" s="123">
        <f t="shared" si="0"/>
        <v>45930</v>
      </c>
      <c r="P3" s="123">
        <f t="shared" si="0"/>
        <v>45961</v>
      </c>
      <c r="Q3" s="123">
        <f t="shared" si="0"/>
        <v>45991</v>
      </c>
      <c r="R3" s="123">
        <f t="shared" si="0"/>
        <v>46022</v>
      </c>
      <c r="S3" s="123">
        <f t="shared" si="0"/>
        <v>46053</v>
      </c>
      <c r="T3" s="123">
        <f t="shared" si="0"/>
        <v>46081</v>
      </c>
      <c r="U3" s="123">
        <f t="shared" si="0"/>
        <v>46112</v>
      </c>
      <c r="V3" s="123">
        <f t="shared" si="0"/>
        <v>46142</v>
      </c>
      <c r="W3" s="123">
        <f t="shared" si="0"/>
        <v>46173</v>
      </c>
      <c r="X3" s="123">
        <f t="shared" si="0"/>
        <v>46203</v>
      </c>
      <c r="Y3" s="123">
        <f t="shared" si="0"/>
        <v>46234</v>
      </c>
      <c r="Z3" s="123">
        <f t="shared" si="0"/>
        <v>46265</v>
      </c>
      <c r="AA3" s="123">
        <f t="shared" si="0"/>
        <v>46295</v>
      </c>
      <c r="AB3" s="123">
        <f t="shared" si="0"/>
        <v>46326</v>
      </c>
      <c r="AC3" s="123">
        <f t="shared" si="0"/>
        <v>46356</v>
      </c>
      <c r="AD3" s="123">
        <f t="shared" si="0"/>
        <v>46387</v>
      </c>
      <c r="AE3" s="123">
        <f t="shared" si="0"/>
        <v>46418</v>
      </c>
      <c r="AF3" s="123">
        <f t="shared" si="0"/>
        <v>46446</v>
      </c>
      <c r="AG3" s="123">
        <f t="shared" si="0"/>
        <v>46477</v>
      </c>
      <c r="AH3" s="123">
        <f t="shared" si="0"/>
        <v>46507</v>
      </c>
      <c r="AI3" s="123">
        <f t="shared" si="0"/>
        <v>46538</v>
      </c>
      <c r="AJ3" s="123">
        <f t="shared" si="0"/>
        <v>46568</v>
      </c>
      <c r="AK3" s="123">
        <f t="shared" si="0"/>
        <v>46599</v>
      </c>
      <c r="AL3" s="123">
        <f t="shared" si="0"/>
        <v>46630</v>
      </c>
      <c r="AM3" s="123">
        <f t="shared" si="0"/>
        <v>46660</v>
      </c>
      <c r="AN3" s="123">
        <f t="shared" si="0"/>
        <v>46691</v>
      </c>
      <c r="AO3" s="123">
        <f t="shared" si="0"/>
        <v>46721</v>
      </c>
      <c r="AP3" s="123">
        <f t="shared" si="0"/>
        <v>46752</v>
      </c>
      <c r="AQ3" s="123">
        <f t="shared" si="0"/>
        <v>46783</v>
      </c>
      <c r="AR3" s="123">
        <f t="shared" si="0"/>
        <v>46812</v>
      </c>
      <c r="AS3" s="123">
        <f t="shared" si="0"/>
        <v>46843</v>
      </c>
      <c r="AT3" s="123">
        <f t="shared" si="0"/>
        <v>46873</v>
      </c>
      <c r="AU3" s="123">
        <f t="shared" si="0"/>
        <v>46904</v>
      </c>
      <c r="AV3" s="123">
        <f t="shared" si="0"/>
        <v>46934</v>
      </c>
      <c r="AW3" s="123">
        <f t="shared" si="0"/>
        <v>46965</v>
      </c>
      <c r="AX3" s="123">
        <f t="shared" si="0"/>
        <v>46996</v>
      </c>
      <c r="AY3" s="123">
        <f t="shared" si="0"/>
        <v>47026</v>
      </c>
      <c r="AZ3" s="123">
        <f t="shared" si="0"/>
        <v>47057</v>
      </c>
      <c r="BA3" s="123">
        <f t="shared" si="0"/>
        <v>47087</v>
      </c>
      <c r="BB3" s="123">
        <f t="shared" si="0"/>
        <v>47118</v>
      </c>
      <c r="BC3" s="123">
        <f t="shared" si="0"/>
        <v>47149</v>
      </c>
      <c r="BD3" s="123">
        <f t="shared" si="0"/>
        <v>47177</v>
      </c>
      <c r="BE3" s="123">
        <f t="shared" si="0"/>
        <v>47208</v>
      </c>
      <c r="BF3" s="123">
        <f t="shared" si="0"/>
        <v>47238</v>
      </c>
      <c r="BG3" s="123">
        <f t="shared" si="0"/>
        <v>47269</v>
      </c>
      <c r="BH3" s="123">
        <f t="shared" si="0"/>
        <v>47299</v>
      </c>
      <c r="BI3" s="123">
        <f t="shared" si="0"/>
        <v>47330</v>
      </c>
      <c r="BJ3" s="123">
        <f t="shared" si="0"/>
        <v>47361</v>
      </c>
      <c r="BK3" s="123">
        <f t="shared" si="0"/>
        <v>47391</v>
      </c>
      <c r="BL3" s="123">
        <f t="shared" si="0"/>
        <v>47422</v>
      </c>
      <c r="BM3" s="123">
        <f t="shared" si="0"/>
        <v>47452</v>
      </c>
      <c r="BN3" s="123">
        <f t="shared" si="0"/>
        <v>47483</v>
      </c>
      <c r="BO3" s="123">
        <f t="shared" si="0"/>
        <v>47514</v>
      </c>
      <c r="BP3" s="123">
        <f t="shared" si="0"/>
        <v>47542</v>
      </c>
      <c r="BQ3" s="123">
        <f t="shared" si="0"/>
        <v>47573</v>
      </c>
      <c r="BR3" s="123">
        <f t="shared" si="0"/>
        <v>47603</v>
      </c>
      <c r="BS3" s="123">
        <f t="shared" si="0"/>
        <v>47634</v>
      </c>
      <c r="BT3" s="123">
        <f t="shared" si="0"/>
        <v>47664</v>
      </c>
      <c r="BU3" s="123">
        <f t="shared" si="0"/>
        <v>47695</v>
      </c>
      <c r="BV3" s="123">
        <f t="shared" si="0"/>
        <v>47726</v>
      </c>
      <c r="BW3" s="123">
        <f t="shared" si="0"/>
        <v>47756</v>
      </c>
      <c r="BX3" s="123">
        <f t="shared" si="0"/>
        <v>47787</v>
      </c>
      <c r="BY3" s="123">
        <f t="shared" si="0"/>
        <v>47817</v>
      </c>
      <c r="BZ3" s="123">
        <f t="shared" ref="BZ3:CQ3" si="1">+EOMONTH(BY3,1)</f>
        <v>47848</v>
      </c>
      <c r="CA3" s="123">
        <f t="shared" si="1"/>
        <v>47879</v>
      </c>
      <c r="CB3" s="123">
        <f t="shared" si="1"/>
        <v>47907</v>
      </c>
      <c r="CC3" s="123">
        <f t="shared" si="1"/>
        <v>47938</v>
      </c>
      <c r="CD3" s="123">
        <f t="shared" si="1"/>
        <v>47968</v>
      </c>
      <c r="CE3" s="123">
        <f t="shared" si="1"/>
        <v>47999</v>
      </c>
      <c r="CF3" s="123">
        <f t="shared" si="1"/>
        <v>48029</v>
      </c>
      <c r="CG3" s="123">
        <f t="shared" si="1"/>
        <v>48060</v>
      </c>
      <c r="CH3" s="123">
        <f t="shared" si="1"/>
        <v>48091</v>
      </c>
      <c r="CI3" s="123">
        <f t="shared" si="1"/>
        <v>48121</v>
      </c>
      <c r="CJ3" s="123">
        <f t="shared" si="1"/>
        <v>48152</v>
      </c>
      <c r="CK3" s="123">
        <f t="shared" si="1"/>
        <v>48182</v>
      </c>
      <c r="CL3" s="123">
        <f t="shared" si="1"/>
        <v>48213</v>
      </c>
      <c r="CM3" s="123">
        <f t="shared" si="1"/>
        <v>48244</v>
      </c>
      <c r="CN3" s="123">
        <f t="shared" si="1"/>
        <v>48273</v>
      </c>
      <c r="CO3" s="123">
        <f t="shared" si="1"/>
        <v>48304</v>
      </c>
      <c r="CP3" s="123">
        <f t="shared" si="1"/>
        <v>48334</v>
      </c>
      <c r="CQ3" s="123">
        <f t="shared" si="1"/>
        <v>48365</v>
      </c>
      <c r="CR3" s="123">
        <f t="shared" ref="CR3:DW3" si="2">+EOMONTH(CQ3,1)</f>
        <v>48395</v>
      </c>
      <c r="CS3" s="123">
        <f t="shared" si="2"/>
        <v>48426</v>
      </c>
      <c r="CT3" s="123">
        <f t="shared" si="2"/>
        <v>48457</v>
      </c>
      <c r="CU3" s="123">
        <f t="shared" si="2"/>
        <v>48487</v>
      </c>
      <c r="CV3" s="123">
        <f t="shared" si="2"/>
        <v>48518</v>
      </c>
      <c r="CW3" s="123">
        <f t="shared" si="2"/>
        <v>48548</v>
      </c>
      <c r="CX3" s="123">
        <f t="shared" si="2"/>
        <v>48579</v>
      </c>
      <c r="CY3" s="123">
        <f t="shared" si="2"/>
        <v>48610</v>
      </c>
      <c r="CZ3" s="123">
        <f t="shared" si="2"/>
        <v>48638</v>
      </c>
      <c r="DA3" s="123">
        <f t="shared" si="2"/>
        <v>48669</v>
      </c>
      <c r="DB3" s="123">
        <f t="shared" si="2"/>
        <v>48699</v>
      </c>
      <c r="DC3" s="123">
        <f t="shared" si="2"/>
        <v>48730</v>
      </c>
      <c r="DD3" s="123">
        <f t="shared" si="2"/>
        <v>48760</v>
      </c>
      <c r="DE3" s="123">
        <f t="shared" si="2"/>
        <v>48791</v>
      </c>
      <c r="DF3" s="123">
        <f t="shared" si="2"/>
        <v>48822</v>
      </c>
      <c r="DG3" s="123">
        <f t="shared" si="2"/>
        <v>48852</v>
      </c>
      <c r="DH3" s="123">
        <f t="shared" si="2"/>
        <v>48883</v>
      </c>
      <c r="DI3" s="123">
        <f t="shared" si="2"/>
        <v>48913</v>
      </c>
      <c r="DJ3" s="123">
        <f t="shared" si="2"/>
        <v>48944</v>
      </c>
      <c r="DK3" s="123">
        <f t="shared" si="2"/>
        <v>48975</v>
      </c>
      <c r="DL3" s="123">
        <f t="shared" si="2"/>
        <v>49003</v>
      </c>
      <c r="DM3" s="123">
        <f t="shared" si="2"/>
        <v>49034</v>
      </c>
      <c r="DN3" s="123">
        <f t="shared" si="2"/>
        <v>49064</v>
      </c>
      <c r="DO3" s="123">
        <f t="shared" si="2"/>
        <v>49095</v>
      </c>
      <c r="DP3" s="123">
        <f t="shared" si="2"/>
        <v>49125</v>
      </c>
      <c r="DQ3" s="123">
        <f t="shared" si="2"/>
        <v>49156</v>
      </c>
      <c r="DR3" s="123">
        <f t="shared" si="2"/>
        <v>49187</v>
      </c>
      <c r="DS3" s="123">
        <f t="shared" si="2"/>
        <v>49217</v>
      </c>
      <c r="DT3" s="123">
        <f t="shared" si="2"/>
        <v>49248</v>
      </c>
      <c r="DU3" s="123">
        <f t="shared" si="2"/>
        <v>49278</v>
      </c>
      <c r="DV3" s="123">
        <f t="shared" si="2"/>
        <v>49309</v>
      </c>
      <c r="DW3" s="123">
        <f t="shared" si="2"/>
        <v>49340</v>
      </c>
      <c r="DX3" s="123">
        <f t="shared" ref="DX3:EO3" si="3">+EOMONTH(DW3,1)</f>
        <v>49368</v>
      </c>
      <c r="DY3" s="123">
        <f t="shared" si="3"/>
        <v>49399</v>
      </c>
      <c r="DZ3" s="123">
        <f t="shared" si="3"/>
        <v>49429</v>
      </c>
      <c r="EA3" s="123">
        <f t="shared" si="3"/>
        <v>49460</v>
      </c>
      <c r="EB3" s="123">
        <f t="shared" si="3"/>
        <v>49490</v>
      </c>
      <c r="EC3" s="123">
        <f t="shared" si="3"/>
        <v>49521</v>
      </c>
      <c r="ED3" s="123">
        <f t="shared" si="3"/>
        <v>49552</v>
      </c>
      <c r="EE3" s="123">
        <f t="shared" si="3"/>
        <v>49582</v>
      </c>
      <c r="EF3" s="123">
        <f t="shared" si="3"/>
        <v>49613</v>
      </c>
      <c r="EG3" s="123">
        <f t="shared" si="3"/>
        <v>49643</v>
      </c>
      <c r="EH3" s="123">
        <f t="shared" si="3"/>
        <v>49674</v>
      </c>
      <c r="EI3" s="123">
        <f t="shared" si="3"/>
        <v>49705</v>
      </c>
      <c r="EJ3" s="123">
        <f t="shared" si="3"/>
        <v>49734</v>
      </c>
      <c r="EK3" s="123">
        <f t="shared" si="3"/>
        <v>49765</v>
      </c>
      <c r="EL3" s="123">
        <f t="shared" si="3"/>
        <v>49795</v>
      </c>
      <c r="EM3" s="123">
        <f t="shared" si="3"/>
        <v>49826</v>
      </c>
      <c r="EN3" s="123">
        <f t="shared" si="3"/>
        <v>49856</v>
      </c>
      <c r="EO3" s="123">
        <f t="shared" si="3"/>
        <v>49887</v>
      </c>
    </row>
    <row r="4" spans="2:145" x14ac:dyDescent="0.45">
      <c r="B4" s="81" t="s">
        <v>92</v>
      </c>
      <c r="L4" s="122">
        <f>ROUNDUP(L5/12,0)</f>
        <v>0</v>
      </c>
      <c r="M4" s="122">
        <f t="shared" ref="M4:BX4" si="4">ROUNDUP(M5/12,0)</f>
        <v>1</v>
      </c>
      <c r="N4" s="122">
        <f t="shared" si="4"/>
        <v>1</v>
      </c>
      <c r="O4" s="122">
        <f t="shared" si="4"/>
        <v>1</v>
      </c>
      <c r="P4" s="122">
        <f t="shared" si="4"/>
        <v>1</v>
      </c>
      <c r="Q4" s="122">
        <f t="shared" si="4"/>
        <v>1</v>
      </c>
      <c r="R4" s="122">
        <f t="shared" si="4"/>
        <v>1</v>
      </c>
      <c r="S4" s="122">
        <f t="shared" si="4"/>
        <v>1</v>
      </c>
      <c r="T4" s="122">
        <f t="shared" si="4"/>
        <v>1</v>
      </c>
      <c r="U4" s="122">
        <f t="shared" si="4"/>
        <v>1</v>
      </c>
      <c r="V4" s="122">
        <f t="shared" si="4"/>
        <v>1</v>
      </c>
      <c r="W4" s="122">
        <f t="shared" si="4"/>
        <v>1</v>
      </c>
      <c r="X4" s="122">
        <f t="shared" si="4"/>
        <v>1</v>
      </c>
      <c r="Y4" s="122">
        <f t="shared" si="4"/>
        <v>2</v>
      </c>
      <c r="Z4" s="122">
        <f t="shared" si="4"/>
        <v>2</v>
      </c>
      <c r="AA4" s="122">
        <f t="shared" si="4"/>
        <v>2</v>
      </c>
      <c r="AB4" s="122">
        <f t="shared" si="4"/>
        <v>2</v>
      </c>
      <c r="AC4" s="122">
        <f t="shared" si="4"/>
        <v>2</v>
      </c>
      <c r="AD4" s="122">
        <f t="shared" si="4"/>
        <v>2</v>
      </c>
      <c r="AE4" s="122">
        <f t="shared" si="4"/>
        <v>2</v>
      </c>
      <c r="AF4" s="122">
        <f t="shared" si="4"/>
        <v>2</v>
      </c>
      <c r="AG4" s="122">
        <f t="shared" si="4"/>
        <v>2</v>
      </c>
      <c r="AH4" s="122">
        <f t="shared" si="4"/>
        <v>2</v>
      </c>
      <c r="AI4" s="122">
        <f t="shared" si="4"/>
        <v>2</v>
      </c>
      <c r="AJ4" s="122">
        <f t="shared" si="4"/>
        <v>2</v>
      </c>
      <c r="AK4" s="122">
        <f t="shared" si="4"/>
        <v>3</v>
      </c>
      <c r="AL4" s="122">
        <f t="shared" si="4"/>
        <v>3</v>
      </c>
      <c r="AM4" s="122">
        <f t="shared" si="4"/>
        <v>3</v>
      </c>
      <c r="AN4" s="122">
        <f t="shared" si="4"/>
        <v>3</v>
      </c>
      <c r="AO4" s="122">
        <f t="shared" si="4"/>
        <v>3</v>
      </c>
      <c r="AP4" s="122">
        <f t="shared" si="4"/>
        <v>3</v>
      </c>
      <c r="AQ4" s="122">
        <f t="shared" si="4"/>
        <v>3</v>
      </c>
      <c r="AR4" s="122">
        <f t="shared" si="4"/>
        <v>3</v>
      </c>
      <c r="AS4" s="122">
        <f t="shared" si="4"/>
        <v>3</v>
      </c>
      <c r="AT4" s="122">
        <f t="shared" si="4"/>
        <v>3</v>
      </c>
      <c r="AU4" s="122">
        <f t="shared" si="4"/>
        <v>3</v>
      </c>
      <c r="AV4" s="122">
        <f t="shared" si="4"/>
        <v>3</v>
      </c>
      <c r="AW4" s="122">
        <f t="shared" si="4"/>
        <v>4</v>
      </c>
      <c r="AX4" s="122">
        <f t="shared" si="4"/>
        <v>4</v>
      </c>
      <c r="AY4" s="122">
        <f t="shared" si="4"/>
        <v>4</v>
      </c>
      <c r="AZ4" s="122">
        <f t="shared" si="4"/>
        <v>4</v>
      </c>
      <c r="BA4" s="122">
        <f t="shared" si="4"/>
        <v>4</v>
      </c>
      <c r="BB4" s="122">
        <f t="shared" si="4"/>
        <v>4</v>
      </c>
      <c r="BC4" s="122">
        <f t="shared" si="4"/>
        <v>4</v>
      </c>
      <c r="BD4" s="122">
        <f t="shared" si="4"/>
        <v>4</v>
      </c>
      <c r="BE4" s="122">
        <f t="shared" si="4"/>
        <v>4</v>
      </c>
      <c r="BF4" s="122">
        <f t="shared" si="4"/>
        <v>4</v>
      </c>
      <c r="BG4" s="122">
        <f t="shared" si="4"/>
        <v>4</v>
      </c>
      <c r="BH4" s="122">
        <f t="shared" si="4"/>
        <v>4</v>
      </c>
      <c r="BI4" s="122">
        <f t="shared" si="4"/>
        <v>5</v>
      </c>
      <c r="BJ4" s="122">
        <f t="shared" si="4"/>
        <v>5</v>
      </c>
      <c r="BK4" s="122">
        <f t="shared" si="4"/>
        <v>5</v>
      </c>
      <c r="BL4" s="122">
        <f t="shared" si="4"/>
        <v>5</v>
      </c>
      <c r="BM4" s="122">
        <f t="shared" si="4"/>
        <v>5</v>
      </c>
      <c r="BN4" s="122">
        <f t="shared" si="4"/>
        <v>5</v>
      </c>
      <c r="BO4" s="122">
        <f t="shared" si="4"/>
        <v>5</v>
      </c>
      <c r="BP4" s="122">
        <f t="shared" si="4"/>
        <v>5</v>
      </c>
      <c r="BQ4" s="122">
        <f t="shared" si="4"/>
        <v>5</v>
      </c>
      <c r="BR4" s="122">
        <f t="shared" si="4"/>
        <v>5</v>
      </c>
      <c r="BS4" s="122">
        <f t="shared" si="4"/>
        <v>5</v>
      </c>
      <c r="BT4" s="122">
        <f t="shared" si="4"/>
        <v>5</v>
      </c>
      <c r="BU4" s="122">
        <f t="shared" si="4"/>
        <v>6</v>
      </c>
      <c r="BV4" s="122">
        <f t="shared" si="4"/>
        <v>6</v>
      </c>
      <c r="BW4" s="122">
        <f t="shared" si="4"/>
        <v>6</v>
      </c>
      <c r="BX4" s="122">
        <f t="shared" si="4"/>
        <v>6</v>
      </c>
      <c r="BY4" s="122">
        <f t="shared" ref="BY4:EO4" si="5">ROUNDUP(BY5/12,0)</f>
        <v>6</v>
      </c>
      <c r="BZ4" s="122">
        <f t="shared" si="5"/>
        <v>6</v>
      </c>
      <c r="CA4" s="122">
        <f t="shared" si="5"/>
        <v>6</v>
      </c>
      <c r="CB4" s="122">
        <f t="shared" si="5"/>
        <v>6</v>
      </c>
      <c r="CC4" s="122">
        <f t="shared" si="5"/>
        <v>6</v>
      </c>
      <c r="CD4" s="122">
        <f t="shared" si="5"/>
        <v>6</v>
      </c>
      <c r="CE4" s="122">
        <f t="shared" si="5"/>
        <v>6</v>
      </c>
      <c r="CF4" s="122">
        <f t="shared" si="5"/>
        <v>6</v>
      </c>
      <c r="CG4" s="122">
        <f t="shared" si="5"/>
        <v>7</v>
      </c>
      <c r="CH4" s="122">
        <f t="shared" si="5"/>
        <v>7</v>
      </c>
      <c r="CI4" s="122">
        <f t="shared" si="5"/>
        <v>7</v>
      </c>
      <c r="CJ4" s="122">
        <f t="shared" si="5"/>
        <v>7</v>
      </c>
      <c r="CK4" s="122">
        <f t="shared" si="5"/>
        <v>7</v>
      </c>
      <c r="CL4" s="122">
        <f t="shared" si="5"/>
        <v>7</v>
      </c>
      <c r="CM4" s="122">
        <f t="shared" si="5"/>
        <v>7</v>
      </c>
      <c r="CN4" s="122">
        <f t="shared" si="5"/>
        <v>7</v>
      </c>
      <c r="CO4" s="122">
        <f t="shared" si="5"/>
        <v>7</v>
      </c>
      <c r="CP4" s="122">
        <f t="shared" si="5"/>
        <v>7</v>
      </c>
      <c r="CQ4" s="122">
        <f t="shared" si="5"/>
        <v>7</v>
      </c>
      <c r="CR4" s="122">
        <f t="shared" si="5"/>
        <v>7</v>
      </c>
      <c r="CS4" s="122">
        <f t="shared" si="5"/>
        <v>8</v>
      </c>
      <c r="CT4" s="122">
        <f t="shared" si="5"/>
        <v>8</v>
      </c>
      <c r="CU4" s="122">
        <f t="shared" si="5"/>
        <v>8</v>
      </c>
      <c r="CV4" s="122">
        <f t="shared" si="5"/>
        <v>8</v>
      </c>
      <c r="CW4" s="122">
        <f t="shared" si="5"/>
        <v>8</v>
      </c>
      <c r="CX4" s="122">
        <f t="shared" si="5"/>
        <v>8</v>
      </c>
      <c r="CY4" s="122">
        <f t="shared" si="5"/>
        <v>8</v>
      </c>
      <c r="CZ4" s="122">
        <f t="shared" si="5"/>
        <v>8</v>
      </c>
      <c r="DA4" s="122">
        <f t="shared" si="5"/>
        <v>8</v>
      </c>
      <c r="DB4" s="122">
        <f t="shared" si="5"/>
        <v>8</v>
      </c>
      <c r="DC4" s="122">
        <f t="shared" si="5"/>
        <v>8</v>
      </c>
      <c r="DD4" s="122">
        <f t="shared" si="5"/>
        <v>8</v>
      </c>
      <c r="DE4" s="122">
        <f t="shared" si="5"/>
        <v>9</v>
      </c>
      <c r="DF4" s="122">
        <f t="shared" si="5"/>
        <v>9</v>
      </c>
      <c r="DG4" s="122">
        <f t="shared" si="5"/>
        <v>9</v>
      </c>
      <c r="DH4" s="122">
        <f t="shared" si="5"/>
        <v>9</v>
      </c>
      <c r="DI4" s="122">
        <f t="shared" si="5"/>
        <v>9</v>
      </c>
      <c r="DJ4" s="122">
        <f t="shared" si="5"/>
        <v>9</v>
      </c>
      <c r="DK4" s="122">
        <f t="shared" si="5"/>
        <v>9</v>
      </c>
      <c r="DL4" s="122">
        <f t="shared" si="5"/>
        <v>9</v>
      </c>
      <c r="DM4" s="122">
        <f t="shared" si="5"/>
        <v>9</v>
      </c>
      <c r="DN4" s="122">
        <f t="shared" si="5"/>
        <v>9</v>
      </c>
      <c r="DO4" s="122">
        <f t="shared" si="5"/>
        <v>9</v>
      </c>
      <c r="DP4" s="122">
        <f t="shared" si="5"/>
        <v>9</v>
      </c>
      <c r="DQ4" s="122">
        <f t="shared" si="5"/>
        <v>10</v>
      </c>
      <c r="DR4" s="122">
        <f t="shared" si="5"/>
        <v>10</v>
      </c>
      <c r="DS4" s="122">
        <f t="shared" si="5"/>
        <v>10</v>
      </c>
      <c r="DT4" s="122">
        <f t="shared" si="5"/>
        <v>10</v>
      </c>
      <c r="DU4" s="122">
        <f t="shared" si="5"/>
        <v>10</v>
      </c>
      <c r="DV4" s="122">
        <f t="shared" si="5"/>
        <v>10</v>
      </c>
      <c r="DW4" s="122">
        <f t="shared" si="5"/>
        <v>10</v>
      </c>
      <c r="DX4" s="122">
        <f t="shared" si="5"/>
        <v>10</v>
      </c>
      <c r="DY4" s="122">
        <f t="shared" si="5"/>
        <v>10</v>
      </c>
      <c r="DZ4" s="122">
        <f t="shared" si="5"/>
        <v>10</v>
      </c>
      <c r="EA4" s="122">
        <f t="shared" si="5"/>
        <v>10</v>
      </c>
      <c r="EB4" s="122">
        <f t="shared" si="5"/>
        <v>10</v>
      </c>
      <c r="EC4" s="122">
        <f t="shared" si="5"/>
        <v>11</v>
      </c>
      <c r="ED4" s="122">
        <f t="shared" si="5"/>
        <v>11</v>
      </c>
      <c r="EE4" s="122">
        <f t="shared" si="5"/>
        <v>11</v>
      </c>
      <c r="EF4" s="122">
        <f t="shared" si="5"/>
        <v>11</v>
      </c>
      <c r="EG4" s="122">
        <f t="shared" si="5"/>
        <v>11</v>
      </c>
      <c r="EH4" s="122">
        <f t="shared" si="5"/>
        <v>11</v>
      </c>
      <c r="EI4" s="122">
        <f t="shared" si="5"/>
        <v>11</v>
      </c>
      <c r="EJ4" s="122">
        <f t="shared" si="5"/>
        <v>11</v>
      </c>
      <c r="EK4" s="122">
        <f t="shared" si="5"/>
        <v>11</v>
      </c>
      <c r="EL4" s="122">
        <f t="shared" si="5"/>
        <v>11</v>
      </c>
      <c r="EM4" s="122">
        <f t="shared" si="5"/>
        <v>11</v>
      </c>
      <c r="EN4" s="122">
        <f t="shared" si="5"/>
        <v>11</v>
      </c>
      <c r="EO4" s="122">
        <f t="shared" si="5"/>
        <v>12</v>
      </c>
    </row>
    <row r="5" spans="2:145" x14ac:dyDescent="0.45">
      <c r="B5" s="82" t="s">
        <v>93</v>
      </c>
      <c r="C5" s="82" t="s">
        <v>96</v>
      </c>
      <c r="D5" s="59"/>
      <c r="E5" s="82" t="s">
        <v>94</v>
      </c>
      <c r="F5" s="84" t="s">
        <v>95</v>
      </c>
      <c r="G5" s="86" t="s">
        <v>99</v>
      </c>
      <c r="H5" s="86" t="s">
        <v>100</v>
      </c>
      <c r="I5" s="86" t="s">
        <v>101</v>
      </c>
      <c r="J5" s="86" t="s">
        <v>102</v>
      </c>
      <c r="L5" s="60">
        <f>+G19</f>
        <v>0</v>
      </c>
      <c r="M5" s="60">
        <f>+L5+1</f>
        <v>1</v>
      </c>
      <c r="N5" s="60">
        <f t="shared" ref="N5:BY5" si="6">+M5+1</f>
        <v>2</v>
      </c>
      <c r="O5" s="60">
        <f t="shared" si="6"/>
        <v>3</v>
      </c>
      <c r="P5" s="60">
        <f t="shared" si="6"/>
        <v>4</v>
      </c>
      <c r="Q5" s="60">
        <f t="shared" si="6"/>
        <v>5</v>
      </c>
      <c r="R5" s="60">
        <f t="shared" si="6"/>
        <v>6</v>
      </c>
      <c r="S5" s="60">
        <f t="shared" si="6"/>
        <v>7</v>
      </c>
      <c r="T5" s="60">
        <f t="shared" si="6"/>
        <v>8</v>
      </c>
      <c r="U5" s="60">
        <f t="shared" si="6"/>
        <v>9</v>
      </c>
      <c r="V5" s="60">
        <f t="shared" si="6"/>
        <v>10</v>
      </c>
      <c r="W5" s="60">
        <f t="shared" si="6"/>
        <v>11</v>
      </c>
      <c r="X5" s="60">
        <f t="shared" si="6"/>
        <v>12</v>
      </c>
      <c r="Y5" s="60">
        <f t="shared" si="6"/>
        <v>13</v>
      </c>
      <c r="Z5" s="60">
        <f t="shared" si="6"/>
        <v>14</v>
      </c>
      <c r="AA5" s="60">
        <f t="shared" si="6"/>
        <v>15</v>
      </c>
      <c r="AB5" s="60">
        <f t="shared" si="6"/>
        <v>16</v>
      </c>
      <c r="AC5" s="60">
        <f t="shared" si="6"/>
        <v>17</v>
      </c>
      <c r="AD5" s="60">
        <f t="shared" si="6"/>
        <v>18</v>
      </c>
      <c r="AE5" s="60">
        <f t="shared" si="6"/>
        <v>19</v>
      </c>
      <c r="AF5" s="60">
        <f t="shared" si="6"/>
        <v>20</v>
      </c>
      <c r="AG5" s="60">
        <f t="shared" si="6"/>
        <v>21</v>
      </c>
      <c r="AH5" s="60">
        <f t="shared" si="6"/>
        <v>22</v>
      </c>
      <c r="AI5" s="60">
        <f t="shared" si="6"/>
        <v>23</v>
      </c>
      <c r="AJ5" s="60">
        <f t="shared" si="6"/>
        <v>24</v>
      </c>
      <c r="AK5" s="60">
        <f t="shared" si="6"/>
        <v>25</v>
      </c>
      <c r="AL5" s="60">
        <f t="shared" si="6"/>
        <v>26</v>
      </c>
      <c r="AM5" s="60">
        <f t="shared" si="6"/>
        <v>27</v>
      </c>
      <c r="AN5" s="60">
        <f t="shared" si="6"/>
        <v>28</v>
      </c>
      <c r="AO5" s="60">
        <f t="shared" si="6"/>
        <v>29</v>
      </c>
      <c r="AP5" s="60">
        <f t="shared" si="6"/>
        <v>30</v>
      </c>
      <c r="AQ5" s="60">
        <f t="shared" si="6"/>
        <v>31</v>
      </c>
      <c r="AR5" s="60">
        <f t="shared" si="6"/>
        <v>32</v>
      </c>
      <c r="AS5" s="60">
        <f t="shared" si="6"/>
        <v>33</v>
      </c>
      <c r="AT5" s="60">
        <f t="shared" si="6"/>
        <v>34</v>
      </c>
      <c r="AU5" s="60">
        <f t="shared" si="6"/>
        <v>35</v>
      </c>
      <c r="AV5" s="60">
        <f t="shared" si="6"/>
        <v>36</v>
      </c>
      <c r="AW5" s="60">
        <f t="shared" si="6"/>
        <v>37</v>
      </c>
      <c r="AX5" s="60">
        <f t="shared" si="6"/>
        <v>38</v>
      </c>
      <c r="AY5" s="60">
        <f t="shared" si="6"/>
        <v>39</v>
      </c>
      <c r="AZ5" s="60">
        <f t="shared" si="6"/>
        <v>40</v>
      </c>
      <c r="BA5" s="60">
        <f t="shared" si="6"/>
        <v>41</v>
      </c>
      <c r="BB5" s="60">
        <f t="shared" si="6"/>
        <v>42</v>
      </c>
      <c r="BC5" s="60">
        <f t="shared" si="6"/>
        <v>43</v>
      </c>
      <c r="BD5" s="60">
        <f t="shared" si="6"/>
        <v>44</v>
      </c>
      <c r="BE5" s="60">
        <f t="shared" si="6"/>
        <v>45</v>
      </c>
      <c r="BF5" s="60">
        <f t="shared" si="6"/>
        <v>46</v>
      </c>
      <c r="BG5" s="60">
        <f t="shared" si="6"/>
        <v>47</v>
      </c>
      <c r="BH5" s="60">
        <f t="shared" si="6"/>
        <v>48</v>
      </c>
      <c r="BI5" s="60">
        <f t="shared" si="6"/>
        <v>49</v>
      </c>
      <c r="BJ5" s="60">
        <f t="shared" si="6"/>
        <v>50</v>
      </c>
      <c r="BK5" s="60">
        <f t="shared" si="6"/>
        <v>51</v>
      </c>
      <c r="BL5" s="60">
        <f t="shared" si="6"/>
        <v>52</v>
      </c>
      <c r="BM5" s="60">
        <f t="shared" si="6"/>
        <v>53</v>
      </c>
      <c r="BN5" s="60">
        <f t="shared" si="6"/>
        <v>54</v>
      </c>
      <c r="BO5" s="60">
        <f t="shared" si="6"/>
        <v>55</v>
      </c>
      <c r="BP5" s="60">
        <f t="shared" si="6"/>
        <v>56</v>
      </c>
      <c r="BQ5" s="60">
        <f t="shared" si="6"/>
        <v>57</v>
      </c>
      <c r="BR5" s="60">
        <f t="shared" si="6"/>
        <v>58</v>
      </c>
      <c r="BS5" s="60">
        <f t="shared" si="6"/>
        <v>59</v>
      </c>
      <c r="BT5" s="60">
        <f t="shared" si="6"/>
        <v>60</v>
      </c>
      <c r="BU5" s="60">
        <f t="shared" si="6"/>
        <v>61</v>
      </c>
      <c r="BV5" s="60">
        <f t="shared" si="6"/>
        <v>62</v>
      </c>
      <c r="BW5" s="60">
        <f t="shared" si="6"/>
        <v>63</v>
      </c>
      <c r="BX5" s="60">
        <f t="shared" si="6"/>
        <v>64</v>
      </c>
      <c r="BY5" s="60">
        <f t="shared" si="6"/>
        <v>65</v>
      </c>
      <c r="BZ5" s="60">
        <f t="shared" ref="BZ5:CQ5" si="7">+BY5+1</f>
        <v>66</v>
      </c>
      <c r="CA5" s="60">
        <f t="shared" si="7"/>
        <v>67</v>
      </c>
      <c r="CB5" s="60">
        <f t="shared" si="7"/>
        <v>68</v>
      </c>
      <c r="CC5" s="60">
        <f t="shared" si="7"/>
        <v>69</v>
      </c>
      <c r="CD5" s="60">
        <f t="shared" si="7"/>
        <v>70</v>
      </c>
      <c r="CE5" s="60">
        <f t="shared" si="7"/>
        <v>71</v>
      </c>
      <c r="CF5" s="60">
        <f t="shared" si="7"/>
        <v>72</v>
      </c>
      <c r="CG5" s="60">
        <f t="shared" si="7"/>
        <v>73</v>
      </c>
      <c r="CH5" s="60">
        <f t="shared" si="7"/>
        <v>74</v>
      </c>
      <c r="CI5" s="60">
        <f t="shared" si="7"/>
        <v>75</v>
      </c>
      <c r="CJ5" s="60">
        <f t="shared" si="7"/>
        <v>76</v>
      </c>
      <c r="CK5" s="60">
        <f t="shared" si="7"/>
        <v>77</v>
      </c>
      <c r="CL5" s="60">
        <f t="shared" si="7"/>
        <v>78</v>
      </c>
      <c r="CM5" s="60">
        <f t="shared" si="7"/>
        <v>79</v>
      </c>
      <c r="CN5" s="60">
        <f t="shared" si="7"/>
        <v>80</v>
      </c>
      <c r="CO5" s="60">
        <f t="shared" si="7"/>
        <v>81</v>
      </c>
      <c r="CP5" s="60">
        <f t="shared" si="7"/>
        <v>82</v>
      </c>
      <c r="CQ5" s="60">
        <f t="shared" si="7"/>
        <v>83</v>
      </c>
      <c r="CR5" s="60">
        <f t="shared" ref="CR5:DW5" si="8">+CQ5+1</f>
        <v>84</v>
      </c>
      <c r="CS5" s="60">
        <f t="shared" si="8"/>
        <v>85</v>
      </c>
      <c r="CT5" s="60">
        <f t="shared" si="8"/>
        <v>86</v>
      </c>
      <c r="CU5" s="60">
        <f t="shared" si="8"/>
        <v>87</v>
      </c>
      <c r="CV5" s="60">
        <f t="shared" si="8"/>
        <v>88</v>
      </c>
      <c r="CW5" s="60">
        <f t="shared" si="8"/>
        <v>89</v>
      </c>
      <c r="CX5" s="60">
        <f t="shared" si="8"/>
        <v>90</v>
      </c>
      <c r="CY5" s="60">
        <f t="shared" si="8"/>
        <v>91</v>
      </c>
      <c r="CZ5" s="60">
        <f t="shared" si="8"/>
        <v>92</v>
      </c>
      <c r="DA5" s="60">
        <f t="shared" si="8"/>
        <v>93</v>
      </c>
      <c r="DB5" s="60">
        <f t="shared" si="8"/>
        <v>94</v>
      </c>
      <c r="DC5" s="60">
        <f t="shared" si="8"/>
        <v>95</v>
      </c>
      <c r="DD5" s="60">
        <f t="shared" si="8"/>
        <v>96</v>
      </c>
      <c r="DE5" s="60">
        <f t="shared" si="8"/>
        <v>97</v>
      </c>
      <c r="DF5" s="60">
        <f t="shared" si="8"/>
        <v>98</v>
      </c>
      <c r="DG5" s="60">
        <f t="shared" si="8"/>
        <v>99</v>
      </c>
      <c r="DH5" s="60">
        <f t="shared" si="8"/>
        <v>100</v>
      </c>
      <c r="DI5" s="60">
        <f t="shared" si="8"/>
        <v>101</v>
      </c>
      <c r="DJ5" s="60">
        <f t="shared" si="8"/>
        <v>102</v>
      </c>
      <c r="DK5" s="60">
        <f t="shared" si="8"/>
        <v>103</v>
      </c>
      <c r="DL5" s="60">
        <f t="shared" si="8"/>
        <v>104</v>
      </c>
      <c r="DM5" s="60">
        <f t="shared" si="8"/>
        <v>105</v>
      </c>
      <c r="DN5" s="60">
        <f t="shared" si="8"/>
        <v>106</v>
      </c>
      <c r="DO5" s="60">
        <f t="shared" si="8"/>
        <v>107</v>
      </c>
      <c r="DP5" s="60">
        <f t="shared" si="8"/>
        <v>108</v>
      </c>
      <c r="DQ5" s="60">
        <f t="shared" si="8"/>
        <v>109</v>
      </c>
      <c r="DR5" s="60">
        <f t="shared" si="8"/>
        <v>110</v>
      </c>
      <c r="DS5" s="60">
        <f t="shared" si="8"/>
        <v>111</v>
      </c>
      <c r="DT5" s="60">
        <f t="shared" si="8"/>
        <v>112</v>
      </c>
      <c r="DU5" s="60">
        <f t="shared" si="8"/>
        <v>113</v>
      </c>
      <c r="DV5" s="60">
        <f t="shared" si="8"/>
        <v>114</v>
      </c>
      <c r="DW5" s="60">
        <f t="shared" si="8"/>
        <v>115</v>
      </c>
      <c r="DX5" s="60">
        <f t="shared" ref="DX5:EO5" si="9">+DW5+1</f>
        <v>116</v>
      </c>
      <c r="DY5" s="60">
        <f t="shared" si="9"/>
        <v>117</v>
      </c>
      <c r="DZ5" s="60">
        <f t="shared" si="9"/>
        <v>118</v>
      </c>
      <c r="EA5" s="60">
        <f t="shared" si="9"/>
        <v>119</v>
      </c>
      <c r="EB5" s="60">
        <f t="shared" si="9"/>
        <v>120</v>
      </c>
      <c r="EC5" s="60">
        <f t="shared" si="9"/>
        <v>121</v>
      </c>
      <c r="ED5" s="60">
        <f t="shared" si="9"/>
        <v>122</v>
      </c>
      <c r="EE5" s="60">
        <f t="shared" si="9"/>
        <v>123</v>
      </c>
      <c r="EF5" s="60">
        <f t="shared" si="9"/>
        <v>124</v>
      </c>
      <c r="EG5" s="60">
        <f t="shared" si="9"/>
        <v>125</v>
      </c>
      <c r="EH5" s="60">
        <f t="shared" si="9"/>
        <v>126</v>
      </c>
      <c r="EI5" s="60">
        <f t="shared" si="9"/>
        <v>127</v>
      </c>
      <c r="EJ5" s="60">
        <f t="shared" si="9"/>
        <v>128</v>
      </c>
      <c r="EK5" s="60">
        <f t="shared" si="9"/>
        <v>129</v>
      </c>
      <c r="EL5" s="60">
        <f t="shared" si="9"/>
        <v>130</v>
      </c>
      <c r="EM5" s="60">
        <f t="shared" si="9"/>
        <v>131</v>
      </c>
      <c r="EN5" s="60">
        <f t="shared" si="9"/>
        <v>132</v>
      </c>
      <c r="EO5" s="60">
        <f t="shared" si="9"/>
        <v>133</v>
      </c>
    </row>
    <row r="6" spans="2:145" x14ac:dyDescent="0.45">
      <c r="B6" s="81">
        <v>100</v>
      </c>
      <c r="C6" s="81" t="s">
        <v>294</v>
      </c>
      <c r="E6" s="83">
        <v>1</v>
      </c>
      <c r="F6" s="85">
        <v>0</v>
      </c>
      <c r="G6" s="87">
        <v>1</v>
      </c>
      <c r="H6" s="94">
        <v>0.01</v>
      </c>
      <c r="I6" s="88">
        <v>0</v>
      </c>
      <c r="J6" s="63">
        <f>+I6*F6</f>
        <v>0</v>
      </c>
      <c r="L6" s="63">
        <f>($G6&lt;=L$5)*($J6/12)*(1+$H6)^(ROUNDUP(MAX(L$5-$G6+1,0)/12,0)-1)</f>
        <v>0</v>
      </c>
      <c r="M6" s="63">
        <f t="shared" ref="M6:AC18" si="10">($G6&lt;=M$5)*($J6/12)*(1+$H6)^(ROUNDUP(MAX(M$5-$G6+1,0)/12,0)-1)</f>
        <v>0</v>
      </c>
      <c r="N6" s="63">
        <f t="shared" si="10"/>
        <v>0</v>
      </c>
      <c r="O6" s="63">
        <f t="shared" si="10"/>
        <v>0</v>
      </c>
      <c r="P6" s="63">
        <f t="shared" si="10"/>
        <v>0</v>
      </c>
      <c r="Q6" s="63">
        <f t="shared" si="10"/>
        <v>0</v>
      </c>
      <c r="R6" s="63">
        <f t="shared" si="10"/>
        <v>0</v>
      </c>
      <c r="S6" s="63">
        <f t="shared" si="10"/>
        <v>0</v>
      </c>
      <c r="T6" s="63">
        <f t="shared" si="10"/>
        <v>0</v>
      </c>
      <c r="U6" s="63">
        <f t="shared" si="10"/>
        <v>0</v>
      </c>
      <c r="V6" s="63">
        <f t="shared" si="10"/>
        <v>0</v>
      </c>
      <c r="W6" s="63">
        <f t="shared" si="10"/>
        <v>0</v>
      </c>
      <c r="X6" s="63">
        <f t="shared" si="10"/>
        <v>0</v>
      </c>
      <c r="Y6" s="63">
        <f t="shared" si="10"/>
        <v>0</v>
      </c>
      <c r="Z6" s="63">
        <f t="shared" si="10"/>
        <v>0</v>
      </c>
      <c r="AA6" s="63">
        <f t="shared" si="10"/>
        <v>0</v>
      </c>
      <c r="AB6" s="63">
        <f t="shared" si="10"/>
        <v>0</v>
      </c>
      <c r="AC6" s="63">
        <f t="shared" si="10"/>
        <v>0</v>
      </c>
      <c r="AD6" s="63">
        <f t="shared" ref="AD6:BI6" si="11">($G6&lt;=AD$5)*($J6/12)*(1+$H6)^(ROUNDUP(MAX(AD$5-$G6+1,0)/12,0)-1)</f>
        <v>0</v>
      </c>
      <c r="AE6" s="63">
        <f t="shared" si="11"/>
        <v>0</v>
      </c>
      <c r="AF6" s="63">
        <f t="shared" si="11"/>
        <v>0</v>
      </c>
      <c r="AG6" s="63">
        <f t="shared" si="11"/>
        <v>0</v>
      </c>
      <c r="AH6" s="63">
        <f t="shared" si="11"/>
        <v>0</v>
      </c>
      <c r="AI6" s="63">
        <f t="shared" si="11"/>
        <v>0</v>
      </c>
      <c r="AJ6" s="63">
        <f t="shared" si="11"/>
        <v>0</v>
      </c>
      <c r="AK6" s="63">
        <f t="shared" si="11"/>
        <v>0</v>
      </c>
      <c r="AL6" s="63">
        <f t="shared" si="11"/>
        <v>0</v>
      </c>
      <c r="AM6" s="63">
        <f t="shared" si="11"/>
        <v>0</v>
      </c>
      <c r="AN6" s="63">
        <f t="shared" si="11"/>
        <v>0</v>
      </c>
      <c r="AO6" s="63">
        <f t="shared" si="11"/>
        <v>0</v>
      </c>
      <c r="AP6" s="63">
        <f t="shared" si="11"/>
        <v>0</v>
      </c>
      <c r="AQ6" s="63">
        <f t="shared" si="11"/>
        <v>0</v>
      </c>
      <c r="AR6" s="63">
        <f t="shared" si="11"/>
        <v>0</v>
      </c>
      <c r="AS6" s="63">
        <f t="shared" si="11"/>
        <v>0</v>
      </c>
      <c r="AT6" s="63">
        <f t="shared" si="11"/>
        <v>0</v>
      </c>
      <c r="AU6" s="63">
        <f t="shared" si="11"/>
        <v>0</v>
      </c>
      <c r="AV6" s="63">
        <f t="shared" si="11"/>
        <v>0</v>
      </c>
      <c r="AW6" s="63">
        <f t="shared" si="11"/>
        <v>0</v>
      </c>
      <c r="AX6" s="63">
        <f t="shared" si="11"/>
        <v>0</v>
      </c>
      <c r="AY6" s="63">
        <f t="shared" si="11"/>
        <v>0</v>
      </c>
      <c r="AZ6" s="63">
        <f t="shared" si="11"/>
        <v>0</v>
      </c>
      <c r="BA6" s="63">
        <f t="shared" si="11"/>
        <v>0</v>
      </c>
      <c r="BB6" s="63">
        <f t="shared" si="11"/>
        <v>0</v>
      </c>
      <c r="BC6" s="63">
        <f t="shared" si="11"/>
        <v>0</v>
      </c>
      <c r="BD6" s="63">
        <f t="shared" si="11"/>
        <v>0</v>
      </c>
      <c r="BE6" s="63">
        <f t="shared" si="11"/>
        <v>0</v>
      </c>
      <c r="BF6" s="63">
        <f t="shared" si="11"/>
        <v>0</v>
      </c>
      <c r="BG6" s="63">
        <f t="shared" si="11"/>
        <v>0</v>
      </c>
      <c r="BH6" s="63">
        <f t="shared" si="11"/>
        <v>0</v>
      </c>
      <c r="BI6" s="63">
        <f t="shared" si="11"/>
        <v>0</v>
      </c>
      <c r="BJ6" s="63">
        <f t="shared" ref="BJ6:CO6" si="12">($G6&lt;=BJ$5)*($J6/12)*(1+$H6)^(ROUNDUP(MAX(BJ$5-$G6+1,0)/12,0)-1)</f>
        <v>0</v>
      </c>
      <c r="BK6" s="63">
        <f t="shared" si="12"/>
        <v>0</v>
      </c>
      <c r="BL6" s="63">
        <f t="shared" si="12"/>
        <v>0</v>
      </c>
      <c r="BM6" s="63">
        <f t="shared" si="12"/>
        <v>0</v>
      </c>
      <c r="BN6" s="63">
        <f t="shared" si="12"/>
        <v>0</v>
      </c>
      <c r="BO6" s="63">
        <f t="shared" si="12"/>
        <v>0</v>
      </c>
      <c r="BP6" s="63">
        <f t="shared" si="12"/>
        <v>0</v>
      </c>
      <c r="BQ6" s="63">
        <f t="shared" si="12"/>
        <v>0</v>
      </c>
      <c r="BR6" s="63">
        <f t="shared" si="12"/>
        <v>0</v>
      </c>
      <c r="BS6" s="63">
        <f t="shared" si="12"/>
        <v>0</v>
      </c>
      <c r="BT6" s="63">
        <f t="shared" si="12"/>
        <v>0</v>
      </c>
      <c r="BU6" s="63">
        <f t="shared" si="12"/>
        <v>0</v>
      </c>
      <c r="BV6" s="63">
        <f t="shared" si="12"/>
        <v>0</v>
      </c>
      <c r="BW6" s="63">
        <f t="shared" si="12"/>
        <v>0</v>
      </c>
      <c r="BX6" s="63">
        <f t="shared" si="12"/>
        <v>0</v>
      </c>
      <c r="BY6" s="63">
        <f t="shared" si="12"/>
        <v>0</v>
      </c>
      <c r="BZ6" s="63">
        <f t="shared" si="12"/>
        <v>0</v>
      </c>
      <c r="CA6" s="63">
        <f t="shared" si="12"/>
        <v>0</v>
      </c>
      <c r="CB6" s="63">
        <f t="shared" si="12"/>
        <v>0</v>
      </c>
      <c r="CC6" s="63">
        <f t="shared" si="12"/>
        <v>0</v>
      </c>
      <c r="CD6" s="63">
        <f t="shared" si="12"/>
        <v>0</v>
      </c>
      <c r="CE6" s="63">
        <f t="shared" si="12"/>
        <v>0</v>
      </c>
      <c r="CF6" s="63">
        <f t="shared" si="12"/>
        <v>0</v>
      </c>
      <c r="CG6" s="63">
        <f t="shared" si="12"/>
        <v>0</v>
      </c>
      <c r="CH6" s="63">
        <f t="shared" si="12"/>
        <v>0</v>
      </c>
      <c r="CI6" s="63">
        <f t="shared" si="12"/>
        <v>0</v>
      </c>
      <c r="CJ6" s="63">
        <f t="shared" si="12"/>
        <v>0</v>
      </c>
      <c r="CK6" s="63">
        <f t="shared" si="12"/>
        <v>0</v>
      </c>
      <c r="CL6" s="63">
        <f t="shared" si="12"/>
        <v>0</v>
      </c>
      <c r="CM6" s="63">
        <f t="shared" si="12"/>
        <v>0</v>
      </c>
      <c r="CN6" s="63">
        <f t="shared" si="12"/>
        <v>0</v>
      </c>
      <c r="CO6" s="63">
        <f t="shared" si="12"/>
        <v>0</v>
      </c>
      <c r="CP6" s="63">
        <f t="shared" ref="CP6:DU6" si="13">($G6&lt;=CP$5)*($J6/12)*(1+$H6)^(ROUNDUP(MAX(CP$5-$G6+1,0)/12,0)-1)</f>
        <v>0</v>
      </c>
      <c r="CQ6" s="63">
        <f t="shared" si="13"/>
        <v>0</v>
      </c>
      <c r="CR6" s="63">
        <f t="shared" si="13"/>
        <v>0</v>
      </c>
      <c r="CS6" s="63">
        <f t="shared" si="13"/>
        <v>0</v>
      </c>
      <c r="CT6" s="63">
        <f t="shared" si="13"/>
        <v>0</v>
      </c>
      <c r="CU6" s="63">
        <f t="shared" si="13"/>
        <v>0</v>
      </c>
      <c r="CV6" s="63">
        <f t="shared" si="13"/>
        <v>0</v>
      </c>
      <c r="CW6" s="63">
        <f t="shared" si="13"/>
        <v>0</v>
      </c>
      <c r="CX6" s="63">
        <f t="shared" si="13"/>
        <v>0</v>
      </c>
      <c r="CY6" s="63">
        <f t="shared" si="13"/>
        <v>0</v>
      </c>
      <c r="CZ6" s="63">
        <f t="shared" si="13"/>
        <v>0</v>
      </c>
      <c r="DA6" s="63">
        <f t="shared" si="13"/>
        <v>0</v>
      </c>
      <c r="DB6" s="63">
        <f t="shared" si="13"/>
        <v>0</v>
      </c>
      <c r="DC6" s="63">
        <f t="shared" si="13"/>
        <v>0</v>
      </c>
      <c r="DD6" s="63">
        <f t="shared" si="13"/>
        <v>0</v>
      </c>
      <c r="DE6" s="63">
        <f t="shared" si="13"/>
        <v>0</v>
      </c>
      <c r="DF6" s="63">
        <f t="shared" si="13"/>
        <v>0</v>
      </c>
      <c r="DG6" s="63">
        <f t="shared" si="13"/>
        <v>0</v>
      </c>
      <c r="DH6" s="63">
        <f t="shared" si="13"/>
        <v>0</v>
      </c>
      <c r="DI6" s="63">
        <f t="shared" si="13"/>
        <v>0</v>
      </c>
      <c r="DJ6" s="63">
        <f t="shared" si="13"/>
        <v>0</v>
      </c>
      <c r="DK6" s="63">
        <f t="shared" si="13"/>
        <v>0</v>
      </c>
      <c r="DL6" s="63">
        <f t="shared" si="13"/>
        <v>0</v>
      </c>
      <c r="DM6" s="63">
        <f t="shared" si="13"/>
        <v>0</v>
      </c>
      <c r="DN6" s="63">
        <f t="shared" si="13"/>
        <v>0</v>
      </c>
      <c r="DO6" s="63">
        <f t="shared" si="13"/>
        <v>0</v>
      </c>
      <c r="DP6" s="63">
        <f t="shared" si="13"/>
        <v>0</v>
      </c>
      <c r="DQ6" s="63">
        <f t="shared" si="13"/>
        <v>0</v>
      </c>
      <c r="DR6" s="63">
        <f t="shared" si="13"/>
        <v>0</v>
      </c>
      <c r="DS6" s="63">
        <f t="shared" si="13"/>
        <v>0</v>
      </c>
      <c r="DT6" s="63">
        <f t="shared" si="13"/>
        <v>0</v>
      </c>
      <c r="DU6" s="63">
        <f t="shared" si="13"/>
        <v>0</v>
      </c>
      <c r="DV6" s="63">
        <f t="shared" ref="DV6:EO6" si="14">($G6&lt;=DV$5)*($J6/12)*(1+$H6)^(ROUNDUP(MAX(DV$5-$G6+1,0)/12,0)-1)</f>
        <v>0</v>
      </c>
      <c r="DW6" s="63">
        <f t="shared" si="14"/>
        <v>0</v>
      </c>
      <c r="DX6" s="63">
        <f t="shared" si="14"/>
        <v>0</v>
      </c>
      <c r="DY6" s="63">
        <f t="shared" si="14"/>
        <v>0</v>
      </c>
      <c r="DZ6" s="63">
        <f t="shared" si="14"/>
        <v>0</v>
      </c>
      <c r="EA6" s="63">
        <f t="shared" si="14"/>
        <v>0</v>
      </c>
      <c r="EB6" s="63">
        <f t="shared" si="14"/>
        <v>0</v>
      </c>
      <c r="EC6" s="63">
        <f t="shared" si="14"/>
        <v>0</v>
      </c>
      <c r="ED6" s="63">
        <f t="shared" si="14"/>
        <v>0</v>
      </c>
      <c r="EE6" s="63">
        <f t="shared" si="14"/>
        <v>0</v>
      </c>
      <c r="EF6" s="63">
        <f t="shared" si="14"/>
        <v>0</v>
      </c>
      <c r="EG6" s="63">
        <f t="shared" si="14"/>
        <v>0</v>
      </c>
      <c r="EH6" s="63">
        <f t="shared" si="14"/>
        <v>0</v>
      </c>
      <c r="EI6" s="63">
        <f t="shared" si="14"/>
        <v>0</v>
      </c>
      <c r="EJ6" s="63">
        <f t="shared" si="14"/>
        <v>0</v>
      </c>
      <c r="EK6" s="63">
        <f t="shared" si="14"/>
        <v>0</v>
      </c>
      <c r="EL6" s="63">
        <f t="shared" si="14"/>
        <v>0</v>
      </c>
      <c r="EM6" s="63">
        <f t="shared" si="14"/>
        <v>0</v>
      </c>
      <c r="EN6" s="63">
        <f t="shared" si="14"/>
        <v>0</v>
      </c>
      <c r="EO6" s="63">
        <f t="shared" si="14"/>
        <v>0</v>
      </c>
    </row>
    <row r="7" spans="2:145" x14ac:dyDescent="0.45">
      <c r="B7" s="81">
        <f t="shared" ref="B7:B13" si="15">+B6+100</f>
        <v>200</v>
      </c>
      <c r="C7" s="81" t="s">
        <v>97</v>
      </c>
      <c r="E7" s="83">
        <v>1</v>
      </c>
      <c r="F7" s="85">
        <v>0</v>
      </c>
      <c r="G7" s="87">
        <v>0</v>
      </c>
      <c r="H7" s="94">
        <v>0.01</v>
      </c>
      <c r="I7" s="88">
        <v>0</v>
      </c>
      <c r="J7" s="63">
        <f t="shared" ref="J7:J13" si="16">+I7*F7</f>
        <v>0</v>
      </c>
      <c r="L7" s="63">
        <f t="shared" ref="L6:L18" si="17">($G7&lt;=L$5)*($J7/12)*(1+$H7)^(ROUNDUP(MAX(L$5-$G7+1,0)/12,0)-1)</f>
        <v>0</v>
      </c>
      <c r="M7" s="63">
        <f t="shared" ref="M7:AA7" si="18">($G7&lt;=M$5)*($J7/12)*(1+$H7)^(ROUNDUP(MAX(M$5-$G7+1,0)/12,0)-1)</f>
        <v>0</v>
      </c>
      <c r="N7" s="63">
        <f t="shared" si="18"/>
        <v>0</v>
      </c>
      <c r="O7" s="63">
        <f t="shared" si="18"/>
        <v>0</v>
      </c>
      <c r="P7" s="63">
        <f t="shared" si="18"/>
        <v>0</v>
      </c>
      <c r="Q7" s="63">
        <f t="shared" si="18"/>
        <v>0</v>
      </c>
      <c r="R7" s="63">
        <f t="shared" si="18"/>
        <v>0</v>
      </c>
      <c r="S7" s="63">
        <f t="shared" si="18"/>
        <v>0</v>
      </c>
      <c r="T7" s="63">
        <f t="shared" si="18"/>
        <v>0</v>
      </c>
      <c r="U7" s="63">
        <f t="shared" si="18"/>
        <v>0</v>
      </c>
      <c r="V7" s="63">
        <f t="shared" si="18"/>
        <v>0</v>
      </c>
      <c r="W7" s="63">
        <f t="shared" si="18"/>
        <v>0</v>
      </c>
      <c r="X7" s="63">
        <f t="shared" si="18"/>
        <v>0</v>
      </c>
      <c r="Y7" s="63">
        <f t="shared" si="18"/>
        <v>0</v>
      </c>
      <c r="Z7" s="63">
        <f t="shared" si="18"/>
        <v>0</v>
      </c>
      <c r="AA7" s="63">
        <f t="shared" si="18"/>
        <v>0</v>
      </c>
      <c r="AB7" s="63">
        <f t="shared" si="10"/>
        <v>0</v>
      </c>
      <c r="AC7" s="63">
        <f t="shared" ref="AC7:CN10" si="19">($G7&lt;=AC$5)*($J7/12)*(1+$H7)^(ROUNDUP(MAX(AC$5-$G7+1,0)/12,0)-1)</f>
        <v>0</v>
      </c>
      <c r="AD7" s="63">
        <f t="shared" si="19"/>
        <v>0</v>
      </c>
      <c r="AE7" s="63">
        <f t="shared" si="19"/>
        <v>0</v>
      </c>
      <c r="AF7" s="63">
        <f t="shared" si="19"/>
        <v>0</v>
      </c>
      <c r="AG7" s="63">
        <f t="shared" si="19"/>
        <v>0</v>
      </c>
      <c r="AH7" s="63">
        <f t="shared" si="19"/>
        <v>0</v>
      </c>
      <c r="AI7" s="63">
        <f t="shared" si="19"/>
        <v>0</v>
      </c>
      <c r="AJ7" s="63">
        <f t="shared" si="19"/>
        <v>0</v>
      </c>
      <c r="AK7" s="63">
        <f t="shared" si="19"/>
        <v>0</v>
      </c>
      <c r="AL7" s="63">
        <f t="shared" si="19"/>
        <v>0</v>
      </c>
      <c r="AM7" s="63">
        <f t="shared" si="19"/>
        <v>0</v>
      </c>
      <c r="AN7" s="63">
        <f t="shared" si="19"/>
        <v>0</v>
      </c>
      <c r="AO7" s="63">
        <f t="shared" si="19"/>
        <v>0</v>
      </c>
      <c r="AP7" s="63">
        <f t="shared" si="19"/>
        <v>0</v>
      </c>
      <c r="AQ7" s="63">
        <f t="shared" si="19"/>
        <v>0</v>
      </c>
      <c r="AR7" s="63">
        <f t="shared" si="19"/>
        <v>0</v>
      </c>
      <c r="AS7" s="63">
        <f t="shared" si="19"/>
        <v>0</v>
      </c>
      <c r="AT7" s="63">
        <f t="shared" si="19"/>
        <v>0</v>
      </c>
      <c r="AU7" s="63">
        <f t="shared" si="19"/>
        <v>0</v>
      </c>
      <c r="AV7" s="63">
        <f t="shared" si="19"/>
        <v>0</v>
      </c>
      <c r="AW7" s="63">
        <f t="shared" si="19"/>
        <v>0</v>
      </c>
      <c r="AX7" s="63">
        <f t="shared" si="19"/>
        <v>0</v>
      </c>
      <c r="AY7" s="63">
        <f t="shared" si="19"/>
        <v>0</v>
      </c>
      <c r="AZ7" s="63">
        <f t="shared" si="19"/>
        <v>0</v>
      </c>
      <c r="BA7" s="63">
        <f t="shared" si="19"/>
        <v>0</v>
      </c>
      <c r="BB7" s="63">
        <f t="shared" si="19"/>
        <v>0</v>
      </c>
      <c r="BC7" s="63">
        <f t="shared" si="19"/>
        <v>0</v>
      </c>
      <c r="BD7" s="63">
        <f t="shared" si="19"/>
        <v>0</v>
      </c>
      <c r="BE7" s="63">
        <f t="shared" si="19"/>
        <v>0</v>
      </c>
      <c r="BF7" s="63">
        <f t="shared" si="19"/>
        <v>0</v>
      </c>
      <c r="BG7" s="63">
        <f t="shared" si="19"/>
        <v>0</v>
      </c>
      <c r="BH7" s="63">
        <f t="shared" si="19"/>
        <v>0</v>
      </c>
      <c r="BI7" s="63">
        <f t="shared" si="19"/>
        <v>0</v>
      </c>
      <c r="BJ7" s="63">
        <f t="shared" si="19"/>
        <v>0</v>
      </c>
      <c r="BK7" s="63">
        <f t="shared" si="19"/>
        <v>0</v>
      </c>
      <c r="BL7" s="63">
        <f t="shared" si="19"/>
        <v>0</v>
      </c>
      <c r="BM7" s="63">
        <f t="shared" si="19"/>
        <v>0</v>
      </c>
      <c r="BN7" s="63">
        <f t="shared" si="19"/>
        <v>0</v>
      </c>
      <c r="BO7" s="63">
        <f t="shared" si="19"/>
        <v>0</v>
      </c>
      <c r="BP7" s="63">
        <f t="shared" si="19"/>
        <v>0</v>
      </c>
      <c r="BQ7" s="63">
        <f t="shared" si="19"/>
        <v>0</v>
      </c>
      <c r="BR7" s="63">
        <f t="shared" si="19"/>
        <v>0</v>
      </c>
      <c r="BS7" s="63">
        <f t="shared" si="19"/>
        <v>0</v>
      </c>
      <c r="BT7" s="63">
        <f t="shared" si="19"/>
        <v>0</v>
      </c>
      <c r="BU7" s="63">
        <f t="shared" si="19"/>
        <v>0</v>
      </c>
      <c r="BV7" s="63">
        <f t="shared" si="19"/>
        <v>0</v>
      </c>
      <c r="BW7" s="63">
        <f t="shared" si="19"/>
        <v>0</v>
      </c>
      <c r="BX7" s="63">
        <f t="shared" si="19"/>
        <v>0</v>
      </c>
      <c r="BY7" s="63">
        <f t="shared" si="19"/>
        <v>0</v>
      </c>
      <c r="BZ7" s="63">
        <f t="shared" si="19"/>
        <v>0</v>
      </c>
      <c r="CA7" s="63">
        <f t="shared" si="19"/>
        <v>0</v>
      </c>
      <c r="CB7" s="63">
        <f t="shared" si="19"/>
        <v>0</v>
      </c>
      <c r="CC7" s="63">
        <f t="shared" si="19"/>
        <v>0</v>
      </c>
      <c r="CD7" s="63">
        <f t="shared" si="19"/>
        <v>0</v>
      </c>
      <c r="CE7" s="63">
        <f t="shared" si="19"/>
        <v>0</v>
      </c>
      <c r="CF7" s="63">
        <f t="shared" si="19"/>
        <v>0</v>
      </c>
      <c r="CG7" s="63">
        <f t="shared" si="19"/>
        <v>0</v>
      </c>
      <c r="CH7" s="63">
        <f t="shared" si="19"/>
        <v>0</v>
      </c>
      <c r="CI7" s="63">
        <f t="shared" si="19"/>
        <v>0</v>
      </c>
      <c r="CJ7" s="63">
        <f t="shared" si="19"/>
        <v>0</v>
      </c>
      <c r="CK7" s="63">
        <f t="shared" si="19"/>
        <v>0</v>
      </c>
      <c r="CL7" s="63">
        <f t="shared" si="19"/>
        <v>0</v>
      </c>
      <c r="CM7" s="63">
        <f t="shared" si="19"/>
        <v>0</v>
      </c>
      <c r="CN7" s="63">
        <f t="shared" si="19"/>
        <v>0</v>
      </c>
      <c r="CO7" s="63">
        <f t="shared" ref="CO7:CX9" si="20">($G7&lt;=CO$5)*($J7/12)*(1+$H7)^(ROUNDUP(MAX(CO$5-$G7+1,0)/12,0)-1)</f>
        <v>0</v>
      </c>
      <c r="CP7" s="63">
        <f t="shared" si="20"/>
        <v>0</v>
      </c>
      <c r="CQ7" s="63">
        <f t="shared" si="20"/>
        <v>0</v>
      </c>
      <c r="CR7" s="63">
        <f t="shared" si="20"/>
        <v>0</v>
      </c>
      <c r="CS7" s="63">
        <f t="shared" si="20"/>
        <v>0</v>
      </c>
      <c r="CT7" s="63">
        <f t="shared" si="20"/>
        <v>0</v>
      </c>
      <c r="CU7" s="63">
        <f t="shared" si="20"/>
        <v>0</v>
      </c>
      <c r="CV7" s="63">
        <f t="shared" si="20"/>
        <v>0</v>
      </c>
      <c r="CW7" s="63">
        <f t="shared" si="20"/>
        <v>0</v>
      </c>
      <c r="CX7" s="63">
        <f t="shared" si="20"/>
        <v>0</v>
      </c>
      <c r="CY7" s="63">
        <f t="shared" ref="CY7:DH9" si="21">($G7&lt;=CY$5)*($J7/12)*(1+$H7)^(ROUNDUP(MAX(CY$5-$G7+1,0)/12,0)-1)</f>
        <v>0</v>
      </c>
      <c r="CZ7" s="63">
        <f t="shared" si="21"/>
        <v>0</v>
      </c>
      <c r="DA7" s="63">
        <f t="shared" si="21"/>
        <v>0</v>
      </c>
      <c r="DB7" s="63">
        <f t="shared" si="21"/>
        <v>0</v>
      </c>
      <c r="DC7" s="63">
        <f t="shared" si="21"/>
        <v>0</v>
      </c>
      <c r="DD7" s="63">
        <f t="shared" si="21"/>
        <v>0</v>
      </c>
      <c r="DE7" s="63">
        <f t="shared" si="21"/>
        <v>0</v>
      </c>
      <c r="DF7" s="63">
        <f t="shared" si="21"/>
        <v>0</v>
      </c>
      <c r="DG7" s="63">
        <f t="shared" si="21"/>
        <v>0</v>
      </c>
      <c r="DH7" s="63">
        <f t="shared" si="21"/>
        <v>0</v>
      </c>
      <c r="DI7" s="63">
        <f t="shared" ref="DI7:DR9" si="22">($G7&lt;=DI$5)*($J7/12)*(1+$H7)^(ROUNDUP(MAX(DI$5-$G7+1,0)/12,0)-1)</f>
        <v>0</v>
      </c>
      <c r="DJ7" s="63">
        <f t="shared" si="22"/>
        <v>0</v>
      </c>
      <c r="DK7" s="63">
        <f t="shared" si="22"/>
        <v>0</v>
      </c>
      <c r="DL7" s="63">
        <f t="shared" si="22"/>
        <v>0</v>
      </c>
      <c r="DM7" s="63">
        <f t="shared" si="22"/>
        <v>0</v>
      </c>
      <c r="DN7" s="63">
        <f t="shared" si="22"/>
        <v>0</v>
      </c>
      <c r="DO7" s="63">
        <f t="shared" si="22"/>
        <v>0</v>
      </c>
      <c r="DP7" s="63">
        <f t="shared" si="22"/>
        <v>0</v>
      </c>
      <c r="DQ7" s="63">
        <f t="shared" si="22"/>
        <v>0</v>
      </c>
      <c r="DR7" s="63">
        <f t="shared" si="22"/>
        <v>0</v>
      </c>
      <c r="DS7" s="63">
        <f t="shared" ref="DS7:EB9" si="23">($G7&lt;=DS$5)*($J7/12)*(1+$H7)^(ROUNDUP(MAX(DS$5-$G7+1,0)/12,0)-1)</f>
        <v>0</v>
      </c>
      <c r="DT7" s="63">
        <f t="shared" si="23"/>
        <v>0</v>
      </c>
      <c r="DU7" s="63">
        <f t="shared" si="23"/>
        <v>0</v>
      </c>
      <c r="DV7" s="63">
        <f t="shared" si="23"/>
        <v>0</v>
      </c>
      <c r="DW7" s="63">
        <f t="shared" si="23"/>
        <v>0</v>
      </c>
      <c r="DX7" s="63">
        <f t="shared" si="23"/>
        <v>0</v>
      </c>
      <c r="DY7" s="63">
        <f t="shared" si="23"/>
        <v>0</v>
      </c>
      <c r="DZ7" s="63">
        <f t="shared" si="23"/>
        <v>0</v>
      </c>
      <c r="EA7" s="63">
        <f t="shared" si="23"/>
        <v>0</v>
      </c>
      <c r="EB7" s="63">
        <f t="shared" si="23"/>
        <v>0</v>
      </c>
      <c r="EC7" s="63">
        <f t="shared" ref="EC7:EO9" si="24">($G7&lt;=EC$5)*($J7/12)*(1+$H7)^(ROUNDUP(MAX(EC$5-$G7+1,0)/12,0)-1)</f>
        <v>0</v>
      </c>
      <c r="ED7" s="63">
        <f t="shared" si="24"/>
        <v>0</v>
      </c>
      <c r="EE7" s="63">
        <f t="shared" si="24"/>
        <v>0</v>
      </c>
      <c r="EF7" s="63">
        <f t="shared" si="24"/>
        <v>0</v>
      </c>
      <c r="EG7" s="63">
        <f t="shared" si="24"/>
        <v>0</v>
      </c>
      <c r="EH7" s="63">
        <f t="shared" si="24"/>
        <v>0</v>
      </c>
      <c r="EI7" s="63">
        <f t="shared" si="24"/>
        <v>0</v>
      </c>
      <c r="EJ7" s="63">
        <f t="shared" si="24"/>
        <v>0</v>
      </c>
      <c r="EK7" s="63">
        <f t="shared" si="24"/>
        <v>0</v>
      </c>
      <c r="EL7" s="63">
        <f t="shared" si="24"/>
        <v>0</v>
      </c>
      <c r="EM7" s="63">
        <f t="shared" si="24"/>
        <v>0</v>
      </c>
      <c r="EN7" s="63">
        <f t="shared" si="24"/>
        <v>0</v>
      </c>
      <c r="EO7" s="63">
        <f t="shared" si="24"/>
        <v>0</v>
      </c>
    </row>
    <row r="8" spans="2:145" x14ac:dyDescent="0.45">
      <c r="B8" s="81">
        <f t="shared" si="15"/>
        <v>300</v>
      </c>
      <c r="C8" s="81" t="s">
        <v>97</v>
      </c>
      <c r="E8" s="83">
        <v>1</v>
      </c>
      <c r="F8" s="85">
        <v>0</v>
      </c>
      <c r="G8" s="87">
        <v>0</v>
      </c>
      <c r="H8" s="94">
        <v>0.01</v>
      </c>
      <c r="I8" s="88">
        <v>0</v>
      </c>
      <c r="J8" s="63">
        <f t="shared" si="16"/>
        <v>0</v>
      </c>
      <c r="L8" s="63">
        <f t="shared" si="17"/>
        <v>0</v>
      </c>
      <c r="M8" s="63">
        <f t="shared" si="10"/>
        <v>0</v>
      </c>
      <c r="N8" s="63">
        <f t="shared" si="10"/>
        <v>0</v>
      </c>
      <c r="O8" s="63">
        <f t="shared" si="10"/>
        <v>0</v>
      </c>
      <c r="P8" s="63">
        <f t="shared" si="10"/>
        <v>0</v>
      </c>
      <c r="Q8" s="63">
        <f t="shared" si="10"/>
        <v>0</v>
      </c>
      <c r="R8" s="63">
        <f t="shared" si="10"/>
        <v>0</v>
      </c>
      <c r="S8" s="63">
        <f t="shared" si="10"/>
        <v>0</v>
      </c>
      <c r="T8" s="63">
        <f t="shared" si="10"/>
        <v>0</v>
      </c>
      <c r="U8" s="63">
        <f t="shared" si="10"/>
        <v>0</v>
      </c>
      <c r="V8" s="63">
        <f t="shared" si="10"/>
        <v>0</v>
      </c>
      <c r="W8" s="63">
        <f t="shared" si="10"/>
        <v>0</v>
      </c>
      <c r="X8" s="63">
        <f t="shared" si="10"/>
        <v>0</v>
      </c>
      <c r="Y8" s="63">
        <f t="shared" si="10"/>
        <v>0</v>
      </c>
      <c r="Z8" s="63">
        <f t="shared" si="10"/>
        <v>0</v>
      </c>
      <c r="AA8" s="63">
        <f t="shared" si="10"/>
        <v>0</v>
      </c>
      <c r="AB8" s="63">
        <f t="shared" si="10"/>
        <v>0</v>
      </c>
      <c r="AC8" s="63">
        <f t="shared" si="19"/>
        <v>0</v>
      </c>
      <c r="AD8" s="63">
        <f t="shared" si="19"/>
        <v>0</v>
      </c>
      <c r="AE8" s="63">
        <f t="shared" si="19"/>
        <v>0</v>
      </c>
      <c r="AF8" s="63">
        <f t="shared" si="19"/>
        <v>0</v>
      </c>
      <c r="AG8" s="63">
        <f t="shared" si="19"/>
        <v>0</v>
      </c>
      <c r="AH8" s="63">
        <f t="shared" si="19"/>
        <v>0</v>
      </c>
      <c r="AI8" s="63">
        <f t="shared" si="19"/>
        <v>0</v>
      </c>
      <c r="AJ8" s="63">
        <f t="shared" si="19"/>
        <v>0</v>
      </c>
      <c r="AK8" s="63">
        <f t="shared" si="19"/>
        <v>0</v>
      </c>
      <c r="AL8" s="63">
        <f t="shared" si="19"/>
        <v>0</v>
      </c>
      <c r="AM8" s="63">
        <f t="shared" si="19"/>
        <v>0</v>
      </c>
      <c r="AN8" s="63">
        <f t="shared" si="19"/>
        <v>0</v>
      </c>
      <c r="AO8" s="63">
        <f t="shared" si="19"/>
        <v>0</v>
      </c>
      <c r="AP8" s="63">
        <f t="shared" si="19"/>
        <v>0</v>
      </c>
      <c r="AQ8" s="63">
        <f t="shared" si="19"/>
        <v>0</v>
      </c>
      <c r="AR8" s="63">
        <f t="shared" si="19"/>
        <v>0</v>
      </c>
      <c r="AS8" s="63">
        <f t="shared" si="19"/>
        <v>0</v>
      </c>
      <c r="AT8" s="63">
        <f t="shared" si="19"/>
        <v>0</v>
      </c>
      <c r="AU8" s="63">
        <f t="shared" si="19"/>
        <v>0</v>
      </c>
      <c r="AV8" s="63">
        <f t="shared" si="19"/>
        <v>0</v>
      </c>
      <c r="AW8" s="63">
        <f t="shared" si="19"/>
        <v>0</v>
      </c>
      <c r="AX8" s="63">
        <f t="shared" si="19"/>
        <v>0</v>
      </c>
      <c r="AY8" s="63">
        <f t="shared" si="19"/>
        <v>0</v>
      </c>
      <c r="AZ8" s="63">
        <f t="shared" si="19"/>
        <v>0</v>
      </c>
      <c r="BA8" s="63">
        <f t="shared" si="19"/>
        <v>0</v>
      </c>
      <c r="BB8" s="63">
        <f t="shared" si="19"/>
        <v>0</v>
      </c>
      <c r="BC8" s="63">
        <f t="shared" si="19"/>
        <v>0</v>
      </c>
      <c r="BD8" s="63">
        <f t="shared" si="19"/>
        <v>0</v>
      </c>
      <c r="BE8" s="63">
        <f t="shared" si="19"/>
        <v>0</v>
      </c>
      <c r="BF8" s="63">
        <f t="shared" si="19"/>
        <v>0</v>
      </c>
      <c r="BG8" s="63">
        <f t="shared" si="19"/>
        <v>0</v>
      </c>
      <c r="BH8" s="63">
        <f t="shared" si="19"/>
        <v>0</v>
      </c>
      <c r="BI8" s="63">
        <f t="shared" si="19"/>
        <v>0</v>
      </c>
      <c r="BJ8" s="63">
        <f t="shared" si="19"/>
        <v>0</v>
      </c>
      <c r="BK8" s="63">
        <f t="shared" si="19"/>
        <v>0</v>
      </c>
      <c r="BL8" s="63">
        <f t="shared" si="19"/>
        <v>0</v>
      </c>
      <c r="BM8" s="63">
        <f t="shared" si="19"/>
        <v>0</v>
      </c>
      <c r="BN8" s="63">
        <f t="shared" si="19"/>
        <v>0</v>
      </c>
      <c r="BO8" s="63">
        <f t="shared" si="19"/>
        <v>0</v>
      </c>
      <c r="BP8" s="63">
        <f t="shared" si="19"/>
        <v>0</v>
      </c>
      <c r="BQ8" s="63">
        <f t="shared" si="19"/>
        <v>0</v>
      </c>
      <c r="BR8" s="63">
        <f t="shared" si="19"/>
        <v>0</v>
      </c>
      <c r="BS8" s="63">
        <f t="shared" si="19"/>
        <v>0</v>
      </c>
      <c r="BT8" s="63">
        <f t="shared" si="19"/>
        <v>0</v>
      </c>
      <c r="BU8" s="63">
        <f t="shared" si="19"/>
        <v>0</v>
      </c>
      <c r="BV8" s="63">
        <f t="shared" si="19"/>
        <v>0</v>
      </c>
      <c r="BW8" s="63">
        <f t="shared" si="19"/>
        <v>0</v>
      </c>
      <c r="BX8" s="63">
        <f t="shared" si="19"/>
        <v>0</v>
      </c>
      <c r="BY8" s="63">
        <f t="shared" si="19"/>
        <v>0</v>
      </c>
      <c r="BZ8" s="63">
        <f t="shared" si="19"/>
        <v>0</v>
      </c>
      <c r="CA8" s="63">
        <f t="shared" si="19"/>
        <v>0</v>
      </c>
      <c r="CB8" s="63">
        <f t="shared" si="19"/>
        <v>0</v>
      </c>
      <c r="CC8" s="63">
        <f t="shared" si="19"/>
        <v>0</v>
      </c>
      <c r="CD8" s="63">
        <f t="shared" si="19"/>
        <v>0</v>
      </c>
      <c r="CE8" s="63">
        <f t="shared" si="19"/>
        <v>0</v>
      </c>
      <c r="CF8" s="63">
        <f t="shared" si="19"/>
        <v>0</v>
      </c>
      <c r="CG8" s="63">
        <f t="shared" si="19"/>
        <v>0</v>
      </c>
      <c r="CH8" s="63">
        <f t="shared" si="19"/>
        <v>0</v>
      </c>
      <c r="CI8" s="63">
        <f t="shared" si="19"/>
        <v>0</v>
      </c>
      <c r="CJ8" s="63">
        <f t="shared" si="19"/>
        <v>0</v>
      </c>
      <c r="CK8" s="63">
        <f t="shared" si="19"/>
        <v>0</v>
      </c>
      <c r="CL8" s="63">
        <f t="shared" si="19"/>
        <v>0</v>
      </c>
      <c r="CM8" s="63">
        <f t="shared" si="19"/>
        <v>0</v>
      </c>
      <c r="CN8" s="63">
        <f t="shared" si="19"/>
        <v>0</v>
      </c>
      <c r="CO8" s="63">
        <f t="shared" si="20"/>
        <v>0</v>
      </c>
      <c r="CP8" s="63">
        <f t="shared" si="20"/>
        <v>0</v>
      </c>
      <c r="CQ8" s="63">
        <f t="shared" si="20"/>
        <v>0</v>
      </c>
      <c r="CR8" s="63">
        <f t="shared" si="20"/>
        <v>0</v>
      </c>
      <c r="CS8" s="63">
        <f t="shared" si="20"/>
        <v>0</v>
      </c>
      <c r="CT8" s="63">
        <f t="shared" si="20"/>
        <v>0</v>
      </c>
      <c r="CU8" s="63">
        <f t="shared" si="20"/>
        <v>0</v>
      </c>
      <c r="CV8" s="63">
        <f t="shared" si="20"/>
        <v>0</v>
      </c>
      <c r="CW8" s="63">
        <f t="shared" si="20"/>
        <v>0</v>
      </c>
      <c r="CX8" s="63">
        <f t="shared" si="20"/>
        <v>0</v>
      </c>
      <c r="CY8" s="63">
        <f t="shared" si="21"/>
        <v>0</v>
      </c>
      <c r="CZ8" s="63">
        <f t="shared" si="21"/>
        <v>0</v>
      </c>
      <c r="DA8" s="63">
        <f t="shared" si="21"/>
        <v>0</v>
      </c>
      <c r="DB8" s="63">
        <f t="shared" si="21"/>
        <v>0</v>
      </c>
      <c r="DC8" s="63">
        <f t="shared" si="21"/>
        <v>0</v>
      </c>
      <c r="DD8" s="63">
        <f t="shared" si="21"/>
        <v>0</v>
      </c>
      <c r="DE8" s="63">
        <f t="shared" si="21"/>
        <v>0</v>
      </c>
      <c r="DF8" s="63">
        <f t="shared" si="21"/>
        <v>0</v>
      </c>
      <c r="DG8" s="63">
        <f t="shared" si="21"/>
        <v>0</v>
      </c>
      <c r="DH8" s="63">
        <f t="shared" si="21"/>
        <v>0</v>
      </c>
      <c r="DI8" s="63">
        <f t="shared" si="22"/>
        <v>0</v>
      </c>
      <c r="DJ8" s="63">
        <f t="shared" si="22"/>
        <v>0</v>
      </c>
      <c r="DK8" s="63">
        <f t="shared" si="22"/>
        <v>0</v>
      </c>
      <c r="DL8" s="63">
        <f t="shared" si="22"/>
        <v>0</v>
      </c>
      <c r="DM8" s="63">
        <f t="shared" si="22"/>
        <v>0</v>
      </c>
      <c r="DN8" s="63">
        <f t="shared" si="22"/>
        <v>0</v>
      </c>
      <c r="DO8" s="63">
        <f t="shared" si="22"/>
        <v>0</v>
      </c>
      <c r="DP8" s="63">
        <f t="shared" si="22"/>
        <v>0</v>
      </c>
      <c r="DQ8" s="63">
        <f t="shared" si="22"/>
        <v>0</v>
      </c>
      <c r="DR8" s="63">
        <f t="shared" si="22"/>
        <v>0</v>
      </c>
      <c r="DS8" s="63">
        <f t="shared" si="23"/>
        <v>0</v>
      </c>
      <c r="DT8" s="63">
        <f t="shared" si="23"/>
        <v>0</v>
      </c>
      <c r="DU8" s="63">
        <f t="shared" si="23"/>
        <v>0</v>
      </c>
      <c r="DV8" s="63">
        <f t="shared" si="23"/>
        <v>0</v>
      </c>
      <c r="DW8" s="63">
        <f t="shared" si="23"/>
        <v>0</v>
      </c>
      <c r="DX8" s="63">
        <f t="shared" si="23"/>
        <v>0</v>
      </c>
      <c r="DY8" s="63">
        <f t="shared" si="23"/>
        <v>0</v>
      </c>
      <c r="DZ8" s="63">
        <f t="shared" si="23"/>
        <v>0</v>
      </c>
      <c r="EA8" s="63">
        <f t="shared" si="23"/>
        <v>0</v>
      </c>
      <c r="EB8" s="63">
        <f t="shared" si="23"/>
        <v>0</v>
      </c>
      <c r="EC8" s="63">
        <f t="shared" si="24"/>
        <v>0</v>
      </c>
      <c r="ED8" s="63">
        <f t="shared" si="24"/>
        <v>0</v>
      </c>
      <c r="EE8" s="63">
        <f t="shared" si="24"/>
        <v>0</v>
      </c>
      <c r="EF8" s="63">
        <f t="shared" si="24"/>
        <v>0</v>
      </c>
      <c r="EG8" s="63">
        <f t="shared" si="24"/>
        <v>0</v>
      </c>
      <c r="EH8" s="63">
        <f t="shared" si="24"/>
        <v>0</v>
      </c>
      <c r="EI8" s="63">
        <f t="shared" si="24"/>
        <v>0</v>
      </c>
      <c r="EJ8" s="63">
        <f t="shared" si="24"/>
        <v>0</v>
      </c>
      <c r="EK8" s="63">
        <f t="shared" si="24"/>
        <v>0</v>
      </c>
      <c r="EL8" s="63">
        <f t="shared" si="24"/>
        <v>0</v>
      </c>
      <c r="EM8" s="63">
        <f t="shared" si="24"/>
        <v>0</v>
      </c>
      <c r="EN8" s="63">
        <f t="shared" si="24"/>
        <v>0</v>
      </c>
      <c r="EO8" s="63">
        <f t="shared" si="24"/>
        <v>0</v>
      </c>
    </row>
    <row r="9" spans="2:145" x14ac:dyDescent="0.45">
      <c r="B9" s="81">
        <f t="shared" si="15"/>
        <v>400</v>
      </c>
      <c r="C9" s="81" t="s">
        <v>97</v>
      </c>
      <c r="E9" s="83">
        <v>1</v>
      </c>
      <c r="F9" s="85">
        <v>0</v>
      </c>
      <c r="G9" s="87">
        <v>0</v>
      </c>
      <c r="H9" s="94">
        <v>0.01</v>
      </c>
      <c r="I9" s="88">
        <v>0</v>
      </c>
      <c r="J9" s="63">
        <f t="shared" si="16"/>
        <v>0</v>
      </c>
      <c r="L9" s="63">
        <f t="shared" si="17"/>
        <v>0</v>
      </c>
      <c r="M9" s="63">
        <f t="shared" si="10"/>
        <v>0</v>
      </c>
      <c r="N9" s="63">
        <f t="shared" si="10"/>
        <v>0</v>
      </c>
      <c r="O9" s="63">
        <f t="shared" si="10"/>
        <v>0</v>
      </c>
      <c r="P9" s="63">
        <f t="shared" si="10"/>
        <v>0</v>
      </c>
      <c r="Q9" s="63">
        <f t="shared" si="10"/>
        <v>0</v>
      </c>
      <c r="R9" s="63">
        <f t="shared" si="10"/>
        <v>0</v>
      </c>
      <c r="S9" s="63">
        <f t="shared" si="10"/>
        <v>0</v>
      </c>
      <c r="T9" s="63">
        <f t="shared" si="10"/>
        <v>0</v>
      </c>
      <c r="U9" s="63">
        <f t="shared" si="10"/>
        <v>0</v>
      </c>
      <c r="V9" s="63">
        <f t="shared" si="10"/>
        <v>0</v>
      </c>
      <c r="W9" s="63">
        <f t="shared" si="10"/>
        <v>0</v>
      </c>
      <c r="X9" s="63">
        <f t="shared" si="10"/>
        <v>0</v>
      </c>
      <c r="Y9" s="63">
        <f t="shared" si="10"/>
        <v>0</v>
      </c>
      <c r="Z9" s="63">
        <f t="shared" si="10"/>
        <v>0</v>
      </c>
      <c r="AA9" s="63">
        <f t="shared" si="10"/>
        <v>0</v>
      </c>
      <c r="AB9" s="63">
        <f t="shared" si="10"/>
        <v>0</v>
      </c>
      <c r="AC9" s="63">
        <f t="shared" si="19"/>
        <v>0</v>
      </c>
      <c r="AD9" s="63">
        <f t="shared" si="19"/>
        <v>0</v>
      </c>
      <c r="AE9" s="63">
        <f t="shared" si="19"/>
        <v>0</v>
      </c>
      <c r="AF9" s="63">
        <f t="shared" si="19"/>
        <v>0</v>
      </c>
      <c r="AG9" s="63">
        <f t="shared" si="19"/>
        <v>0</v>
      </c>
      <c r="AH9" s="63">
        <f t="shared" si="19"/>
        <v>0</v>
      </c>
      <c r="AI9" s="63">
        <f t="shared" si="19"/>
        <v>0</v>
      </c>
      <c r="AJ9" s="63">
        <f t="shared" si="19"/>
        <v>0</v>
      </c>
      <c r="AK9" s="63">
        <f t="shared" si="19"/>
        <v>0</v>
      </c>
      <c r="AL9" s="63">
        <f t="shared" si="19"/>
        <v>0</v>
      </c>
      <c r="AM9" s="63">
        <f t="shared" si="19"/>
        <v>0</v>
      </c>
      <c r="AN9" s="63">
        <f t="shared" si="19"/>
        <v>0</v>
      </c>
      <c r="AO9" s="63">
        <f t="shared" si="19"/>
        <v>0</v>
      </c>
      <c r="AP9" s="63">
        <f t="shared" si="19"/>
        <v>0</v>
      </c>
      <c r="AQ9" s="63">
        <f t="shared" si="19"/>
        <v>0</v>
      </c>
      <c r="AR9" s="63">
        <f t="shared" si="19"/>
        <v>0</v>
      </c>
      <c r="AS9" s="63">
        <f t="shared" si="19"/>
        <v>0</v>
      </c>
      <c r="AT9" s="63">
        <f t="shared" si="19"/>
        <v>0</v>
      </c>
      <c r="AU9" s="63">
        <f t="shared" si="19"/>
        <v>0</v>
      </c>
      <c r="AV9" s="63">
        <f t="shared" si="19"/>
        <v>0</v>
      </c>
      <c r="AW9" s="63">
        <f t="shared" si="19"/>
        <v>0</v>
      </c>
      <c r="AX9" s="63">
        <f t="shared" si="19"/>
        <v>0</v>
      </c>
      <c r="AY9" s="63">
        <f t="shared" si="19"/>
        <v>0</v>
      </c>
      <c r="AZ9" s="63">
        <f t="shared" si="19"/>
        <v>0</v>
      </c>
      <c r="BA9" s="63">
        <f t="shared" si="19"/>
        <v>0</v>
      </c>
      <c r="BB9" s="63">
        <f t="shared" si="19"/>
        <v>0</v>
      </c>
      <c r="BC9" s="63">
        <f t="shared" si="19"/>
        <v>0</v>
      </c>
      <c r="BD9" s="63">
        <f t="shared" si="19"/>
        <v>0</v>
      </c>
      <c r="BE9" s="63">
        <f t="shared" si="19"/>
        <v>0</v>
      </c>
      <c r="BF9" s="63">
        <f t="shared" si="19"/>
        <v>0</v>
      </c>
      <c r="BG9" s="63">
        <f t="shared" si="19"/>
        <v>0</v>
      </c>
      <c r="BH9" s="63">
        <f t="shared" si="19"/>
        <v>0</v>
      </c>
      <c r="BI9" s="63">
        <f t="shared" si="19"/>
        <v>0</v>
      </c>
      <c r="BJ9" s="63">
        <f t="shared" si="19"/>
        <v>0</v>
      </c>
      <c r="BK9" s="63">
        <f t="shared" si="19"/>
        <v>0</v>
      </c>
      <c r="BL9" s="63">
        <f t="shared" si="19"/>
        <v>0</v>
      </c>
      <c r="BM9" s="63">
        <f t="shared" si="19"/>
        <v>0</v>
      </c>
      <c r="BN9" s="63">
        <f t="shared" si="19"/>
        <v>0</v>
      </c>
      <c r="BO9" s="63">
        <f t="shared" si="19"/>
        <v>0</v>
      </c>
      <c r="BP9" s="63">
        <f t="shared" si="19"/>
        <v>0</v>
      </c>
      <c r="BQ9" s="63">
        <f t="shared" si="19"/>
        <v>0</v>
      </c>
      <c r="BR9" s="63">
        <f t="shared" si="19"/>
        <v>0</v>
      </c>
      <c r="BS9" s="63">
        <f t="shared" si="19"/>
        <v>0</v>
      </c>
      <c r="BT9" s="63">
        <f t="shared" si="19"/>
        <v>0</v>
      </c>
      <c r="BU9" s="63">
        <f t="shared" si="19"/>
        <v>0</v>
      </c>
      <c r="BV9" s="63">
        <f t="shared" si="19"/>
        <v>0</v>
      </c>
      <c r="BW9" s="63">
        <f t="shared" si="19"/>
        <v>0</v>
      </c>
      <c r="BX9" s="63">
        <f t="shared" si="19"/>
        <v>0</v>
      </c>
      <c r="BY9" s="63">
        <f t="shared" si="19"/>
        <v>0</v>
      </c>
      <c r="BZ9" s="63">
        <f t="shared" si="19"/>
        <v>0</v>
      </c>
      <c r="CA9" s="63">
        <f t="shared" si="19"/>
        <v>0</v>
      </c>
      <c r="CB9" s="63">
        <f t="shared" si="19"/>
        <v>0</v>
      </c>
      <c r="CC9" s="63">
        <f t="shared" si="19"/>
        <v>0</v>
      </c>
      <c r="CD9" s="63">
        <f t="shared" si="19"/>
        <v>0</v>
      </c>
      <c r="CE9" s="63">
        <f t="shared" si="19"/>
        <v>0</v>
      </c>
      <c r="CF9" s="63">
        <f t="shared" si="19"/>
        <v>0</v>
      </c>
      <c r="CG9" s="63">
        <f t="shared" si="19"/>
        <v>0</v>
      </c>
      <c r="CH9" s="63">
        <f t="shared" si="19"/>
        <v>0</v>
      </c>
      <c r="CI9" s="63">
        <f t="shared" si="19"/>
        <v>0</v>
      </c>
      <c r="CJ9" s="63">
        <f t="shared" si="19"/>
        <v>0</v>
      </c>
      <c r="CK9" s="63">
        <f t="shared" si="19"/>
        <v>0</v>
      </c>
      <c r="CL9" s="63">
        <f t="shared" si="19"/>
        <v>0</v>
      </c>
      <c r="CM9" s="63">
        <f t="shared" si="19"/>
        <v>0</v>
      </c>
      <c r="CN9" s="63">
        <f t="shared" si="19"/>
        <v>0</v>
      </c>
      <c r="CO9" s="63">
        <f t="shared" si="20"/>
        <v>0</v>
      </c>
      <c r="CP9" s="63">
        <f t="shared" si="20"/>
        <v>0</v>
      </c>
      <c r="CQ9" s="63">
        <f t="shared" si="20"/>
        <v>0</v>
      </c>
      <c r="CR9" s="63">
        <f t="shared" si="20"/>
        <v>0</v>
      </c>
      <c r="CS9" s="63">
        <f t="shared" si="20"/>
        <v>0</v>
      </c>
      <c r="CT9" s="63">
        <f t="shared" si="20"/>
        <v>0</v>
      </c>
      <c r="CU9" s="63">
        <f t="shared" si="20"/>
        <v>0</v>
      </c>
      <c r="CV9" s="63">
        <f t="shared" si="20"/>
        <v>0</v>
      </c>
      <c r="CW9" s="63">
        <f t="shared" si="20"/>
        <v>0</v>
      </c>
      <c r="CX9" s="63">
        <f t="shared" si="20"/>
        <v>0</v>
      </c>
      <c r="CY9" s="63">
        <f t="shared" si="21"/>
        <v>0</v>
      </c>
      <c r="CZ9" s="63">
        <f t="shared" si="21"/>
        <v>0</v>
      </c>
      <c r="DA9" s="63">
        <f t="shared" si="21"/>
        <v>0</v>
      </c>
      <c r="DB9" s="63">
        <f t="shared" si="21"/>
        <v>0</v>
      </c>
      <c r="DC9" s="63">
        <f t="shared" si="21"/>
        <v>0</v>
      </c>
      <c r="DD9" s="63">
        <f t="shared" si="21"/>
        <v>0</v>
      </c>
      <c r="DE9" s="63">
        <f t="shared" si="21"/>
        <v>0</v>
      </c>
      <c r="DF9" s="63">
        <f t="shared" si="21"/>
        <v>0</v>
      </c>
      <c r="DG9" s="63">
        <f t="shared" si="21"/>
        <v>0</v>
      </c>
      <c r="DH9" s="63">
        <f t="shared" si="21"/>
        <v>0</v>
      </c>
      <c r="DI9" s="63">
        <f t="shared" si="22"/>
        <v>0</v>
      </c>
      <c r="DJ9" s="63">
        <f t="shared" si="22"/>
        <v>0</v>
      </c>
      <c r="DK9" s="63">
        <f t="shared" si="22"/>
        <v>0</v>
      </c>
      <c r="DL9" s="63">
        <f t="shared" si="22"/>
        <v>0</v>
      </c>
      <c r="DM9" s="63">
        <f t="shared" si="22"/>
        <v>0</v>
      </c>
      <c r="DN9" s="63">
        <f t="shared" si="22"/>
        <v>0</v>
      </c>
      <c r="DO9" s="63">
        <f t="shared" si="22"/>
        <v>0</v>
      </c>
      <c r="DP9" s="63">
        <f t="shared" si="22"/>
        <v>0</v>
      </c>
      <c r="DQ9" s="63">
        <f t="shared" si="22"/>
        <v>0</v>
      </c>
      <c r="DR9" s="63">
        <f t="shared" si="22"/>
        <v>0</v>
      </c>
      <c r="DS9" s="63">
        <f t="shared" si="23"/>
        <v>0</v>
      </c>
      <c r="DT9" s="63">
        <f t="shared" si="23"/>
        <v>0</v>
      </c>
      <c r="DU9" s="63">
        <f t="shared" si="23"/>
        <v>0</v>
      </c>
      <c r="DV9" s="63">
        <f t="shared" si="23"/>
        <v>0</v>
      </c>
      <c r="DW9" s="63">
        <f t="shared" si="23"/>
        <v>0</v>
      </c>
      <c r="DX9" s="63">
        <f t="shared" si="23"/>
        <v>0</v>
      </c>
      <c r="DY9" s="63">
        <f t="shared" si="23"/>
        <v>0</v>
      </c>
      <c r="DZ9" s="63">
        <f t="shared" si="23"/>
        <v>0</v>
      </c>
      <c r="EA9" s="63">
        <f t="shared" si="23"/>
        <v>0</v>
      </c>
      <c r="EB9" s="63">
        <f t="shared" si="23"/>
        <v>0</v>
      </c>
      <c r="EC9" s="63">
        <f t="shared" si="24"/>
        <v>0</v>
      </c>
      <c r="ED9" s="63">
        <f t="shared" si="24"/>
        <v>0</v>
      </c>
      <c r="EE9" s="63">
        <f t="shared" si="24"/>
        <v>0</v>
      </c>
      <c r="EF9" s="63">
        <f t="shared" si="24"/>
        <v>0</v>
      </c>
      <c r="EG9" s="63">
        <f t="shared" si="24"/>
        <v>0</v>
      </c>
      <c r="EH9" s="63">
        <f t="shared" si="24"/>
        <v>0</v>
      </c>
      <c r="EI9" s="63">
        <f t="shared" si="24"/>
        <v>0</v>
      </c>
      <c r="EJ9" s="63">
        <f t="shared" si="24"/>
        <v>0</v>
      </c>
      <c r="EK9" s="63">
        <f t="shared" si="24"/>
        <v>0</v>
      </c>
      <c r="EL9" s="63">
        <f t="shared" si="24"/>
        <v>0</v>
      </c>
      <c r="EM9" s="63">
        <f t="shared" si="24"/>
        <v>0</v>
      </c>
      <c r="EN9" s="63">
        <f t="shared" si="24"/>
        <v>0</v>
      </c>
      <c r="EO9" s="63">
        <f t="shared" si="24"/>
        <v>0</v>
      </c>
    </row>
    <row r="10" spans="2:145" x14ac:dyDescent="0.45">
      <c r="B10" s="81">
        <f t="shared" si="15"/>
        <v>500</v>
      </c>
      <c r="C10" s="81" t="s">
        <v>97</v>
      </c>
      <c r="E10" s="83">
        <v>1</v>
      </c>
      <c r="F10" s="85">
        <v>0</v>
      </c>
      <c r="G10" s="87">
        <v>0</v>
      </c>
      <c r="H10" s="94">
        <v>0.01</v>
      </c>
      <c r="I10" s="88">
        <v>0</v>
      </c>
      <c r="J10" s="63">
        <f t="shared" si="16"/>
        <v>0</v>
      </c>
      <c r="L10" s="63">
        <f t="shared" si="17"/>
        <v>0</v>
      </c>
      <c r="M10" s="63">
        <f t="shared" si="10"/>
        <v>0</v>
      </c>
      <c r="N10" s="63">
        <f t="shared" si="10"/>
        <v>0</v>
      </c>
      <c r="O10" s="63">
        <f t="shared" si="10"/>
        <v>0</v>
      </c>
      <c r="P10" s="63">
        <f t="shared" si="10"/>
        <v>0</v>
      </c>
      <c r="Q10" s="63">
        <f t="shared" si="10"/>
        <v>0</v>
      </c>
      <c r="R10" s="63">
        <f t="shared" si="10"/>
        <v>0</v>
      </c>
      <c r="S10" s="63">
        <f t="shared" si="10"/>
        <v>0</v>
      </c>
      <c r="T10" s="63">
        <f t="shared" si="10"/>
        <v>0</v>
      </c>
      <c r="U10" s="63">
        <f t="shared" si="10"/>
        <v>0</v>
      </c>
      <c r="V10" s="63">
        <f t="shared" si="10"/>
        <v>0</v>
      </c>
      <c r="W10" s="63">
        <f t="shared" si="10"/>
        <v>0</v>
      </c>
      <c r="X10" s="63">
        <f t="shared" si="10"/>
        <v>0</v>
      </c>
      <c r="Y10" s="63">
        <f t="shared" si="10"/>
        <v>0</v>
      </c>
      <c r="Z10" s="63">
        <f t="shared" si="10"/>
        <v>0</v>
      </c>
      <c r="AA10" s="63">
        <f t="shared" si="10"/>
        <v>0</v>
      </c>
      <c r="AB10" s="63">
        <f t="shared" si="10"/>
        <v>0</v>
      </c>
      <c r="AC10" s="63">
        <f t="shared" si="19"/>
        <v>0</v>
      </c>
      <c r="AD10" s="63">
        <f t="shared" si="19"/>
        <v>0</v>
      </c>
      <c r="AE10" s="63">
        <f t="shared" si="19"/>
        <v>0</v>
      </c>
      <c r="AF10" s="63">
        <f t="shared" si="19"/>
        <v>0</v>
      </c>
      <c r="AG10" s="63">
        <f t="shared" si="19"/>
        <v>0</v>
      </c>
      <c r="AH10" s="63">
        <f t="shared" si="19"/>
        <v>0</v>
      </c>
      <c r="AI10" s="63">
        <f t="shared" si="19"/>
        <v>0</v>
      </c>
      <c r="AJ10" s="63">
        <f t="shared" si="19"/>
        <v>0</v>
      </c>
      <c r="AK10" s="63">
        <f t="shared" si="19"/>
        <v>0</v>
      </c>
      <c r="AL10" s="63">
        <f t="shared" si="19"/>
        <v>0</v>
      </c>
      <c r="AM10" s="63">
        <f t="shared" si="19"/>
        <v>0</v>
      </c>
      <c r="AN10" s="63">
        <f t="shared" si="19"/>
        <v>0</v>
      </c>
      <c r="AO10" s="63">
        <f t="shared" si="19"/>
        <v>0</v>
      </c>
      <c r="AP10" s="63">
        <f t="shared" si="19"/>
        <v>0</v>
      </c>
      <c r="AQ10" s="63">
        <f t="shared" si="19"/>
        <v>0</v>
      </c>
      <c r="AR10" s="63">
        <f t="shared" si="19"/>
        <v>0</v>
      </c>
      <c r="AS10" s="63">
        <f t="shared" si="19"/>
        <v>0</v>
      </c>
      <c r="AT10" s="63">
        <f t="shared" si="19"/>
        <v>0</v>
      </c>
      <c r="AU10" s="63">
        <f t="shared" si="19"/>
        <v>0</v>
      </c>
      <c r="AV10" s="63">
        <f t="shared" si="19"/>
        <v>0</v>
      </c>
      <c r="AW10" s="63">
        <f t="shared" si="19"/>
        <v>0</v>
      </c>
      <c r="AX10" s="63">
        <f t="shared" si="19"/>
        <v>0</v>
      </c>
      <c r="AY10" s="63">
        <f t="shared" si="19"/>
        <v>0</v>
      </c>
      <c r="AZ10" s="63">
        <f t="shared" si="19"/>
        <v>0</v>
      </c>
      <c r="BA10" s="63">
        <f t="shared" si="19"/>
        <v>0</v>
      </c>
      <c r="BB10" s="63">
        <f t="shared" si="19"/>
        <v>0</v>
      </c>
      <c r="BC10" s="63">
        <f t="shared" si="19"/>
        <v>0</v>
      </c>
      <c r="BD10" s="63">
        <f t="shared" si="19"/>
        <v>0</v>
      </c>
      <c r="BE10" s="63">
        <f t="shared" si="19"/>
        <v>0</v>
      </c>
      <c r="BF10" s="63">
        <f t="shared" si="19"/>
        <v>0</v>
      </c>
      <c r="BG10" s="63">
        <f t="shared" si="19"/>
        <v>0</v>
      </c>
      <c r="BH10" s="63">
        <f t="shared" si="19"/>
        <v>0</v>
      </c>
      <c r="BI10" s="63">
        <f t="shared" si="19"/>
        <v>0</v>
      </c>
      <c r="BJ10" s="63">
        <f t="shared" si="19"/>
        <v>0</v>
      </c>
      <c r="BK10" s="63">
        <f t="shared" si="19"/>
        <v>0</v>
      </c>
      <c r="BL10" s="63">
        <f t="shared" si="19"/>
        <v>0</v>
      </c>
      <c r="BM10" s="63">
        <f t="shared" si="19"/>
        <v>0</v>
      </c>
      <c r="BN10" s="63">
        <f t="shared" si="19"/>
        <v>0</v>
      </c>
      <c r="BO10" s="63">
        <f t="shared" si="19"/>
        <v>0</v>
      </c>
      <c r="BP10" s="63">
        <f t="shared" si="19"/>
        <v>0</v>
      </c>
      <c r="BQ10" s="63">
        <f t="shared" si="19"/>
        <v>0</v>
      </c>
      <c r="BR10" s="63">
        <f t="shared" si="19"/>
        <v>0</v>
      </c>
      <c r="BS10" s="63">
        <f t="shared" si="19"/>
        <v>0</v>
      </c>
      <c r="BT10" s="63">
        <f t="shared" si="19"/>
        <v>0</v>
      </c>
      <c r="BU10" s="63">
        <f t="shared" si="19"/>
        <v>0</v>
      </c>
      <c r="BV10" s="63">
        <f t="shared" si="19"/>
        <v>0</v>
      </c>
      <c r="BW10" s="63">
        <f t="shared" si="19"/>
        <v>0</v>
      </c>
      <c r="BX10" s="63">
        <f t="shared" si="19"/>
        <v>0</v>
      </c>
      <c r="BY10" s="63">
        <f t="shared" si="19"/>
        <v>0</v>
      </c>
      <c r="BZ10" s="63">
        <f t="shared" si="19"/>
        <v>0</v>
      </c>
      <c r="CA10" s="63">
        <f t="shared" si="19"/>
        <v>0</v>
      </c>
      <c r="CB10" s="63">
        <f t="shared" si="19"/>
        <v>0</v>
      </c>
      <c r="CC10" s="63">
        <f t="shared" si="19"/>
        <v>0</v>
      </c>
      <c r="CD10" s="63">
        <f t="shared" si="19"/>
        <v>0</v>
      </c>
      <c r="CE10" s="63">
        <f t="shared" si="19"/>
        <v>0</v>
      </c>
      <c r="CF10" s="63">
        <f t="shared" si="19"/>
        <v>0</v>
      </c>
      <c r="CG10" s="63">
        <f t="shared" si="19"/>
        <v>0</v>
      </c>
      <c r="CH10" s="63">
        <f t="shared" si="19"/>
        <v>0</v>
      </c>
      <c r="CI10" s="63">
        <f t="shared" si="19"/>
        <v>0</v>
      </c>
      <c r="CJ10" s="63">
        <f t="shared" si="19"/>
        <v>0</v>
      </c>
      <c r="CK10" s="63">
        <f t="shared" si="19"/>
        <v>0</v>
      </c>
      <c r="CL10" s="63">
        <f t="shared" si="19"/>
        <v>0</v>
      </c>
      <c r="CM10" s="63">
        <f t="shared" si="19"/>
        <v>0</v>
      </c>
      <c r="CN10" s="63">
        <f t="shared" ref="CN10:DC18" si="25">($G10&lt;=CN$5)*($J10/12)*(1+$H10)^(ROUNDUP(MAX(CN$5-$G10+1,0)/12,0)-1)</f>
        <v>0</v>
      </c>
      <c r="CO10" s="63">
        <f t="shared" si="25"/>
        <v>0</v>
      </c>
      <c r="CP10" s="63">
        <f t="shared" si="25"/>
        <v>0</v>
      </c>
      <c r="CQ10" s="63">
        <f t="shared" si="25"/>
        <v>0</v>
      </c>
      <c r="CR10" s="63">
        <f t="shared" si="25"/>
        <v>0</v>
      </c>
      <c r="CS10" s="63">
        <f t="shared" si="25"/>
        <v>0</v>
      </c>
      <c r="CT10" s="63">
        <f t="shared" si="25"/>
        <v>0</v>
      </c>
      <c r="CU10" s="63">
        <f t="shared" si="25"/>
        <v>0</v>
      </c>
      <c r="CV10" s="63">
        <f t="shared" si="25"/>
        <v>0</v>
      </c>
      <c r="CW10" s="63">
        <f t="shared" si="25"/>
        <v>0</v>
      </c>
      <c r="CX10" s="63">
        <f t="shared" si="25"/>
        <v>0</v>
      </c>
      <c r="CY10" s="63">
        <f t="shared" si="25"/>
        <v>0</v>
      </c>
      <c r="CZ10" s="63">
        <f t="shared" si="25"/>
        <v>0</v>
      </c>
      <c r="DA10" s="63">
        <f t="shared" si="25"/>
        <v>0</v>
      </c>
      <c r="DB10" s="63">
        <f t="shared" si="25"/>
        <v>0</v>
      </c>
      <c r="DC10" s="63">
        <f t="shared" si="25"/>
        <v>0</v>
      </c>
      <c r="DD10" s="63">
        <f t="shared" ref="DD10:EC10" si="26">($G10&lt;=DD$5)*($J10/12)*(1+$H10)^(ROUNDUP(MAX(DD$5-$G10+1,0)/12,0)-1)</f>
        <v>0</v>
      </c>
      <c r="DE10" s="63">
        <f t="shared" si="26"/>
        <v>0</v>
      </c>
      <c r="DF10" s="63">
        <f t="shared" si="26"/>
        <v>0</v>
      </c>
      <c r="DG10" s="63">
        <f t="shared" si="26"/>
        <v>0</v>
      </c>
      <c r="DH10" s="63">
        <f t="shared" si="26"/>
        <v>0</v>
      </c>
      <c r="DI10" s="63">
        <f t="shared" si="26"/>
        <v>0</v>
      </c>
      <c r="DJ10" s="63">
        <f t="shared" si="26"/>
        <v>0</v>
      </c>
      <c r="DK10" s="63">
        <f t="shared" si="26"/>
        <v>0</v>
      </c>
      <c r="DL10" s="63">
        <f t="shared" si="26"/>
        <v>0</v>
      </c>
      <c r="DM10" s="63">
        <f t="shared" si="26"/>
        <v>0</v>
      </c>
      <c r="DN10" s="63">
        <f t="shared" si="26"/>
        <v>0</v>
      </c>
      <c r="DO10" s="63">
        <f t="shared" si="26"/>
        <v>0</v>
      </c>
      <c r="DP10" s="63">
        <f t="shared" si="26"/>
        <v>0</v>
      </c>
      <c r="DQ10" s="63">
        <f t="shared" si="26"/>
        <v>0</v>
      </c>
      <c r="DR10" s="63">
        <f t="shared" si="26"/>
        <v>0</v>
      </c>
      <c r="DS10" s="63">
        <f t="shared" si="26"/>
        <v>0</v>
      </c>
      <c r="DT10" s="63">
        <f t="shared" si="26"/>
        <v>0</v>
      </c>
      <c r="DU10" s="63">
        <f t="shared" si="26"/>
        <v>0</v>
      </c>
      <c r="DV10" s="63">
        <f t="shared" si="26"/>
        <v>0</v>
      </c>
      <c r="DW10" s="63">
        <f t="shared" si="26"/>
        <v>0</v>
      </c>
      <c r="DX10" s="63">
        <f t="shared" si="26"/>
        <v>0</v>
      </c>
      <c r="DY10" s="63">
        <f t="shared" si="26"/>
        <v>0</v>
      </c>
      <c r="DZ10" s="63">
        <f t="shared" si="26"/>
        <v>0</v>
      </c>
      <c r="EA10" s="63">
        <f t="shared" si="26"/>
        <v>0</v>
      </c>
      <c r="EB10" s="63">
        <f t="shared" si="26"/>
        <v>0</v>
      </c>
      <c r="EC10" s="63">
        <f t="shared" si="26"/>
        <v>0</v>
      </c>
      <c r="ED10" s="63">
        <f t="shared" ref="DE10:EO17" si="27">($G10&lt;=ED$5)*($J10/12)*(1+$H10)^(ROUNDUP(MAX(ED$5-$G10+1,0)/12,0)-1)</f>
        <v>0</v>
      </c>
      <c r="EE10" s="63">
        <f t="shared" si="27"/>
        <v>0</v>
      </c>
      <c r="EF10" s="63">
        <f t="shared" si="27"/>
        <v>0</v>
      </c>
      <c r="EG10" s="63">
        <f t="shared" si="27"/>
        <v>0</v>
      </c>
      <c r="EH10" s="63">
        <f t="shared" si="27"/>
        <v>0</v>
      </c>
      <c r="EI10" s="63">
        <f t="shared" si="27"/>
        <v>0</v>
      </c>
      <c r="EJ10" s="63">
        <f t="shared" si="27"/>
        <v>0</v>
      </c>
      <c r="EK10" s="63">
        <f t="shared" si="27"/>
        <v>0</v>
      </c>
      <c r="EL10" s="63">
        <f t="shared" si="27"/>
        <v>0</v>
      </c>
      <c r="EM10" s="63">
        <f t="shared" si="27"/>
        <v>0</v>
      </c>
      <c r="EN10" s="63">
        <f t="shared" si="27"/>
        <v>0</v>
      </c>
      <c r="EO10" s="63">
        <f t="shared" si="27"/>
        <v>0</v>
      </c>
    </row>
    <row r="11" spans="2:145" x14ac:dyDescent="0.45">
      <c r="B11" s="81">
        <f t="shared" si="15"/>
        <v>600</v>
      </c>
      <c r="C11" s="81" t="s">
        <v>97</v>
      </c>
      <c r="E11" s="83">
        <v>1</v>
      </c>
      <c r="F11" s="85">
        <v>0</v>
      </c>
      <c r="G11" s="87">
        <v>0</v>
      </c>
      <c r="H11" s="94">
        <v>0.01</v>
      </c>
      <c r="I11" s="88">
        <v>0</v>
      </c>
      <c r="J11" s="63">
        <f t="shared" si="16"/>
        <v>0</v>
      </c>
      <c r="L11" s="63">
        <f t="shared" si="17"/>
        <v>0</v>
      </c>
      <c r="M11" s="63">
        <f t="shared" si="10"/>
        <v>0</v>
      </c>
      <c r="N11" s="63">
        <f t="shared" si="10"/>
        <v>0</v>
      </c>
      <c r="O11" s="63">
        <f t="shared" si="10"/>
        <v>0</v>
      </c>
      <c r="P11" s="63">
        <f t="shared" si="10"/>
        <v>0</v>
      </c>
      <c r="Q11" s="63">
        <f t="shared" si="10"/>
        <v>0</v>
      </c>
      <c r="R11" s="63">
        <f t="shared" si="10"/>
        <v>0</v>
      </c>
      <c r="S11" s="63">
        <f t="shared" si="10"/>
        <v>0</v>
      </c>
      <c r="T11" s="63">
        <f t="shared" si="10"/>
        <v>0</v>
      </c>
      <c r="U11" s="63">
        <f t="shared" si="10"/>
        <v>0</v>
      </c>
      <c r="V11" s="63">
        <f t="shared" si="10"/>
        <v>0</v>
      </c>
      <c r="W11" s="63">
        <f t="shared" si="10"/>
        <v>0</v>
      </c>
      <c r="X11" s="63">
        <f t="shared" si="10"/>
        <v>0</v>
      </c>
      <c r="Y11" s="63">
        <f t="shared" si="10"/>
        <v>0</v>
      </c>
      <c r="Z11" s="63">
        <f t="shared" si="10"/>
        <v>0</v>
      </c>
      <c r="AA11" s="63">
        <f t="shared" si="10"/>
        <v>0</v>
      </c>
      <c r="AB11" s="63">
        <f t="shared" si="10"/>
        <v>0</v>
      </c>
      <c r="AC11" s="63">
        <f t="shared" si="10"/>
        <v>0</v>
      </c>
      <c r="AD11" s="63">
        <f t="shared" ref="AD11:AS18" si="28">($G11&lt;=AD$5)*($J11/12)*(1+$H11)^(ROUNDUP(MAX(AD$5-$G11+1,0)/12,0)-1)</f>
        <v>0</v>
      </c>
      <c r="AE11" s="63">
        <f t="shared" si="28"/>
        <v>0</v>
      </c>
      <c r="AF11" s="63">
        <f t="shared" si="28"/>
        <v>0</v>
      </c>
      <c r="AG11" s="63">
        <f t="shared" si="28"/>
        <v>0</v>
      </c>
      <c r="AH11" s="63">
        <f t="shared" si="28"/>
        <v>0</v>
      </c>
      <c r="AI11" s="63">
        <f t="shared" si="28"/>
        <v>0</v>
      </c>
      <c r="AJ11" s="63">
        <f t="shared" si="28"/>
        <v>0</v>
      </c>
      <c r="AK11" s="63">
        <f t="shared" si="28"/>
        <v>0</v>
      </c>
      <c r="AL11" s="63">
        <f t="shared" si="28"/>
        <v>0</v>
      </c>
      <c r="AM11" s="63">
        <f t="shared" si="28"/>
        <v>0</v>
      </c>
      <c r="AN11" s="63">
        <f t="shared" si="28"/>
        <v>0</v>
      </c>
      <c r="AO11" s="63">
        <f t="shared" si="28"/>
        <v>0</v>
      </c>
      <c r="AP11" s="63">
        <f t="shared" si="28"/>
        <v>0</v>
      </c>
      <c r="AQ11" s="63">
        <f t="shared" si="28"/>
        <v>0</v>
      </c>
      <c r="AR11" s="63">
        <f t="shared" si="28"/>
        <v>0</v>
      </c>
      <c r="AS11" s="63">
        <f t="shared" si="28"/>
        <v>0</v>
      </c>
      <c r="AT11" s="63">
        <f t="shared" ref="AT11:BI18" si="29">($G11&lt;=AT$5)*($J11/12)*(1+$H11)^(ROUNDUP(MAX(AT$5-$G11+1,0)/12,0)-1)</f>
        <v>0</v>
      </c>
      <c r="AU11" s="63">
        <f t="shared" si="29"/>
        <v>0</v>
      </c>
      <c r="AV11" s="63">
        <f t="shared" si="29"/>
        <v>0</v>
      </c>
      <c r="AW11" s="63">
        <f t="shared" si="29"/>
        <v>0</v>
      </c>
      <c r="AX11" s="63">
        <f t="shared" si="29"/>
        <v>0</v>
      </c>
      <c r="AY11" s="63">
        <f t="shared" si="29"/>
        <v>0</v>
      </c>
      <c r="AZ11" s="63">
        <f t="shared" si="29"/>
        <v>0</v>
      </c>
      <c r="BA11" s="63">
        <f t="shared" si="29"/>
        <v>0</v>
      </c>
      <c r="BB11" s="63">
        <f t="shared" si="29"/>
        <v>0</v>
      </c>
      <c r="BC11" s="63">
        <f t="shared" si="29"/>
        <v>0</v>
      </c>
      <c r="BD11" s="63">
        <f t="shared" si="29"/>
        <v>0</v>
      </c>
      <c r="BE11" s="63">
        <f t="shared" si="29"/>
        <v>0</v>
      </c>
      <c r="BF11" s="63">
        <f t="shared" si="29"/>
        <v>0</v>
      </c>
      <c r="BG11" s="63">
        <f t="shared" si="29"/>
        <v>0</v>
      </c>
      <c r="BH11" s="63">
        <f t="shared" si="29"/>
        <v>0</v>
      </c>
      <c r="BI11" s="63">
        <f t="shared" si="29"/>
        <v>0</v>
      </c>
      <c r="BJ11" s="63">
        <f t="shared" ref="BJ11:BY18" si="30">($G11&lt;=BJ$5)*($J11/12)*(1+$H11)^(ROUNDUP(MAX(BJ$5-$G11+1,0)/12,0)-1)</f>
        <v>0</v>
      </c>
      <c r="BK11" s="63">
        <f t="shared" si="30"/>
        <v>0</v>
      </c>
      <c r="BL11" s="63">
        <f t="shared" si="30"/>
        <v>0</v>
      </c>
      <c r="BM11" s="63">
        <f t="shared" si="30"/>
        <v>0</v>
      </c>
      <c r="BN11" s="63">
        <f t="shared" si="30"/>
        <v>0</v>
      </c>
      <c r="BO11" s="63">
        <f t="shared" si="30"/>
        <v>0</v>
      </c>
      <c r="BP11" s="63">
        <f t="shared" si="30"/>
        <v>0</v>
      </c>
      <c r="BQ11" s="63">
        <f t="shared" si="30"/>
        <v>0</v>
      </c>
      <c r="BR11" s="63">
        <f t="shared" si="30"/>
        <v>0</v>
      </c>
      <c r="BS11" s="63">
        <f t="shared" si="30"/>
        <v>0</v>
      </c>
      <c r="BT11" s="63">
        <f t="shared" si="30"/>
        <v>0</v>
      </c>
      <c r="BU11" s="63">
        <f t="shared" si="30"/>
        <v>0</v>
      </c>
      <c r="BV11" s="63">
        <f t="shared" si="30"/>
        <v>0</v>
      </c>
      <c r="BW11" s="63">
        <f t="shared" si="30"/>
        <v>0</v>
      </c>
      <c r="BX11" s="63">
        <f t="shared" si="30"/>
        <v>0</v>
      </c>
      <c r="BY11" s="63">
        <f t="shared" si="30"/>
        <v>0</v>
      </c>
      <c r="BZ11" s="63">
        <f t="shared" ref="BZ11:CM18" si="31">($G11&lt;=BZ$5)*($J11/12)*(1+$H11)^(ROUNDUP(MAX(BZ$5-$G11+1,0)/12,0)-1)</f>
        <v>0</v>
      </c>
      <c r="CA11" s="63">
        <f t="shared" si="31"/>
        <v>0</v>
      </c>
      <c r="CB11" s="63">
        <f t="shared" si="31"/>
        <v>0</v>
      </c>
      <c r="CC11" s="63">
        <f t="shared" si="31"/>
        <v>0</v>
      </c>
      <c r="CD11" s="63">
        <f t="shared" si="31"/>
        <v>0</v>
      </c>
      <c r="CE11" s="63">
        <f t="shared" si="31"/>
        <v>0</v>
      </c>
      <c r="CF11" s="63">
        <f t="shared" si="31"/>
        <v>0</v>
      </c>
      <c r="CG11" s="63">
        <f t="shared" si="31"/>
        <v>0</v>
      </c>
      <c r="CH11" s="63">
        <f t="shared" si="31"/>
        <v>0</v>
      </c>
      <c r="CI11" s="63">
        <f t="shared" si="31"/>
        <v>0</v>
      </c>
      <c r="CJ11" s="63">
        <f t="shared" si="31"/>
        <v>0</v>
      </c>
      <c r="CK11" s="63">
        <f t="shared" si="31"/>
        <v>0</v>
      </c>
      <c r="CL11" s="63">
        <f t="shared" si="31"/>
        <v>0</v>
      </c>
      <c r="CM11" s="63">
        <f t="shared" si="31"/>
        <v>0</v>
      </c>
      <c r="CN11" s="63">
        <f t="shared" si="25"/>
        <v>0</v>
      </c>
      <c r="CO11" s="63">
        <f t="shared" si="25"/>
        <v>0</v>
      </c>
      <c r="CP11" s="63">
        <f t="shared" si="25"/>
        <v>0</v>
      </c>
      <c r="CQ11" s="63">
        <f t="shared" si="25"/>
        <v>0</v>
      </c>
      <c r="CR11" s="63">
        <f t="shared" si="25"/>
        <v>0</v>
      </c>
      <c r="CS11" s="63">
        <f t="shared" si="25"/>
        <v>0</v>
      </c>
      <c r="CT11" s="63">
        <f t="shared" si="25"/>
        <v>0</v>
      </c>
      <c r="CU11" s="63">
        <f t="shared" si="25"/>
        <v>0</v>
      </c>
      <c r="CV11" s="63">
        <f t="shared" si="25"/>
        <v>0</v>
      </c>
      <c r="CW11" s="63">
        <f t="shared" si="25"/>
        <v>0</v>
      </c>
      <c r="CX11" s="63">
        <f t="shared" si="25"/>
        <v>0</v>
      </c>
      <c r="CY11" s="63">
        <f t="shared" si="25"/>
        <v>0</v>
      </c>
      <c r="CZ11" s="63">
        <f t="shared" si="25"/>
        <v>0</v>
      </c>
      <c r="DA11" s="63">
        <f t="shared" si="25"/>
        <v>0</v>
      </c>
      <c r="DB11" s="63">
        <f t="shared" si="25"/>
        <v>0</v>
      </c>
      <c r="DC11" s="63">
        <f t="shared" si="25"/>
        <v>0</v>
      </c>
      <c r="DD11" s="63">
        <f t="shared" ref="DD11:DD18" si="32">($G11&lt;=DD$5)*($J11/12)*(1+$H11)^(ROUNDUP(MAX(DD$5-$G11+1,0)/12,0)-1)</f>
        <v>0</v>
      </c>
      <c r="DE11" s="63">
        <f t="shared" si="27"/>
        <v>0</v>
      </c>
      <c r="DF11" s="63">
        <f t="shared" si="27"/>
        <v>0</v>
      </c>
      <c r="DG11" s="63">
        <f t="shared" si="27"/>
        <v>0</v>
      </c>
      <c r="DH11" s="63">
        <f t="shared" si="27"/>
        <v>0</v>
      </c>
      <c r="DI11" s="63">
        <f t="shared" si="27"/>
        <v>0</v>
      </c>
      <c r="DJ11" s="63">
        <f t="shared" si="27"/>
        <v>0</v>
      </c>
      <c r="DK11" s="63">
        <f t="shared" si="27"/>
        <v>0</v>
      </c>
      <c r="DL11" s="63">
        <f t="shared" si="27"/>
        <v>0</v>
      </c>
      <c r="DM11" s="63">
        <f t="shared" si="27"/>
        <v>0</v>
      </c>
      <c r="DN11" s="63">
        <f t="shared" si="27"/>
        <v>0</v>
      </c>
      <c r="DO11" s="63">
        <f t="shared" si="27"/>
        <v>0</v>
      </c>
      <c r="DP11" s="63">
        <f t="shared" si="27"/>
        <v>0</v>
      </c>
      <c r="DQ11" s="63">
        <f t="shared" si="27"/>
        <v>0</v>
      </c>
      <c r="DR11" s="63">
        <f t="shared" si="27"/>
        <v>0</v>
      </c>
      <c r="DS11" s="63">
        <f t="shared" si="27"/>
        <v>0</v>
      </c>
      <c r="DT11" s="63">
        <f t="shared" si="27"/>
        <v>0</v>
      </c>
      <c r="DU11" s="63">
        <f t="shared" si="27"/>
        <v>0</v>
      </c>
      <c r="DV11" s="63">
        <f t="shared" si="27"/>
        <v>0</v>
      </c>
      <c r="DW11" s="63">
        <f t="shared" si="27"/>
        <v>0</v>
      </c>
      <c r="DX11" s="63">
        <f t="shared" si="27"/>
        <v>0</v>
      </c>
      <c r="DY11" s="63">
        <f t="shared" si="27"/>
        <v>0</v>
      </c>
      <c r="DZ11" s="63">
        <f t="shared" si="27"/>
        <v>0</v>
      </c>
      <c r="EA11" s="63">
        <f t="shared" si="27"/>
        <v>0</v>
      </c>
      <c r="EB11" s="63">
        <f t="shared" si="27"/>
        <v>0</v>
      </c>
      <c r="EC11" s="63">
        <f t="shared" si="27"/>
        <v>0</v>
      </c>
      <c r="ED11" s="63">
        <f t="shared" si="27"/>
        <v>0</v>
      </c>
      <c r="EE11" s="63">
        <f t="shared" si="27"/>
        <v>0</v>
      </c>
      <c r="EF11" s="63">
        <f t="shared" si="27"/>
        <v>0</v>
      </c>
      <c r="EG11" s="63">
        <f t="shared" si="27"/>
        <v>0</v>
      </c>
      <c r="EH11" s="63">
        <f t="shared" si="27"/>
        <v>0</v>
      </c>
      <c r="EI11" s="63">
        <f t="shared" si="27"/>
        <v>0</v>
      </c>
      <c r="EJ11" s="63">
        <f t="shared" si="27"/>
        <v>0</v>
      </c>
      <c r="EK11" s="63">
        <f t="shared" si="27"/>
        <v>0</v>
      </c>
      <c r="EL11" s="63">
        <f t="shared" si="27"/>
        <v>0</v>
      </c>
      <c r="EM11" s="63">
        <f t="shared" si="27"/>
        <v>0</v>
      </c>
      <c r="EN11" s="63">
        <f t="shared" si="27"/>
        <v>0</v>
      </c>
      <c r="EO11" s="63">
        <f t="shared" si="27"/>
        <v>0</v>
      </c>
    </row>
    <row r="12" spans="2:145" x14ac:dyDescent="0.45">
      <c r="B12" s="81">
        <f t="shared" si="15"/>
        <v>700</v>
      </c>
      <c r="C12" s="81" t="s">
        <v>97</v>
      </c>
      <c r="E12" s="83">
        <v>1</v>
      </c>
      <c r="F12" s="85">
        <v>0</v>
      </c>
      <c r="G12" s="87">
        <v>0</v>
      </c>
      <c r="H12" s="94">
        <v>0.01</v>
      </c>
      <c r="I12" s="88">
        <v>0</v>
      </c>
      <c r="J12" s="63">
        <f t="shared" si="16"/>
        <v>0</v>
      </c>
      <c r="L12" s="63">
        <f t="shared" si="17"/>
        <v>0</v>
      </c>
      <c r="M12" s="63">
        <f t="shared" si="10"/>
        <v>0</v>
      </c>
      <c r="N12" s="63">
        <f t="shared" si="10"/>
        <v>0</v>
      </c>
      <c r="O12" s="63">
        <f t="shared" si="10"/>
        <v>0</v>
      </c>
      <c r="P12" s="63">
        <f t="shared" si="10"/>
        <v>0</v>
      </c>
      <c r="Q12" s="63">
        <f t="shared" si="10"/>
        <v>0</v>
      </c>
      <c r="R12" s="63">
        <f t="shared" si="10"/>
        <v>0</v>
      </c>
      <c r="S12" s="63">
        <f t="shared" si="10"/>
        <v>0</v>
      </c>
      <c r="T12" s="63">
        <f t="shared" si="10"/>
        <v>0</v>
      </c>
      <c r="U12" s="63">
        <f t="shared" si="10"/>
        <v>0</v>
      </c>
      <c r="V12" s="63">
        <f t="shared" si="10"/>
        <v>0</v>
      </c>
      <c r="W12" s="63">
        <f t="shared" si="10"/>
        <v>0</v>
      </c>
      <c r="X12" s="63">
        <f t="shared" si="10"/>
        <v>0</v>
      </c>
      <c r="Y12" s="63">
        <f t="shared" si="10"/>
        <v>0</v>
      </c>
      <c r="Z12" s="63">
        <f t="shared" si="10"/>
        <v>0</v>
      </c>
      <c r="AA12" s="63">
        <f t="shared" si="10"/>
        <v>0</v>
      </c>
      <c r="AB12" s="63">
        <f t="shared" si="10"/>
        <v>0</v>
      </c>
      <c r="AC12" s="63">
        <f t="shared" si="10"/>
        <v>0</v>
      </c>
      <c r="AD12" s="63">
        <f t="shared" si="28"/>
        <v>0</v>
      </c>
      <c r="AE12" s="63">
        <f t="shared" si="28"/>
        <v>0</v>
      </c>
      <c r="AF12" s="63">
        <f t="shared" si="28"/>
        <v>0</v>
      </c>
      <c r="AG12" s="63">
        <f t="shared" si="28"/>
        <v>0</v>
      </c>
      <c r="AH12" s="63">
        <f t="shared" si="28"/>
        <v>0</v>
      </c>
      <c r="AI12" s="63">
        <f t="shared" si="28"/>
        <v>0</v>
      </c>
      <c r="AJ12" s="63">
        <f t="shared" si="28"/>
        <v>0</v>
      </c>
      <c r="AK12" s="63">
        <f t="shared" si="28"/>
        <v>0</v>
      </c>
      <c r="AL12" s="63">
        <f t="shared" si="28"/>
        <v>0</v>
      </c>
      <c r="AM12" s="63">
        <f t="shared" si="28"/>
        <v>0</v>
      </c>
      <c r="AN12" s="63">
        <f t="shared" si="28"/>
        <v>0</v>
      </c>
      <c r="AO12" s="63">
        <f t="shared" si="28"/>
        <v>0</v>
      </c>
      <c r="AP12" s="63">
        <f t="shared" si="28"/>
        <v>0</v>
      </c>
      <c r="AQ12" s="63">
        <f t="shared" si="28"/>
        <v>0</v>
      </c>
      <c r="AR12" s="63">
        <f t="shared" si="28"/>
        <v>0</v>
      </c>
      <c r="AS12" s="63">
        <f t="shared" si="28"/>
        <v>0</v>
      </c>
      <c r="AT12" s="63">
        <f t="shared" si="29"/>
        <v>0</v>
      </c>
      <c r="AU12" s="63">
        <f t="shared" si="29"/>
        <v>0</v>
      </c>
      <c r="AV12" s="63">
        <f t="shared" si="29"/>
        <v>0</v>
      </c>
      <c r="AW12" s="63">
        <f t="shared" si="29"/>
        <v>0</v>
      </c>
      <c r="AX12" s="63">
        <f t="shared" si="29"/>
        <v>0</v>
      </c>
      <c r="AY12" s="63">
        <f t="shared" si="29"/>
        <v>0</v>
      </c>
      <c r="AZ12" s="63">
        <f t="shared" si="29"/>
        <v>0</v>
      </c>
      <c r="BA12" s="63">
        <f t="shared" si="29"/>
        <v>0</v>
      </c>
      <c r="BB12" s="63">
        <f t="shared" si="29"/>
        <v>0</v>
      </c>
      <c r="BC12" s="63">
        <f t="shared" si="29"/>
        <v>0</v>
      </c>
      <c r="BD12" s="63">
        <f t="shared" si="29"/>
        <v>0</v>
      </c>
      <c r="BE12" s="63">
        <f t="shared" si="29"/>
        <v>0</v>
      </c>
      <c r="BF12" s="63">
        <f t="shared" si="29"/>
        <v>0</v>
      </c>
      <c r="BG12" s="63">
        <f t="shared" si="29"/>
        <v>0</v>
      </c>
      <c r="BH12" s="63">
        <f t="shared" si="29"/>
        <v>0</v>
      </c>
      <c r="BI12" s="63">
        <f t="shared" si="29"/>
        <v>0</v>
      </c>
      <c r="BJ12" s="63">
        <f t="shared" si="30"/>
        <v>0</v>
      </c>
      <c r="BK12" s="63">
        <f t="shared" si="30"/>
        <v>0</v>
      </c>
      <c r="BL12" s="63">
        <f t="shared" si="30"/>
        <v>0</v>
      </c>
      <c r="BM12" s="63">
        <f t="shared" si="30"/>
        <v>0</v>
      </c>
      <c r="BN12" s="63">
        <f t="shared" si="30"/>
        <v>0</v>
      </c>
      <c r="BO12" s="63">
        <f t="shared" si="30"/>
        <v>0</v>
      </c>
      <c r="BP12" s="63">
        <f t="shared" si="30"/>
        <v>0</v>
      </c>
      <c r="BQ12" s="63">
        <f t="shared" si="30"/>
        <v>0</v>
      </c>
      <c r="BR12" s="63">
        <f t="shared" si="30"/>
        <v>0</v>
      </c>
      <c r="BS12" s="63">
        <f t="shared" si="30"/>
        <v>0</v>
      </c>
      <c r="BT12" s="63">
        <f t="shared" si="30"/>
        <v>0</v>
      </c>
      <c r="BU12" s="63">
        <f t="shared" si="30"/>
        <v>0</v>
      </c>
      <c r="BV12" s="63">
        <f t="shared" si="30"/>
        <v>0</v>
      </c>
      <c r="BW12" s="63">
        <f t="shared" si="30"/>
        <v>0</v>
      </c>
      <c r="BX12" s="63">
        <f t="shared" si="30"/>
        <v>0</v>
      </c>
      <c r="BY12" s="63">
        <f t="shared" si="30"/>
        <v>0</v>
      </c>
      <c r="BZ12" s="63">
        <f t="shared" si="31"/>
        <v>0</v>
      </c>
      <c r="CA12" s="63">
        <f t="shared" si="31"/>
        <v>0</v>
      </c>
      <c r="CB12" s="63">
        <f t="shared" si="31"/>
        <v>0</v>
      </c>
      <c r="CC12" s="63">
        <f t="shared" si="31"/>
        <v>0</v>
      </c>
      <c r="CD12" s="63">
        <f t="shared" si="31"/>
        <v>0</v>
      </c>
      <c r="CE12" s="63">
        <f t="shared" si="31"/>
        <v>0</v>
      </c>
      <c r="CF12" s="63">
        <f t="shared" si="31"/>
        <v>0</v>
      </c>
      <c r="CG12" s="63">
        <f t="shared" si="31"/>
        <v>0</v>
      </c>
      <c r="CH12" s="63">
        <f t="shared" si="31"/>
        <v>0</v>
      </c>
      <c r="CI12" s="63">
        <f t="shared" si="31"/>
        <v>0</v>
      </c>
      <c r="CJ12" s="63">
        <f t="shared" si="31"/>
        <v>0</v>
      </c>
      <c r="CK12" s="63">
        <f t="shared" si="31"/>
        <v>0</v>
      </c>
      <c r="CL12" s="63">
        <f t="shared" si="31"/>
        <v>0</v>
      </c>
      <c r="CM12" s="63">
        <f t="shared" si="31"/>
        <v>0</v>
      </c>
      <c r="CN12" s="63">
        <f t="shared" si="25"/>
        <v>0</v>
      </c>
      <c r="CO12" s="63">
        <f t="shared" si="25"/>
        <v>0</v>
      </c>
      <c r="CP12" s="63">
        <f t="shared" si="25"/>
        <v>0</v>
      </c>
      <c r="CQ12" s="63">
        <f t="shared" si="25"/>
        <v>0</v>
      </c>
      <c r="CR12" s="63">
        <f t="shared" si="25"/>
        <v>0</v>
      </c>
      <c r="CS12" s="63">
        <f t="shared" si="25"/>
        <v>0</v>
      </c>
      <c r="CT12" s="63">
        <f t="shared" si="25"/>
        <v>0</v>
      </c>
      <c r="CU12" s="63">
        <f t="shared" si="25"/>
        <v>0</v>
      </c>
      <c r="CV12" s="63">
        <f t="shared" si="25"/>
        <v>0</v>
      </c>
      <c r="CW12" s="63">
        <f t="shared" si="25"/>
        <v>0</v>
      </c>
      <c r="CX12" s="63">
        <f t="shared" si="25"/>
        <v>0</v>
      </c>
      <c r="CY12" s="63">
        <f t="shared" si="25"/>
        <v>0</v>
      </c>
      <c r="CZ12" s="63">
        <f t="shared" si="25"/>
        <v>0</v>
      </c>
      <c r="DA12" s="63">
        <f t="shared" si="25"/>
        <v>0</v>
      </c>
      <c r="DB12" s="63">
        <f t="shared" si="25"/>
        <v>0</v>
      </c>
      <c r="DC12" s="63">
        <f t="shared" si="25"/>
        <v>0</v>
      </c>
      <c r="DD12" s="63">
        <f t="shared" si="32"/>
        <v>0</v>
      </c>
      <c r="DE12" s="63">
        <f t="shared" si="27"/>
        <v>0</v>
      </c>
      <c r="DF12" s="63">
        <f t="shared" si="27"/>
        <v>0</v>
      </c>
      <c r="DG12" s="63">
        <f t="shared" si="27"/>
        <v>0</v>
      </c>
      <c r="DH12" s="63">
        <f t="shared" si="27"/>
        <v>0</v>
      </c>
      <c r="DI12" s="63">
        <f t="shared" si="27"/>
        <v>0</v>
      </c>
      <c r="DJ12" s="63">
        <f t="shared" si="27"/>
        <v>0</v>
      </c>
      <c r="DK12" s="63">
        <f t="shared" si="27"/>
        <v>0</v>
      </c>
      <c r="DL12" s="63">
        <f t="shared" si="27"/>
        <v>0</v>
      </c>
      <c r="DM12" s="63">
        <f t="shared" si="27"/>
        <v>0</v>
      </c>
      <c r="DN12" s="63">
        <f t="shared" si="27"/>
        <v>0</v>
      </c>
      <c r="DO12" s="63">
        <f t="shared" si="27"/>
        <v>0</v>
      </c>
      <c r="DP12" s="63">
        <f t="shared" si="27"/>
        <v>0</v>
      </c>
      <c r="DQ12" s="63">
        <f t="shared" si="27"/>
        <v>0</v>
      </c>
      <c r="DR12" s="63">
        <f t="shared" si="27"/>
        <v>0</v>
      </c>
      <c r="DS12" s="63">
        <f t="shared" si="27"/>
        <v>0</v>
      </c>
      <c r="DT12" s="63">
        <f t="shared" si="27"/>
        <v>0</v>
      </c>
      <c r="DU12" s="63">
        <f t="shared" si="27"/>
        <v>0</v>
      </c>
      <c r="DV12" s="63">
        <f t="shared" si="27"/>
        <v>0</v>
      </c>
      <c r="DW12" s="63">
        <f t="shared" si="27"/>
        <v>0</v>
      </c>
      <c r="DX12" s="63">
        <f t="shared" si="27"/>
        <v>0</v>
      </c>
      <c r="DY12" s="63">
        <f t="shared" si="27"/>
        <v>0</v>
      </c>
      <c r="DZ12" s="63">
        <f t="shared" si="27"/>
        <v>0</v>
      </c>
      <c r="EA12" s="63">
        <f t="shared" si="27"/>
        <v>0</v>
      </c>
      <c r="EB12" s="63">
        <f t="shared" si="27"/>
        <v>0</v>
      </c>
      <c r="EC12" s="63">
        <f t="shared" si="27"/>
        <v>0</v>
      </c>
      <c r="ED12" s="63">
        <f t="shared" si="27"/>
        <v>0</v>
      </c>
      <c r="EE12" s="63">
        <f t="shared" si="27"/>
        <v>0</v>
      </c>
      <c r="EF12" s="63">
        <f t="shared" si="27"/>
        <v>0</v>
      </c>
      <c r="EG12" s="63">
        <f t="shared" si="27"/>
        <v>0</v>
      </c>
      <c r="EH12" s="63">
        <f t="shared" si="27"/>
        <v>0</v>
      </c>
      <c r="EI12" s="63">
        <f t="shared" si="27"/>
        <v>0</v>
      </c>
      <c r="EJ12" s="63">
        <f t="shared" si="27"/>
        <v>0</v>
      </c>
      <c r="EK12" s="63">
        <f t="shared" si="27"/>
        <v>0</v>
      </c>
      <c r="EL12" s="63">
        <f t="shared" si="27"/>
        <v>0</v>
      </c>
      <c r="EM12" s="63">
        <f t="shared" si="27"/>
        <v>0</v>
      </c>
      <c r="EN12" s="63">
        <f t="shared" si="27"/>
        <v>0</v>
      </c>
      <c r="EO12" s="63">
        <f t="shared" si="27"/>
        <v>0</v>
      </c>
    </row>
    <row r="13" spans="2:145" x14ac:dyDescent="0.45">
      <c r="B13" s="81">
        <f t="shared" si="15"/>
        <v>800</v>
      </c>
      <c r="C13" s="81" t="s">
        <v>97</v>
      </c>
      <c r="E13" s="83">
        <v>1</v>
      </c>
      <c r="F13" s="85">
        <v>0</v>
      </c>
      <c r="G13" s="87">
        <v>0</v>
      </c>
      <c r="H13" s="94">
        <v>0.01</v>
      </c>
      <c r="I13" s="88">
        <v>0</v>
      </c>
      <c r="J13" s="63">
        <f t="shared" si="16"/>
        <v>0</v>
      </c>
      <c r="L13" s="63">
        <f t="shared" si="17"/>
        <v>0</v>
      </c>
      <c r="M13" s="63">
        <f t="shared" si="10"/>
        <v>0</v>
      </c>
      <c r="N13" s="63">
        <f t="shared" si="10"/>
        <v>0</v>
      </c>
      <c r="O13" s="63">
        <f t="shared" si="10"/>
        <v>0</v>
      </c>
      <c r="P13" s="63">
        <f t="shared" si="10"/>
        <v>0</v>
      </c>
      <c r="Q13" s="63">
        <f t="shared" si="10"/>
        <v>0</v>
      </c>
      <c r="R13" s="63">
        <f t="shared" si="10"/>
        <v>0</v>
      </c>
      <c r="S13" s="63">
        <f t="shared" si="10"/>
        <v>0</v>
      </c>
      <c r="T13" s="63">
        <f t="shared" si="10"/>
        <v>0</v>
      </c>
      <c r="U13" s="63">
        <f t="shared" si="10"/>
        <v>0</v>
      </c>
      <c r="V13" s="63">
        <f t="shared" si="10"/>
        <v>0</v>
      </c>
      <c r="W13" s="63">
        <f t="shared" si="10"/>
        <v>0</v>
      </c>
      <c r="X13" s="63">
        <f t="shared" si="10"/>
        <v>0</v>
      </c>
      <c r="Y13" s="63">
        <f t="shared" si="10"/>
        <v>0</v>
      </c>
      <c r="Z13" s="63">
        <f t="shared" si="10"/>
        <v>0</v>
      </c>
      <c r="AA13" s="63">
        <f t="shared" si="10"/>
        <v>0</v>
      </c>
      <c r="AB13" s="63">
        <f t="shared" si="10"/>
        <v>0</v>
      </c>
      <c r="AC13" s="63">
        <f t="shared" si="10"/>
        <v>0</v>
      </c>
      <c r="AD13" s="63">
        <f t="shared" si="28"/>
        <v>0</v>
      </c>
      <c r="AE13" s="63">
        <f t="shared" si="28"/>
        <v>0</v>
      </c>
      <c r="AF13" s="63">
        <f t="shared" si="28"/>
        <v>0</v>
      </c>
      <c r="AG13" s="63">
        <f t="shared" si="28"/>
        <v>0</v>
      </c>
      <c r="AH13" s="63">
        <f t="shared" si="28"/>
        <v>0</v>
      </c>
      <c r="AI13" s="63">
        <f t="shared" si="28"/>
        <v>0</v>
      </c>
      <c r="AJ13" s="63">
        <f t="shared" si="28"/>
        <v>0</v>
      </c>
      <c r="AK13" s="63">
        <f t="shared" si="28"/>
        <v>0</v>
      </c>
      <c r="AL13" s="63">
        <f t="shared" si="28"/>
        <v>0</v>
      </c>
      <c r="AM13" s="63">
        <f t="shared" si="28"/>
        <v>0</v>
      </c>
      <c r="AN13" s="63">
        <f t="shared" si="28"/>
        <v>0</v>
      </c>
      <c r="AO13" s="63">
        <f t="shared" si="28"/>
        <v>0</v>
      </c>
      <c r="AP13" s="63">
        <f t="shared" si="28"/>
        <v>0</v>
      </c>
      <c r="AQ13" s="63">
        <f t="shared" si="28"/>
        <v>0</v>
      </c>
      <c r="AR13" s="63">
        <f t="shared" si="28"/>
        <v>0</v>
      </c>
      <c r="AS13" s="63">
        <f t="shared" si="28"/>
        <v>0</v>
      </c>
      <c r="AT13" s="63">
        <f t="shared" si="29"/>
        <v>0</v>
      </c>
      <c r="AU13" s="63">
        <f t="shared" si="29"/>
        <v>0</v>
      </c>
      <c r="AV13" s="63">
        <f t="shared" si="29"/>
        <v>0</v>
      </c>
      <c r="AW13" s="63">
        <f t="shared" si="29"/>
        <v>0</v>
      </c>
      <c r="AX13" s="63">
        <f t="shared" si="29"/>
        <v>0</v>
      </c>
      <c r="AY13" s="63">
        <f t="shared" si="29"/>
        <v>0</v>
      </c>
      <c r="AZ13" s="63">
        <f t="shared" si="29"/>
        <v>0</v>
      </c>
      <c r="BA13" s="63">
        <f t="shared" si="29"/>
        <v>0</v>
      </c>
      <c r="BB13" s="63">
        <f t="shared" si="29"/>
        <v>0</v>
      </c>
      <c r="BC13" s="63">
        <f t="shared" si="29"/>
        <v>0</v>
      </c>
      <c r="BD13" s="63">
        <f t="shared" si="29"/>
        <v>0</v>
      </c>
      <c r="BE13" s="63">
        <f t="shared" si="29"/>
        <v>0</v>
      </c>
      <c r="BF13" s="63">
        <f t="shared" si="29"/>
        <v>0</v>
      </c>
      <c r="BG13" s="63">
        <f t="shared" si="29"/>
        <v>0</v>
      </c>
      <c r="BH13" s="63">
        <f t="shared" si="29"/>
        <v>0</v>
      </c>
      <c r="BI13" s="63">
        <f t="shared" si="29"/>
        <v>0</v>
      </c>
      <c r="BJ13" s="63">
        <f t="shared" si="30"/>
        <v>0</v>
      </c>
      <c r="BK13" s="63">
        <f t="shared" si="30"/>
        <v>0</v>
      </c>
      <c r="BL13" s="63">
        <f t="shared" si="30"/>
        <v>0</v>
      </c>
      <c r="BM13" s="63">
        <f t="shared" si="30"/>
        <v>0</v>
      </c>
      <c r="BN13" s="63">
        <f t="shared" si="30"/>
        <v>0</v>
      </c>
      <c r="BO13" s="63">
        <f t="shared" si="30"/>
        <v>0</v>
      </c>
      <c r="BP13" s="63">
        <f t="shared" si="30"/>
        <v>0</v>
      </c>
      <c r="BQ13" s="63">
        <f t="shared" si="30"/>
        <v>0</v>
      </c>
      <c r="BR13" s="63">
        <f t="shared" si="30"/>
        <v>0</v>
      </c>
      <c r="BS13" s="63">
        <f t="shared" si="30"/>
        <v>0</v>
      </c>
      <c r="BT13" s="63">
        <f t="shared" si="30"/>
        <v>0</v>
      </c>
      <c r="BU13" s="63">
        <f t="shared" si="30"/>
        <v>0</v>
      </c>
      <c r="BV13" s="63">
        <f t="shared" si="30"/>
        <v>0</v>
      </c>
      <c r="BW13" s="63">
        <f t="shared" si="30"/>
        <v>0</v>
      </c>
      <c r="BX13" s="63">
        <f t="shared" si="30"/>
        <v>0</v>
      </c>
      <c r="BY13" s="63">
        <f t="shared" si="30"/>
        <v>0</v>
      </c>
      <c r="BZ13" s="63">
        <f t="shared" si="31"/>
        <v>0</v>
      </c>
      <c r="CA13" s="63">
        <f t="shared" si="31"/>
        <v>0</v>
      </c>
      <c r="CB13" s="63">
        <f t="shared" si="31"/>
        <v>0</v>
      </c>
      <c r="CC13" s="63">
        <f t="shared" si="31"/>
        <v>0</v>
      </c>
      <c r="CD13" s="63">
        <f t="shared" si="31"/>
        <v>0</v>
      </c>
      <c r="CE13" s="63">
        <f t="shared" si="31"/>
        <v>0</v>
      </c>
      <c r="CF13" s="63">
        <f t="shared" si="31"/>
        <v>0</v>
      </c>
      <c r="CG13" s="63">
        <f t="shared" si="31"/>
        <v>0</v>
      </c>
      <c r="CH13" s="63">
        <f t="shared" si="31"/>
        <v>0</v>
      </c>
      <c r="CI13" s="63">
        <f t="shared" si="31"/>
        <v>0</v>
      </c>
      <c r="CJ13" s="63">
        <f t="shared" si="31"/>
        <v>0</v>
      </c>
      <c r="CK13" s="63">
        <f t="shared" si="31"/>
        <v>0</v>
      </c>
      <c r="CL13" s="63">
        <f t="shared" si="31"/>
        <v>0</v>
      </c>
      <c r="CM13" s="63">
        <f t="shared" si="31"/>
        <v>0</v>
      </c>
      <c r="CN13" s="63">
        <f t="shared" si="25"/>
        <v>0</v>
      </c>
      <c r="CO13" s="63">
        <f t="shared" si="25"/>
        <v>0</v>
      </c>
      <c r="CP13" s="63">
        <f t="shared" si="25"/>
        <v>0</v>
      </c>
      <c r="CQ13" s="63">
        <f t="shared" si="25"/>
        <v>0</v>
      </c>
      <c r="CR13" s="63">
        <f t="shared" si="25"/>
        <v>0</v>
      </c>
      <c r="CS13" s="63">
        <f t="shared" si="25"/>
        <v>0</v>
      </c>
      <c r="CT13" s="63">
        <f t="shared" si="25"/>
        <v>0</v>
      </c>
      <c r="CU13" s="63">
        <f t="shared" si="25"/>
        <v>0</v>
      </c>
      <c r="CV13" s="63">
        <f t="shared" si="25"/>
        <v>0</v>
      </c>
      <c r="CW13" s="63">
        <f t="shared" si="25"/>
        <v>0</v>
      </c>
      <c r="CX13" s="63">
        <f t="shared" si="25"/>
        <v>0</v>
      </c>
      <c r="CY13" s="63">
        <f t="shared" si="25"/>
        <v>0</v>
      </c>
      <c r="CZ13" s="63">
        <f t="shared" si="25"/>
        <v>0</v>
      </c>
      <c r="DA13" s="63">
        <f t="shared" si="25"/>
        <v>0</v>
      </c>
      <c r="DB13" s="63">
        <f t="shared" si="25"/>
        <v>0</v>
      </c>
      <c r="DC13" s="63">
        <f t="shared" si="25"/>
        <v>0</v>
      </c>
      <c r="DD13" s="63">
        <f t="shared" si="32"/>
        <v>0</v>
      </c>
      <c r="DE13" s="63">
        <f t="shared" si="27"/>
        <v>0</v>
      </c>
      <c r="DF13" s="63">
        <f t="shared" si="27"/>
        <v>0</v>
      </c>
      <c r="DG13" s="63">
        <f t="shared" si="27"/>
        <v>0</v>
      </c>
      <c r="DH13" s="63">
        <f t="shared" si="27"/>
        <v>0</v>
      </c>
      <c r="DI13" s="63">
        <f t="shared" si="27"/>
        <v>0</v>
      </c>
      <c r="DJ13" s="63">
        <f t="shared" si="27"/>
        <v>0</v>
      </c>
      <c r="DK13" s="63">
        <f t="shared" si="27"/>
        <v>0</v>
      </c>
      <c r="DL13" s="63">
        <f t="shared" si="27"/>
        <v>0</v>
      </c>
      <c r="DM13" s="63">
        <f t="shared" si="27"/>
        <v>0</v>
      </c>
      <c r="DN13" s="63">
        <f t="shared" si="27"/>
        <v>0</v>
      </c>
      <c r="DO13" s="63">
        <f t="shared" si="27"/>
        <v>0</v>
      </c>
      <c r="DP13" s="63">
        <f t="shared" si="27"/>
        <v>0</v>
      </c>
      <c r="DQ13" s="63">
        <f t="shared" si="27"/>
        <v>0</v>
      </c>
      <c r="DR13" s="63">
        <f t="shared" si="27"/>
        <v>0</v>
      </c>
      <c r="DS13" s="63">
        <f t="shared" si="27"/>
        <v>0</v>
      </c>
      <c r="DT13" s="63">
        <f t="shared" si="27"/>
        <v>0</v>
      </c>
      <c r="DU13" s="63">
        <f t="shared" si="27"/>
        <v>0</v>
      </c>
      <c r="DV13" s="63">
        <f t="shared" si="27"/>
        <v>0</v>
      </c>
      <c r="DW13" s="63">
        <f t="shared" si="27"/>
        <v>0</v>
      </c>
      <c r="DX13" s="63">
        <f t="shared" si="27"/>
        <v>0</v>
      </c>
      <c r="DY13" s="63">
        <f t="shared" si="27"/>
        <v>0</v>
      </c>
      <c r="DZ13" s="63">
        <f t="shared" si="27"/>
        <v>0</v>
      </c>
      <c r="EA13" s="63">
        <f t="shared" si="27"/>
        <v>0</v>
      </c>
      <c r="EB13" s="63">
        <f t="shared" si="27"/>
        <v>0</v>
      </c>
      <c r="EC13" s="63">
        <f t="shared" si="27"/>
        <v>0</v>
      </c>
      <c r="ED13" s="63">
        <f t="shared" si="27"/>
        <v>0</v>
      </c>
      <c r="EE13" s="63">
        <f t="shared" si="27"/>
        <v>0</v>
      </c>
      <c r="EF13" s="63">
        <f t="shared" si="27"/>
        <v>0</v>
      </c>
      <c r="EG13" s="63">
        <f t="shared" si="27"/>
        <v>0</v>
      </c>
      <c r="EH13" s="63">
        <f t="shared" si="27"/>
        <v>0</v>
      </c>
      <c r="EI13" s="63">
        <f t="shared" si="27"/>
        <v>0</v>
      </c>
      <c r="EJ13" s="63">
        <f t="shared" si="27"/>
        <v>0</v>
      </c>
      <c r="EK13" s="63">
        <f t="shared" si="27"/>
        <v>0</v>
      </c>
      <c r="EL13" s="63">
        <f t="shared" si="27"/>
        <v>0</v>
      </c>
      <c r="EM13" s="63">
        <f t="shared" si="27"/>
        <v>0</v>
      </c>
      <c r="EN13" s="63">
        <f t="shared" si="27"/>
        <v>0</v>
      </c>
      <c r="EO13" s="63">
        <f t="shared" si="27"/>
        <v>0</v>
      </c>
    </row>
    <row r="14" spans="2:145" x14ac:dyDescent="0.45">
      <c r="B14" s="81">
        <f>+B13+100</f>
        <v>900</v>
      </c>
      <c r="C14" s="81" t="s">
        <v>97</v>
      </c>
      <c r="E14" s="83">
        <v>1</v>
      </c>
      <c r="F14" s="85">
        <v>0</v>
      </c>
      <c r="G14" s="87">
        <v>0</v>
      </c>
      <c r="H14" s="94">
        <v>0.01</v>
      </c>
      <c r="I14" s="88">
        <v>0</v>
      </c>
      <c r="J14" s="63">
        <f>+I14*F14</f>
        <v>0</v>
      </c>
      <c r="L14" s="63">
        <f t="shared" si="17"/>
        <v>0</v>
      </c>
      <c r="M14" s="63">
        <f t="shared" si="10"/>
        <v>0</v>
      </c>
      <c r="N14" s="63">
        <f t="shared" si="10"/>
        <v>0</v>
      </c>
      <c r="O14" s="63">
        <f t="shared" si="10"/>
        <v>0</v>
      </c>
      <c r="P14" s="63">
        <f t="shared" si="10"/>
        <v>0</v>
      </c>
      <c r="Q14" s="63">
        <f t="shared" si="10"/>
        <v>0</v>
      </c>
      <c r="R14" s="63">
        <f t="shared" si="10"/>
        <v>0</v>
      </c>
      <c r="S14" s="63">
        <f t="shared" si="10"/>
        <v>0</v>
      </c>
      <c r="T14" s="63">
        <f t="shared" si="10"/>
        <v>0</v>
      </c>
      <c r="U14" s="63">
        <f t="shared" si="10"/>
        <v>0</v>
      </c>
      <c r="V14" s="63">
        <f t="shared" si="10"/>
        <v>0</v>
      </c>
      <c r="W14" s="63">
        <f t="shared" si="10"/>
        <v>0</v>
      </c>
      <c r="X14" s="63">
        <f t="shared" si="10"/>
        <v>0</v>
      </c>
      <c r="Y14" s="63">
        <f t="shared" si="10"/>
        <v>0</v>
      </c>
      <c r="Z14" s="63">
        <f t="shared" si="10"/>
        <v>0</v>
      </c>
      <c r="AA14" s="63">
        <f t="shared" si="10"/>
        <v>0</v>
      </c>
      <c r="AB14" s="63">
        <f t="shared" si="10"/>
        <v>0</v>
      </c>
      <c r="AC14" s="63">
        <f t="shared" si="10"/>
        <v>0</v>
      </c>
      <c r="AD14" s="63">
        <f t="shared" si="28"/>
        <v>0</v>
      </c>
      <c r="AE14" s="63">
        <f t="shared" si="28"/>
        <v>0</v>
      </c>
      <c r="AF14" s="63">
        <f t="shared" si="28"/>
        <v>0</v>
      </c>
      <c r="AG14" s="63">
        <f t="shared" si="28"/>
        <v>0</v>
      </c>
      <c r="AH14" s="63">
        <f t="shared" si="28"/>
        <v>0</v>
      </c>
      <c r="AI14" s="63">
        <f t="shared" si="28"/>
        <v>0</v>
      </c>
      <c r="AJ14" s="63">
        <f t="shared" si="28"/>
        <v>0</v>
      </c>
      <c r="AK14" s="63">
        <f t="shared" si="28"/>
        <v>0</v>
      </c>
      <c r="AL14" s="63">
        <f t="shared" si="28"/>
        <v>0</v>
      </c>
      <c r="AM14" s="63">
        <f t="shared" si="28"/>
        <v>0</v>
      </c>
      <c r="AN14" s="63">
        <f t="shared" si="28"/>
        <v>0</v>
      </c>
      <c r="AO14" s="63">
        <f t="shared" si="28"/>
        <v>0</v>
      </c>
      <c r="AP14" s="63">
        <f t="shared" si="28"/>
        <v>0</v>
      </c>
      <c r="AQ14" s="63">
        <f t="shared" si="28"/>
        <v>0</v>
      </c>
      <c r="AR14" s="63">
        <f t="shared" si="28"/>
        <v>0</v>
      </c>
      <c r="AS14" s="63">
        <f t="shared" si="28"/>
        <v>0</v>
      </c>
      <c r="AT14" s="63">
        <f t="shared" si="29"/>
        <v>0</v>
      </c>
      <c r="AU14" s="63">
        <f t="shared" si="29"/>
        <v>0</v>
      </c>
      <c r="AV14" s="63">
        <f t="shared" si="29"/>
        <v>0</v>
      </c>
      <c r="AW14" s="63">
        <f t="shared" si="29"/>
        <v>0</v>
      </c>
      <c r="AX14" s="63">
        <f t="shared" si="29"/>
        <v>0</v>
      </c>
      <c r="AY14" s="63">
        <f t="shared" si="29"/>
        <v>0</v>
      </c>
      <c r="AZ14" s="63">
        <f t="shared" si="29"/>
        <v>0</v>
      </c>
      <c r="BA14" s="63">
        <f t="shared" si="29"/>
        <v>0</v>
      </c>
      <c r="BB14" s="63">
        <f t="shared" si="29"/>
        <v>0</v>
      </c>
      <c r="BC14" s="63">
        <f t="shared" si="29"/>
        <v>0</v>
      </c>
      <c r="BD14" s="63">
        <f t="shared" si="29"/>
        <v>0</v>
      </c>
      <c r="BE14" s="63">
        <f t="shared" si="29"/>
        <v>0</v>
      </c>
      <c r="BF14" s="63">
        <f t="shared" si="29"/>
        <v>0</v>
      </c>
      <c r="BG14" s="63">
        <f t="shared" si="29"/>
        <v>0</v>
      </c>
      <c r="BH14" s="63">
        <f t="shared" si="29"/>
        <v>0</v>
      </c>
      <c r="BI14" s="63">
        <f t="shared" si="29"/>
        <v>0</v>
      </c>
      <c r="BJ14" s="63">
        <f t="shared" si="30"/>
        <v>0</v>
      </c>
      <c r="BK14" s="63">
        <f t="shared" si="30"/>
        <v>0</v>
      </c>
      <c r="BL14" s="63">
        <f t="shared" si="30"/>
        <v>0</v>
      </c>
      <c r="BM14" s="63">
        <f t="shared" si="30"/>
        <v>0</v>
      </c>
      <c r="BN14" s="63">
        <f t="shared" si="30"/>
        <v>0</v>
      </c>
      <c r="BO14" s="63">
        <f t="shared" si="30"/>
        <v>0</v>
      </c>
      <c r="BP14" s="63">
        <f t="shared" si="30"/>
        <v>0</v>
      </c>
      <c r="BQ14" s="63">
        <f t="shared" si="30"/>
        <v>0</v>
      </c>
      <c r="BR14" s="63">
        <f t="shared" si="30"/>
        <v>0</v>
      </c>
      <c r="BS14" s="63">
        <f t="shared" si="30"/>
        <v>0</v>
      </c>
      <c r="BT14" s="63">
        <f t="shared" si="30"/>
        <v>0</v>
      </c>
      <c r="BU14" s="63">
        <f t="shared" si="30"/>
        <v>0</v>
      </c>
      <c r="BV14" s="63">
        <f t="shared" si="30"/>
        <v>0</v>
      </c>
      <c r="BW14" s="63">
        <f t="shared" si="30"/>
        <v>0</v>
      </c>
      <c r="BX14" s="63">
        <f t="shared" si="30"/>
        <v>0</v>
      </c>
      <c r="BY14" s="63">
        <f t="shared" si="30"/>
        <v>0</v>
      </c>
      <c r="BZ14" s="63">
        <f t="shared" si="31"/>
        <v>0</v>
      </c>
      <c r="CA14" s="63">
        <f t="shared" si="31"/>
        <v>0</v>
      </c>
      <c r="CB14" s="63">
        <f t="shared" si="31"/>
        <v>0</v>
      </c>
      <c r="CC14" s="63">
        <f t="shared" si="31"/>
        <v>0</v>
      </c>
      <c r="CD14" s="63">
        <f t="shared" si="31"/>
        <v>0</v>
      </c>
      <c r="CE14" s="63">
        <f t="shared" si="31"/>
        <v>0</v>
      </c>
      <c r="CF14" s="63">
        <f t="shared" si="31"/>
        <v>0</v>
      </c>
      <c r="CG14" s="63">
        <f t="shared" si="31"/>
        <v>0</v>
      </c>
      <c r="CH14" s="63">
        <f t="shared" si="31"/>
        <v>0</v>
      </c>
      <c r="CI14" s="63">
        <f t="shared" si="31"/>
        <v>0</v>
      </c>
      <c r="CJ14" s="63">
        <f t="shared" si="31"/>
        <v>0</v>
      </c>
      <c r="CK14" s="63">
        <f t="shared" si="31"/>
        <v>0</v>
      </c>
      <c r="CL14" s="63">
        <f t="shared" si="31"/>
        <v>0</v>
      </c>
      <c r="CM14" s="63">
        <f t="shared" si="31"/>
        <v>0</v>
      </c>
      <c r="CN14" s="63">
        <f t="shared" si="25"/>
        <v>0</v>
      </c>
      <c r="CO14" s="63">
        <f t="shared" si="25"/>
        <v>0</v>
      </c>
      <c r="CP14" s="63">
        <f t="shared" si="25"/>
        <v>0</v>
      </c>
      <c r="CQ14" s="63">
        <f t="shared" si="25"/>
        <v>0</v>
      </c>
      <c r="CR14" s="63">
        <f t="shared" si="25"/>
        <v>0</v>
      </c>
      <c r="CS14" s="63">
        <f t="shared" si="25"/>
        <v>0</v>
      </c>
      <c r="CT14" s="63">
        <f t="shared" si="25"/>
        <v>0</v>
      </c>
      <c r="CU14" s="63">
        <f t="shared" si="25"/>
        <v>0</v>
      </c>
      <c r="CV14" s="63">
        <f t="shared" si="25"/>
        <v>0</v>
      </c>
      <c r="CW14" s="63">
        <f t="shared" si="25"/>
        <v>0</v>
      </c>
      <c r="CX14" s="63">
        <f t="shared" si="25"/>
        <v>0</v>
      </c>
      <c r="CY14" s="63">
        <f t="shared" si="25"/>
        <v>0</v>
      </c>
      <c r="CZ14" s="63">
        <f t="shared" si="25"/>
        <v>0</v>
      </c>
      <c r="DA14" s="63">
        <f t="shared" si="25"/>
        <v>0</v>
      </c>
      <c r="DB14" s="63">
        <f t="shared" si="25"/>
        <v>0</v>
      </c>
      <c r="DC14" s="63">
        <f t="shared" si="25"/>
        <v>0</v>
      </c>
      <c r="DD14" s="63">
        <f t="shared" si="32"/>
        <v>0</v>
      </c>
      <c r="DE14" s="63">
        <f t="shared" si="27"/>
        <v>0</v>
      </c>
      <c r="DF14" s="63">
        <f t="shared" si="27"/>
        <v>0</v>
      </c>
      <c r="DG14" s="63">
        <f t="shared" si="27"/>
        <v>0</v>
      </c>
      <c r="DH14" s="63">
        <f t="shared" si="27"/>
        <v>0</v>
      </c>
      <c r="DI14" s="63">
        <f t="shared" si="27"/>
        <v>0</v>
      </c>
      <c r="DJ14" s="63">
        <f t="shared" si="27"/>
        <v>0</v>
      </c>
      <c r="DK14" s="63">
        <f t="shared" si="27"/>
        <v>0</v>
      </c>
      <c r="DL14" s="63">
        <f t="shared" si="27"/>
        <v>0</v>
      </c>
      <c r="DM14" s="63">
        <f t="shared" si="27"/>
        <v>0</v>
      </c>
      <c r="DN14" s="63">
        <f t="shared" si="27"/>
        <v>0</v>
      </c>
      <c r="DO14" s="63">
        <f t="shared" si="27"/>
        <v>0</v>
      </c>
      <c r="DP14" s="63">
        <f t="shared" si="27"/>
        <v>0</v>
      </c>
      <c r="DQ14" s="63">
        <f t="shared" si="27"/>
        <v>0</v>
      </c>
      <c r="DR14" s="63">
        <f t="shared" si="27"/>
        <v>0</v>
      </c>
      <c r="DS14" s="63">
        <f t="shared" si="27"/>
        <v>0</v>
      </c>
      <c r="DT14" s="63">
        <f t="shared" si="27"/>
        <v>0</v>
      </c>
      <c r="DU14" s="63">
        <f t="shared" si="27"/>
        <v>0</v>
      </c>
      <c r="DV14" s="63">
        <f t="shared" si="27"/>
        <v>0</v>
      </c>
      <c r="DW14" s="63">
        <f t="shared" si="27"/>
        <v>0</v>
      </c>
      <c r="DX14" s="63">
        <f t="shared" si="27"/>
        <v>0</v>
      </c>
      <c r="DY14" s="63">
        <f t="shared" si="27"/>
        <v>0</v>
      </c>
      <c r="DZ14" s="63">
        <f t="shared" si="27"/>
        <v>0</v>
      </c>
      <c r="EA14" s="63">
        <f t="shared" si="27"/>
        <v>0</v>
      </c>
      <c r="EB14" s="63">
        <f t="shared" si="27"/>
        <v>0</v>
      </c>
      <c r="EC14" s="63">
        <f t="shared" si="27"/>
        <v>0</v>
      </c>
      <c r="ED14" s="63">
        <f t="shared" si="27"/>
        <v>0</v>
      </c>
      <c r="EE14" s="63">
        <f t="shared" si="27"/>
        <v>0</v>
      </c>
      <c r="EF14" s="63">
        <f t="shared" si="27"/>
        <v>0</v>
      </c>
      <c r="EG14" s="63">
        <f t="shared" si="27"/>
        <v>0</v>
      </c>
      <c r="EH14" s="63">
        <f t="shared" si="27"/>
        <v>0</v>
      </c>
      <c r="EI14" s="63">
        <f t="shared" si="27"/>
        <v>0</v>
      </c>
      <c r="EJ14" s="63">
        <f t="shared" si="27"/>
        <v>0</v>
      </c>
      <c r="EK14" s="63">
        <f t="shared" si="27"/>
        <v>0</v>
      </c>
      <c r="EL14" s="63">
        <f t="shared" si="27"/>
        <v>0</v>
      </c>
      <c r="EM14" s="63">
        <f t="shared" si="27"/>
        <v>0</v>
      </c>
      <c r="EN14" s="63">
        <f t="shared" si="27"/>
        <v>0</v>
      </c>
      <c r="EO14" s="63">
        <f t="shared" si="27"/>
        <v>0</v>
      </c>
    </row>
    <row r="15" spans="2:145" x14ac:dyDescent="0.45">
      <c r="B15" s="81">
        <f>+B14+100</f>
        <v>1000</v>
      </c>
      <c r="C15" s="81" t="s">
        <v>97</v>
      </c>
      <c r="E15" s="83">
        <v>1</v>
      </c>
      <c r="F15" s="85">
        <v>0</v>
      </c>
      <c r="G15" s="87">
        <v>0</v>
      </c>
      <c r="H15" s="94">
        <v>0.01</v>
      </c>
      <c r="I15" s="88">
        <v>0</v>
      </c>
      <c r="J15" s="63">
        <f>+I15*F15</f>
        <v>0</v>
      </c>
      <c r="L15" s="63">
        <f t="shared" si="17"/>
        <v>0</v>
      </c>
      <c r="M15" s="63">
        <f t="shared" si="10"/>
        <v>0</v>
      </c>
      <c r="N15" s="63">
        <f t="shared" si="10"/>
        <v>0</v>
      </c>
      <c r="O15" s="63">
        <f t="shared" si="10"/>
        <v>0</v>
      </c>
      <c r="P15" s="63">
        <f t="shared" si="10"/>
        <v>0</v>
      </c>
      <c r="Q15" s="63">
        <f t="shared" si="10"/>
        <v>0</v>
      </c>
      <c r="R15" s="63">
        <f t="shared" si="10"/>
        <v>0</v>
      </c>
      <c r="S15" s="63">
        <f t="shared" si="10"/>
        <v>0</v>
      </c>
      <c r="T15" s="63">
        <f t="shared" si="10"/>
        <v>0</v>
      </c>
      <c r="U15" s="63">
        <f t="shared" si="10"/>
        <v>0</v>
      </c>
      <c r="V15" s="63">
        <f t="shared" si="10"/>
        <v>0</v>
      </c>
      <c r="W15" s="63">
        <f t="shared" si="10"/>
        <v>0</v>
      </c>
      <c r="X15" s="63">
        <f t="shared" si="10"/>
        <v>0</v>
      </c>
      <c r="Y15" s="63">
        <f t="shared" si="10"/>
        <v>0</v>
      </c>
      <c r="Z15" s="63">
        <f t="shared" si="10"/>
        <v>0</v>
      </c>
      <c r="AA15" s="63">
        <f t="shared" si="10"/>
        <v>0</v>
      </c>
      <c r="AB15" s="63">
        <f t="shared" si="10"/>
        <v>0</v>
      </c>
      <c r="AC15" s="63">
        <f t="shared" si="10"/>
        <v>0</v>
      </c>
      <c r="AD15" s="63">
        <f t="shared" si="28"/>
        <v>0</v>
      </c>
      <c r="AE15" s="63">
        <f t="shared" si="28"/>
        <v>0</v>
      </c>
      <c r="AF15" s="63">
        <f t="shared" si="28"/>
        <v>0</v>
      </c>
      <c r="AG15" s="63">
        <f t="shared" si="28"/>
        <v>0</v>
      </c>
      <c r="AH15" s="63">
        <f t="shared" si="28"/>
        <v>0</v>
      </c>
      <c r="AI15" s="63">
        <f t="shared" si="28"/>
        <v>0</v>
      </c>
      <c r="AJ15" s="63">
        <f t="shared" si="28"/>
        <v>0</v>
      </c>
      <c r="AK15" s="63">
        <f t="shared" si="28"/>
        <v>0</v>
      </c>
      <c r="AL15" s="63">
        <f t="shared" si="28"/>
        <v>0</v>
      </c>
      <c r="AM15" s="63">
        <f t="shared" si="28"/>
        <v>0</v>
      </c>
      <c r="AN15" s="63">
        <f t="shared" si="28"/>
        <v>0</v>
      </c>
      <c r="AO15" s="63">
        <f t="shared" si="28"/>
        <v>0</v>
      </c>
      <c r="AP15" s="63">
        <f t="shared" si="28"/>
        <v>0</v>
      </c>
      <c r="AQ15" s="63">
        <f t="shared" si="28"/>
        <v>0</v>
      </c>
      <c r="AR15" s="63">
        <f t="shared" si="28"/>
        <v>0</v>
      </c>
      <c r="AS15" s="63">
        <f t="shared" si="28"/>
        <v>0</v>
      </c>
      <c r="AT15" s="63">
        <f t="shared" si="29"/>
        <v>0</v>
      </c>
      <c r="AU15" s="63">
        <f t="shared" si="29"/>
        <v>0</v>
      </c>
      <c r="AV15" s="63">
        <f t="shared" si="29"/>
        <v>0</v>
      </c>
      <c r="AW15" s="63">
        <f t="shared" si="29"/>
        <v>0</v>
      </c>
      <c r="AX15" s="63">
        <f t="shared" si="29"/>
        <v>0</v>
      </c>
      <c r="AY15" s="63">
        <f t="shared" si="29"/>
        <v>0</v>
      </c>
      <c r="AZ15" s="63">
        <f t="shared" si="29"/>
        <v>0</v>
      </c>
      <c r="BA15" s="63">
        <f t="shared" si="29"/>
        <v>0</v>
      </c>
      <c r="BB15" s="63">
        <f t="shared" si="29"/>
        <v>0</v>
      </c>
      <c r="BC15" s="63">
        <f t="shared" si="29"/>
        <v>0</v>
      </c>
      <c r="BD15" s="63">
        <f t="shared" si="29"/>
        <v>0</v>
      </c>
      <c r="BE15" s="63">
        <f t="shared" si="29"/>
        <v>0</v>
      </c>
      <c r="BF15" s="63">
        <f t="shared" si="29"/>
        <v>0</v>
      </c>
      <c r="BG15" s="63">
        <f t="shared" si="29"/>
        <v>0</v>
      </c>
      <c r="BH15" s="63">
        <f t="shared" si="29"/>
        <v>0</v>
      </c>
      <c r="BI15" s="63">
        <f t="shared" si="29"/>
        <v>0</v>
      </c>
      <c r="BJ15" s="63">
        <f t="shared" si="30"/>
        <v>0</v>
      </c>
      <c r="BK15" s="63">
        <f t="shared" si="30"/>
        <v>0</v>
      </c>
      <c r="BL15" s="63">
        <f t="shared" si="30"/>
        <v>0</v>
      </c>
      <c r="BM15" s="63">
        <f t="shared" si="30"/>
        <v>0</v>
      </c>
      <c r="BN15" s="63">
        <f t="shared" si="30"/>
        <v>0</v>
      </c>
      <c r="BO15" s="63">
        <f t="shared" si="30"/>
        <v>0</v>
      </c>
      <c r="BP15" s="63">
        <f t="shared" si="30"/>
        <v>0</v>
      </c>
      <c r="BQ15" s="63">
        <f t="shared" si="30"/>
        <v>0</v>
      </c>
      <c r="BR15" s="63">
        <f t="shared" si="30"/>
        <v>0</v>
      </c>
      <c r="BS15" s="63">
        <f t="shared" si="30"/>
        <v>0</v>
      </c>
      <c r="BT15" s="63">
        <f t="shared" si="30"/>
        <v>0</v>
      </c>
      <c r="BU15" s="63">
        <f t="shared" si="30"/>
        <v>0</v>
      </c>
      <c r="BV15" s="63">
        <f t="shared" si="30"/>
        <v>0</v>
      </c>
      <c r="BW15" s="63">
        <f t="shared" si="30"/>
        <v>0</v>
      </c>
      <c r="BX15" s="63">
        <f t="shared" si="30"/>
        <v>0</v>
      </c>
      <c r="BY15" s="63">
        <f t="shared" si="30"/>
        <v>0</v>
      </c>
      <c r="BZ15" s="63">
        <f t="shared" si="31"/>
        <v>0</v>
      </c>
      <c r="CA15" s="63">
        <f t="shared" si="31"/>
        <v>0</v>
      </c>
      <c r="CB15" s="63">
        <f t="shared" si="31"/>
        <v>0</v>
      </c>
      <c r="CC15" s="63">
        <f t="shared" si="31"/>
        <v>0</v>
      </c>
      <c r="CD15" s="63">
        <f t="shared" si="31"/>
        <v>0</v>
      </c>
      <c r="CE15" s="63">
        <f t="shared" si="31"/>
        <v>0</v>
      </c>
      <c r="CF15" s="63">
        <f t="shared" si="31"/>
        <v>0</v>
      </c>
      <c r="CG15" s="63">
        <f t="shared" si="31"/>
        <v>0</v>
      </c>
      <c r="CH15" s="63">
        <f t="shared" si="31"/>
        <v>0</v>
      </c>
      <c r="CI15" s="63">
        <f t="shared" si="31"/>
        <v>0</v>
      </c>
      <c r="CJ15" s="63">
        <f t="shared" si="31"/>
        <v>0</v>
      </c>
      <c r="CK15" s="63">
        <f t="shared" si="31"/>
        <v>0</v>
      </c>
      <c r="CL15" s="63">
        <f t="shared" si="31"/>
        <v>0</v>
      </c>
      <c r="CM15" s="63">
        <f t="shared" si="31"/>
        <v>0</v>
      </c>
      <c r="CN15" s="63">
        <f t="shared" si="25"/>
        <v>0</v>
      </c>
      <c r="CO15" s="63">
        <f t="shared" si="25"/>
        <v>0</v>
      </c>
      <c r="CP15" s="63">
        <f t="shared" si="25"/>
        <v>0</v>
      </c>
      <c r="CQ15" s="63">
        <f t="shared" si="25"/>
        <v>0</v>
      </c>
      <c r="CR15" s="63">
        <f t="shared" si="25"/>
        <v>0</v>
      </c>
      <c r="CS15" s="63">
        <f t="shared" si="25"/>
        <v>0</v>
      </c>
      <c r="CT15" s="63">
        <f t="shared" si="25"/>
        <v>0</v>
      </c>
      <c r="CU15" s="63">
        <f t="shared" si="25"/>
        <v>0</v>
      </c>
      <c r="CV15" s="63">
        <f t="shared" si="25"/>
        <v>0</v>
      </c>
      <c r="CW15" s="63">
        <f t="shared" si="25"/>
        <v>0</v>
      </c>
      <c r="CX15" s="63">
        <f t="shared" si="25"/>
        <v>0</v>
      </c>
      <c r="CY15" s="63">
        <f t="shared" si="25"/>
        <v>0</v>
      </c>
      <c r="CZ15" s="63">
        <f t="shared" si="25"/>
        <v>0</v>
      </c>
      <c r="DA15" s="63">
        <f t="shared" si="25"/>
        <v>0</v>
      </c>
      <c r="DB15" s="63">
        <f t="shared" si="25"/>
        <v>0</v>
      </c>
      <c r="DC15" s="63">
        <f t="shared" si="25"/>
        <v>0</v>
      </c>
      <c r="DD15" s="63">
        <f t="shared" si="32"/>
        <v>0</v>
      </c>
      <c r="DE15" s="63">
        <f t="shared" si="27"/>
        <v>0</v>
      </c>
      <c r="DF15" s="63">
        <f t="shared" si="27"/>
        <v>0</v>
      </c>
      <c r="DG15" s="63">
        <f t="shared" si="27"/>
        <v>0</v>
      </c>
      <c r="DH15" s="63">
        <f t="shared" si="27"/>
        <v>0</v>
      </c>
      <c r="DI15" s="63">
        <f t="shared" si="27"/>
        <v>0</v>
      </c>
      <c r="DJ15" s="63">
        <f t="shared" si="27"/>
        <v>0</v>
      </c>
      <c r="DK15" s="63">
        <f t="shared" si="27"/>
        <v>0</v>
      </c>
      <c r="DL15" s="63">
        <f t="shared" si="27"/>
        <v>0</v>
      </c>
      <c r="DM15" s="63">
        <f t="shared" si="27"/>
        <v>0</v>
      </c>
      <c r="DN15" s="63">
        <f t="shared" si="27"/>
        <v>0</v>
      </c>
      <c r="DO15" s="63">
        <f t="shared" si="27"/>
        <v>0</v>
      </c>
      <c r="DP15" s="63">
        <f t="shared" si="27"/>
        <v>0</v>
      </c>
      <c r="DQ15" s="63">
        <f t="shared" si="27"/>
        <v>0</v>
      </c>
      <c r="DR15" s="63">
        <f t="shared" si="27"/>
        <v>0</v>
      </c>
      <c r="DS15" s="63">
        <f t="shared" si="27"/>
        <v>0</v>
      </c>
      <c r="DT15" s="63">
        <f t="shared" si="27"/>
        <v>0</v>
      </c>
      <c r="DU15" s="63">
        <f t="shared" si="27"/>
        <v>0</v>
      </c>
      <c r="DV15" s="63">
        <f t="shared" si="27"/>
        <v>0</v>
      </c>
      <c r="DW15" s="63">
        <f t="shared" si="27"/>
        <v>0</v>
      </c>
      <c r="DX15" s="63">
        <f t="shared" si="27"/>
        <v>0</v>
      </c>
      <c r="DY15" s="63">
        <f t="shared" si="27"/>
        <v>0</v>
      </c>
      <c r="DZ15" s="63">
        <f t="shared" si="27"/>
        <v>0</v>
      </c>
      <c r="EA15" s="63">
        <f t="shared" si="27"/>
        <v>0</v>
      </c>
      <c r="EB15" s="63">
        <f t="shared" si="27"/>
        <v>0</v>
      </c>
      <c r="EC15" s="63">
        <f t="shared" si="27"/>
        <v>0</v>
      </c>
      <c r="ED15" s="63">
        <f t="shared" si="27"/>
        <v>0</v>
      </c>
      <c r="EE15" s="63">
        <f t="shared" si="27"/>
        <v>0</v>
      </c>
      <c r="EF15" s="63">
        <f t="shared" si="27"/>
        <v>0</v>
      </c>
      <c r="EG15" s="63">
        <f t="shared" si="27"/>
        <v>0</v>
      </c>
      <c r="EH15" s="63">
        <f t="shared" si="27"/>
        <v>0</v>
      </c>
      <c r="EI15" s="63">
        <f t="shared" si="27"/>
        <v>0</v>
      </c>
      <c r="EJ15" s="63">
        <f t="shared" si="27"/>
        <v>0</v>
      </c>
      <c r="EK15" s="63">
        <f t="shared" si="27"/>
        <v>0</v>
      </c>
      <c r="EL15" s="63">
        <f t="shared" si="27"/>
        <v>0</v>
      </c>
      <c r="EM15" s="63">
        <f t="shared" si="27"/>
        <v>0</v>
      </c>
      <c r="EN15" s="63">
        <f t="shared" si="27"/>
        <v>0</v>
      </c>
      <c r="EO15" s="63">
        <f t="shared" si="27"/>
        <v>0</v>
      </c>
    </row>
    <row r="16" spans="2:145" x14ac:dyDescent="0.45">
      <c r="B16" s="81">
        <f>+B15+100</f>
        <v>1100</v>
      </c>
      <c r="C16" s="81" t="s">
        <v>97</v>
      </c>
      <c r="E16" s="83">
        <v>1</v>
      </c>
      <c r="F16" s="85">
        <v>0</v>
      </c>
      <c r="G16" s="87">
        <v>0</v>
      </c>
      <c r="H16" s="94">
        <v>0.01</v>
      </c>
      <c r="I16" s="88">
        <v>0</v>
      </c>
      <c r="J16" s="63">
        <f>+I16*F16</f>
        <v>0</v>
      </c>
      <c r="L16" s="63">
        <f t="shared" si="17"/>
        <v>0</v>
      </c>
      <c r="M16" s="63">
        <f t="shared" si="10"/>
        <v>0</v>
      </c>
      <c r="N16" s="63">
        <f t="shared" si="10"/>
        <v>0</v>
      </c>
      <c r="O16" s="63">
        <f t="shared" si="10"/>
        <v>0</v>
      </c>
      <c r="P16" s="63">
        <f t="shared" si="10"/>
        <v>0</v>
      </c>
      <c r="Q16" s="63">
        <f t="shared" si="10"/>
        <v>0</v>
      </c>
      <c r="R16" s="63">
        <f t="shared" si="10"/>
        <v>0</v>
      </c>
      <c r="S16" s="63">
        <f t="shared" si="10"/>
        <v>0</v>
      </c>
      <c r="T16" s="63">
        <f t="shared" si="10"/>
        <v>0</v>
      </c>
      <c r="U16" s="63">
        <f t="shared" si="10"/>
        <v>0</v>
      </c>
      <c r="V16" s="63">
        <f t="shared" si="10"/>
        <v>0</v>
      </c>
      <c r="W16" s="63">
        <f t="shared" si="10"/>
        <v>0</v>
      </c>
      <c r="X16" s="63">
        <f t="shared" si="10"/>
        <v>0</v>
      </c>
      <c r="Y16" s="63">
        <f t="shared" si="10"/>
        <v>0</v>
      </c>
      <c r="Z16" s="63">
        <f t="shared" si="10"/>
        <v>0</v>
      </c>
      <c r="AA16" s="63">
        <f t="shared" si="10"/>
        <v>0</v>
      </c>
      <c r="AB16" s="63">
        <f t="shared" si="10"/>
        <v>0</v>
      </c>
      <c r="AC16" s="63">
        <f t="shared" si="10"/>
        <v>0</v>
      </c>
      <c r="AD16" s="63">
        <f t="shared" si="28"/>
        <v>0</v>
      </c>
      <c r="AE16" s="63">
        <f t="shared" si="28"/>
        <v>0</v>
      </c>
      <c r="AF16" s="63">
        <f t="shared" si="28"/>
        <v>0</v>
      </c>
      <c r="AG16" s="63">
        <f t="shared" si="28"/>
        <v>0</v>
      </c>
      <c r="AH16" s="63">
        <f t="shared" si="28"/>
        <v>0</v>
      </c>
      <c r="AI16" s="63">
        <f t="shared" si="28"/>
        <v>0</v>
      </c>
      <c r="AJ16" s="63">
        <f t="shared" si="28"/>
        <v>0</v>
      </c>
      <c r="AK16" s="63">
        <f t="shared" si="28"/>
        <v>0</v>
      </c>
      <c r="AL16" s="63">
        <f t="shared" si="28"/>
        <v>0</v>
      </c>
      <c r="AM16" s="63">
        <f t="shared" si="28"/>
        <v>0</v>
      </c>
      <c r="AN16" s="63">
        <f t="shared" si="28"/>
        <v>0</v>
      </c>
      <c r="AO16" s="63">
        <f t="shared" si="28"/>
        <v>0</v>
      </c>
      <c r="AP16" s="63">
        <f t="shared" si="28"/>
        <v>0</v>
      </c>
      <c r="AQ16" s="63">
        <f t="shared" si="28"/>
        <v>0</v>
      </c>
      <c r="AR16" s="63">
        <f t="shared" si="28"/>
        <v>0</v>
      </c>
      <c r="AS16" s="63">
        <f t="shared" si="28"/>
        <v>0</v>
      </c>
      <c r="AT16" s="63">
        <f t="shared" si="29"/>
        <v>0</v>
      </c>
      <c r="AU16" s="63">
        <f t="shared" si="29"/>
        <v>0</v>
      </c>
      <c r="AV16" s="63">
        <f t="shared" si="29"/>
        <v>0</v>
      </c>
      <c r="AW16" s="63">
        <f t="shared" si="29"/>
        <v>0</v>
      </c>
      <c r="AX16" s="63">
        <f t="shared" si="29"/>
        <v>0</v>
      </c>
      <c r="AY16" s="63">
        <f t="shared" si="29"/>
        <v>0</v>
      </c>
      <c r="AZ16" s="63">
        <f t="shared" si="29"/>
        <v>0</v>
      </c>
      <c r="BA16" s="63">
        <f t="shared" si="29"/>
        <v>0</v>
      </c>
      <c r="BB16" s="63">
        <f t="shared" si="29"/>
        <v>0</v>
      </c>
      <c r="BC16" s="63">
        <f t="shared" si="29"/>
        <v>0</v>
      </c>
      <c r="BD16" s="63">
        <f t="shared" si="29"/>
        <v>0</v>
      </c>
      <c r="BE16" s="63">
        <f t="shared" si="29"/>
        <v>0</v>
      </c>
      <c r="BF16" s="63">
        <f t="shared" si="29"/>
        <v>0</v>
      </c>
      <c r="BG16" s="63">
        <f t="shared" si="29"/>
        <v>0</v>
      </c>
      <c r="BH16" s="63">
        <f t="shared" si="29"/>
        <v>0</v>
      </c>
      <c r="BI16" s="63">
        <f t="shared" si="29"/>
        <v>0</v>
      </c>
      <c r="BJ16" s="63">
        <f t="shared" si="30"/>
        <v>0</v>
      </c>
      <c r="BK16" s="63">
        <f t="shared" si="30"/>
        <v>0</v>
      </c>
      <c r="BL16" s="63">
        <f t="shared" si="30"/>
        <v>0</v>
      </c>
      <c r="BM16" s="63">
        <f t="shared" si="30"/>
        <v>0</v>
      </c>
      <c r="BN16" s="63">
        <f t="shared" si="30"/>
        <v>0</v>
      </c>
      <c r="BO16" s="63">
        <f t="shared" si="30"/>
        <v>0</v>
      </c>
      <c r="BP16" s="63">
        <f t="shared" si="30"/>
        <v>0</v>
      </c>
      <c r="BQ16" s="63">
        <f t="shared" si="30"/>
        <v>0</v>
      </c>
      <c r="BR16" s="63">
        <f t="shared" si="30"/>
        <v>0</v>
      </c>
      <c r="BS16" s="63">
        <f t="shared" si="30"/>
        <v>0</v>
      </c>
      <c r="BT16" s="63">
        <f t="shared" si="30"/>
        <v>0</v>
      </c>
      <c r="BU16" s="63">
        <f t="shared" si="30"/>
        <v>0</v>
      </c>
      <c r="BV16" s="63">
        <f t="shared" si="30"/>
        <v>0</v>
      </c>
      <c r="BW16" s="63">
        <f t="shared" si="30"/>
        <v>0</v>
      </c>
      <c r="BX16" s="63">
        <f t="shared" si="30"/>
        <v>0</v>
      </c>
      <c r="BY16" s="63">
        <f t="shared" si="30"/>
        <v>0</v>
      </c>
      <c r="BZ16" s="63">
        <f t="shared" si="31"/>
        <v>0</v>
      </c>
      <c r="CA16" s="63">
        <f t="shared" si="31"/>
        <v>0</v>
      </c>
      <c r="CB16" s="63">
        <f t="shared" si="31"/>
        <v>0</v>
      </c>
      <c r="CC16" s="63">
        <f t="shared" si="31"/>
        <v>0</v>
      </c>
      <c r="CD16" s="63">
        <f t="shared" si="31"/>
        <v>0</v>
      </c>
      <c r="CE16" s="63">
        <f t="shared" si="31"/>
        <v>0</v>
      </c>
      <c r="CF16" s="63">
        <f t="shared" si="31"/>
        <v>0</v>
      </c>
      <c r="CG16" s="63">
        <f t="shared" si="31"/>
        <v>0</v>
      </c>
      <c r="CH16" s="63">
        <f t="shared" si="31"/>
        <v>0</v>
      </c>
      <c r="CI16" s="63">
        <f t="shared" si="31"/>
        <v>0</v>
      </c>
      <c r="CJ16" s="63">
        <f t="shared" si="31"/>
        <v>0</v>
      </c>
      <c r="CK16" s="63">
        <f t="shared" si="31"/>
        <v>0</v>
      </c>
      <c r="CL16" s="63">
        <f t="shared" si="31"/>
        <v>0</v>
      </c>
      <c r="CM16" s="63">
        <f t="shared" si="31"/>
        <v>0</v>
      </c>
      <c r="CN16" s="63">
        <f t="shared" si="25"/>
        <v>0</v>
      </c>
      <c r="CO16" s="63">
        <f t="shared" si="25"/>
        <v>0</v>
      </c>
      <c r="CP16" s="63">
        <f t="shared" si="25"/>
        <v>0</v>
      </c>
      <c r="CQ16" s="63">
        <f t="shared" si="25"/>
        <v>0</v>
      </c>
      <c r="CR16" s="63">
        <f t="shared" si="25"/>
        <v>0</v>
      </c>
      <c r="CS16" s="63">
        <f t="shared" si="25"/>
        <v>0</v>
      </c>
      <c r="CT16" s="63">
        <f t="shared" si="25"/>
        <v>0</v>
      </c>
      <c r="CU16" s="63">
        <f t="shared" si="25"/>
        <v>0</v>
      </c>
      <c r="CV16" s="63">
        <f t="shared" si="25"/>
        <v>0</v>
      </c>
      <c r="CW16" s="63">
        <f t="shared" si="25"/>
        <v>0</v>
      </c>
      <c r="CX16" s="63">
        <f t="shared" si="25"/>
        <v>0</v>
      </c>
      <c r="CY16" s="63">
        <f t="shared" si="25"/>
        <v>0</v>
      </c>
      <c r="CZ16" s="63">
        <f t="shared" si="25"/>
        <v>0</v>
      </c>
      <c r="DA16" s="63">
        <f t="shared" si="25"/>
        <v>0</v>
      </c>
      <c r="DB16" s="63">
        <f t="shared" si="25"/>
        <v>0</v>
      </c>
      <c r="DC16" s="63">
        <f t="shared" si="25"/>
        <v>0</v>
      </c>
      <c r="DD16" s="63">
        <f t="shared" si="32"/>
        <v>0</v>
      </c>
      <c r="DE16" s="63">
        <f t="shared" si="27"/>
        <v>0</v>
      </c>
      <c r="DF16" s="63">
        <f t="shared" si="27"/>
        <v>0</v>
      </c>
      <c r="DG16" s="63">
        <f t="shared" si="27"/>
        <v>0</v>
      </c>
      <c r="DH16" s="63">
        <f t="shared" si="27"/>
        <v>0</v>
      </c>
      <c r="DI16" s="63">
        <f t="shared" si="27"/>
        <v>0</v>
      </c>
      <c r="DJ16" s="63">
        <f t="shared" si="27"/>
        <v>0</v>
      </c>
      <c r="DK16" s="63">
        <f t="shared" si="27"/>
        <v>0</v>
      </c>
      <c r="DL16" s="63">
        <f t="shared" si="27"/>
        <v>0</v>
      </c>
      <c r="DM16" s="63">
        <f t="shared" si="27"/>
        <v>0</v>
      </c>
      <c r="DN16" s="63">
        <f t="shared" si="27"/>
        <v>0</v>
      </c>
      <c r="DO16" s="63">
        <f t="shared" si="27"/>
        <v>0</v>
      </c>
      <c r="DP16" s="63">
        <f t="shared" si="27"/>
        <v>0</v>
      </c>
      <c r="DQ16" s="63">
        <f t="shared" si="27"/>
        <v>0</v>
      </c>
      <c r="DR16" s="63">
        <f t="shared" si="27"/>
        <v>0</v>
      </c>
      <c r="DS16" s="63">
        <f t="shared" si="27"/>
        <v>0</v>
      </c>
      <c r="DT16" s="63">
        <f t="shared" si="27"/>
        <v>0</v>
      </c>
      <c r="DU16" s="63">
        <f t="shared" si="27"/>
        <v>0</v>
      </c>
      <c r="DV16" s="63">
        <f t="shared" si="27"/>
        <v>0</v>
      </c>
      <c r="DW16" s="63">
        <f t="shared" si="27"/>
        <v>0</v>
      </c>
      <c r="DX16" s="63">
        <f t="shared" si="27"/>
        <v>0</v>
      </c>
      <c r="DY16" s="63">
        <f t="shared" si="27"/>
        <v>0</v>
      </c>
      <c r="DZ16" s="63">
        <f t="shared" si="27"/>
        <v>0</v>
      </c>
      <c r="EA16" s="63">
        <f t="shared" si="27"/>
        <v>0</v>
      </c>
      <c r="EB16" s="63">
        <f t="shared" si="27"/>
        <v>0</v>
      </c>
      <c r="EC16" s="63">
        <f t="shared" si="27"/>
        <v>0</v>
      </c>
      <c r="ED16" s="63">
        <f t="shared" si="27"/>
        <v>0</v>
      </c>
      <c r="EE16" s="63">
        <f t="shared" si="27"/>
        <v>0</v>
      </c>
      <c r="EF16" s="63">
        <f t="shared" si="27"/>
        <v>0</v>
      </c>
      <c r="EG16" s="63">
        <f t="shared" si="27"/>
        <v>0</v>
      </c>
      <c r="EH16" s="63">
        <f t="shared" si="27"/>
        <v>0</v>
      </c>
      <c r="EI16" s="63">
        <f t="shared" si="27"/>
        <v>0</v>
      </c>
      <c r="EJ16" s="63">
        <f t="shared" si="27"/>
        <v>0</v>
      </c>
      <c r="EK16" s="63">
        <f t="shared" si="27"/>
        <v>0</v>
      </c>
      <c r="EL16" s="63">
        <f t="shared" si="27"/>
        <v>0</v>
      </c>
      <c r="EM16" s="63">
        <f t="shared" si="27"/>
        <v>0</v>
      </c>
      <c r="EN16" s="63">
        <f t="shared" si="27"/>
        <v>0</v>
      </c>
      <c r="EO16" s="63">
        <f t="shared" si="27"/>
        <v>0</v>
      </c>
    </row>
    <row r="17" spans="2:145" x14ac:dyDescent="0.45">
      <c r="B17" s="81">
        <f>+B16+100</f>
        <v>1200</v>
      </c>
      <c r="C17" s="81" t="s">
        <v>97</v>
      </c>
      <c r="E17" s="83">
        <v>1</v>
      </c>
      <c r="F17" s="85">
        <v>0</v>
      </c>
      <c r="G17" s="87">
        <v>0</v>
      </c>
      <c r="H17" s="94">
        <v>0.01</v>
      </c>
      <c r="I17" s="88">
        <v>0</v>
      </c>
      <c r="J17" s="63">
        <f>+I17*F17</f>
        <v>0</v>
      </c>
      <c r="L17" s="63">
        <f t="shared" si="17"/>
        <v>0</v>
      </c>
      <c r="M17" s="63">
        <f t="shared" si="10"/>
        <v>0</v>
      </c>
      <c r="N17" s="63">
        <f t="shared" si="10"/>
        <v>0</v>
      </c>
      <c r="O17" s="63">
        <f t="shared" si="10"/>
        <v>0</v>
      </c>
      <c r="P17" s="63">
        <f t="shared" si="10"/>
        <v>0</v>
      </c>
      <c r="Q17" s="63">
        <f t="shared" si="10"/>
        <v>0</v>
      </c>
      <c r="R17" s="63">
        <f t="shared" si="10"/>
        <v>0</v>
      </c>
      <c r="S17" s="63">
        <f t="shared" si="10"/>
        <v>0</v>
      </c>
      <c r="T17" s="63">
        <f t="shared" si="10"/>
        <v>0</v>
      </c>
      <c r="U17" s="63">
        <f t="shared" si="10"/>
        <v>0</v>
      </c>
      <c r="V17" s="63">
        <f t="shared" si="10"/>
        <v>0</v>
      </c>
      <c r="W17" s="63">
        <f t="shared" si="10"/>
        <v>0</v>
      </c>
      <c r="X17" s="63">
        <f t="shared" si="10"/>
        <v>0</v>
      </c>
      <c r="Y17" s="63">
        <f t="shared" si="10"/>
        <v>0</v>
      </c>
      <c r="Z17" s="63">
        <f t="shared" si="10"/>
        <v>0</v>
      </c>
      <c r="AA17" s="63">
        <f t="shared" si="10"/>
        <v>0</v>
      </c>
      <c r="AB17" s="63">
        <f t="shared" si="10"/>
        <v>0</v>
      </c>
      <c r="AC17" s="63">
        <f t="shared" si="10"/>
        <v>0</v>
      </c>
      <c r="AD17" s="63">
        <f t="shared" si="28"/>
        <v>0</v>
      </c>
      <c r="AE17" s="63">
        <f t="shared" si="28"/>
        <v>0</v>
      </c>
      <c r="AF17" s="63">
        <f t="shared" si="28"/>
        <v>0</v>
      </c>
      <c r="AG17" s="63">
        <f t="shared" si="28"/>
        <v>0</v>
      </c>
      <c r="AH17" s="63">
        <f t="shared" si="28"/>
        <v>0</v>
      </c>
      <c r="AI17" s="63">
        <f t="shared" si="28"/>
        <v>0</v>
      </c>
      <c r="AJ17" s="63">
        <f t="shared" si="28"/>
        <v>0</v>
      </c>
      <c r="AK17" s="63">
        <f t="shared" si="28"/>
        <v>0</v>
      </c>
      <c r="AL17" s="63">
        <f t="shared" si="28"/>
        <v>0</v>
      </c>
      <c r="AM17" s="63">
        <f t="shared" si="28"/>
        <v>0</v>
      </c>
      <c r="AN17" s="63">
        <f t="shared" si="28"/>
        <v>0</v>
      </c>
      <c r="AO17" s="63">
        <f t="shared" si="28"/>
        <v>0</v>
      </c>
      <c r="AP17" s="63">
        <f t="shared" si="28"/>
        <v>0</v>
      </c>
      <c r="AQ17" s="63">
        <f t="shared" si="28"/>
        <v>0</v>
      </c>
      <c r="AR17" s="63">
        <f t="shared" si="28"/>
        <v>0</v>
      </c>
      <c r="AS17" s="63">
        <f t="shared" si="28"/>
        <v>0</v>
      </c>
      <c r="AT17" s="63">
        <f t="shared" si="29"/>
        <v>0</v>
      </c>
      <c r="AU17" s="63">
        <f t="shared" si="29"/>
        <v>0</v>
      </c>
      <c r="AV17" s="63">
        <f t="shared" si="29"/>
        <v>0</v>
      </c>
      <c r="AW17" s="63">
        <f t="shared" si="29"/>
        <v>0</v>
      </c>
      <c r="AX17" s="63">
        <f t="shared" si="29"/>
        <v>0</v>
      </c>
      <c r="AY17" s="63">
        <f t="shared" si="29"/>
        <v>0</v>
      </c>
      <c r="AZ17" s="63">
        <f t="shared" si="29"/>
        <v>0</v>
      </c>
      <c r="BA17" s="63">
        <f t="shared" si="29"/>
        <v>0</v>
      </c>
      <c r="BB17" s="63">
        <f t="shared" si="29"/>
        <v>0</v>
      </c>
      <c r="BC17" s="63">
        <f t="shared" si="29"/>
        <v>0</v>
      </c>
      <c r="BD17" s="63">
        <f t="shared" si="29"/>
        <v>0</v>
      </c>
      <c r="BE17" s="63">
        <f t="shared" si="29"/>
        <v>0</v>
      </c>
      <c r="BF17" s="63">
        <f t="shared" si="29"/>
        <v>0</v>
      </c>
      <c r="BG17" s="63">
        <f t="shared" si="29"/>
        <v>0</v>
      </c>
      <c r="BH17" s="63">
        <f t="shared" si="29"/>
        <v>0</v>
      </c>
      <c r="BI17" s="63">
        <f t="shared" si="29"/>
        <v>0</v>
      </c>
      <c r="BJ17" s="63">
        <f t="shared" si="30"/>
        <v>0</v>
      </c>
      <c r="BK17" s="63">
        <f t="shared" si="30"/>
        <v>0</v>
      </c>
      <c r="BL17" s="63">
        <f t="shared" si="30"/>
        <v>0</v>
      </c>
      <c r="BM17" s="63">
        <f t="shared" si="30"/>
        <v>0</v>
      </c>
      <c r="BN17" s="63">
        <f t="shared" si="30"/>
        <v>0</v>
      </c>
      <c r="BO17" s="63">
        <f t="shared" si="30"/>
        <v>0</v>
      </c>
      <c r="BP17" s="63">
        <f t="shared" si="30"/>
        <v>0</v>
      </c>
      <c r="BQ17" s="63">
        <f t="shared" si="30"/>
        <v>0</v>
      </c>
      <c r="BR17" s="63">
        <f t="shared" si="30"/>
        <v>0</v>
      </c>
      <c r="BS17" s="63">
        <f t="shared" si="30"/>
        <v>0</v>
      </c>
      <c r="BT17" s="63">
        <f t="shared" si="30"/>
        <v>0</v>
      </c>
      <c r="BU17" s="63">
        <f t="shared" si="30"/>
        <v>0</v>
      </c>
      <c r="BV17" s="63">
        <f t="shared" si="30"/>
        <v>0</v>
      </c>
      <c r="BW17" s="63">
        <f t="shared" si="30"/>
        <v>0</v>
      </c>
      <c r="BX17" s="63">
        <f t="shared" si="30"/>
        <v>0</v>
      </c>
      <c r="BY17" s="63">
        <f t="shared" si="30"/>
        <v>0</v>
      </c>
      <c r="BZ17" s="63">
        <f t="shared" si="31"/>
        <v>0</v>
      </c>
      <c r="CA17" s="63">
        <f t="shared" si="31"/>
        <v>0</v>
      </c>
      <c r="CB17" s="63">
        <f t="shared" si="31"/>
        <v>0</v>
      </c>
      <c r="CC17" s="63">
        <f t="shared" si="31"/>
        <v>0</v>
      </c>
      <c r="CD17" s="63">
        <f t="shared" si="31"/>
        <v>0</v>
      </c>
      <c r="CE17" s="63">
        <f t="shared" si="31"/>
        <v>0</v>
      </c>
      <c r="CF17" s="63">
        <f t="shared" si="31"/>
        <v>0</v>
      </c>
      <c r="CG17" s="63">
        <f t="shared" si="31"/>
        <v>0</v>
      </c>
      <c r="CH17" s="63">
        <f t="shared" si="31"/>
        <v>0</v>
      </c>
      <c r="CI17" s="63">
        <f t="shared" si="31"/>
        <v>0</v>
      </c>
      <c r="CJ17" s="63">
        <f t="shared" si="31"/>
        <v>0</v>
      </c>
      <c r="CK17" s="63">
        <f t="shared" si="31"/>
        <v>0</v>
      </c>
      <c r="CL17" s="63">
        <f t="shared" si="31"/>
        <v>0</v>
      </c>
      <c r="CM17" s="63">
        <f t="shared" si="31"/>
        <v>0</v>
      </c>
      <c r="CN17" s="63">
        <f t="shared" si="25"/>
        <v>0</v>
      </c>
      <c r="CO17" s="63">
        <f t="shared" si="25"/>
        <v>0</v>
      </c>
      <c r="CP17" s="63">
        <f t="shared" si="25"/>
        <v>0</v>
      </c>
      <c r="CQ17" s="63">
        <f t="shared" si="25"/>
        <v>0</v>
      </c>
      <c r="CR17" s="63">
        <f t="shared" si="25"/>
        <v>0</v>
      </c>
      <c r="CS17" s="63">
        <f t="shared" si="25"/>
        <v>0</v>
      </c>
      <c r="CT17" s="63">
        <f t="shared" si="25"/>
        <v>0</v>
      </c>
      <c r="CU17" s="63">
        <f t="shared" si="25"/>
        <v>0</v>
      </c>
      <c r="CV17" s="63">
        <f t="shared" si="25"/>
        <v>0</v>
      </c>
      <c r="CW17" s="63">
        <f t="shared" si="25"/>
        <v>0</v>
      </c>
      <c r="CX17" s="63">
        <f t="shared" si="25"/>
        <v>0</v>
      </c>
      <c r="CY17" s="63">
        <f t="shared" si="25"/>
        <v>0</v>
      </c>
      <c r="CZ17" s="63">
        <f t="shared" si="25"/>
        <v>0</v>
      </c>
      <c r="DA17" s="63">
        <f t="shared" si="25"/>
        <v>0</v>
      </c>
      <c r="DB17" s="63">
        <f t="shared" si="25"/>
        <v>0</v>
      </c>
      <c r="DC17" s="63">
        <f t="shared" si="25"/>
        <v>0</v>
      </c>
      <c r="DD17" s="63">
        <f t="shared" si="32"/>
        <v>0</v>
      </c>
      <c r="DE17" s="63">
        <f t="shared" si="27"/>
        <v>0</v>
      </c>
      <c r="DF17" s="63">
        <f t="shared" si="27"/>
        <v>0</v>
      </c>
      <c r="DG17" s="63">
        <f t="shared" si="27"/>
        <v>0</v>
      </c>
      <c r="DH17" s="63">
        <f t="shared" si="27"/>
        <v>0</v>
      </c>
      <c r="DI17" s="63">
        <f t="shared" si="27"/>
        <v>0</v>
      </c>
      <c r="DJ17" s="63">
        <f t="shared" si="27"/>
        <v>0</v>
      </c>
      <c r="DK17" s="63">
        <f t="shared" si="27"/>
        <v>0</v>
      </c>
      <c r="DL17" s="63">
        <f t="shared" si="27"/>
        <v>0</v>
      </c>
      <c r="DM17" s="63">
        <f t="shared" si="27"/>
        <v>0</v>
      </c>
      <c r="DN17" s="63">
        <f t="shared" si="27"/>
        <v>0</v>
      </c>
      <c r="DO17" s="63">
        <f t="shared" si="27"/>
        <v>0</v>
      </c>
      <c r="DP17" s="63">
        <f t="shared" si="27"/>
        <v>0</v>
      </c>
      <c r="DQ17" s="63">
        <f t="shared" si="27"/>
        <v>0</v>
      </c>
      <c r="DR17" s="63">
        <f t="shared" si="27"/>
        <v>0</v>
      </c>
      <c r="DS17" s="63">
        <f t="shared" si="27"/>
        <v>0</v>
      </c>
      <c r="DT17" s="63">
        <f t="shared" si="27"/>
        <v>0</v>
      </c>
      <c r="DU17" s="63">
        <f t="shared" si="27"/>
        <v>0</v>
      </c>
      <c r="DV17" s="63">
        <f t="shared" si="27"/>
        <v>0</v>
      </c>
      <c r="DW17" s="63">
        <f t="shared" si="27"/>
        <v>0</v>
      </c>
      <c r="DX17" s="63">
        <f t="shared" si="27"/>
        <v>0</v>
      </c>
      <c r="DY17" s="63">
        <f t="shared" si="27"/>
        <v>0</v>
      </c>
      <c r="DZ17" s="63">
        <f t="shared" ref="DE17:EO18" si="33">($G17&lt;=DZ$5)*($J17/12)*(1+$H17)^(ROUNDUP(MAX(DZ$5-$G17+1,0)/12,0)-1)</f>
        <v>0</v>
      </c>
      <c r="EA17" s="63">
        <f t="shared" si="33"/>
        <v>0</v>
      </c>
      <c r="EB17" s="63">
        <f t="shared" si="33"/>
        <v>0</v>
      </c>
      <c r="EC17" s="63">
        <f t="shared" si="33"/>
        <v>0</v>
      </c>
      <c r="ED17" s="63">
        <f t="shared" si="33"/>
        <v>0</v>
      </c>
      <c r="EE17" s="63">
        <f t="shared" si="33"/>
        <v>0</v>
      </c>
      <c r="EF17" s="63">
        <f t="shared" si="33"/>
        <v>0</v>
      </c>
      <c r="EG17" s="63">
        <f t="shared" si="33"/>
        <v>0</v>
      </c>
      <c r="EH17" s="63">
        <f t="shared" si="33"/>
        <v>0</v>
      </c>
      <c r="EI17" s="63">
        <f t="shared" si="33"/>
        <v>0</v>
      </c>
      <c r="EJ17" s="63">
        <f t="shared" si="33"/>
        <v>0</v>
      </c>
      <c r="EK17" s="63">
        <f t="shared" si="33"/>
        <v>0</v>
      </c>
      <c r="EL17" s="63">
        <f t="shared" si="33"/>
        <v>0</v>
      </c>
      <c r="EM17" s="63">
        <f t="shared" si="33"/>
        <v>0</v>
      </c>
      <c r="EN17" s="63">
        <f t="shared" si="33"/>
        <v>0</v>
      </c>
      <c r="EO17" s="63">
        <f t="shared" si="33"/>
        <v>0</v>
      </c>
    </row>
    <row r="18" spans="2:145" x14ac:dyDescent="0.45">
      <c r="B18" s="81">
        <f>+B17+100</f>
        <v>1300</v>
      </c>
      <c r="C18" s="81" t="s">
        <v>97</v>
      </c>
      <c r="E18" s="83">
        <v>1</v>
      </c>
      <c r="F18" s="85">
        <v>0</v>
      </c>
      <c r="G18" s="87">
        <v>0</v>
      </c>
      <c r="H18" s="94">
        <v>0.01</v>
      </c>
      <c r="I18" s="88">
        <v>0</v>
      </c>
      <c r="J18" s="63">
        <f>+I18*F18</f>
        <v>0</v>
      </c>
      <c r="L18" s="63">
        <f t="shared" si="17"/>
        <v>0</v>
      </c>
      <c r="M18" s="63">
        <f t="shared" si="10"/>
        <v>0</v>
      </c>
      <c r="N18" s="63">
        <f t="shared" si="10"/>
        <v>0</v>
      </c>
      <c r="O18" s="63">
        <f t="shared" si="10"/>
        <v>0</v>
      </c>
      <c r="P18" s="63">
        <f t="shared" si="10"/>
        <v>0</v>
      </c>
      <c r="Q18" s="63">
        <f t="shared" si="10"/>
        <v>0</v>
      </c>
      <c r="R18" s="63">
        <f t="shared" si="10"/>
        <v>0</v>
      </c>
      <c r="S18" s="63">
        <f t="shared" si="10"/>
        <v>0</v>
      </c>
      <c r="T18" s="63">
        <f t="shared" si="10"/>
        <v>0</v>
      </c>
      <c r="U18" s="63">
        <f t="shared" si="10"/>
        <v>0</v>
      </c>
      <c r="V18" s="63">
        <f t="shared" si="10"/>
        <v>0</v>
      </c>
      <c r="W18" s="63">
        <f t="shared" si="10"/>
        <v>0</v>
      </c>
      <c r="X18" s="63">
        <f t="shared" si="10"/>
        <v>0</v>
      </c>
      <c r="Y18" s="63">
        <f t="shared" si="10"/>
        <v>0</v>
      </c>
      <c r="Z18" s="63">
        <f t="shared" si="10"/>
        <v>0</v>
      </c>
      <c r="AA18" s="63">
        <f t="shared" si="10"/>
        <v>0</v>
      </c>
      <c r="AB18" s="63">
        <f t="shared" si="10"/>
        <v>0</v>
      </c>
      <c r="AC18" s="63">
        <f t="shared" si="10"/>
        <v>0</v>
      </c>
      <c r="AD18" s="63">
        <f t="shared" si="28"/>
        <v>0</v>
      </c>
      <c r="AE18" s="63">
        <f t="shared" si="28"/>
        <v>0</v>
      </c>
      <c r="AF18" s="63">
        <f t="shared" si="28"/>
        <v>0</v>
      </c>
      <c r="AG18" s="63">
        <f t="shared" si="28"/>
        <v>0</v>
      </c>
      <c r="AH18" s="63">
        <f t="shared" si="28"/>
        <v>0</v>
      </c>
      <c r="AI18" s="63">
        <f t="shared" si="28"/>
        <v>0</v>
      </c>
      <c r="AJ18" s="63">
        <f t="shared" si="28"/>
        <v>0</v>
      </c>
      <c r="AK18" s="63">
        <f t="shared" si="28"/>
        <v>0</v>
      </c>
      <c r="AL18" s="63">
        <f t="shared" si="28"/>
        <v>0</v>
      </c>
      <c r="AM18" s="63">
        <f t="shared" si="28"/>
        <v>0</v>
      </c>
      <c r="AN18" s="63">
        <f t="shared" si="28"/>
        <v>0</v>
      </c>
      <c r="AO18" s="63">
        <f t="shared" si="28"/>
        <v>0</v>
      </c>
      <c r="AP18" s="63">
        <f t="shared" si="28"/>
        <v>0</v>
      </c>
      <c r="AQ18" s="63">
        <f t="shared" si="28"/>
        <v>0</v>
      </c>
      <c r="AR18" s="63">
        <f t="shared" si="28"/>
        <v>0</v>
      </c>
      <c r="AS18" s="63">
        <f t="shared" si="28"/>
        <v>0</v>
      </c>
      <c r="AT18" s="63">
        <f t="shared" si="29"/>
        <v>0</v>
      </c>
      <c r="AU18" s="63">
        <f t="shared" si="29"/>
        <v>0</v>
      </c>
      <c r="AV18" s="63">
        <f t="shared" si="29"/>
        <v>0</v>
      </c>
      <c r="AW18" s="63">
        <f t="shared" si="29"/>
        <v>0</v>
      </c>
      <c r="AX18" s="63">
        <f t="shared" si="29"/>
        <v>0</v>
      </c>
      <c r="AY18" s="63">
        <f t="shared" si="29"/>
        <v>0</v>
      </c>
      <c r="AZ18" s="63">
        <f t="shared" si="29"/>
        <v>0</v>
      </c>
      <c r="BA18" s="63">
        <f t="shared" si="29"/>
        <v>0</v>
      </c>
      <c r="BB18" s="63">
        <f t="shared" si="29"/>
        <v>0</v>
      </c>
      <c r="BC18" s="63">
        <f t="shared" si="29"/>
        <v>0</v>
      </c>
      <c r="BD18" s="63">
        <f t="shared" si="29"/>
        <v>0</v>
      </c>
      <c r="BE18" s="63">
        <f t="shared" si="29"/>
        <v>0</v>
      </c>
      <c r="BF18" s="63">
        <f t="shared" si="29"/>
        <v>0</v>
      </c>
      <c r="BG18" s="63">
        <f t="shared" si="29"/>
        <v>0</v>
      </c>
      <c r="BH18" s="63">
        <f t="shared" si="29"/>
        <v>0</v>
      </c>
      <c r="BI18" s="63">
        <f t="shared" si="29"/>
        <v>0</v>
      </c>
      <c r="BJ18" s="63">
        <f t="shared" si="30"/>
        <v>0</v>
      </c>
      <c r="BK18" s="63">
        <f t="shared" si="30"/>
        <v>0</v>
      </c>
      <c r="BL18" s="63">
        <f t="shared" si="30"/>
        <v>0</v>
      </c>
      <c r="BM18" s="63">
        <f t="shared" si="30"/>
        <v>0</v>
      </c>
      <c r="BN18" s="63">
        <f t="shared" si="30"/>
        <v>0</v>
      </c>
      <c r="BO18" s="63">
        <f t="shared" si="30"/>
        <v>0</v>
      </c>
      <c r="BP18" s="63">
        <f t="shared" si="30"/>
        <v>0</v>
      </c>
      <c r="BQ18" s="63">
        <f t="shared" si="30"/>
        <v>0</v>
      </c>
      <c r="BR18" s="63">
        <f t="shared" si="30"/>
        <v>0</v>
      </c>
      <c r="BS18" s="63">
        <f t="shared" si="30"/>
        <v>0</v>
      </c>
      <c r="BT18" s="63">
        <f t="shared" si="30"/>
        <v>0</v>
      </c>
      <c r="BU18" s="63">
        <f t="shared" si="30"/>
        <v>0</v>
      </c>
      <c r="BV18" s="63">
        <f t="shared" si="30"/>
        <v>0</v>
      </c>
      <c r="BW18" s="63">
        <f t="shared" si="30"/>
        <v>0</v>
      </c>
      <c r="BX18" s="63">
        <f t="shared" si="30"/>
        <v>0</v>
      </c>
      <c r="BY18" s="63">
        <f t="shared" si="30"/>
        <v>0</v>
      </c>
      <c r="BZ18" s="63">
        <f t="shared" si="31"/>
        <v>0</v>
      </c>
      <c r="CA18" s="63">
        <f t="shared" si="31"/>
        <v>0</v>
      </c>
      <c r="CB18" s="63">
        <f t="shared" si="31"/>
        <v>0</v>
      </c>
      <c r="CC18" s="63">
        <f t="shared" si="31"/>
        <v>0</v>
      </c>
      <c r="CD18" s="63">
        <f t="shared" si="31"/>
        <v>0</v>
      </c>
      <c r="CE18" s="63">
        <f t="shared" si="31"/>
        <v>0</v>
      </c>
      <c r="CF18" s="63">
        <f t="shared" si="31"/>
        <v>0</v>
      </c>
      <c r="CG18" s="63">
        <f t="shared" si="31"/>
        <v>0</v>
      </c>
      <c r="CH18" s="63">
        <f t="shared" si="31"/>
        <v>0</v>
      </c>
      <c r="CI18" s="63">
        <f t="shared" si="31"/>
        <v>0</v>
      </c>
      <c r="CJ18" s="63">
        <f t="shared" si="31"/>
        <v>0</v>
      </c>
      <c r="CK18" s="63">
        <f t="shared" si="31"/>
        <v>0</v>
      </c>
      <c r="CL18" s="63">
        <f t="shared" si="31"/>
        <v>0</v>
      </c>
      <c r="CM18" s="63">
        <f t="shared" si="31"/>
        <v>0</v>
      </c>
      <c r="CN18" s="63">
        <f t="shared" si="25"/>
        <v>0</v>
      </c>
      <c r="CO18" s="63">
        <f t="shared" si="25"/>
        <v>0</v>
      </c>
      <c r="CP18" s="63">
        <f t="shared" si="25"/>
        <v>0</v>
      </c>
      <c r="CQ18" s="63">
        <f t="shared" si="25"/>
        <v>0</v>
      </c>
      <c r="CR18" s="63">
        <f t="shared" si="25"/>
        <v>0</v>
      </c>
      <c r="CS18" s="63">
        <f t="shared" si="25"/>
        <v>0</v>
      </c>
      <c r="CT18" s="63">
        <f t="shared" si="25"/>
        <v>0</v>
      </c>
      <c r="CU18" s="63">
        <f t="shared" si="25"/>
        <v>0</v>
      </c>
      <c r="CV18" s="63">
        <f t="shared" si="25"/>
        <v>0</v>
      </c>
      <c r="CW18" s="63">
        <f t="shared" si="25"/>
        <v>0</v>
      </c>
      <c r="CX18" s="63">
        <f t="shared" si="25"/>
        <v>0</v>
      </c>
      <c r="CY18" s="63">
        <f t="shared" si="25"/>
        <v>0</v>
      </c>
      <c r="CZ18" s="63">
        <f t="shared" si="25"/>
        <v>0</v>
      </c>
      <c r="DA18" s="63">
        <f t="shared" si="25"/>
        <v>0</v>
      </c>
      <c r="DB18" s="63">
        <f t="shared" si="25"/>
        <v>0</v>
      </c>
      <c r="DC18" s="63">
        <f t="shared" si="25"/>
        <v>0</v>
      </c>
      <c r="DD18" s="63">
        <f t="shared" si="32"/>
        <v>0</v>
      </c>
      <c r="DE18" s="63">
        <f t="shared" si="33"/>
        <v>0</v>
      </c>
      <c r="DF18" s="63">
        <f t="shared" si="33"/>
        <v>0</v>
      </c>
      <c r="DG18" s="63">
        <f t="shared" si="33"/>
        <v>0</v>
      </c>
      <c r="DH18" s="63">
        <f t="shared" si="33"/>
        <v>0</v>
      </c>
      <c r="DI18" s="63">
        <f t="shared" si="33"/>
        <v>0</v>
      </c>
      <c r="DJ18" s="63">
        <f t="shared" si="33"/>
        <v>0</v>
      </c>
      <c r="DK18" s="63">
        <f t="shared" si="33"/>
        <v>0</v>
      </c>
      <c r="DL18" s="63">
        <f t="shared" si="33"/>
        <v>0</v>
      </c>
      <c r="DM18" s="63">
        <f t="shared" si="33"/>
        <v>0</v>
      </c>
      <c r="DN18" s="63">
        <f t="shared" si="33"/>
        <v>0</v>
      </c>
      <c r="DO18" s="63">
        <f t="shared" si="33"/>
        <v>0</v>
      </c>
      <c r="DP18" s="63">
        <f t="shared" si="33"/>
        <v>0</v>
      </c>
      <c r="DQ18" s="63">
        <f t="shared" si="33"/>
        <v>0</v>
      </c>
      <c r="DR18" s="63">
        <f t="shared" si="33"/>
        <v>0</v>
      </c>
      <c r="DS18" s="63">
        <f t="shared" si="33"/>
        <v>0</v>
      </c>
      <c r="DT18" s="63">
        <f t="shared" si="33"/>
        <v>0</v>
      </c>
      <c r="DU18" s="63">
        <f t="shared" si="33"/>
        <v>0</v>
      </c>
      <c r="DV18" s="63">
        <f t="shared" si="33"/>
        <v>0</v>
      </c>
      <c r="DW18" s="63">
        <f t="shared" si="33"/>
        <v>0</v>
      </c>
      <c r="DX18" s="63">
        <f t="shared" si="33"/>
        <v>0</v>
      </c>
      <c r="DY18" s="63">
        <f t="shared" si="33"/>
        <v>0</v>
      </c>
      <c r="DZ18" s="63">
        <f t="shared" si="33"/>
        <v>0</v>
      </c>
      <c r="EA18" s="63">
        <f t="shared" si="33"/>
        <v>0</v>
      </c>
      <c r="EB18" s="63">
        <f t="shared" si="33"/>
        <v>0</v>
      </c>
      <c r="EC18" s="63">
        <f t="shared" si="33"/>
        <v>0</v>
      </c>
      <c r="ED18" s="63">
        <f t="shared" si="33"/>
        <v>0</v>
      </c>
      <c r="EE18" s="63">
        <f t="shared" si="33"/>
        <v>0</v>
      </c>
      <c r="EF18" s="63">
        <f t="shared" si="33"/>
        <v>0</v>
      </c>
      <c r="EG18" s="63">
        <f t="shared" si="33"/>
        <v>0</v>
      </c>
      <c r="EH18" s="63">
        <f t="shared" si="33"/>
        <v>0</v>
      </c>
      <c r="EI18" s="63">
        <f t="shared" si="33"/>
        <v>0</v>
      </c>
      <c r="EJ18" s="63">
        <f t="shared" si="33"/>
        <v>0</v>
      </c>
      <c r="EK18" s="63">
        <f t="shared" si="33"/>
        <v>0</v>
      </c>
      <c r="EL18" s="63">
        <f t="shared" si="33"/>
        <v>0</v>
      </c>
      <c r="EM18" s="63">
        <f t="shared" si="33"/>
        <v>0</v>
      </c>
      <c r="EN18" s="63">
        <f t="shared" si="33"/>
        <v>0</v>
      </c>
      <c r="EO18" s="63">
        <f t="shared" si="33"/>
        <v>0</v>
      </c>
    </row>
    <row r="19" spans="2:145" x14ac:dyDescent="0.45">
      <c r="B19" s="67" t="s">
        <v>98</v>
      </c>
      <c r="C19" s="67"/>
      <c r="D19" s="67"/>
      <c r="E19" s="190">
        <f>MIN(E6:E18)</f>
        <v>1</v>
      </c>
      <c r="F19" s="91">
        <f>SUM(F6:F18)</f>
        <v>0</v>
      </c>
      <c r="G19" s="92">
        <f>MIN(G6:G18)</f>
        <v>0</v>
      </c>
      <c r="H19" s="95">
        <f>IFERROR(SUMPRODUCT(H6:H18,J6:J18)/J19,0)</f>
        <v>0</v>
      </c>
      <c r="I19" s="93">
        <f>IFERROR(SUMPRODUCT(I6:I18,F6:F18)/F19,0)</f>
        <v>0</v>
      </c>
      <c r="J19" s="68">
        <f>SUM(J6:J18)</f>
        <v>0</v>
      </c>
      <c r="L19" s="68">
        <f>SUM(L6:L18)</f>
        <v>0</v>
      </c>
      <c r="M19" s="68">
        <f t="shared" ref="M19:BX19" si="34">SUM(M6:M18)</f>
        <v>0</v>
      </c>
      <c r="N19" s="68">
        <f t="shared" si="34"/>
        <v>0</v>
      </c>
      <c r="O19" s="68">
        <f t="shared" si="34"/>
        <v>0</v>
      </c>
      <c r="P19" s="68">
        <f t="shared" si="34"/>
        <v>0</v>
      </c>
      <c r="Q19" s="68">
        <f t="shared" si="34"/>
        <v>0</v>
      </c>
      <c r="R19" s="68">
        <f t="shared" si="34"/>
        <v>0</v>
      </c>
      <c r="S19" s="68">
        <f t="shared" si="34"/>
        <v>0</v>
      </c>
      <c r="T19" s="68">
        <f t="shared" si="34"/>
        <v>0</v>
      </c>
      <c r="U19" s="68">
        <f t="shared" si="34"/>
        <v>0</v>
      </c>
      <c r="V19" s="68">
        <f t="shared" si="34"/>
        <v>0</v>
      </c>
      <c r="W19" s="68">
        <f t="shared" si="34"/>
        <v>0</v>
      </c>
      <c r="X19" s="68">
        <f t="shared" si="34"/>
        <v>0</v>
      </c>
      <c r="Y19" s="68">
        <f t="shared" si="34"/>
        <v>0</v>
      </c>
      <c r="Z19" s="68">
        <f t="shared" si="34"/>
        <v>0</v>
      </c>
      <c r="AA19" s="68">
        <f t="shared" si="34"/>
        <v>0</v>
      </c>
      <c r="AB19" s="68">
        <f t="shared" si="34"/>
        <v>0</v>
      </c>
      <c r="AC19" s="68">
        <f t="shared" si="34"/>
        <v>0</v>
      </c>
      <c r="AD19" s="68">
        <f t="shared" si="34"/>
        <v>0</v>
      </c>
      <c r="AE19" s="68">
        <f t="shared" si="34"/>
        <v>0</v>
      </c>
      <c r="AF19" s="68">
        <f t="shared" si="34"/>
        <v>0</v>
      </c>
      <c r="AG19" s="68">
        <f t="shared" si="34"/>
        <v>0</v>
      </c>
      <c r="AH19" s="68">
        <f t="shared" si="34"/>
        <v>0</v>
      </c>
      <c r="AI19" s="68">
        <f t="shared" si="34"/>
        <v>0</v>
      </c>
      <c r="AJ19" s="68">
        <f t="shared" si="34"/>
        <v>0</v>
      </c>
      <c r="AK19" s="68">
        <f t="shared" si="34"/>
        <v>0</v>
      </c>
      <c r="AL19" s="68">
        <f t="shared" si="34"/>
        <v>0</v>
      </c>
      <c r="AM19" s="68">
        <f t="shared" si="34"/>
        <v>0</v>
      </c>
      <c r="AN19" s="68">
        <f t="shared" si="34"/>
        <v>0</v>
      </c>
      <c r="AO19" s="68">
        <f t="shared" si="34"/>
        <v>0</v>
      </c>
      <c r="AP19" s="68">
        <f t="shared" si="34"/>
        <v>0</v>
      </c>
      <c r="AQ19" s="68">
        <f t="shared" si="34"/>
        <v>0</v>
      </c>
      <c r="AR19" s="68">
        <f t="shared" si="34"/>
        <v>0</v>
      </c>
      <c r="AS19" s="68">
        <f t="shared" si="34"/>
        <v>0</v>
      </c>
      <c r="AT19" s="68">
        <f t="shared" si="34"/>
        <v>0</v>
      </c>
      <c r="AU19" s="68">
        <f t="shared" si="34"/>
        <v>0</v>
      </c>
      <c r="AV19" s="68">
        <f t="shared" si="34"/>
        <v>0</v>
      </c>
      <c r="AW19" s="68">
        <f t="shared" si="34"/>
        <v>0</v>
      </c>
      <c r="AX19" s="68">
        <f t="shared" si="34"/>
        <v>0</v>
      </c>
      <c r="AY19" s="68">
        <f t="shared" si="34"/>
        <v>0</v>
      </c>
      <c r="AZ19" s="68">
        <f t="shared" si="34"/>
        <v>0</v>
      </c>
      <c r="BA19" s="68">
        <f t="shared" si="34"/>
        <v>0</v>
      </c>
      <c r="BB19" s="68">
        <f t="shared" si="34"/>
        <v>0</v>
      </c>
      <c r="BC19" s="68">
        <f t="shared" si="34"/>
        <v>0</v>
      </c>
      <c r="BD19" s="68">
        <f t="shared" si="34"/>
        <v>0</v>
      </c>
      <c r="BE19" s="68">
        <f t="shared" si="34"/>
        <v>0</v>
      </c>
      <c r="BF19" s="68">
        <f t="shared" si="34"/>
        <v>0</v>
      </c>
      <c r="BG19" s="68">
        <f t="shared" si="34"/>
        <v>0</v>
      </c>
      <c r="BH19" s="68">
        <f t="shared" si="34"/>
        <v>0</v>
      </c>
      <c r="BI19" s="68">
        <f t="shared" si="34"/>
        <v>0</v>
      </c>
      <c r="BJ19" s="68">
        <f t="shared" si="34"/>
        <v>0</v>
      </c>
      <c r="BK19" s="68">
        <f t="shared" si="34"/>
        <v>0</v>
      </c>
      <c r="BL19" s="68">
        <f t="shared" si="34"/>
        <v>0</v>
      </c>
      <c r="BM19" s="68">
        <f t="shared" si="34"/>
        <v>0</v>
      </c>
      <c r="BN19" s="68">
        <f t="shared" si="34"/>
        <v>0</v>
      </c>
      <c r="BO19" s="68">
        <f t="shared" si="34"/>
        <v>0</v>
      </c>
      <c r="BP19" s="68">
        <f t="shared" si="34"/>
        <v>0</v>
      </c>
      <c r="BQ19" s="68">
        <f t="shared" si="34"/>
        <v>0</v>
      </c>
      <c r="BR19" s="68">
        <f t="shared" si="34"/>
        <v>0</v>
      </c>
      <c r="BS19" s="68">
        <f t="shared" si="34"/>
        <v>0</v>
      </c>
      <c r="BT19" s="68">
        <f t="shared" si="34"/>
        <v>0</v>
      </c>
      <c r="BU19" s="68">
        <f t="shared" si="34"/>
        <v>0</v>
      </c>
      <c r="BV19" s="68">
        <f t="shared" si="34"/>
        <v>0</v>
      </c>
      <c r="BW19" s="68">
        <f t="shared" si="34"/>
        <v>0</v>
      </c>
      <c r="BX19" s="68">
        <f t="shared" si="34"/>
        <v>0</v>
      </c>
      <c r="BY19" s="68">
        <f t="shared" ref="BY19:CQ19" si="35">SUM(BY6:BY18)</f>
        <v>0</v>
      </c>
      <c r="BZ19" s="68">
        <f t="shared" si="35"/>
        <v>0</v>
      </c>
      <c r="CA19" s="68">
        <f t="shared" si="35"/>
        <v>0</v>
      </c>
      <c r="CB19" s="68">
        <f t="shared" si="35"/>
        <v>0</v>
      </c>
      <c r="CC19" s="68">
        <f t="shared" si="35"/>
        <v>0</v>
      </c>
      <c r="CD19" s="68">
        <f t="shared" si="35"/>
        <v>0</v>
      </c>
      <c r="CE19" s="68">
        <f t="shared" si="35"/>
        <v>0</v>
      </c>
      <c r="CF19" s="68">
        <f t="shared" si="35"/>
        <v>0</v>
      </c>
      <c r="CG19" s="68">
        <f t="shared" si="35"/>
        <v>0</v>
      </c>
      <c r="CH19" s="68">
        <f t="shared" si="35"/>
        <v>0</v>
      </c>
      <c r="CI19" s="68">
        <f t="shared" si="35"/>
        <v>0</v>
      </c>
      <c r="CJ19" s="68">
        <f t="shared" si="35"/>
        <v>0</v>
      </c>
      <c r="CK19" s="68">
        <f t="shared" si="35"/>
        <v>0</v>
      </c>
      <c r="CL19" s="68">
        <f t="shared" si="35"/>
        <v>0</v>
      </c>
      <c r="CM19" s="68">
        <f t="shared" si="35"/>
        <v>0</v>
      </c>
      <c r="CN19" s="68">
        <f t="shared" si="35"/>
        <v>0</v>
      </c>
      <c r="CO19" s="68">
        <f t="shared" si="35"/>
        <v>0</v>
      </c>
      <c r="CP19" s="68">
        <f t="shared" si="35"/>
        <v>0</v>
      </c>
      <c r="CQ19" s="68">
        <f t="shared" si="35"/>
        <v>0</v>
      </c>
      <c r="CR19" s="68">
        <f t="shared" ref="CR19:DD19" si="36">SUM(CR6:CR18)</f>
        <v>0</v>
      </c>
      <c r="CS19" s="68">
        <f t="shared" si="36"/>
        <v>0</v>
      </c>
      <c r="CT19" s="68">
        <f t="shared" si="36"/>
        <v>0</v>
      </c>
      <c r="CU19" s="68">
        <f t="shared" si="36"/>
        <v>0</v>
      </c>
      <c r="CV19" s="68">
        <f t="shared" si="36"/>
        <v>0</v>
      </c>
      <c r="CW19" s="68">
        <f t="shared" si="36"/>
        <v>0</v>
      </c>
      <c r="CX19" s="68">
        <f t="shared" si="36"/>
        <v>0</v>
      </c>
      <c r="CY19" s="68">
        <f t="shared" si="36"/>
        <v>0</v>
      </c>
      <c r="CZ19" s="68">
        <f t="shared" si="36"/>
        <v>0</v>
      </c>
      <c r="DA19" s="68">
        <f t="shared" si="36"/>
        <v>0</v>
      </c>
      <c r="DB19" s="68">
        <f t="shared" si="36"/>
        <v>0</v>
      </c>
      <c r="DC19" s="68">
        <f t="shared" si="36"/>
        <v>0</v>
      </c>
      <c r="DD19" s="68">
        <f t="shared" si="36"/>
        <v>0</v>
      </c>
      <c r="DE19" s="68">
        <f t="shared" ref="DE19:EO19" si="37">SUM(DE6:DE18)</f>
        <v>0</v>
      </c>
      <c r="DF19" s="68">
        <f t="shared" si="37"/>
        <v>0</v>
      </c>
      <c r="DG19" s="68">
        <f t="shared" si="37"/>
        <v>0</v>
      </c>
      <c r="DH19" s="68">
        <f t="shared" si="37"/>
        <v>0</v>
      </c>
      <c r="DI19" s="68">
        <f t="shared" si="37"/>
        <v>0</v>
      </c>
      <c r="DJ19" s="68">
        <f t="shared" si="37"/>
        <v>0</v>
      </c>
      <c r="DK19" s="68">
        <f t="shared" si="37"/>
        <v>0</v>
      </c>
      <c r="DL19" s="68">
        <f t="shared" si="37"/>
        <v>0</v>
      </c>
      <c r="DM19" s="68">
        <f t="shared" si="37"/>
        <v>0</v>
      </c>
      <c r="DN19" s="68">
        <f t="shared" si="37"/>
        <v>0</v>
      </c>
      <c r="DO19" s="68">
        <f t="shared" si="37"/>
        <v>0</v>
      </c>
      <c r="DP19" s="68">
        <f t="shared" si="37"/>
        <v>0</v>
      </c>
      <c r="DQ19" s="68">
        <f t="shared" si="37"/>
        <v>0</v>
      </c>
      <c r="DR19" s="68">
        <f t="shared" si="37"/>
        <v>0</v>
      </c>
      <c r="DS19" s="68">
        <f t="shared" si="37"/>
        <v>0</v>
      </c>
      <c r="DT19" s="68">
        <f t="shared" si="37"/>
        <v>0</v>
      </c>
      <c r="DU19" s="68">
        <f t="shared" si="37"/>
        <v>0</v>
      </c>
      <c r="DV19" s="68">
        <f t="shared" si="37"/>
        <v>0</v>
      </c>
      <c r="DW19" s="68">
        <f t="shared" si="37"/>
        <v>0</v>
      </c>
      <c r="DX19" s="68">
        <f t="shared" si="37"/>
        <v>0</v>
      </c>
      <c r="DY19" s="68">
        <f t="shared" si="37"/>
        <v>0</v>
      </c>
      <c r="DZ19" s="68">
        <f t="shared" si="37"/>
        <v>0</v>
      </c>
      <c r="EA19" s="68">
        <f t="shared" si="37"/>
        <v>0</v>
      </c>
      <c r="EB19" s="68">
        <f t="shared" si="37"/>
        <v>0</v>
      </c>
      <c r="EC19" s="68">
        <f t="shared" si="37"/>
        <v>0</v>
      </c>
      <c r="ED19" s="68">
        <f t="shared" si="37"/>
        <v>0</v>
      </c>
      <c r="EE19" s="68">
        <f t="shared" si="37"/>
        <v>0</v>
      </c>
      <c r="EF19" s="68">
        <f t="shared" si="37"/>
        <v>0</v>
      </c>
      <c r="EG19" s="68">
        <f t="shared" si="37"/>
        <v>0</v>
      </c>
      <c r="EH19" s="68">
        <f t="shared" si="37"/>
        <v>0</v>
      </c>
      <c r="EI19" s="68">
        <f t="shared" si="37"/>
        <v>0</v>
      </c>
      <c r="EJ19" s="68">
        <f t="shared" si="37"/>
        <v>0</v>
      </c>
      <c r="EK19" s="68">
        <f t="shared" si="37"/>
        <v>0</v>
      </c>
      <c r="EL19" s="68">
        <f t="shared" si="37"/>
        <v>0</v>
      </c>
      <c r="EM19" s="68">
        <f t="shared" si="37"/>
        <v>0</v>
      </c>
      <c r="EN19" s="68">
        <f t="shared" si="37"/>
        <v>0</v>
      </c>
      <c r="EO19" s="68">
        <f t="shared" si="37"/>
        <v>0</v>
      </c>
    </row>
    <row r="20" spans="2:145" s="65" customFormat="1" x14ac:dyDescent="0.45">
      <c r="K20" s="124" t="s">
        <v>129</v>
      </c>
      <c r="L20" s="66">
        <f t="shared" ref="L20:AQ20" si="38">IFERROR(SUMIF($E$6:$E$18,"&lt;="&amp;L5,$F$6:$F$18)/$F$19,0)</f>
        <v>0</v>
      </c>
      <c r="M20" s="66">
        <f t="shared" si="38"/>
        <v>0</v>
      </c>
      <c r="N20" s="66">
        <f t="shared" si="38"/>
        <v>0</v>
      </c>
      <c r="O20" s="66">
        <f t="shared" si="38"/>
        <v>0</v>
      </c>
      <c r="P20" s="66">
        <f t="shared" si="38"/>
        <v>0</v>
      </c>
      <c r="Q20" s="66">
        <f t="shared" si="38"/>
        <v>0</v>
      </c>
      <c r="R20" s="66">
        <f t="shared" si="38"/>
        <v>0</v>
      </c>
      <c r="S20" s="66">
        <f t="shared" si="38"/>
        <v>0</v>
      </c>
      <c r="T20" s="66">
        <f t="shared" si="38"/>
        <v>0</v>
      </c>
      <c r="U20" s="66">
        <f t="shared" si="38"/>
        <v>0</v>
      </c>
      <c r="V20" s="66">
        <f t="shared" si="38"/>
        <v>0</v>
      </c>
      <c r="W20" s="66">
        <f t="shared" si="38"/>
        <v>0</v>
      </c>
      <c r="X20" s="66">
        <f t="shared" si="38"/>
        <v>0</v>
      </c>
      <c r="Y20" s="66">
        <f t="shared" si="38"/>
        <v>0</v>
      </c>
      <c r="Z20" s="66">
        <f t="shared" si="38"/>
        <v>0</v>
      </c>
      <c r="AA20" s="66">
        <f t="shared" si="38"/>
        <v>0</v>
      </c>
      <c r="AB20" s="66">
        <f t="shared" si="38"/>
        <v>0</v>
      </c>
      <c r="AC20" s="66">
        <f t="shared" si="38"/>
        <v>0</v>
      </c>
      <c r="AD20" s="66">
        <f t="shared" si="38"/>
        <v>0</v>
      </c>
      <c r="AE20" s="66">
        <f t="shared" si="38"/>
        <v>0</v>
      </c>
      <c r="AF20" s="66">
        <f t="shared" si="38"/>
        <v>0</v>
      </c>
      <c r="AG20" s="66">
        <f t="shared" si="38"/>
        <v>0</v>
      </c>
      <c r="AH20" s="66">
        <f t="shared" si="38"/>
        <v>0</v>
      </c>
      <c r="AI20" s="66">
        <f t="shared" si="38"/>
        <v>0</v>
      </c>
      <c r="AJ20" s="66">
        <f t="shared" si="38"/>
        <v>0</v>
      </c>
      <c r="AK20" s="66">
        <f t="shared" si="38"/>
        <v>0</v>
      </c>
      <c r="AL20" s="66">
        <f t="shared" si="38"/>
        <v>0</v>
      </c>
      <c r="AM20" s="66">
        <f t="shared" si="38"/>
        <v>0</v>
      </c>
      <c r="AN20" s="66">
        <f t="shared" si="38"/>
        <v>0</v>
      </c>
      <c r="AO20" s="66">
        <f t="shared" si="38"/>
        <v>0</v>
      </c>
      <c r="AP20" s="66">
        <f t="shared" si="38"/>
        <v>0</v>
      </c>
      <c r="AQ20" s="66">
        <f t="shared" si="38"/>
        <v>0</v>
      </c>
      <c r="AR20" s="66">
        <f t="shared" ref="AR20:BW20" si="39">IFERROR(SUMIF($E$6:$E$18,"&lt;="&amp;AR5,$F$6:$F$18)/$F$19,0)</f>
        <v>0</v>
      </c>
      <c r="AS20" s="66">
        <f t="shared" si="39"/>
        <v>0</v>
      </c>
      <c r="AT20" s="66">
        <f t="shared" si="39"/>
        <v>0</v>
      </c>
      <c r="AU20" s="66">
        <f t="shared" si="39"/>
        <v>0</v>
      </c>
      <c r="AV20" s="66">
        <f t="shared" si="39"/>
        <v>0</v>
      </c>
      <c r="AW20" s="66">
        <f t="shared" si="39"/>
        <v>0</v>
      </c>
      <c r="AX20" s="66">
        <f t="shared" si="39"/>
        <v>0</v>
      </c>
      <c r="AY20" s="66">
        <f t="shared" si="39"/>
        <v>0</v>
      </c>
      <c r="AZ20" s="66">
        <f t="shared" si="39"/>
        <v>0</v>
      </c>
      <c r="BA20" s="66">
        <f t="shared" si="39"/>
        <v>0</v>
      </c>
      <c r="BB20" s="66">
        <f t="shared" si="39"/>
        <v>0</v>
      </c>
      <c r="BC20" s="66">
        <f t="shared" si="39"/>
        <v>0</v>
      </c>
      <c r="BD20" s="66">
        <f t="shared" si="39"/>
        <v>0</v>
      </c>
      <c r="BE20" s="66">
        <f t="shared" si="39"/>
        <v>0</v>
      </c>
      <c r="BF20" s="66">
        <f t="shared" si="39"/>
        <v>0</v>
      </c>
      <c r="BG20" s="66">
        <f t="shared" si="39"/>
        <v>0</v>
      </c>
      <c r="BH20" s="66">
        <f t="shared" si="39"/>
        <v>0</v>
      </c>
      <c r="BI20" s="66">
        <f t="shared" si="39"/>
        <v>0</v>
      </c>
      <c r="BJ20" s="66">
        <f t="shared" si="39"/>
        <v>0</v>
      </c>
      <c r="BK20" s="66">
        <f t="shared" si="39"/>
        <v>0</v>
      </c>
      <c r="BL20" s="66">
        <f t="shared" si="39"/>
        <v>0</v>
      </c>
      <c r="BM20" s="66">
        <f t="shared" si="39"/>
        <v>0</v>
      </c>
      <c r="BN20" s="66">
        <f t="shared" si="39"/>
        <v>0</v>
      </c>
      <c r="BO20" s="66">
        <f t="shared" si="39"/>
        <v>0</v>
      </c>
      <c r="BP20" s="66">
        <f t="shared" si="39"/>
        <v>0</v>
      </c>
      <c r="BQ20" s="66">
        <f t="shared" si="39"/>
        <v>0</v>
      </c>
      <c r="BR20" s="66">
        <f t="shared" si="39"/>
        <v>0</v>
      </c>
      <c r="BS20" s="66">
        <f t="shared" si="39"/>
        <v>0</v>
      </c>
      <c r="BT20" s="66">
        <f t="shared" si="39"/>
        <v>0</v>
      </c>
      <c r="BU20" s="66">
        <f t="shared" si="39"/>
        <v>0</v>
      </c>
      <c r="BV20" s="66">
        <f t="shared" si="39"/>
        <v>0</v>
      </c>
      <c r="BW20" s="66">
        <f t="shared" si="39"/>
        <v>0</v>
      </c>
      <c r="BX20" s="66">
        <f t="shared" ref="BX20:DD20" si="40">IFERROR(SUMIF($E$6:$E$18,"&lt;="&amp;BX5,$F$6:$F$18)/$F$19,0)</f>
        <v>0</v>
      </c>
      <c r="BY20" s="66">
        <f t="shared" si="40"/>
        <v>0</v>
      </c>
      <c r="BZ20" s="66">
        <f t="shared" si="40"/>
        <v>0</v>
      </c>
      <c r="CA20" s="66">
        <f t="shared" si="40"/>
        <v>0</v>
      </c>
      <c r="CB20" s="66">
        <f t="shared" si="40"/>
        <v>0</v>
      </c>
      <c r="CC20" s="66">
        <f t="shared" si="40"/>
        <v>0</v>
      </c>
      <c r="CD20" s="66">
        <f t="shared" si="40"/>
        <v>0</v>
      </c>
      <c r="CE20" s="66">
        <f t="shared" si="40"/>
        <v>0</v>
      </c>
      <c r="CF20" s="66">
        <f t="shared" si="40"/>
        <v>0</v>
      </c>
      <c r="CG20" s="66">
        <f t="shared" si="40"/>
        <v>0</v>
      </c>
      <c r="CH20" s="66">
        <f t="shared" si="40"/>
        <v>0</v>
      </c>
      <c r="CI20" s="66">
        <f t="shared" si="40"/>
        <v>0</v>
      </c>
      <c r="CJ20" s="66">
        <f t="shared" si="40"/>
        <v>0</v>
      </c>
      <c r="CK20" s="66">
        <f t="shared" si="40"/>
        <v>0</v>
      </c>
      <c r="CL20" s="66">
        <f t="shared" si="40"/>
        <v>0</v>
      </c>
      <c r="CM20" s="66">
        <f t="shared" si="40"/>
        <v>0</v>
      </c>
      <c r="CN20" s="66">
        <f t="shared" si="40"/>
        <v>0</v>
      </c>
      <c r="CO20" s="66">
        <f t="shared" si="40"/>
        <v>0</v>
      </c>
      <c r="CP20" s="66">
        <f t="shared" si="40"/>
        <v>0</v>
      </c>
      <c r="CQ20" s="66">
        <f t="shared" si="40"/>
        <v>0</v>
      </c>
      <c r="CR20" s="66">
        <f t="shared" si="40"/>
        <v>0</v>
      </c>
      <c r="CS20" s="66">
        <f t="shared" si="40"/>
        <v>0</v>
      </c>
      <c r="CT20" s="66">
        <f t="shared" si="40"/>
        <v>0</v>
      </c>
      <c r="CU20" s="66">
        <f t="shared" si="40"/>
        <v>0</v>
      </c>
      <c r="CV20" s="66">
        <f t="shared" si="40"/>
        <v>0</v>
      </c>
      <c r="CW20" s="66">
        <f t="shared" si="40"/>
        <v>0</v>
      </c>
      <c r="CX20" s="66">
        <f t="shared" si="40"/>
        <v>0</v>
      </c>
      <c r="CY20" s="66">
        <f t="shared" si="40"/>
        <v>0</v>
      </c>
      <c r="CZ20" s="66">
        <f t="shared" si="40"/>
        <v>0</v>
      </c>
      <c r="DA20" s="66">
        <f t="shared" si="40"/>
        <v>0</v>
      </c>
      <c r="DB20" s="66">
        <f t="shared" si="40"/>
        <v>0</v>
      </c>
      <c r="DC20" s="66">
        <f t="shared" si="40"/>
        <v>0</v>
      </c>
      <c r="DD20" s="66">
        <f t="shared" si="40"/>
        <v>0</v>
      </c>
      <c r="DE20" s="66">
        <f t="shared" ref="DE20:EO20" si="41">IFERROR(SUMIF($E$6:$E$18,"&lt;="&amp;DE5,$F$6:$F$18)/$F$19,0)</f>
        <v>0</v>
      </c>
      <c r="DF20" s="66">
        <f t="shared" si="41"/>
        <v>0</v>
      </c>
      <c r="DG20" s="66">
        <f t="shared" si="41"/>
        <v>0</v>
      </c>
      <c r="DH20" s="66">
        <f t="shared" si="41"/>
        <v>0</v>
      </c>
      <c r="DI20" s="66">
        <f t="shared" si="41"/>
        <v>0</v>
      </c>
      <c r="DJ20" s="66">
        <f t="shared" si="41"/>
        <v>0</v>
      </c>
      <c r="DK20" s="66">
        <f t="shared" si="41"/>
        <v>0</v>
      </c>
      <c r="DL20" s="66">
        <f t="shared" si="41"/>
        <v>0</v>
      </c>
      <c r="DM20" s="66">
        <f t="shared" si="41"/>
        <v>0</v>
      </c>
      <c r="DN20" s="66">
        <f t="shared" si="41"/>
        <v>0</v>
      </c>
      <c r="DO20" s="66">
        <f t="shared" si="41"/>
        <v>0</v>
      </c>
      <c r="DP20" s="66">
        <f t="shared" si="41"/>
        <v>0</v>
      </c>
      <c r="DQ20" s="66">
        <f t="shared" si="41"/>
        <v>0</v>
      </c>
      <c r="DR20" s="66">
        <f t="shared" si="41"/>
        <v>0</v>
      </c>
      <c r="DS20" s="66">
        <f t="shared" si="41"/>
        <v>0</v>
      </c>
      <c r="DT20" s="66">
        <f t="shared" si="41"/>
        <v>0</v>
      </c>
      <c r="DU20" s="66">
        <f t="shared" si="41"/>
        <v>0</v>
      </c>
      <c r="DV20" s="66">
        <f t="shared" si="41"/>
        <v>0</v>
      </c>
      <c r="DW20" s="66">
        <f t="shared" si="41"/>
        <v>0</v>
      </c>
      <c r="DX20" s="66">
        <f t="shared" si="41"/>
        <v>0</v>
      </c>
      <c r="DY20" s="66">
        <f t="shared" si="41"/>
        <v>0</v>
      </c>
      <c r="DZ20" s="66">
        <f t="shared" si="41"/>
        <v>0</v>
      </c>
      <c r="EA20" s="66">
        <f t="shared" si="41"/>
        <v>0</v>
      </c>
      <c r="EB20" s="66">
        <f t="shared" si="41"/>
        <v>0</v>
      </c>
      <c r="EC20" s="66">
        <f t="shared" si="41"/>
        <v>0</v>
      </c>
      <c r="ED20" s="66">
        <f t="shared" si="41"/>
        <v>0</v>
      </c>
      <c r="EE20" s="66">
        <f t="shared" si="41"/>
        <v>0</v>
      </c>
      <c r="EF20" s="66">
        <f t="shared" si="41"/>
        <v>0</v>
      </c>
      <c r="EG20" s="66">
        <f t="shared" si="41"/>
        <v>0</v>
      </c>
      <c r="EH20" s="66">
        <f t="shared" si="41"/>
        <v>0</v>
      </c>
      <c r="EI20" s="66">
        <f t="shared" si="41"/>
        <v>0</v>
      </c>
      <c r="EJ20" s="66">
        <f t="shared" si="41"/>
        <v>0</v>
      </c>
      <c r="EK20" s="66">
        <f t="shared" si="41"/>
        <v>0</v>
      </c>
      <c r="EL20" s="66">
        <f t="shared" si="41"/>
        <v>0</v>
      </c>
      <c r="EM20" s="66">
        <f t="shared" si="41"/>
        <v>0</v>
      </c>
      <c r="EN20" s="66">
        <f t="shared" si="41"/>
        <v>0</v>
      </c>
      <c r="EO20" s="66">
        <f t="shared" si="41"/>
        <v>0</v>
      </c>
    </row>
    <row r="21" spans="2:145" x14ac:dyDescent="0.45">
      <c r="B21" s="58" t="s">
        <v>103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</row>
    <row r="22" spans="2:145" x14ac:dyDescent="0.45">
      <c r="B22" s="82" t="str">
        <f t="shared" ref="B22:C27" si="42">+B5</f>
        <v>Suite</v>
      </c>
      <c r="C22" s="82" t="str">
        <f t="shared" si="42"/>
        <v>Tenant</v>
      </c>
      <c r="D22" s="59"/>
      <c r="E22" s="59"/>
      <c r="F22" s="86" t="s">
        <v>131</v>
      </c>
      <c r="G22" s="59"/>
      <c r="H22" s="96" t="s">
        <v>109</v>
      </c>
      <c r="I22" s="86" t="s">
        <v>111</v>
      </c>
      <c r="J22" s="86" t="s">
        <v>110</v>
      </c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</row>
    <row r="23" spans="2:145" x14ac:dyDescent="0.45">
      <c r="B23" s="81">
        <f t="shared" si="42"/>
        <v>100</v>
      </c>
      <c r="C23" s="81" t="str">
        <f t="shared" si="42"/>
        <v>Commercial Tenant</v>
      </c>
      <c r="F23" s="87">
        <v>1</v>
      </c>
      <c r="H23" s="99">
        <f>IFERROR(F6/$F$19,0)</f>
        <v>0</v>
      </c>
      <c r="I23" s="101">
        <f>IFERROR(J23/F6,0)</f>
        <v>0</v>
      </c>
      <c r="J23" s="103">
        <f t="shared" ref="J23:J35" si="43">+H23*$J$47</f>
        <v>0</v>
      </c>
      <c r="L23" s="63">
        <f t="shared" ref="L23:U35" si="44">IFERROR((L$5&gt;=$F23)*$H23*L$47,0)</f>
        <v>0</v>
      </c>
      <c r="M23" s="63">
        <f t="shared" si="44"/>
        <v>0</v>
      </c>
      <c r="N23" s="63">
        <f t="shared" si="44"/>
        <v>0</v>
      </c>
      <c r="O23" s="63">
        <f t="shared" si="44"/>
        <v>0</v>
      </c>
      <c r="P23" s="63">
        <f t="shared" si="44"/>
        <v>0</v>
      </c>
      <c r="Q23" s="63">
        <f t="shared" si="44"/>
        <v>0</v>
      </c>
      <c r="R23" s="63">
        <f t="shared" si="44"/>
        <v>0</v>
      </c>
      <c r="S23" s="63">
        <f t="shared" si="44"/>
        <v>0</v>
      </c>
      <c r="T23" s="63">
        <f t="shared" si="44"/>
        <v>0</v>
      </c>
      <c r="U23" s="63">
        <f t="shared" si="44"/>
        <v>0</v>
      </c>
      <c r="V23" s="63">
        <f t="shared" ref="V23:AE35" si="45">IFERROR((V$5&gt;=$F23)*$H23*V$47,0)</f>
        <v>0</v>
      </c>
      <c r="W23" s="63">
        <f t="shared" si="45"/>
        <v>0</v>
      </c>
      <c r="X23" s="63">
        <f t="shared" si="45"/>
        <v>0</v>
      </c>
      <c r="Y23" s="63">
        <f t="shared" si="45"/>
        <v>0</v>
      </c>
      <c r="Z23" s="63">
        <f t="shared" si="45"/>
        <v>0</v>
      </c>
      <c r="AA23" s="63">
        <f t="shared" si="45"/>
        <v>0</v>
      </c>
      <c r="AB23" s="63">
        <f t="shared" si="45"/>
        <v>0</v>
      </c>
      <c r="AC23" s="63">
        <f t="shared" si="45"/>
        <v>0</v>
      </c>
      <c r="AD23" s="63">
        <f t="shared" si="45"/>
        <v>0</v>
      </c>
      <c r="AE23" s="63">
        <f t="shared" si="45"/>
        <v>0</v>
      </c>
      <c r="AF23" s="63">
        <f t="shared" ref="AF23:AO35" si="46">IFERROR((AF$5&gt;=$F23)*$H23*AF$47,0)</f>
        <v>0</v>
      </c>
      <c r="AG23" s="63">
        <f t="shared" si="46"/>
        <v>0</v>
      </c>
      <c r="AH23" s="63">
        <f t="shared" si="46"/>
        <v>0</v>
      </c>
      <c r="AI23" s="63">
        <f t="shared" si="46"/>
        <v>0</v>
      </c>
      <c r="AJ23" s="63">
        <f t="shared" si="46"/>
        <v>0</v>
      </c>
      <c r="AK23" s="63">
        <f t="shared" si="46"/>
        <v>0</v>
      </c>
      <c r="AL23" s="63">
        <f t="shared" si="46"/>
        <v>0</v>
      </c>
      <c r="AM23" s="63">
        <f t="shared" si="46"/>
        <v>0</v>
      </c>
      <c r="AN23" s="63">
        <f t="shared" si="46"/>
        <v>0</v>
      </c>
      <c r="AO23" s="63">
        <f t="shared" si="46"/>
        <v>0</v>
      </c>
      <c r="AP23" s="63">
        <f t="shared" ref="AP23:AY35" si="47">IFERROR((AP$5&gt;=$F23)*$H23*AP$47,0)</f>
        <v>0</v>
      </c>
      <c r="AQ23" s="63">
        <f t="shared" si="47"/>
        <v>0</v>
      </c>
      <c r="AR23" s="63">
        <f t="shared" si="47"/>
        <v>0</v>
      </c>
      <c r="AS23" s="63">
        <f t="shared" si="47"/>
        <v>0</v>
      </c>
      <c r="AT23" s="63">
        <f t="shared" si="47"/>
        <v>0</v>
      </c>
      <c r="AU23" s="63">
        <f t="shared" si="47"/>
        <v>0</v>
      </c>
      <c r="AV23" s="63">
        <f t="shared" si="47"/>
        <v>0</v>
      </c>
      <c r="AW23" s="63">
        <f t="shared" si="47"/>
        <v>0</v>
      </c>
      <c r="AX23" s="63">
        <f t="shared" si="47"/>
        <v>0</v>
      </c>
      <c r="AY23" s="63">
        <f t="shared" si="47"/>
        <v>0</v>
      </c>
      <c r="AZ23" s="63">
        <f t="shared" ref="AZ23:BI35" si="48">IFERROR((AZ$5&gt;=$F23)*$H23*AZ$47,0)</f>
        <v>0</v>
      </c>
      <c r="BA23" s="63">
        <f t="shared" si="48"/>
        <v>0</v>
      </c>
      <c r="BB23" s="63">
        <f t="shared" si="48"/>
        <v>0</v>
      </c>
      <c r="BC23" s="63">
        <f t="shared" si="48"/>
        <v>0</v>
      </c>
      <c r="BD23" s="63">
        <f t="shared" si="48"/>
        <v>0</v>
      </c>
      <c r="BE23" s="63">
        <f t="shared" si="48"/>
        <v>0</v>
      </c>
      <c r="BF23" s="63">
        <f t="shared" si="48"/>
        <v>0</v>
      </c>
      <c r="BG23" s="63">
        <f t="shared" si="48"/>
        <v>0</v>
      </c>
      <c r="BH23" s="63">
        <f t="shared" si="48"/>
        <v>0</v>
      </c>
      <c r="BI23" s="63">
        <f t="shared" si="48"/>
        <v>0</v>
      </c>
      <c r="BJ23" s="63">
        <f t="shared" ref="BJ23:BS35" si="49">IFERROR((BJ$5&gt;=$F23)*$H23*BJ$47,0)</f>
        <v>0</v>
      </c>
      <c r="BK23" s="63">
        <f t="shared" si="49"/>
        <v>0</v>
      </c>
      <c r="BL23" s="63">
        <f t="shared" si="49"/>
        <v>0</v>
      </c>
      <c r="BM23" s="63">
        <f t="shared" si="49"/>
        <v>0</v>
      </c>
      <c r="BN23" s="63">
        <f t="shared" si="49"/>
        <v>0</v>
      </c>
      <c r="BO23" s="63">
        <f t="shared" si="49"/>
        <v>0</v>
      </c>
      <c r="BP23" s="63">
        <f t="shared" si="49"/>
        <v>0</v>
      </c>
      <c r="BQ23" s="63">
        <f t="shared" si="49"/>
        <v>0</v>
      </c>
      <c r="BR23" s="63">
        <f t="shared" si="49"/>
        <v>0</v>
      </c>
      <c r="BS23" s="63">
        <f t="shared" si="49"/>
        <v>0</v>
      </c>
      <c r="BT23" s="63">
        <f t="shared" ref="BT23:CC35" si="50">IFERROR((BT$5&gt;=$F23)*$H23*BT$47,0)</f>
        <v>0</v>
      </c>
      <c r="BU23" s="63">
        <f t="shared" si="50"/>
        <v>0</v>
      </c>
      <c r="BV23" s="63">
        <f t="shared" si="50"/>
        <v>0</v>
      </c>
      <c r="BW23" s="63">
        <f t="shared" si="50"/>
        <v>0</v>
      </c>
      <c r="BX23" s="63">
        <f t="shared" si="50"/>
        <v>0</v>
      </c>
      <c r="BY23" s="63">
        <f t="shared" si="50"/>
        <v>0</v>
      </c>
      <c r="BZ23" s="63">
        <f t="shared" si="50"/>
        <v>0</v>
      </c>
      <c r="CA23" s="63">
        <f t="shared" si="50"/>
        <v>0</v>
      </c>
      <c r="CB23" s="63">
        <f t="shared" si="50"/>
        <v>0</v>
      </c>
      <c r="CC23" s="63">
        <f t="shared" si="50"/>
        <v>0</v>
      </c>
      <c r="CD23" s="63">
        <f t="shared" ref="CD23:CM35" si="51">IFERROR((CD$5&gt;=$F23)*$H23*CD$47,0)</f>
        <v>0</v>
      </c>
      <c r="CE23" s="63">
        <f t="shared" si="51"/>
        <v>0</v>
      </c>
      <c r="CF23" s="63">
        <f t="shared" si="51"/>
        <v>0</v>
      </c>
      <c r="CG23" s="63">
        <f t="shared" si="51"/>
        <v>0</v>
      </c>
      <c r="CH23" s="63">
        <f t="shared" si="51"/>
        <v>0</v>
      </c>
      <c r="CI23" s="63">
        <f t="shared" si="51"/>
        <v>0</v>
      </c>
      <c r="CJ23" s="63">
        <f t="shared" si="51"/>
        <v>0</v>
      </c>
      <c r="CK23" s="63">
        <f t="shared" si="51"/>
        <v>0</v>
      </c>
      <c r="CL23" s="63">
        <f t="shared" si="51"/>
        <v>0</v>
      </c>
      <c r="CM23" s="63">
        <f t="shared" si="51"/>
        <v>0</v>
      </c>
      <c r="CN23" s="63">
        <f t="shared" ref="CN23:CW35" si="52">IFERROR((CN$5&gt;=$F23)*$H23*CN$47,0)</f>
        <v>0</v>
      </c>
      <c r="CO23" s="63">
        <f t="shared" si="52"/>
        <v>0</v>
      </c>
      <c r="CP23" s="63">
        <f t="shared" si="52"/>
        <v>0</v>
      </c>
      <c r="CQ23" s="63">
        <f t="shared" si="52"/>
        <v>0</v>
      </c>
      <c r="CR23" s="63">
        <f t="shared" si="52"/>
        <v>0</v>
      </c>
      <c r="CS23" s="63">
        <f t="shared" si="52"/>
        <v>0</v>
      </c>
      <c r="CT23" s="63">
        <f t="shared" si="52"/>
        <v>0</v>
      </c>
      <c r="CU23" s="63">
        <f t="shared" si="52"/>
        <v>0</v>
      </c>
      <c r="CV23" s="63">
        <f t="shared" si="52"/>
        <v>0</v>
      </c>
      <c r="CW23" s="63">
        <f t="shared" si="52"/>
        <v>0</v>
      </c>
      <c r="CX23" s="63">
        <f t="shared" ref="CX23:DG26" si="53">IFERROR((CX$5&gt;=$F23)*$H23*CX$47,0)</f>
        <v>0</v>
      </c>
      <c r="CY23" s="63">
        <f t="shared" si="53"/>
        <v>0</v>
      </c>
      <c r="CZ23" s="63">
        <f t="shared" si="53"/>
        <v>0</v>
      </c>
      <c r="DA23" s="63">
        <f t="shared" si="53"/>
        <v>0</v>
      </c>
      <c r="DB23" s="63">
        <f t="shared" si="53"/>
        <v>0</v>
      </c>
      <c r="DC23" s="63">
        <f t="shared" si="53"/>
        <v>0</v>
      </c>
      <c r="DD23" s="63">
        <f t="shared" si="53"/>
        <v>0</v>
      </c>
      <c r="DE23" s="63">
        <f t="shared" si="53"/>
        <v>0</v>
      </c>
      <c r="DF23" s="63">
        <f t="shared" si="53"/>
        <v>0</v>
      </c>
      <c r="DG23" s="63">
        <f t="shared" si="53"/>
        <v>0</v>
      </c>
      <c r="DH23" s="63">
        <f t="shared" ref="DH23:DQ26" si="54">IFERROR((DH$5&gt;=$F23)*$H23*DH$47,0)</f>
        <v>0</v>
      </c>
      <c r="DI23" s="63">
        <f t="shared" si="54"/>
        <v>0</v>
      </c>
      <c r="DJ23" s="63">
        <f t="shared" si="54"/>
        <v>0</v>
      </c>
      <c r="DK23" s="63">
        <f t="shared" si="54"/>
        <v>0</v>
      </c>
      <c r="DL23" s="63">
        <f t="shared" si="54"/>
        <v>0</v>
      </c>
      <c r="DM23" s="63">
        <f t="shared" si="54"/>
        <v>0</v>
      </c>
      <c r="DN23" s="63">
        <f t="shared" si="54"/>
        <v>0</v>
      </c>
      <c r="DO23" s="63">
        <f t="shared" si="54"/>
        <v>0</v>
      </c>
      <c r="DP23" s="63">
        <f t="shared" si="54"/>
        <v>0</v>
      </c>
      <c r="DQ23" s="63">
        <f t="shared" si="54"/>
        <v>0</v>
      </c>
      <c r="DR23" s="63">
        <f t="shared" ref="DR23:EA26" si="55">IFERROR((DR$5&gt;=$F23)*$H23*DR$47,0)</f>
        <v>0</v>
      </c>
      <c r="DS23" s="63">
        <f t="shared" si="55"/>
        <v>0</v>
      </c>
      <c r="DT23" s="63">
        <f t="shared" si="55"/>
        <v>0</v>
      </c>
      <c r="DU23" s="63">
        <f t="shared" si="55"/>
        <v>0</v>
      </c>
      <c r="DV23" s="63">
        <f t="shared" si="55"/>
        <v>0</v>
      </c>
      <c r="DW23" s="63">
        <f t="shared" si="55"/>
        <v>0</v>
      </c>
      <c r="DX23" s="63">
        <f t="shared" si="55"/>
        <v>0</v>
      </c>
      <c r="DY23" s="63">
        <f t="shared" si="55"/>
        <v>0</v>
      </c>
      <c r="DZ23" s="63">
        <f t="shared" si="55"/>
        <v>0</v>
      </c>
      <c r="EA23" s="63">
        <f t="shared" si="55"/>
        <v>0</v>
      </c>
      <c r="EB23" s="63">
        <f t="shared" ref="EB23:EO26" si="56">IFERROR((EB$5&gt;=$F23)*$H23*EB$47,0)</f>
        <v>0</v>
      </c>
      <c r="EC23" s="63">
        <f t="shared" si="56"/>
        <v>0</v>
      </c>
      <c r="ED23" s="63">
        <f t="shared" si="56"/>
        <v>0</v>
      </c>
      <c r="EE23" s="63">
        <f t="shared" si="56"/>
        <v>0</v>
      </c>
      <c r="EF23" s="63">
        <f t="shared" si="56"/>
        <v>0</v>
      </c>
      <c r="EG23" s="63">
        <f t="shared" si="56"/>
        <v>0</v>
      </c>
      <c r="EH23" s="63">
        <f t="shared" si="56"/>
        <v>0</v>
      </c>
      <c r="EI23" s="63">
        <f t="shared" si="56"/>
        <v>0</v>
      </c>
      <c r="EJ23" s="63">
        <f t="shared" si="56"/>
        <v>0</v>
      </c>
      <c r="EK23" s="63">
        <f t="shared" si="56"/>
        <v>0</v>
      </c>
      <c r="EL23" s="63">
        <f t="shared" si="56"/>
        <v>0</v>
      </c>
      <c r="EM23" s="63">
        <f t="shared" si="56"/>
        <v>0</v>
      </c>
      <c r="EN23" s="63">
        <f t="shared" si="56"/>
        <v>0</v>
      </c>
      <c r="EO23" s="63">
        <f t="shared" si="56"/>
        <v>0</v>
      </c>
    </row>
    <row r="24" spans="2:145" x14ac:dyDescent="0.45">
      <c r="B24" s="81">
        <f t="shared" si="42"/>
        <v>200</v>
      </c>
      <c r="C24" s="81" t="str">
        <f t="shared" si="42"/>
        <v>[Retail Tenant]</v>
      </c>
      <c r="F24" s="87">
        <v>24</v>
      </c>
      <c r="H24" s="100">
        <f>IFERROR(F7/$F$19,0)</f>
        <v>0</v>
      </c>
      <c r="I24" s="101">
        <f>IFERROR(J24/F7,0)</f>
        <v>0</v>
      </c>
      <c r="J24" s="103">
        <f t="shared" si="43"/>
        <v>0</v>
      </c>
      <c r="L24" s="63">
        <f t="shared" si="44"/>
        <v>0</v>
      </c>
      <c r="M24" s="63">
        <f t="shared" si="44"/>
        <v>0</v>
      </c>
      <c r="N24" s="63">
        <f t="shared" si="44"/>
        <v>0</v>
      </c>
      <c r="O24" s="63">
        <f t="shared" si="44"/>
        <v>0</v>
      </c>
      <c r="P24" s="63">
        <f t="shared" si="44"/>
        <v>0</v>
      </c>
      <c r="Q24" s="63">
        <f t="shared" si="44"/>
        <v>0</v>
      </c>
      <c r="R24" s="63">
        <f t="shared" si="44"/>
        <v>0</v>
      </c>
      <c r="S24" s="63">
        <f t="shared" si="44"/>
        <v>0</v>
      </c>
      <c r="T24" s="63">
        <f t="shared" si="44"/>
        <v>0</v>
      </c>
      <c r="U24" s="63">
        <f t="shared" si="44"/>
        <v>0</v>
      </c>
      <c r="V24" s="63">
        <f t="shared" si="45"/>
        <v>0</v>
      </c>
      <c r="W24" s="63">
        <f t="shared" si="45"/>
        <v>0</v>
      </c>
      <c r="X24" s="63">
        <f t="shared" si="45"/>
        <v>0</v>
      </c>
      <c r="Y24" s="63">
        <f t="shared" si="45"/>
        <v>0</v>
      </c>
      <c r="Z24" s="63">
        <f t="shared" si="45"/>
        <v>0</v>
      </c>
      <c r="AA24" s="63">
        <f t="shared" si="45"/>
        <v>0</v>
      </c>
      <c r="AB24" s="63">
        <f t="shared" si="45"/>
        <v>0</v>
      </c>
      <c r="AC24" s="63">
        <f t="shared" si="45"/>
        <v>0</v>
      </c>
      <c r="AD24" s="63">
        <f t="shared" si="45"/>
        <v>0</v>
      </c>
      <c r="AE24" s="63">
        <f t="shared" si="45"/>
        <v>0</v>
      </c>
      <c r="AF24" s="63">
        <f t="shared" si="46"/>
        <v>0</v>
      </c>
      <c r="AG24" s="63">
        <f t="shared" si="46"/>
        <v>0</v>
      </c>
      <c r="AH24" s="63">
        <f t="shared" si="46"/>
        <v>0</v>
      </c>
      <c r="AI24" s="63">
        <f t="shared" si="46"/>
        <v>0</v>
      </c>
      <c r="AJ24" s="63">
        <f t="shared" si="46"/>
        <v>0</v>
      </c>
      <c r="AK24" s="63">
        <f t="shared" si="46"/>
        <v>0</v>
      </c>
      <c r="AL24" s="63">
        <f t="shared" si="46"/>
        <v>0</v>
      </c>
      <c r="AM24" s="63">
        <f t="shared" si="46"/>
        <v>0</v>
      </c>
      <c r="AN24" s="63">
        <f t="shared" si="46"/>
        <v>0</v>
      </c>
      <c r="AO24" s="63">
        <f t="shared" si="46"/>
        <v>0</v>
      </c>
      <c r="AP24" s="63">
        <f t="shared" si="47"/>
        <v>0</v>
      </c>
      <c r="AQ24" s="63">
        <f t="shared" si="47"/>
        <v>0</v>
      </c>
      <c r="AR24" s="63">
        <f t="shared" si="47"/>
        <v>0</v>
      </c>
      <c r="AS24" s="63">
        <f t="shared" si="47"/>
        <v>0</v>
      </c>
      <c r="AT24" s="63">
        <f t="shared" si="47"/>
        <v>0</v>
      </c>
      <c r="AU24" s="63">
        <f t="shared" si="47"/>
        <v>0</v>
      </c>
      <c r="AV24" s="63">
        <f t="shared" si="47"/>
        <v>0</v>
      </c>
      <c r="AW24" s="63">
        <f t="shared" si="47"/>
        <v>0</v>
      </c>
      <c r="AX24" s="63">
        <f t="shared" si="47"/>
        <v>0</v>
      </c>
      <c r="AY24" s="63">
        <f t="shared" si="47"/>
        <v>0</v>
      </c>
      <c r="AZ24" s="63">
        <f t="shared" si="48"/>
        <v>0</v>
      </c>
      <c r="BA24" s="63">
        <f t="shared" si="48"/>
        <v>0</v>
      </c>
      <c r="BB24" s="63">
        <f t="shared" si="48"/>
        <v>0</v>
      </c>
      <c r="BC24" s="63">
        <f t="shared" si="48"/>
        <v>0</v>
      </c>
      <c r="BD24" s="63">
        <f t="shared" si="48"/>
        <v>0</v>
      </c>
      <c r="BE24" s="63">
        <f t="shared" si="48"/>
        <v>0</v>
      </c>
      <c r="BF24" s="63">
        <f t="shared" si="48"/>
        <v>0</v>
      </c>
      <c r="BG24" s="63">
        <f t="shared" si="48"/>
        <v>0</v>
      </c>
      <c r="BH24" s="63">
        <f t="shared" si="48"/>
        <v>0</v>
      </c>
      <c r="BI24" s="63">
        <f t="shared" si="48"/>
        <v>0</v>
      </c>
      <c r="BJ24" s="63">
        <f t="shared" si="49"/>
        <v>0</v>
      </c>
      <c r="BK24" s="63">
        <f t="shared" si="49"/>
        <v>0</v>
      </c>
      <c r="BL24" s="63">
        <f t="shared" si="49"/>
        <v>0</v>
      </c>
      <c r="BM24" s="63">
        <f t="shared" si="49"/>
        <v>0</v>
      </c>
      <c r="BN24" s="63">
        <f t="shared" si="49"/>
        <v>0</v>
      </c>
      <c r="BO24" s="63">
        <f t="shared" si="49"/>
        <v>0</v>
      </c>
      <c r="BP24" s="63">
        <f t="shared" si="49"/>
        <v>0</v>
      </c>
      <c r="BQ24" s="63">
        <f t="shared" si="49"/>
        <v>0</v>
      </c>
      <c r="BR24" s="63">
        <f t="shared" si="49"/>
        <v>0</v>
      </c>
      <c r="BS24" s="63">
        <f t="shared" si="49"/>
        <v>0</v>
      </c>
      <c r="BT24" s="63">
        <f t="shared" si="50"/>
        <v>0</v>
      </c>
      <c r="BU24" s="63">
        <f t="shared" si="50"/>
        <v>0</v>
      </c>
      <c r="BV24" s="63">
        <f t="shared" si="50"/>
        <v>0</v>
      </c>
      <c r="BW24" s="63">
        <f t="shared" si="50"/>
        <v>0</v>
      </c>
      <c r="BX24" s="63">
        <f t="shared" si="50"/>
        <v>0</v>
      </c>
      <c r="BY24" s="63">
        <f t="shared" si="50"/>
        <v>0</v>
      </c>
      <c r="BZ24" s="63">
        <f t="shared" si="50"/>
        <v>0</v>
      </c>
      <c r="CA24" s="63">
        <f t="shared" si="50"/>
        <v>0</v>
      </c>
      <c r="CB24" s="63">
        <f t="shared" si="50"/>
        <v>0</v>
      </c>
      <c r="CC24" s="63">
        <f t="shared" si="50"/>
        <v>0</v>
      </c>
      <c r="CD24" s="63">
        <f t="shared" si="51"/>
        <v>0</v>
      </c>
      <c r="CE24" s="63">
        <f t="shared" si="51"/>
        <v>0</v>
      </c>
      <c r="CF24" s="63">
        <f t="shared" si="51"/>
        <v>0</v>
      </c>
      <c r="CG24" s="63">
        <f t="shared" si="51"/>
        <v>0</v>
      </c>
      <c r="CH24" s="63">
        <f t="shared" si="51"/>
        <v>0</v>
      </c>
      <c r="CI24" s="63">
        <f t="shared" si="51"/>
        <v>0</v>
      </c>
      <c r="CJ24" s="63">
        <f t="shared" si="51"/>
        <v>0</v>
      </c>
      <c r="CK24" s="63">
        <f t="shared" si="51"/>
        <v>0</v>
      </c>
      <c r="CL24" s="63">
        <f t="shared" si="51"/>
        <v>0</v>
      </c>
      <c r="CM24" s="63">
        <f t="shared" si="51"/>
        <v>0</v>
      </c>
      <c r="CN24" s="63">
        <f t="shared" si="52"/>
        <v>0</v>
      </c>
      <c r="CO24" s="63">
        <f t="shared" si="52"/>
        <v>0</v>
      </c>
      <c r="CP24" s="63">
        <f t="shared" si="52"/>
        <v>0</v>
      </c>
      <c r="CQ24" s="63">
        <f t="shared" si="52"/>
        <v>0</v>
      </c>
      <c r="CR24" s="63">
        <f t="shared" si="52"/>
        <v>0</v>
      </c>
      <c r="CS24" s="63">
        <f t="shared" si="52"/>
        <v>0</v>
      </c>
      <c r="CT24" s="63">
        <f t="shared" si="52"/>
        <v>0</v>
      </c>
      <c r="CU24" s="63">
        <f t="shared" si="52"/>
        <v>0</v>
      </c>
      <c r="CV24" s="63">
        <f t="shared" si="52"/>
        <v>0</v>
      </c>
      <c r="CW24" s="63">
        <f t="shared" si="52"/>
        <v>0</v>
      </c>
      <c r="CX24" s="63">
        <f t="shared" si="53"/>
        <v>0</v>
      </c>
      <c r="CY24" s="63">
        <f t="shared" si="53"/>
        <v>0</v>
      </c>
      <c r="CZ24" s="63">
        <f t="shared" si="53"/>
        <v>0</v>
      </c>
      <c r="DA24" s="63">
        <f t="shared" si="53"/>
        <v>0</v>
      </c>
      <c r="DB24" s="63">
        <f t="shared" si="53"/>
        <v>0</v>
      </c>
      <c r="DC24" s="63">
        <f t="shared" si="53"/>
        <v>0</v>
      </c>
      <c r="DD24" s="63">
        <f t="shared" si="53"/>
        <v>0</v>
      </c>
      <c r="DE24" s="63">
        <f t="shared" si="53"/>
        <v>0</v>
      </c>
      <c r="DF24" s="63">
        <f t="shared" si="53"/>
        <v>0</v>
      </c>
      <c r="DG24" s="63">
        <f t="shared" si="53"/>
        <v>0</v>
      </c>
      <c r="DH24" s="63">
        <f t="shared" si="54"/>
        <v>0</v>
      </c>
      <c r="DI24" s="63">
        <f t="shared" si="54"/>
        <v>0</v>
      </c>
      <c r="DJ24" s="63">
        <f t="shared" si="54"/>
        <v>0</v>
      </c>
      <c r="DK24" s="63">
        <f t="shared" si="54"/>
        <v>0</v>
      </c>
      <c r="DL24" s="63">
        <f t="shared" si="54"/>
        <v>0</v>
      </c>
      <c r="DM24" s="63">
        <f t="shared" si="54"/>
        <v>0</v>
      </c>
      <c r="DN24" s="63">
        <f t="shared" si="54"/>
        <v>0</v>
      </c>
      <c r="DO24" s="63">
        <f t="shared" si="54"/>
        <v>0</v>
      </c>
      <c r="DP24" s="63">
        <f t="shared" si="54"/>
        <v>0</v>
      </c>
      <c r="DQ24" s="63">
        <f t="shared" si="54"/>
        <v>0</v>
      </c>
      <c r="DR24" s="63">
        <f t="shared" si="55"/>
        <v>0</v>
      </c>
      <c r="DS24" s="63">
        <f t="shared" si="55"/>
        <v>0</v>
      </c>
      <c r="DT24" s="63">
        <f t="shared" si="55"/>
        <v>0</v>
      </c>
      <c r="DU24" s="63">
        <f t="shared" si="55"/>
        <v>0</v>
      </c>
      <c r="DV24" s="63">
        <f t="shared" si="55"/>
        <v>0</v>
      </c>
      <c r="DW24" s="63">
        <f t="shared" si="55"/>
        <v>0</v>
      </c>
      <c r="DX24" s="63">
        <f t="shared" si="55"/>
        <v>0</v>
      </c>
      <c r="DY24" s="63">
        <f t="shared" si="55"/>
        <v>0</v>
      </c>
      <c r="DZ24" s="63">
        <f t="shared" si="55"/>
        <v>0</v>
      </c>
      <c r="EA24" s="63">
        <f t="shared" si="55"/>
        <v>0</v>
      </c>
      <c r="EB24" s="63">
        <f t="shared" si="56"/>
        <v>0</v>
      </c>
      <c r="EC24" s="63">
        <f t="shared" si="56"/>
        <v>0</v>
      </c>
      <c r="ED24" s="63">
        <f t="shared" si="56"/>
        <v>0</v>
      </c>
      <c r="EE24" s="63">
        <f t="shared" si="56"/>
        <v>0</v>
      </c>
      <c r="EF24" s="63">
        <f t="shared" si="56"/>
        <v>0</v>
      </c>
      <c r="EG24" s="63">
        <f t="shared" si="56"/>
        <v>0</v>
      </c>
      <c r="EH24" s="63">
        <f t="shared" si="56"/>
        <v>0</v>
      </c>
      <c r="EI24" s="63">
        <f t="shared" si="56"/>
        <v>0</v>
      </c>
      <c r="EJ24" s="63">
        <f t="shared" si="56"/>
        <v>0</v>
      </c>
      <c r="EK24" s="63">
        <f t="shared" si="56"/>
        <v>0</v>
      </c>
      <c r="EL24" s="63">
        <f t="shared" si="56"/>
        <v>0</v>
      </c>
      <c r="EM24" s="63">
        <f t="shared" si="56"/>
        <v>0</v>
      </c>
      <c r="EN24" s="63">
        <f t="shared" si="56"/>
        <v>0</v>
      </c>
      <c r="EO24" s="63">
        <f t="shared" si="56"/>
        <v>0</v>
      </c>
    </row>
    <row r="25" spans="2:145" x14ac:dyDescent="0.45">
      <c r="B25" s="81">
        <f t="shared" si="42"/>
        <v>300</v>
      </c>
      <c r="C25" s="81" t="str">
        <f t="shared" si="42"/>
        <v>[Retail Tenant]</v>
      </c>
      <c r="F25" s="87">
        <v>1</v>
      </c>
      <c r="H25" s="100">
        <f>IFERROR(F8/$F$19,0)</f>
        <v>0</v>
      </c>
      <c r="I25" s="101">
        <f>IFERROR(J25/F8,0)</f>
        <v>0</v>
      </c>
      <c r="J25" s="103">
        <f t="shared" si="43"/>
        <v>0</v>
      </c>
      <c r="L25" s="63">
        <f t="shared" si="44"/>
        <v>0</v>
      </c>
      <c r="M25" s="63">
        <f t="shared" si="44"/>
        <v>0</v>
      </c>
      <c r="N25" s="63">
        <f t="shared" si="44"/>
        <v>0</v>
      </c>
      <c r="O25" s="63">
        <f t="shared" si="44"/>
        <v>0</v>
      </c>
      <c r="P25" s="63">
        <f t="shared" si="44"/>
        <v>0</v>
      </c>
      <c r="Q25" s="63">
        <f t="shared" si="44"/>
        <v>0</v>
      </c>
      <c r="R25" s="63">
        <f t="shared" si="44"/>
        <v>0</v>
      </c>
      <c r="S25" s="63">
        <f t="shared" si="44"/>
        <v>0</v>
      </c>
      <c r="T25" s="63">
        <f t="shared" si="44"/>
        <v>0</v>
      </c>
      <c r="U25" s="63">
        <f t="shared" si="44"/>
        <v>0</v>
      </c>
      <c r="V25" s="63">
        <f t="shared" si="45"/>
        <v>0</v>
      </c>
      <c r="W25" s="63">
        <f t="shared" si="45"/>
        <v>0</v>
      </c>
      <c r="X25" s="63">
        <f t="shared" si="45"/>
        <v>0</v>
      </c>
      <c r="Y25" s="63">
        <f t="shared" si="45"/>
        <v>0</v>
      </c>
      <c r="Z25" s="63">
        <f t="shared" si="45"/>
        <v>0</v>
      </c>
      <c r="AA25" s="63">
        <f t="shared" si="45"/>
        <v>0</v>
      </c>
      <c r="AB25" s="63">
        <f t="shared" si="45"/>
        <v>0</v>
      </c>
      <c r="AC25" s="63">
        <f t="shared" si="45"/>
        <v>0</v>
      </c>
      <c r="AD25" s="63">
        <f t="shared" si="45"/>
        <v>0</v>
      </c>
      <c r="AE25" s="63">
        <f t="shared" si="45"/>
        <v>0</v>
      </c>
      <c r="AF25" s="63">
        <f t="shared" si="46"/>
        <v>0</v>
      </c>
      <c r="AG25" s="63">
        <f t="shared" si="46"/>
        <v>0</v>
      </c>
      <c r="AH25" s="63">
        <f t="shared" si="46"/>
        <v>0</v>
      </c>
      <c r="AI25" s="63">
        <f t="shared" si="46"/>
        <v>0</v>
      </c>
      <c r="AJ25" s="63">
        <f t="shared" si="46"/>
        <v>0</v>
      </c>
      <c r="AK25" s="63">
        <f t="shared" si="46"/>
        <v>0</v>
      </c>
      <c r="AL25" s="63">
        <f t="shared" si="46"/>
        <v>0</v>
      </c>
      <c r="AM25" s="63">
        <f t="shared" si="46"/>
        <v>0</v>
      </c>
      <c r="AN25" s="63">
        <f t="shared" si="46"/>
        <v>0</v>
      </c>
      <c r="AO25" s="63">
        <f t="shared" si="46"/>
        <v>0</v>
      </c>
      <c r="AP25" s="63">
        <f t="shared" si="47"/>
        <v>0</v>
      </c>
      <c r="AQ25" s="63">
        <f t="shared" si="47"/>
        <v>0</v>
      </c>
      <c r="AR25" s="63">
        <f t="shared" si="47"/>
        <v>0</v>
      </c>
      <c r="AS25" s="63">
        <f t="shared" si="47"/>
        <v>0</v>
      </c>
      <c r="AT25" s="63">
        <f t="shared" si="47"/>
        <v>0</v>
      </c>
      <c r="AU25" s="63">
        <f t="shared" si="47"/>
        <v>0</v>
      </c>
      <c r="AV25" s="63">
        <f t="shared" si="47"/>
        <v>0</v>
      </c>
      <c r="AW25" s="63">
        <f t="shared" si="47"/>
        <v>0</v>
      </c>
      <c r="AX25" s="63">
        <f t="shared" si="47"/>
        <v>0</v>
      </c>
      <c r="AY25" s="63">
        <f t="shared" si="47"/>
        <v>0</v>
      </c>
      <c r="AZ25" s="63">
        <f t="shared" si="48"/>
        <v>0</v>
      </c>
      <c r="BA25" s="63">
        <f t="shared" si="48"/>
        <v>0</v>
      </c>
      <c r="BB25" s="63">
        <f t="shared" si="48"/>
        <v>0</v>
      </c>
      <c r="BC25" s="63">
        <f t="shared" si="48"/>
        <v>0</v>
      </c>
      <c r="BD25" s="63">
        <f t="shared" si="48"/>
        <v>0</v>
      </c>
      <c r="BE25" s="63">
        <f t="shared" si="48"/>
        <v>0</v>
      </c>
      <c r="BF25" s="63">
        <f t="shared" si="48"/>
        <v>0</v>
      </c>
      <c r="BG25" s="63">
        <f t="shared" si="48"/>
        <v>0</v>
      </c>
      <c r="BH25" s="63">
        <f t="shared" si="48"/>
        <v>0</v>
      </c>
      <c r="BI25" s="63">
        <f t="shared" si="48"/>
        <v>0</v>
      </c>
      <c r="BJ25" s="63">
        <f t="shared" si="49"/>
        <v>0</v>
      </c>
      <c r="BK25" s="63">
        <f t="shared" si="49"/>
        <v>0</v>
      </c>
      <c r="BL25" s="63">
        <f t="shared" si="49"/>
        <v>0</v>
      </c>
      <c r="BM25" s="63">
        <f t="shared" si="49"/>
        <v>0</v>
      </c>
      <c r="BN25" s="63">
        <f t="shared" si="49"/>
        <v>0</v>
      </c>
      <c r="BO25" s="63">
        <f t="shared" si="49"/>
        <v>0</v>
      </c>
      <c r="BP25" s="63">
        <f t="shared" si="49"/>
        <v>0</v>
      </c>
      <c r="BQ25" s="63">
        <f t="shared" si="49"/>
        <v>0</v>
      </c>
      <c r="BR25" s="63">
        <f t="shared" si="49"/>
        <v>0</v>
      </c>
      <c r="BS25" s="63">
        <f t="shared" si="49"/>
        <v>0</v>
      </c>
      <c r="BT25" s="63">
        <f t="shared" si="50"/>
        <v>0</v>
      </c>
      <c r="BU25" s="63">
        <f t="shared" si="50"/>
        <v>0</v>
      </c>
      <c r="BV25" s="63">
        <f t="shared" si="50"/>
        <v>0</v>
      </c>
      <c r="BW25" s="63">
        <f t="shared" si="50"/>
        <v>0</v>
      </c>
      <c r="BX25" s="63">
        <f t="shared" si="50"/>
        <v>0</v>
      </c>
      <c r="BY25" s="63">
        <f t="shared" si="50"/>
        <v>0</v>
      </c>
      <c r="BZ25" s="63">
        <f t="shared" si="50"/>
        <v>0</v>
      </c>
      <c r="CA25" s="63">
        <f t="shared" si="50"/>
        <v>0</v>
      </c>
      <c r="CB25" s="63">
        <f t="shared" si="50"/>
        <v>0</v>
      </c>
      <c r="CC25" s="63">
        <f t="shared" si="50"/>
        <v>0</v>
      </c>
      <c r="CD25" s="63">
        <f t="shared" si="51"/>
        <v>0</v>
      </c>
      <c r="CE25" s="63">
        <f t="shared" si="51"/>
        <v>0</v>
      </c>
      <c r="CF25" s="63">
        <f t="shared" si="51"/>
        <v>0</v>
      </c>
      <c r="CG25" s="63">
        <f t="shared" si="51"/>
        <v>0</v>
      </c>
      <c r="CH25" s="63">
        <f t="shared" si="51"/>
        <v>0</v>
      </c>
      <c r="CI25" s="63">
        <f t="shared" si="51"/>
        <v>0</v>
      </c>
      <c r="CJ25" s="63">
        <f t="shared" si="51"/>
        <v>0</v>
      </c>
      <c r="CK25" s="63">
        <f t="shared" si="51"/>
        <v>0</v>
      </c>
      <c r="CL25" s="63">
        <f t="shared" si="51"/>
        <v>0</v>
      </c>
      <c r="CM25" s="63">
        <f t="shared" si="51"/>
        <v>0</v>
      </c>
      <c r="CN25" s="63">
        <f t="shared" si="52"/>
        <v>0</v>
      </c>
      <c r="CO25" s="63">
        <f t="shared" si="52"/>
        <v>0</v>
      </c>
      <c r="CP25" s="63">
        <f t="shared" si="52"/>
        <v>0</v>
      </c>
      <c r="CQ25" s="63">
        <f t="shared" si="52"/>
        <v>0</v>
      </c>
      <c r="CR25" s="63">
        <f t="shared" si="52"/>
        <v>0</v>
      </c>
      <c r="CS25" s="63">
        <f t="shared" si="52"/>
        <v>0</v>
      </c>
      <c r="CT25" s="63">
        <f t="shared" si="52"/>
        <v>0</v>
      </c>
      <c r="CU25" s="63">
        <f t="shared" si="52"/>
        <v>0</v>
      </c>
      <c r="CV25" s="63">
        <f t="shared" si="52"/>
        <v>0</v>
      </c>
      <c r="CW25" s="63">
        <f t="shared" si="52"/>
        <v>0</v>
      </c>
      <c r="CX25" s="63">
        <f t="shared" si="53"/>
        <v>0</v>
      </c>
      <c r="CY25" s="63">
        <f t="shared" si="53"/>
        <v>0</v>
      </c>
      <c r="CZ25" s="63">
        <f t="shared" si="53"/>
        <v>0</v>
      </c>
      <c r="DA25" s="63">
        <f t="shared" si="53"/>
        <v>0</v>
      </c>
      <c r="DB25" s="63">
        <f t="shared" si="53"/>
        <v>0</v>
      </c>
      <c r="DC25" s="63">
        <f t="shared" si="53"/>
        <v>0</v>
      </c>
      <c r="DD25" s="63">
        <f t="shared" si="53"/>
        <v>0</v>
      </c>
      <c r="DE25" s="63">
        <f t="shared" si="53"/>
        <v>0</v>
      </c>
      <c r="DF25" s="63">
        <f t="shared" si="53"/>
        <v>0</v>
      </c>
      <c r="DG25" s="63">
        <f t="shared" si="53"/>
        <v>0</v>
      </c>
      <c r="DH25" s="63">
        <f t="shared" si="54"/>
        <v>0</v>
      </c>
      <c r="DI25" s="63">
        <f t="shared" si="54"/>
        <v>0</v>
      </c>
      <c r="DJ25" s="63">
        <f t="shared" si="54"/>
        <v>0</v>
      </c>
      <c r="DK25" s="63">
        <f t="shared" si="54"/>
        <v>0</v>
      </c>
      <c r="DL25" s="63">
        <f t="shared" si="54"/>
        <v>0</v>
      </c>
      <c r="DM25" s="63">
        <f t="shared" si="54"/>
        <v>0</v>
      </c>
      <c r="DN25" s="63">
        <f t="shared" si="54"/>
        <v>0</v>
      </c>
      <c r="DO25" s="63">
        <f t="shared" si="54"/>
        <v>0</v>
      </c>
      <c r="DP25" s="63">
        <f t="shared" si="54"/>
        <v>0</v>
      </c>
      <c r="DQ25" s="63">
        <f t="shared" si="54"/>
        <v>0</v>
      </c>
      <c r="DR25" s="63">
        <f t="shared" si="55"/>
        <v>0</v>
      </c>
      <c r="DS25" s="63">
        <f t="shared" si="55"/>
        <v>0</v>
      </c>
      <c r="DT25" s="63">
        <f t="shared" si="55"/>
        <v>0</v>
      </c>
      <c r="DU25" s="63">
        <f t="shared" si="55"/>
        <v>0</v>
      </c>
      <c r="DV25" s="63">
        <f t="shared" si="55"/>
        <v>0</v>
      </c>
      <c r="DW25" s="63">
        <f t="shared" si="55"/>
        <v>0</v>
      </c>
      <c r="DX25" s="63">
        <f t="shared" si="55"/>
        <v>0</v>
      </c>
      <c r="DY25" s="63">
        <f t="shared" si="55"/>
        <v>0</v>
      </c>
      <c r="DZ25" s="63">
        <f t="shared" si="55"/>
        <v>0</v>
      </c>
      <c r="EA25" s="63">
        <f t="shared" si="55"/>
        <v>0</v>
      </c>
      <c r="EB25" s="63">
        <f t="shared" si="56"/>
        <v>0</v>
      </c>
      <c r="EC25" s="63">
        <f t="shared" si="56"/>
        <v>0</v>
      </c>
      <c r="ED25" s="63">
        <f t="shared" si="56"/>
        <v>0</v>
      </c>
      <c r="EE25" s="63">
        <f t="shared" si="56"/>
        <v>0</v>
      </c>
      <c r="EF25" s="63">
        <f t="shared" si="56"/>
        <v>0</v>
      </c>
      <c r="EG25" s="63">
        <f t="shared" si="56"/>
        <v>0</v>
      </c>
      <c r="EH25" s="63">
        <f t="shared" si="56"/>
        <v>0</v>
      </c>
      <c r="EI25" s="63">
        <f t="shared" si="56"/>
        <v>0</v>
      </c>
      <c r="EJ25" s="63">
        <f t="shared" si="56"/>
        <v>0</v>
      </c>
      <c r="EK25" s="63">
        <f t="shared" si="56"/>
        <v>0</v>
      </c>
      <c r="EL25" s="63">
        <f t="shared" si="56"/>
        <v>0</v>
      </c>
      <c r="EM25" s="63">
        <f t="shared" si="56"/>
        <v>0</v>
      </c>
      <c r="EN25" s="63">
        <f t="shared" si="56"/>
        <v>0</v>
      </c>
      <c r="EO25" s="63">
        <f t="shared" si="56"/>
        <v>0</v>
      </c>
    </row>
    <row r="26" spans="2:145" x14ac:dyDescent="0.45">
      <c r="B26" s="81">
        <f t="shared" si="42"/>
        <v>400</v>
      </c>
      <c r="C26" s="81" t="str">
        <f t="shared" si="42"/>
        <v>[Retail Tenant]</v>
      </c>
      <c r="F26" s="87">
        <v>1</v>
      </c>
      <c r="H26" s="61">
        <f>IFERROR(F9/$F$19,0)</f>
        <v>0</v>
      </c>
      <c r="I26" s="101">
        <f>IFERROR(J26/F9,0)</f>
        <v>0</v>
      </c>
      <c r="J26" s="103">
        <f t="shared" si="43"/>
        <v>0</v>
      </c>
      <c r="L26" s="63">
        <f t="shared" si="44"/>
        <v>0</v>
      </c>
      <c r="M26" s="63">
        <f t="shared" si="44"/>
        <v>0</v>
      </c>
      <c r="N26" s="63">
        <f t="shared" si="44"/>
        <v>0</v>
      </c>
      <c r="O26" s="63">
        <f t="shared" si="44"/>
        <v>0</v>
      </c>
      <c r="P26" s="63">
        <f t="shared" si="44"/>
        <v>0</v>
      </c>
      <c r="Q26" s="63">
        <f t="shared" si="44"/>
        <v>0</v>
      </c>
      <c r="R26" s="63">
        <f t="shared" si="44"/>
        <v>0</v>
      </c>
      <c r="S26" s="63">
        <f t="shared" si="44"/>
        <v>0</v>
      </c>
      <c r="T26" s="63">
        <f t="shared" si="44"/>
        <v>0</v>
      </c>
      <c r="U26" s="63">
        <f t="shared" si="44"/>
        <v>0</v>
      </c>
      <c r="V26" s="63">
        <f t="shared" si="45"/>
        <v>0</v>
      </c>
      <c r="W26" s="63">
        <f t="shared" si="45"/>
        <v>0</v>
      </c>
      <c r="X26" s="63">
        <f t="shared" si="45"/>
        <v>0</v>
      </c>
      <c r="Y26" s="63">
        <f t="shared" si="45"/>
        <v>0</v>
      </c>
      <c r="Z26" s="63">
        <f t="shared" si="45"/>
        <v>0</v>
      </c>
      <c r="AA26" s="63">
        <f t="shared" si="45"/>
        <v>0</v>
      </c>
      <c r="AB26" s="63">
        <f t="shared" si="45"/>
        <v>0</v>
      </c>
      <c r="AC26" s="63">
        <f t="shared" si="45"/>
        <v>0</v>
      </c>
      <c r="AD26" s="63">
        <f t="shared" si="45"/>
        <v>0</v>
      </c>
      <c r="AE26" s="63">
        <f t="shared" si="45"/>
        <v>0</v>
      </c>
      <c r="AF26" s="63">
        <f t="shared" si="46"/>
        <v>0</v>
      </c>
      <c r="AG26" s="63">
        <f t="shared" si="46"/>
        <v>0</v>
      </c>
      <c r="AH26" s="63">
        <f t="shared" si="46"/>
        <v>0</v>
      </c>
      <c r="AI26" s="63">
        <f t="shared" si="46"/>
        <v>0</v>
      </c>
      <c r="AJ26" s="63">
        <f t="shared" si="46"/>
        <v>0</v>
      </c>
      <c r="AK26" s="63">
        <f t="shared" si="46"/>
        <v>0</v>
      </c>
      <c r="AL26" s="63">
        <f t="shared" si="46"/>
        <v>0</v>
      </c>
      <c r="AM26" s="63">
        <f t="shared" si="46"/>
        <v>0</v>
      </c>
      <c r="AN26" s="63">
        <f t="shared" si="46"/>
        <v>0</v>
      </c>
      <c r="AO26" s="63">
        <f t="shared" si="46"/>
        <v>0</v>
      </c>
      <c r="AP26" s="63">
        <f t="shared" si="47"/>
        <v>0</v>
      </c>
      <c r="AQ26" s="63">
        <f t="shared" si="47"/>
        <v>0</v>
      </c>
      <c r="AR26" s="63">
        <f t="shared" si="47"/>
        <v>0</v>
      </c>
      <c r="AS26" s="63">
        <f t="shared" si="47"/>
        <v>0</v>
      </c>
      <c r="AT26" s="63">
        <f t="shared" si="47"/>
        <v>0</v>
      </c>
      <c r="AU26" s="63">
        <f t="shared" si="47"/>
        <v>0</v>
      </c>
      <c r="AV26" s="63">
        <f t="shared" si="47"/>
        <v>0</v>
      </c>
      <c r="AW26" s="63">
        <f t="shared" si="47"/>
        <v>0</v>
      </c>
      <c r="AX26" s="63">
        <f t="shared" si="47"/>
        <v>0</v>
      </c>
      <c r="AY26" s="63">
        <f t="shared" si="47"/>
        <v>0</v>
      </c>
      <c r="AZ26" s="63">
        <f t="shared" si="48"/>
        <v>0</v>
      </c>
      <c r="BA26" s="63">
        <f t="shared" si="48"/>
        <v>0</v>
      </c>
      <c r="BB26" s="63">
        <f t="shared" si="48"/>
        <v>0</v>
      </c>
      <c r="BC26" s="63">
        <f t="shared" si="48"/>
        <v>0</v>
      </c>
      <c r="BD26" s="63">
        <f t="shared" si="48"/>
        <v>0</v>
      </c>
      <c r="BE26" s="63">
        <f t="shared" si="48"/>
        <v>0</v>
      </c>
      <c r="BF26" s="63">
        <f t="shared" si="48"/>
        <v>0</v>
      </c>
      <c r="BG26" s="63">
        <f t="shared" si="48"/>
        <v>0</v>
      </c>
      <c r="BH26" s="63">
        <f t="shared" si="48"/>
        <v>0</v>
      </c>
      <c r="BI26" s="63">
        <f t="shared" si="48"/>
        <v>0</v>
      </c>
      <c r="BJ26" s="63">
        <f t="shared" si="49"/>
        <v>0</v>
      </c>
      <c r="BK26" s="63">
        <f t="shared" si="49"/>
        <v>0</v>
      </c>
      <c r="BL26" s="63">
        <f t="shared" si="49"/>
        <v>0</v>
      </c>
      <c r="BM26" s="63">
        <f t="shared" si="49"/>
        <v>0</v>
      </c>
      <c r="BN26" s="63">
        <f t="shared" si="49"/>
        <v>0</v>
      </c>
      <c r="BO26" s="63">
        <f t="shared" si="49"/>
        <v>0</v>
      </c>
      <c r="BP26" s="63">
        <f t="shared" si="49"/>
        <v>0</v>
      </c>
      <c r="BQ26" s="63">
        <f t="shared" si="49"/>
        <v>0</v>
      </c>
      <c r="BR26" s="63">
        <f t="shared" si="49"/>
        <v>0</v>
      </c>
      <c r="BS26" s="63">
        <f t="shared" si="49"/>
        <v>0</v>
      </c>
      <c r="BT26" s="63">
        <f t="shared" si="50"/>
        <v>0</v>
      </c>
      <c r="BU26" s="63">
        <f t="shared" si="50"/>
        <v>0</v>
      </c>
      <c r="BV26" s="63">
        <f t="shared" si="50"/>
        <v>0</v>
      </c>
      <c r="BW26" s="63">
        <f t="shared" si="50"/>
        <v>0</v>
      </c>
      <c r="BX26" s="63">
        <f t="shared" si="50"/>
        <v>0</v>
      </c>
      <c r="BY26" s="63">
        <f t="shared" si="50"/>
        <v>0</v>
      </c>
      <c r="BZ26" s="63">
        <f t="shared" si="50"/>
        <v>0</v>
      </c>
      <c r="CA26" s="63">
        <f t="shared" si="50"/>
        <v>0</v>
      </c>
      <c r="CB26" s="63">
        <f t="shared" si="50"/>
        <v>0</v>
      </c>
      <c r="CC26" s="63">
        <f t="shared" si="50"/>
        <v>0</v>
      </c>
      <c r="CD26" s="63">
        <f t="shared" si="51"/>
        <v>0</v>
      </c>
      <c r="CE26" s="63">
        <f t="shared" si="51"/>
        <v>0</v>
      </c>
      <c r="CF26" s="63">
        <f t="shared" si="51"/>
        <v>0</v>
      </c>
      <c r="CG26" s="63">
        <f t="shared" si="51"/>
        <v>0</v>
      </c>
      <c r="CH26" s="63">
        <f t="shared" si="51"/>
        <v>0</v>
      </c>
      <c r="CI26" s="63">
        <f t="shared" si="51"/>
        <v>0</v>
      </c>
      <c r="CJ26" s="63">
        <f t="shared" si="51"/>
        <v>0</v>
      </c>
      <c r="CK26" s="63">
        <f t="shared" si="51"/>
        <v>0</v>
      </c>
      <c r="CL26" s="63">
        <f t="shared" si="51"/>
        <v>0</v>
      </c>
      <c r="CM26" s="63">
        <f t="shared" si="51"/>
        <v>0</v>
      </c>
      <c r="CN26" s="63">
        <f t="shared" si="52"/>
        <v>0</v>
      </c>
      <c r="CO26" s="63">
        <f t="shared" si="52"/>
        <v>0</v>
      </c>
      <c r="CP26" s="63">
        <f t="shared" si="52"/>
        <v>0</v>
      </c>
      <c r="CQ26" s="63">
        <f t="shared" si="52"/>
        <v>0</v>
      </c>
      <c r="CR26" s="63">
        <f t="shared" si="52"/>
        <v>0</v>
      </c>
      <c r="CS26" s="63">
        <f t="shared" si="52"/>
        <v>0</v>
      </c>
      <c r="CT26" s="63">
        <f t="shared" si="52"/>
        <v>0</v>
      </c>
      <c r="CU26" s="63">
        <f t="shared" si="52"/>
        <v>0</v>
      </c>
      <c r="CV26" s="63">
        <f t="shared" si="52"/>
        <v>0</v>
      </c>
      <c r="CW26" s="63">
        <f t="shared" si="52"/>
        <v>0</v>
      </c>
      <c r="CX26" s="63">
        <f t="shared" si="53"/>
        <v>0</v>
      </c>
      <c r="CY26" s="63">
        <f t="shared" si="53"/>
        <v>0</v>
      </c>
      <c r="CZ26" s="63">
        <f t="shared" si="53"/>
        <v>0</v>
      </c>
      <c r="DA26" s="63">
        <f t="shared" si="53"/>
        <v>0</v>
      </c>
      <c r="DB26" s="63">
        <f t="shared" si="53"/>
        <v>0</v>
      </c>
      <c r="DC26" s="63">
        <f t="shared" si="53"/>
        <v>0</v>
      </c>
      <c r="DD26" s="63">
        <f t="shared" si="53"/>
        <v>0</v>
      </c>
      <c r="DE26" s="63">
        <f t="shared" si="53"/>
        <v>0</v>
      </c>
      <c r="DF26" s="63">
        <f t="shared" si="53"/>
        <v>0</v>
      </c>
      <c r="DG26" s="63">
        <f t="shared" si="53"/>
        <v>0</v>
      </c>
      <c r="DH26" s="63">
        <f t="shared" si="54"/>
        <v>0</v>
      </c>
      <c r="DI26" s="63">
        <f t="shared" si="54"/>
        <v>0</v>
      </c>
      <c r="DJ26" s="63">
        <f t="shared" si="54"/>
        <v>0</v>
      </c>
      <c r="DK26" s="63">
        <f t="shared" si="54"/>
        <v>0</v>
      </c>
      <c r="DL26" s="63">
        <f t="shared" si="54"/>
        <v>0</v>
      </c>
      <c r="DM26" s="63">
        <f t="shared" si="54"/>
        <v>0</v>
      </c>
      <c r="DN26" s="63">
        <f t="shared" si="54"/>
        <v>0</v>
      </c>
      <c r="DO26" s="63">
        <f t="shared" si="54"/>
        <v>0</v>
      </c>
      <c r="DP26" s="63">
        <f t="shared" si="54"/>
        <v>0</v>
      </c>
      <c r="DQ26" s="63">
        <f t="shared" si="54"/>
        <v>0</v>
      </c>
      <c r="DR26" s="63">
        <f t="shared" si="55"/>
        <v>0</v>
      </c>
      <c r="DS26" s="63">
        <f t="shared" si="55"/>
        <v>0</v>
      </c>
      <c r="DT26" s="63">
        <f t="shared" si="55"/>
        <v>0</v>
      </c>
      <c r="DU26" s="63">
        <f t="shared" si="55"/>
        <v>0</v>
      </c>
      <c r="DV26" s="63">
        <f t="shared" si="55"/>
        <v>0</v>
      </c>
      <c r="DW26" s="63">
        <f t="shared" si="55"/>
        <v>0</v>
      </c>
      <c r="DX26" s="63">
        <f t="shared" si="55"/>
        <v>0</v>
      </c>
      <c r="DY26" s="63">
        <f t="shared" si="55"/>
        <v>0</v>
      </c>
      <c r="DZ26" s="63">
        <f t="shared" si="55"/>
        <v>0</v>
      </c>
      <c r="EA26" s="63">
        <f t="shared" si="55"/>
        <v>0</v>
      </c>
      <c r="EB26" s="63">
        <f t="shared" si="56"/>
        <v>0</v>
      </c>
      <c r="EC26" s="63">
        <f t="shared" si="56"/>
        <v>0</v>
      </c>
      <c r="ED26" s="63">
        <f t="shared" si="56"/>
        <v>0</v>
      </c>
      <c r="EE26" s="63">
        <f t="shared" si="56"/>
        <v>0</v>
      </c>
      <c r="EF26" s="63">
        <f t="shared" si="56"/>
        <v>0</v>
      </c>
      <c r="EG26" s="63">
        <f t="shared" si="56"/>
        <v>0</v>
      </c>
      <c r="EH26" s="63">
        <f t="shared" si="56"/>
        <v>0</v>
      </c>
      <c r="EI26" s="63">
        <f t="shared" si="56"/>
        <v>0</v>
      </c>
      <c r="EJ26" s="63">
        <f t="shared" si="56"/>
        <v>0</v>
      </c>
      <c r="EK26" s="63">
        <f t="shared" si="56"/>
        <v>0</v>
      </c>
      <c r="EL26" s="63">
        <f t="shared" si="56"/>
        <v>0</v>
      </c>
      <c r="EM26" s="63">
        <f t="shared" si="56"/>
        <v>0</v>
      </c>
      <c r="EN26" s="63">
        <f t="shared" si="56"/>
        <v>0</v>
      </c>
      <c r="EO26" s="63">
        <f t="shared" si="56"/>
        <v>0</v>
      </c>
    </row>
    <row r="27" spans="2:145" x14ac:dyDescent="0.45">
      <c r="B27" s="81">
        <f t="shared" si="42"/>
        <v>500</v>
      </c>
      <c r="C27" s="81" t="str">
        <f t="shared" si="42"/>
        <v>[Retail Tenant]</v>
      </c>
      <c r="F27" s="87">
        <v>1</v>
      </c>
      <c r="H27" s="61">
        <f>IFERROR(F10/$F$19,0)</f>
        <v>0</v>
      </c>
      <c r="I27" s="101">
        <f>IFERROR(J27/F10,0)</f>
        <v>0</v>
      </c>
      <c r="J27" s="103">
        <f t="shared" si="43"/>
        <v>0</v>
      </c>
      <c r="L27" s="63">
        <f t="shared" si="44"/>
        <v>0</v>
      </c>
      <c r="M27" s="63">
        <f t="shared" si="44"/>
        <v>0</v>
      </c>
      <c r="N27" s="63">
        <f t="shared" si="44"/>
        <v>0</v>
      </c>
      <c r="O27" s="63">
        <f t="shared" si="44"/>
        <v>0</v>
      </c>
      <c r="P27" s="63">
        <f t="shared" si="44"/>
        <v>0</v>
      </c>
      <c r="Q27" s="63">
        <f t="shared" si="44"/>
        <v>0</v>
      </c>
      <c r="R27" s="63">
        <f t="shared" si="44"/>
        <v>0</v>
      </c>
      <c r="S27" s="63">
        <f t="shared" si="44"/>
        <v>0</v>
      </c>
      <c r="T27" s="63">
        <f t="shared" si="44"/>
        <v>0</v>
      </c>
      <c r="U27" s="63">
        <f t="shared" si="44"/>
        <v>0</v>
      </c>
      <c r="V27" s="63">
        <f t="shared" si="45"/>
        <v>0</v>
      </c>
      <c r="W27" s="63">
        <f t="shared" si="45"/>
        <v>0</v>
      </c>
      <c r="X27" s="63">
        <f t="shared" si="45"/>
        <v>0</v>
      </c>
      <c r="Y27" s="63">
        <f t="shared" si="45"/>
        <v>0</v>
      </c>
      <c r="Z27" s="63">
        <f t="shared" si="45"/>
        <v>0</v>
      </c>
      <c r="AA27" s="63">
        <f t="shared" si="45"/>
        <v>0</v>
      </c>
      <c r="AB27" s="63">
        <f t="shared" si="45"/>
        <v>0</v>
      </c>
      <c r="AC27" s="63">
        <f t="shared" si="45"/>
        <v>0</v>
      </c>
      <c r="AD27" s="63">
        <f t="shared" si="45"/>
        <v>0</v>
      </c>
      <c r="AE27" s="63">
        <f t="shared" si="45"/>
        <v>0</v>
      </c>
      <c r="AF27" s="63">
        <f t="shared" si="46"/>
        <v>0</v>
      </c>
      <c r="AG27" s="63">
        <f t="shared" si="46"/>
        <v>0</v>
      </c>
      <c r="AH27" s="63">
        <f t="shared" si="46"/>
        <v>0</v>
      </c>
      <c r="AI27" s="63">
        <f t="shared" si="46"/>
        <v>0</v>
      </c>
      <c r="AJ27" s="63">
        <f t="shared" si="46"/>
        <v>0</v>
      </c>
      <c r="AK27" s="63">
        <f t="shared" si="46"/>
        <v>0</v>
      </c>
      <c r="AL27" s="63">
        <f t="shared" si="46"/>
        <v>0</v>
      </c>
      <c r="AM27" s="63">
        <f t="shared" si="46"/>
        <v>0</v>
      </c>
      <c r="AN27" s="63">
        <f t="shared" si="46"/>
        <v>0</v>
      </c>
      <c r="AO27" s="63">
        <f t="shared" si="46"/>
        <v>0</v>
      </c>
      <c r="AP27" s="63">
        <f t="shared" si="47"/>
        <v>0</v>
      </c>
      <c r="AQ27" s="63">
        <f t="shared" si="47"/>
        <v>0</v>
      </c>
      <c r="AR27" s="63">
        <f t="shared" si="47"/>
        <v>0</v>
      </c>
      <c r="AS27" s="63">
        <f t="shared" si="47"/>
        <v>0</v>
      </c>
      <c r="AT27" s="63">
        <f t="shared" si="47"/>
        <v>0</v>
      </c>
      <c r="AU27" s="63">
        <f t="shared" si="47"/>
        <v>0</v>
      </c>
      <c r="AV27" s="63">
        <f t="shared" si="47"/>
        <v>0</v>
      </c>
      <c r="AW27" s="63">
        <f t="shared" si="47"/>
        <v>0</v>
      </c>
      <c r="AX27" s="63">
        <f t="shared" si="47"/>
        <v>0</v>
      </c>
      <c r="AY27" s="63">
        <f t="shared" si="47"/>
        <v>0</v>
      </c>
      <c r="AZ27" s="63">
        <f t="shared" si="48"/>
        <v>0</v>
      </c>
      <c r="BA27" s="63">
        <f t="shared" si="48"/>
        <v>0</v>
      </c>
      <c r="BB27" s="63">
        <f t="shared" si="48"/>
        <v>0</v>
      </c>
      <c r="BC27" s="63">
        <f t="shared" si="48"/>
        <v>0</v>
      </c>
      <c r="BD27" s="63">
        <f t="shared" si="48"/>
        <v>0</v>
      </c>
      <c r="BE27" s="63">
        <f t="shared" si="48"/>
        <v>0</v>
      </c>
      <c r="BF27" s="63">
        <f t="shared" si="48"/>
        <v>0</v>
      </c>
      <c r="BG27" s="63">
        <f t="shared" si="48"/>
        <v>0</v>
      </c>
      <c r="BH27" s="63">
        <f t="shared" si="48"/>
        <v>0</v>
      </c>
      <c r="BI27" s="63">
        <f t="shared" si="48"/>
        <v>0</v>
      </c>
      <c r="BJ27" s="63">
        <f t="shared" si="49"/>
        <v>0</v>
      </c>
      <c r="BK27" s="63">
        <f t="shared" si="49"/>
        <v>0</v>
      </c>
      <c r="BL27" s="63">
        <f t="shared" si="49"/>
        <v>0</v>
      </c>
      <c r="BM27" s="63">
        <f t="shared" si="49"/>
        <v>0</v>
      </c>
      <c r="BN27" s="63">
        <f t="shared" si="49"/>
        <v>0</v>
      </c>
      <c r="BO27" s="63">
        <f t="shared" si="49"/>
        <v>0</v>
      </c>
      <c r="BP27" s="63">
        <f t="shared" si="49"/>
        <v>0</v>
      </c>
      <c r="BQ27" s="63">
        <f t="shared" si="49"/>
        <v>0</v>
      </c>
      <c r="BR27" s="63">
        <f t="shared" si="49"/>
        <v>0</v>
      </c>
      <c r="BS27" s="63">
        <f t="shared" si="49"/>
        <v>0</v>
      </c>
      <c r="BT27" s="63">
        <f t="shared" si="50"/>
        <v>0</v>
      </c>
      <c r="BU27" s="63">
        <f t="shared" si="50"/>
        <v>0</v>
      </c>
      <c r="BV27" s="63">
        <f t="shared" si="50"/>
        <v>0</v>
      </c>
      <c r="BW27" s="63">
        <f t="shared" si="50"/>
        <v>0</v>
      </c>
      <c r="BX27" s="63">
        <f t="shared" si="50"/>
        <v>0</v>
      </c>
      <c r="BY27" s="63">
        <f t="shared" si="50"/>
        <v>0</v>
      </c>
      <c r="BZ27" s="63">
        <f t="shared" si="50"/>
        <v>0</v>
      </c>
      <c r="CA27" s="63">
        <f t="shared" si="50"/>
        <v>0</v>
      </c>
      <c r="CB27" s="63">
        <f t="shared" si="50"/>
        <v>0</v>
      </c>
      <c r="CC27" s="63">
        <f t="shared" si="50"/>
        <v>0</v>
      </c>
      <c r="CD27" s="63">
        <f t="shared" si="51"/>
        <v>0</v>
      </c>
      <c r="CE27" s="63">
        <f t="shared" si="51"/>
        <v>0</v>
      </c>
      <c r="CF27" s="63">
        <f t="shared" si="51"/>
        <v>0</v>
      </c>
      <c r="CG27" s="63">
        <f t="shared" si="51"/>
        <v>0</v>
      </c>
      <c r="CH27" s="63">
        <f t="shared" si="51"/>
        <v>0</v>
      </c>
      <c r="CI27" s="63">
        <f t="shared" si="51"/>
        <v>0</v>
      </c>
      <c r="CJ27" s="63">
        <f t="shared" si="51"/>
        <v>0</v>
      </c>
      <c r="CK27" s="63">
        <f t="shared" si="51"/>
        <v>0</v>
      </c>
      <c r="CL27" s="63">
        <f t="shared" si="51"/>
        <v>0</v>
      </c>
      <c r="CM27" s="63">
        <f t="shared" si="51"/>
        <v>0</v>
      </c>
      <c r="CN27" s="63">
        <f t="shared" si="52"/>
        <v>0</v>
      </c>
      <c r="CO27" s="63">
        <f t="shared" si="52"/>
        <v>0</v>
      </c>
      <c r="CP27" s="63">
        <f t="shared" si="52"/>
        <v>0</v>
      </c>
      <c r="CQ27" s="63">
        <f t="shared" si="52"/>
        <v>0</v>
      </c>
      <c r="CR27" s="63">
        <f t="shared" si="52"/>
        <v>0</v>
      </c>
      <c r="CS27" s="63">
        <f t="shared" si="52"/>
        <v>0</v>
      </c>
      <c r="CT27" s="63">
        <f t="shared" si="52"/>
        <v>0</v>
      </c>
      <c r="CU27" s="63">
        <f t="shared" si="52"/>
        <v>0</v>
      </c>
      <c r="CV27" s="63">
        <f t="shared" si="52"/>
        <v>0</v>
      </c>
      <c r="CW27" s="63">
        <f t="shared" si="52"/>
        <v>0</v>
      </c>
      <c r="CX27" s="63">
        <f t="shared" ref="CX27:DG27" si="57">IFERROR((CX$5&gt;=$F27)*$H27*CX$47,0)</f>
        <v>0</v>
      </c>
      <c r="CY27" s="63">
        <f t="shared" si="57"/>
        <v>0</v>
      </c>
      <c r="CZ27" s="63">
        <f t="shared" si="57"/>
        <v>0</v>
      </c>
      <c r="DA27" s="63">
        <f t="shared" si="57"/>
        <v>0</v>
      </c>
      <c r="DB27" s="63">
        <f t="shared" si="57"/>
        <v>0</v>
      </c>
      <c r="DC27" s="63">
        <f t="shared" si="57"/>
        <v>0</v>
      </c>
      <c r="DD27" s="63">
        <f t="shared" si="57"/>
        <v>0</v>
      </c>
      <c r="DE27" s="63">
        <f t="shared" si="57"/>
        <v>0</v>
      </c>
      <c r="DF27" s="63">
        <f t="shared" si="57"/>
        <v>0</v>
      </c>
      <c r="DG27" s="63">
        <f t="shared" si="57"/>
        <v>0</v>
      </c>
      <c r="DH27" s="63">
        <f t="shared" ref="DE27:EO33" si="58">IFERROR((DH$5&gt;=$F27)*$H27*DH$47,0)</f>
        <v>0</v>
      </c>
      <c r="DI27" s="63">
        <f t="shared" si="58"/>
        <v>0</v>
      </c>
      <c r="DJ27" s="63">
        <f t="shared" si="58"/>
        <v>0</v>
      </c>
      <c r="DK27" s="63">
        <f t="shared" si="58"/>
        <v>0</v>
      </c>
      <c r="DL27" s="63">
        <f t="shared" si="58"/>
        <v>0</v>
      </c>
      <c r="DM27" s="63">
        <f t="shared" si="58"/>
        <v>0</v>
      </c>
      <c r="DN27" s="63">
        <f t="shared" si="58"/>
        <v>0</v>
      </c>
      <c r="DO27" s="63">
        <f t="shared" si="58"/>
        <v>0</v>
      </c>
      <c r="DP27" s="63">
        <f t="shared" si="58"/>
        <v>0</v>
      </c>
      <c r="DQ27" s="63">
        <f t="shared" si="58"/>
        <v>0</v>
      </c>
      <c r="DR27" s="63">
        <f t="shared" si="58"/>
        <v>0</v>
      </c>
      <c r="DS27" s="63">
        <f t="shared" si="58"/>
        <v>0</v>
      </c>
      <c r="DT27" s="63">
        <f t="shared" si="58"/>
        <v>0</v>
      </c>
      <c r="DU27" s="63">
        <f t="shared" si="58"/>
        <v>0</v>
      </c>
      <c r="DV27" s="63">
        <f t="shared" si="58"/>
        <v>0</v>
      </c>
      <c r="DW27" s="63">
        <f t="shared" si="58"/>
        <v>0</v>
      </c>
      <c r="DX27" s="63">
        <f t="shared" si="58"/>
        <v>0</v>
      </c>
      <c r="DY27" s="63">
        <f t="shared" si="58"/>
        <v>0</v>
      </c>
      <c r="DZ27" s="63">
        <f t="shared" si="58"/>
        <v>0</v>
      </c>
      <c r="EA27" s="63">
        <f t="shared" si="58"/>
        <v>0</v>
      </c>
      <c r="EB27" s="63">
        <f t="shared" si="58"/>
        <v>0</v>
      </c>
      <c r="EC27" s="63">
        <f t="shared" si="58"/>
        <v>0</v>
      </c>
      <c r="ED27" s="63">
        <f t="shared" si="58"/>
        <v>0</v>
      </c>
      <c r="EE27" s="63">
        <f t="shared" si="58"/>
        <v>0</v>
      </c>
      <c r="EF27" s="63">
        <f t="shared" si="58"/>
        <v>0</v>
      </c>
      <c r="EG27" s="63">
        <f t="shared" si="58"/>
        <v>0</v>
      </c>
      <c r="EH27" s="63">
        <f t="shared" si="58"/>
        <v>0</v>
      </c>
      <c r="EI27" s="63">
        <f t="shared" si="58"/>
        <v>0</v>
      </c>
      <c r="EJ27" s="63">
        <f t="shared" si="58"/>
        <v>0</v>
      </c>
      <c r="EK27" s="63">
        <f t="shared" si="58"/>
        <v>0</v>
      </c>
      <c r="EL27" s="63">
        <f t="shared" si="58"/>
        <v>0</v>
      </c>
      <c r="EM27" s="63">
        <f t="shared" si="58"/>
        <v>0</v>
      </c>
      <c r="EN27" s="63">
        <f t="shared" si="58"/>
        <v>0</v>
      </c>
      <c r="EO27" s="63">
        <f t="shared" si="58"/>
        <v>0</v>
      </c>
    </row>
    <row r="28" spans="2:145" x14ac:dyDescent="0.45">
      <c r="B28" s="81">
        <f t="shared" ref="B28:C35" si="59">+B11</f>
        <v>600</v>
      </c>
      <c r="C28" s="81" t="str">
        <f t="shared" si="59"/>
        <v>[Retail Tenant]</v>
      </c>
      <c r="F28" s="87">
        <v>1</v>
      </c>
      <c r="H28" s="61">
        <f t="shared" ref="H28:H35" si="60">IFERROR(F11/$F$19,0)</f>
        <v>0</v>
      </c>
      <c r="I28" s="101">
        <f t="shared" ref="I28:I35" si="61">IFERROR(J28/F11,0)</f>
        <v>0</v>
      </c>
      <c r="J28" s="103">
        <f t="shared" si="43"/>
        <v>0</v>
      </c>
      <c r="L28" s="63">
        <f t="shared" si="44"/>
        <v>0</v>
      </c>
      <c r="M28" s="63">
        <f t="shared" si="44"/>
        <v>0</v>
      </c>
      <c r="N28" s="63">
        <f t="shared" si="44"/>
        <v>0</v>
      </c>
      <c r="O28" s="63">
        <f t="shared" si="44"/>
        <v>0</v>
      </c>
      <c r="P28" s="63">
        <f t="shared" si="44"/>
        <v>0</v>
      </c>
      <c r="Q28" s="63">
        <f t="shared" si="44"/>
        <v>0</v>
      </c>
      <c r="R28" s="63">
        <f t="shared" si="44"/>
        <v>0</v>
      </c>
      <c r="S28" s="63">
        <f t="shared" si="44"/>
        <v>0</v>
      </c>
      <c r="T28" s="63">
        <f t="shared" si="44"/>
        <v>0</v>
      </c>
      <c r="U28" s="63">
        <f t="shared" si="44"/>
        <v>0</v>
      </c>
      <c r="V28" s="63">
        <f t="shared" si="45"/>
        <v>0</v>
      </c>
      <c r="W28" s="63">
        <f t="shared" si="45"/>
        <v>0</v>
      </c>
      <c r="X28" s="63">
        <f t="shared" si="45"/>
        <v>0</v>
      </c>
      <c r="Y28" s="63">
        <f t="shared" si="45"/>
        <v>0</v>
      </c>
      <c r="Z28" s="63">
        <f t="shared" si="45"/>
        <v>0</v>
      </c>
      <c r="AA28" s="63">
        <f t="shared" si="45"/>
        <v>0</v>
      </c>
      <c r="AB28" s="63">
        <f t="shared" si="45"/>
        <v>0</v>
      </c>
      <c r="AC28" s="63">
        <f t="shared" si="45"/>
        <v>0</v>
      </c>
      <c r="AD28" s="63">
        <f t="shared" si="45"/>
        <v>0</v>
      </c>
      <c r="AE28" s="63">
        <f t="shared" si="45"/>
        <v>0</v>
      </c>
      <c r="AF28" s="63">
        <f t="shared" si="46"/>
        <v>0</v>
      </c>
      <c r="AG28" s="63">
        <f t="shared" si="46"/>
        <v>0</v>
      </c>
      <c r="AH28" s="63">
        <f t="shared" si="46"/>
        <v>0</v>
      </c>
      <c r="AI28" s="63">
        <f t="shared" si="46"/>
        <v>0</v>
      </c>
      <c r="AJ28" s="63">
        <f t="shared" si="46"/>
        <v>0</v>
      </c>
      <c r="AK28" s="63">
        <f t="shared" si="46"/>
        <v>0</v>
      </c>
      <c r="AL28" s="63">
        <f t="shared" si="46"/>
        <v>0</v>
      </c>
      <c r="AM28" s="63">
        <f t="shared" si="46"/>
        <v>0</v>
      </c>
      <c r="AN28" s="63">
        <f t="shared" si="46"/>
        <v>0</v>
      </c>
      <c r="AO28" s="63">
        <f t="shared" si="46"/>
        <v>0</v>
      </c>
      <c r="AP28" s="63">
        <f t="shared" si="47"/>
        <v>0</v>
      </c>
      <c r="AQ28" s="63">
        <f t="shared" si="47"/>
        <v>0</v>
      </c>
      <c r="AR28" s="63">
        <f t="shared" si="47"/>
        <v>0</v>
      </c>
      <c r="AS28" s="63">
        <f t="shared" si="47"/>
        <v>0</v>
      </c>
      <c r="AT28" s="63">
        <f t="shared" si="47"/>
        <v>0</v>
      </c>
      <c r="AU28" s="63">
        <f t="shared" si="47"/>
        <v>0</v>
      </c>
      <c r="AV28" s="63">
        <f t="shared" si="47"/>
        <v>0</v>
      </c>
      <c r="AW28" s="63">
        <f t="shared" si="47"/>
        <v>0</v>
      </c>
      <c r="AX28" s="63">
        <f t="shared" si="47"/>
        <v>0</v>
      </c>
      <c r="AY28" s="63">
        <f t="shared" si="47"/>
        <v>0</v>
      </c>
      <c r="AZ28" s="63">
        <f t="shared" si="48"/>
        <v>0</v>
      </c>
      <c r="BA28" s="63">
        <f t="shared" si="48"/>
        <v>0</v>
      </c>
      <c r="BB28" s="63">
        <f t="shared" si="48"/>
        <v>0</v>
      </c>
      <c r="BC28" s="63">
        <f t="shared" si="48"/>
        <v>0</v>
      </c>
      <c r="BD28" s="63">
        <f t="shared" si="48"/>
        <v>0</v>
      </c>
      <c r="BE28" s="63">
        <f t="shared" si="48"/>
        <v>0</v>
      </c>
      <c r="BF28" s="63">
        <f t="shared" si="48"/>
        <v>0</v>
      </c>
      <c r="BG28" s="63">
        <f t="shared" si="48"/>
        <v>0</v>
      </c>
      <c r="BH28" s="63">
        <f t="shared" si="48"/>
        <v>0</v>
      </c>
      <c r="BI28" s="63">
        <f t="shared" si="48"/>
        <v>0</v>
      </c>
      <c r="BJ28" s="63">
        <f t="shared" si="49"/>
        <v>0</v>
      </c>
      <c r="BK28" s="63">
        <f t="shared" si="49"/>
        <v>0</v>
      </c>
      <c r="BL28" s="63">
        <f t="shared" si="49"/>
        <v>0</v>
      </c>
      <c r="BM28" s="63">
        <f t="shared" si="49"/>
        <v>0</v>
      </c>
      <c r="BN28" s="63">
        <f t="shared" si="49"/>
        <v>0</v>
      </c>
      <c r="BO28" s="63">
        <f t="shared" si="49"/>
        <v>0</v>
      </c>
      <c r="BP28" s="63">
        <f t="shared" si="49"/>
        <v>0</v>
      </c>
      <c r="BQ28" s="63">
        <f t="shared" si="49"/>
        <v>0</v>
      </c>
      <c r="BR28" s="63">
        <f t="shared" si="49"/>
        <v>0</v>
      </c>
      <c r="BS28" s="63">
        <f t="shared" si="49"/>
        <v>0</v>
      </c>
      <c r="BT28" s="63">
        <f t="shared" si="50"/>
        <v>0</v>
      </c>
      <c r="BU28" s="63">
        <f t="shared" si="50"/>
        <v>0</v>
      </c>
      <c r="BV28" s="63">
        <f t="shared" si="50"/>
        <v>0</v>
      </c>
      <c r="BW28" s="63">
        <f t="shared" si="50"/>
        <v>0</v>
      </c>
      <c r="BX28" s="63">
        <f t="shared" si="50"/>
        <v>0</v>
      </c>
      <c r="BY28" s="63">
        <f t="shared" si="50"/>
        <v>0</v>
      </c>
      <c r="BZ28" s="63">
        <f t="shared" si="50"/>
        <v>0</v>
      </c>
      <c r="CA28" s="63">
        <f t="shared" si="50"/>
        <v>0</v>
      </c>
      <c r="CB28" s="63">
        <f t="shared" si="50"/>
        <v>0</v>
      </c>
      <c r="CC28" s="63">
        <f t="shared" si="50"/>
        <v>0</v>
      </c>
      <c r="CD28" s="63">
        <f t="shared" si="51"/>
        <v>0</v>
      </c>
      <c r="CE28" s="63">
        <f t="shared" si="51"/>
        <v>0</v>
      </c>
      <c r="CF28" s="63">
        <f t="shared" si="51"/>
        <v>0</v>
      </c>
      <c r="CG28" s="63">
        <f t="shared" si="51"/>
        <v>0</v>
      </c>
      <c r="CH28" s="63">
        <f t="shared" si="51"/>
        <v>0</v>
      </c>
      <c r="CI28" s="63">
        <f t="shared" si="51"/>
        <v>0</v>
      </c>
      <c r="CJ28" s="63">
        <f t="shared" si="51"/>
        <v>0</v>
      </c>
      <c r="CK28" s="63">
        <f t="shared" si="51"/>
        <v>0</v>
      </c>
      <c r="CL28" s="63">
        <f t="shared" si="51"/>
        <v>0</v>
      </c>
      <c r="CM28" s="63">
        <f t="shared" si="51"/>
        <v>0</v>
      </c>
      <c r="CN28" s="63">
        <f t="shared" si="52"/>
        <v>0</v>
      </c>
      <c r="CO28" s="63">
        <f t="shared" si="52"/>
        <v>0</v>
      </c>
      <c r="CP28" s="63">
        <f t="shared" si="52"/>
        <v>0</v>
      </c>
      <c r="CQ28" s="63">
        <f t="shared" si="52"/>
        <v>0</v>
      </c>
      <c r="CR28" s="63">
        <f t="shared" si="52"/>
        <v>0</v>
      </c>
      <c r="CS28" s="63">
        <f t="shared" si="52"/>
        <v>0</v>
      </c>
      <c r="CT28" s="63">
        <f t="shared" si="52"/>
        <v>0</v>
      </c>
      <c r="CU28" s="63">
        <f t="shared" si="52"/>
        <v>0</v>
      </c>
      <c r="CV28" s="63">
        <f t="shared" si="52"/>
        <v>0</v>
      </c>
      <c r="CW28" s="63">
        <f t="shared" si="52"/>
        <v>0</v>
      </c>
      <c r="CX28" s="63">
        <f t="shared" ref="CX28:DD35" si="62">IFERROR((CX$5&gt;=$F28)*$H28*CX$47,0)</f>
        <v>0</v>
      </c>
      <c r="CY28" s="63">
        <f t="shared" si="62"/>
        <v>0</v>
      </c>
      <c r="CZ28" s="63">
        <f t="shared" si="62"/>
        <v>0</v>
      </c>
      <c r="DA28" s="63">
        <f t="shared" si="62"/>
        <v>0</v>
      </c>
      <c r="DB28" s="63">
        <f t="shared" si="62"/>
        <v>0</v>
      </c>
      <c r="DC28" s="63">
        <f t="shared" si="62"/>
        <v>0</v>
      </c>
      <c r="DD28" s="63">
        <f t="shared" si="62"/>
        <v>0</v>
      </c>
      <c r="DE28" s="63">
        <f t="shared" si="58"/>
        <v>0</v>
      </c>
      <c r="DF28" s="63">
        <f t="shared" si="58"/>
        <v>0</v>
      </c>
      <c r="DG28" s="63">
        <f t="shared" si="58"/>
        <v>0</v>
      </c>
      <c r="DH28" s="63">
        <f t="shared" si="58"/>
        <v>0</v>
      </c>
      <c r="DI28" s="63">
        <f t="shared" si="58"/>
        <v>0</v>
      </c>
      <c r="DJ28" s="63">
        <f t="shared" si="58"/>
        <v>0</v>
      </c>
      <c r="DK28" s="63">
        <f t="shared" si="58"/>
        <v>0</v>
      </c>
      <c r="DL28" s="63">
        <f t="shared" si="58"/>
        <v>0</v>
      </c>
      <c r="DM28" s="63">
        <f t="shared" si="58"/>
        <v>0</v>
      </c>
      <c r="DN28" s="63">
        <f t="shared" si="58"/>
        <v>0</v>
      </c>
      <c r="DO28" s="63">
        <f t="shared" si="58"/>
        <v>0</v>
      </c>
      <c r="DP28" s="63">
        <f t="shared" si="58"/>
        <v>0</v>
      </c>
      <c r="DQ28" s="63">
        <f t="shared" si="58"/>
        <v>0</v>
      </c>
      <c r="DR28" s="63">
        <f t="shared" si="58"/>
        <v>0</v>
      </c>
      <c r="DS28" s="63">
        <f t="shared" si="58"/>
        <v>0</v>
      </c>
      <c r="DT28" s="63">
        <f t="shared" si="58"/>
        <v>0</v>
      </c>
      <c r="DU28" s="63">
        <f t="shared" si="58"/>
        <v>0</v>
      </c>
      <c r="DV28" s="63">
        <f t="shared" si="58"/>
        <v>0</v>
      </c>
      <c r="DW28" s="63">
        <f t="shared" si="58"/>
        <v>0</v>
      </c>
      <c r="DX28" s="63">
        <f t="shared" si="58"/>
        <v>0</v>
      </c>
      <c r="DY28" s="63">
        <f t="shared" si="58"/>
        <v>0</v>
      </c>
      <c r="DZ28" s="63">
        <f t="shared" si="58"/>
        <v>0</v>
      </c>
      <c r="EA28" s="63">
        <f t="shared" si="58"/>
        <v>0</v>
      </c>
      <c r="EB28" s="63">
        <f t="shared" si="58"/>
        <v>0</v>
      </c>
      <c r="EC28" s="63">
        <f t="shared" si="58"/>
        <v>0</v>
      </c>
      <c r="ED28" s="63">
        <f t="shared" si="58"/>
        <v>0</v>
      </c>
      <c r="EE28" s="63">
        <f t="shared" si="58"/>
        <v>0</v>
      </c>
      <c r="EF28" s="63">
        <f t="shared" si="58"/>
        <v>0</v>
      </c>
      <c r="EG28" s="63">
        <f t="shared" si="58"/>
        <v>0</v>
      </c>
      <c r="EH28" s="63">
        <f t="shared" si="58"/>
        <v>0</v>
      </c>
      <c r="EI28" s="63">
        <f t="shared" si="58"/>
        <v>0</v>
      </c>
      <c r="EJ28" s="63">
        <f t="shared" si="58"/>
        <v>0</v>
      </c>
      <c r="EK28" s="63">
        <f t="shared" si="58"/>
        <v>0</v>
      </c>
      <c r="EL28" s="63">
        <f t="shared" si="58"/>
        <v>0</v>
      </c>
      <c r="EM28" s="63">
        <f t="shared" si="58"/>
        <v>0</v>
      </c>
      <c r="EN28" s="63">
        <f t="shared" si="58"/>
        <v>0</v>
      </c>
      <c r="EO28" s="63">
        <f t="shared" si="58"/>
        <v>0</v>
      </c>
    </row>
    <row r="29" spans="2:145" x14ac:dyDescent="0.45">
      <c r="B29" s="81">
        <f t="shared" si="59"/>
        <v>700</v>
      </c>
      <c r="C29" s="81" t="str">
        <f t="shared" si="59"/>
        <v>[Retail Tenant]</v>
      </c>
      <c r="F29" s="87">
        <v>24</v>
      </c>
      <c r="H29" s="61">
        <f t="shared" si="60"/>
        <v>0</v>
      </c>
      <c r="I29" s="101">
        <f t="shared" si="61"/>
        <v>0</v>
      </c>
      <c r="J29" s="103">
        <f t="shared" si="43"/>
        <v>0</v>
      </c>
      <c r="L29" s="63">
        <f t="shared" si="44"/>
        <v>0</v>
      </c>
      <c r="M29" s="63">
        <f t="shared" si="44"/>
        <v>0</v>
      </c>
      <c r="N29" s="63">
        <f t="shared" si="44"/>
        <v>0</v>
      </c>
      <c r="O29" s="63">
        <f t="shared" si="44"/>
        <v>0</v>
      </c>
      <c r="P29" s="63">
        <f t="shared" si="44"/>
        <v>0</v>
      </c>
      <c r="Q29" s="63">
        <f t="shared" si="44"/>
        <v>0</v>
      </c>
      <c r="R29" s="63">
        <f t="shared" si="44"/>
        <v>0</v>
      </c>
      <c r="S29" s="63">
        <f t="shared" si="44"/>
        <v>0</v>
      </c>
      <c r="T29" s="63">
        <f t="shared" si="44"/>
        <v>0</v>
      </c>
      <c r="U29" s="63">
        <f t="shared" si="44"/>
        <v>0</v>
      </c>
      <c r="V29" s="63">
        <f t="shared" si="45"/>
        <v>0</v>
      </c>
      <c r="W29" s="63">
        <f t="shared" si="45"/>
        <v>0</v>
      </c>
      <c r="X29" s="63">
        <f t="shared" si="45"/>
        <v>0</v>
      </c>
      <c r="Y29" s="63">
        <f t="shared" si="45"/>
        <v>0</v>
      </c>
      <c r="Z29" s="63">
        <f t="shared" si="45"/>
        <v>0</v>
      </c>
      <c r="AA29" s="63">
        <f t="shared" si="45"/>
        <v>0</v>
      </c>
      <c r="AB29" s="63">
        <f t="shared" si="45"/>
        <v>0</v>
      </c>
      <c r="AC29" s="63">
        <f t="shared" si="45"/>
        <v>0</v>
      </c>
      <c r="AD29" s="63">
        <f t="shared" si="45"/>
        <v>0</v>
      </c>
      <c r="AE29" s="63">
        <f t="shared" si="45"/>
        <v>0</v>
      </c>
      <c r="AF29" s="63">
        <f t="shared" si="46"/>
        <v>0</v>
      </c>
      <c r="AG29" s="63">
        <f t="shared" si="46"/>
        <v>0</v>
      </c>
      <c r="AH29" s="63">
        <f t="shared" si="46"/>
        <v>0</v>
      </c>
      <c r="AI29" s="63">
        <f t="shared" si="46"/>
        <v>0</v>
      </c>
      <c r="AJ29" s="63">
        <f t="shared" si="46"/>
        <v>0</v>
      </c>
      <c r="AK29" s="63">
        <f t="shared" si="46"/>
        <v>0</v>
      </c>
      <c r="AL29" s="63">
        <f t="shared" si="46"/>
        <v>0</v>
      </c>
      <c r="AM29" s="63">
        <f t="shared" si="46"/>
        <v>0</v>
      </c>
      <c r="AN29" s="63">
        <f t="shared" si="46"/>
        <v>0</v>
      </c>
      <c r="AO29" s="63">
        <f t="shared" si="46"/>
        <v>0</v>
      </c>
      <c r="AP29" s="63">
        <f t="shared" si="47"/>
        <v>0</v>
      </c>
      <c r="AQ29" s="63">
        <f t="shared" si="47"/>
        <v>0</v>
      </c>
      <c r="AR29" s="63">
        <f t="shared" si="47"/>
        <v>0</v>
      </c>
      <c r="AS29" s="63">
        <f t="shared" si="47"/>
        <v>0</v>
      </c>
      <c r="AT29" s="63">
        <f t="shared" si="47"/>
        <v>0</v>
      </c>
      <c r="AU29" s="63">
        <f t="shared" si="47"/>
        <v>0</v>
      </c>
      <c r="AV29" s="63">
        <f t="shared" si="47"/>
        <v>0</v>
      </c>
      <c r="AW29" s="63">
        <f t="shared" si="47"/>
        <v>0</v>
      </c>
      <c r="AX29" s="63">
        <f t="shared" si="47"/>
        <v>0</v>
      </c>
      <c r="AY29" s="63">
        <f t="shared" si="47"/>
        <v>0</v>
      </c>
      <c r="AZ29" s="63">
        <f t="shared" si="48"/>
        <v>0</v>
      </c>
      <c r="BA29" s="63">
        <f t="shared" si="48"/>
        <v>0</v>
      </c>
      <c r="BB29" s="63">
        <f t="shared" si="48"/>
        <v>0</v>
      </c>
      <c r="BC29" s="63">
        <f t="shared" si="48"/>
        <v>0</v>
      </c>
      <c r="BD29" s="63">
        <f t="shared" si="48"/>
        <v>0</v>
      </c>
      <c r="BE29" s="63">
        <f t="shared" si="48"/>
        <v>0</v>
      </c>
      <c r="BF29" s="63">
        <f t="shared" si="48"/>
        <v>0</v>
      </c>
      <c r="BG29" s="63">
        <f t="shared" si="48"/>
        <v>0</v>
      </c>
      <c r="BH29" s="63">
        <f t="shared" si="48"/>
        <v>0</v>
      </c>
      <c r="BI29" s="63">
        <f t="shared" si="48"/>
        <v>0</v>
      </c>
      <c r="BJ29" s="63">
        <f t="shared" si="49"/>
        <v>0</v>
      </c>
      <c r="BK29" s="63">
        <f t="shared" si="49"/>
        <v>0</v>
      </c>
      <c r="BL29" s="63">
        <f t="shared" si="49"/>
        <v>0</v>
      </c>
      <c r="BM29" s="63">
        <f t="shared" si="49"/>
        <v>0</v>
      </c>
      <c r="BN29" s="63">
        <f t="shared" si="49"/>
        <v>0</v>
      </c>
      <c r="BO29" s="63">
        <f t="shared" si="49"/>
        <v>0</v>
      </c>
      <c r="BP29" s="63">
        <f t="shared" si="49"/>
        <v>0</v>
      </c>
      <c r="BQ29" s="63">
        <f t="shared" si="49"/>
        <v>0</v>
      </c>
      <c r="BR29" s="63">
        <f t="shared" si="49"/>
        <v>0</v>
      </c>
      <c r="BS29" s="63">
        <f t="shared" si="49"/>
        <v>0</v>
      </c>
      <c r="BT29" s="63">
        <f t="shared" si="50"/>
        <v>0</v>
      </c>
      <c r="BU29" s="63">
        <f t="shared" si="50"/>
        <v>0</v>
      </c>
      <c r="BV29" s="63">
        <f t="shared" si="50"/>
        <v>0</v>
      </c>
      <c r="BW29" s="63">
        <f t="shared" si="50"/>
        <v>0</v>
      </c>
      <c r="BX29" s="63">
        <f t="shared" si="50"/>
        <v>0</v>
      </c>
      <c r="BY29" s="63">
        <f t="shared" si="50"/>
        <v>0</v>
      </c>
      <c r="BZ29" s="63">
        <f t="shared" si="50"/>
        <v>0</v>
      </c>
      <c r="CA29" s="63">
        <f t="shared" si="50"/>
        <v>0</v>
      </c>
      <c r="CB29" s="63">
        <f t="shared" si="50"/>
        <v>0</v>
      </c>
      <c r="CC29" s="63">
        <f t="shared" si="50"/>
        <v>0</v>
      </c>
      <c r="CD29" s="63">
        <f t="shared" si="51"/>
        <v>0</v>
      </c>
      <c r="CE29" s="63">
        <f t="shared" si="51"/>
        <v>0</v>
      </c>
      <c r="CF29" s="63">
        <f t="shared" si="51"/>
        <v>0</v>
      </c>
      <c r="CG29" s="63">
        <f t="shared" si="51"/>
        <v>0</v>
      </c>
      <c r="CH29" s="63">
        <f t="shared" si="51"/>
        <v>0</v>
      </c>
      <c r="CI29" s="63">
        <f t="shared" si="51"/>
        <v>0</v>
      </c>
      <c r="CJ29" s="63">
        <f t="shared" si="51"/>
        <v>0</v>
      </c>
      <c r="CK29" s="63">
        <f t="shared" si="51"/>
        <v>0</v>
      </c>
      <c r="CL29" s="63">
        <f t="shared" si="51"/>
        <v>0</v>
      </c>
      <c r="CM29" s="63">
        <f t="shared" si="51"/>
        <v>0</v>
      </c>
      <c r="CN29" s="63">
        <f t="shared" si="52"/>
        <v>0</v>
      </c>
      <c r="CO29" s="63">
        <f t="shared" si="52"/>
        <v>0</v>
      </c>
      <c r="CP29" s="63">
        <f t="shared" si="52"/>
        <v>0</v>
      </c>
      <c r="CQ29" s="63">
        <f t="shared" si="52"/>
        <v>0</v>
      </c>
      <c r="CR29" s="63">
        <f t="shared" si="52"/>
        <v>0</v>
      </c>
      <c r="CS29" s="63">
        <f t="shared" si="52"/>
        <v>0</v>
      </c>
      <c r="CT29" s="63">
        <f t="shared" si="52"/>
        <v>0</v>
      </c>
      <c r="CU29" s="63">
        <f t="shared" si="52"/>
        <v>0</v>
      </c>
      <c r="CV29" s="63">
        <f t="shared" si="52"/>
        <v>0</v>
      </c>
      <c r="CW29" s="63">
        <f t="shared" si="52"/>
        <v>0</v>
      </c>
      <c r="CX29" s="63">
        <f t="shared" si="62"/>
        <v>0</v>
      </c>
      <c r="CY29" s="63">
        <f t="shared" si="62"/>
        <v>0</v>
      </c>
      <c r="CZ29" s="63">
        <f t="shared" si="62"/>
        <v>0</v>
      </c>
      <c r="DA29" s="63">
        <f t="shared" si="62"/>
        <v>0</v>
      </c>
      <c r="DB29" s="63">
        <f t="shared" si="62"/>
        <v>0</v>
      </c>
      <c r="DC29" s="63">
        <f t="shared" si="62"/>
        <v>0</v>
      </c>
      <c r="DD29" s="63">
        <f t="shared" si="62"/>
        <v>0</v>
      </c>
      <c r="DE29" s="63">
        <f t="shared" si="58"/>
        <v>0</v>
      </c>
      <c r="DF29" s="63">
        <f t="shared" si="58"/>
        <v>0</v>
      </c>
      <c r="DG29" s="63">
        <f t="shared" si="58"/>
        <v>0</v>
      </c>
      <c r="DH29" s="63">
        <f t="shared" si="58"/>
        <v>0</v>
      </c>
      <c r="DI29" s="63">
        <f t="shared" si="58"/>
        <v>0</v>
      </c>
      <c r="DJ29" s="63">
        <f t="shared" si="58"/>
        <v>0</v>
      </c>
      <c r="DK29" s="63">
        <f t="shared" si="58"/>
        <v>0</v>
      </c>
      <c r="DL29" s="63">
        <f t="shared" si="58"/>
        <v>0</v>
      </c>
      <c r="DM29" s="63">
        <f t="shared" si="58"/>
        <v>0</v>
      </c>
      <c r="DN29" s="63">
        <f t="shared" si="58"/>
        <v>0</v>
      </c>
      <c r="DO29" s="63">
        <f t="shared" si="58"/>
        <v>0</v>
      </c>
      <c r="DP29" s="63">
        <f t="shared" si="58"/>
        <v>0</v>
      </c>
      <c r="DQ29" s="63">
        <f t="shared" si="58"/>
        <v>0</v>
      </c>
      <c r="DR29" s="63">
        <f t="shared" si="58"/>
        <v>0</v>
      </c>
      <c r="DS29" s="63">
        <f t="shared" si="58"/>
        <v>0</v>
      </c>
      <c r="DT29" s="63">
        <f t="shared" si="58"/>
        <v>0</v>
      </c>
      <c r="DU29" s="63">
        <f t="shared" si="58"/>
        <v>0</v>
      </c>
      <c r="DV29" s="63">
        <f t="shared" si="58"/>
        <v>0</v>
      </c>
      <c r="DW29" s="63">
        <f t="shared" si="58"/>
        <v>0</v>
      </c>
      <c r="DX29" s="63">
        <f t="shared" si="58"/>
        <v>0</v>
      </c>
      <c r="DY29" s="63">
        <f t="shared" si="58"/>
        <v>0</v>
      </c>
      <c r="DZ29" s="63">
        <f t="shared" si="58"/>
        <v>0</v>
      </c>
      <c r="EA29" s="63">
        <f t="shared" si="58"/>
        <v>0</v>
      </c>
      <c r="EB29" s="63">
        <f t="shared" si="58"/>
        <v>0</v>
      </c>
      <c r="EC29" s="63">
        <f t="shared" si="58"/>
        <v>0</v>
      </c>
      <c r="ED29" s="63">
        <f t="shared" si="58"/>
        <v>0</v>
      </c>
      <c r="EE29" s="63">
        <f t="shared" si="58"/>
        <v>0</v>
      </c>
      <c r="EF29" s="63">
        <f t="shared" si="58"/>
        <v>0</v>
      </c>
      <c r="EG29" s="63">
        <f t="shared" si="58"/>
        <v>0</v>
      </c>
      <c r="EH29" s="63">
        <f t="shared" si="58"/>
        <v>0</v>
      </c>
      <c r="EI29" s="63">
        <f t="shared" si="58"/>
        <v>0</v>
      </c>
      <c r="EJ29" s="63">
        <f t="shared" si="58"/>
        <v>0</v>
      </c>
      <c r="EK29" s="63">
        <f t="shared" si="58"/>
        <v>0</v>
      </c>
      <c r="EL29" s="63">
        <f t="shared" si="58"/>
        <v>0</v>
      </c>
      <c r="EM29" s="63">
        <f t="shared" si="58"/>
        <v>0</v>
      </c>
      <c r="EN29" s="63">
        <f t="shared" si="58"/>
        <v>0</v>
      </c>
      <c r="EO29" s="63">
        <f t="shared" si="58"/>
        <v>0</v>
      </c>
    </row>
    <row r="30" spans="2:145" x14ac:dyDescent="0.45">
      <c r="B30" s="81">
        <f t="shared" si="59"/>
        <v>800</v>
      </c>
      <c r="C30" s="81" t="str">
        <f t="shared" si="59"/>
        <v>[Retail Tenant]</v>
      </c>
      <c r="F30" s="87">
        <v>36</v>
      </c>
      <c r="H30" s="61">
        <f t="shared" si="60"/>
        <v>0</v>
      </c>
      <c r="I30" s="101">
        <f t="shared" si="61"/>
        <v>0</v>
      </c>
      <c r="J30" s="103">
        <f t="shared" si="43"/>
        <v>0</v>
      </c>
      <c r="L30" s="63">
        <f t="shared" si="44"/>
        <v>0</v>
      </c>
      <c r="M30" s="63">
        <f t="shared" si="44"/>
        <v>0</v>
      </c>
      <c r="N30" s="63">
        <f t="shared" si="44"/>
        <v>0</v>
      </c>
      <c r="O30" s="63">
        <f t="shared" si="44"/>
        <v>0</v>
      </c>
      <c r="P30" s="63">
        <f t="shared" si="44"/>
        <v>0</v>
      </c>
      <c r="Q30" s="63">
        <f t="shared" si="44"/>
        <v>0</v>
      </c>
      <c r="R30" s="63">
        <f t="shared" si="44"/>
        <v>0</v>
      </c>
      <c r="S30" s="63">
        <f t="shared" si="44"/>
        <v>0</v>
      </c>
      <c r="T30" s="63">
        <f t="shared" si="44"/>
        <v>0</v>
      </c>
      <c r="U30" s="63">
        <f t="shared" si="44"/>
        <v>0</v>
      </c>
      <c r="V30" s="63">
        <f t="shared" si="45"/>
        <v>0</v>
      </c>
      <c r="W30" s="63">
        <f t="shared" si="45"/>
        <v>0</v>
      </c>
      <c r="X30" s="63">
        <f t="shared" si="45"/>
        <v>0</v>
      </c>
      <c r="Y30" s="63">
        <f t="shared" si="45"/>
        <v>0</v>
      </c>
      <c r="Z30" s="63">
        <f t="shared" si="45"/>
        <v>0</v>
      </c>
      <c r="AA30" s="63">
        <f t="shared" si="45"/>
        <v>0</v>
      </c>
      <c r="AB30" s="63">
        <f t="shared" si="45"/>
        <v>0</v>
      </c>
      <c r="AC30" s="63">
        <f t="shared" si="45"/>
        <v>0</v>
      </c>
      <c r="AD30" s="63">
        <f t="shared" si="45"/>
        <v>0</v>
      </c>
      <c r="AE30" s="63">
        <f t="shared" si="45"/>
        <v>0</v>
      </c>
      <c r="AF30" s="63">
        <f t="shared" si="46"/>
        <v>0</v>
      </c>
      <c r="AG30" s="63">
        <f t="shared" si="46"/>
        <v>0</v>
      </c>
      <c r="AH30" s="63">
        <f t="shared" si="46"/>
        <v>0</v>
      </c>
      <c r="AI30" s="63">
        <f t="shared" si="46"/>
        <v>0</v>
      </c>
      <c r="AJ30" s="63">
        <f t="shared" si="46"/>
        <v>0</v>
      </c>
      <c r="AK30" s="63">
        <f t="shared" si="46"/>
        <v>0</v>
      </c>
      <c r="AL30" s="63">
        <f t="shared" si="46"/>
        <v>0</v>
      </c>
      <c r="AM30" s="63">
        <f t="shared" si="46"/>
        <v>0</v>
      </c>
      <c r="AN30" s="63">
        <f t="shared" si="46"/>
        <v>0</v>
      </c>
      <c r="AO30" s="63">
        <f t="shared" si="46"/>
        <v>0</v>
      </c>
      <c r="AP30" s="63">
        <f t="shared" si="47"/>
        <v>0</v>
      </c>
      <c r="AQ30" s="63">
        <f t="shared" si="47"/>
        <v>0</v>
      </c>
      <c r="AR30" s="63">
        <f t="shared" si="47"/>
        <v>0</v>
      </c>
      <c r="AS30" s="63">
        <f t="shared" si="47"/>
        <v>0</v>
      </c>
      <c r="AT30" s="63">
        <f t="shared" si="47"/>
        <v>0</v>
      </c>
      <c r="AU30" s="63">
        <f t="shared" si="47"/>
        <v>0</v>
      </c>
      <c r="AV30" s="63">
        <f t="shared" si="47"/>
        <v>0</v>
      </c>
      <c r="AW30" s="63">
        <f t="shared" si="47"/>
        <v>0</v>
      </c>
      <c r="AX30" s="63">
        <f t="shared" si="47"/>
        <v>0</v>
      </c>
      <c r="AY30" s="63">
        <f t="shared" si="47"/>
        <v>0</v>
      </c>
      <c r="AZ30" s="63">
        <f t="shared" si="48"/>
        <v>0</v>
      </c>
      <c r="BA30" s="63">
        <f t="shared" si="48"/>
        <v>0</v>
      </c>
      <c r="BB30" s="63">
        <f t="shared" si="48"/>
        <v>0</v>
      </c>
      <c r="BC30" s="63">
        <f t="shared" si="48"/>
        <v>0</v>
      </c>
      <c r="BD30" s="63">
        <f t="shared" si="48"/>
        <v>0</v>
      </c>
      <c r="BE30" s="63">
        <f t="shared" si="48"/>
        <v>0</v>
      </c>
      <c r="BF30" s="63">
        <f t="shared" si="48"/>
        <v>0</v>
      </c>
      <c r="BG30" s="63">
        <f t="shared" si="48"/>
        <v>0</v>
      </c>
      <c r="BH30" s="63">
        <f t="shared" si="48"/>
        <v>0</v>
      </c>
      <c r="BI30" s="63">
        <f t="shared" si="48"/>
        <v>0</v>
      </c>
      <c r="BJ30" s="63">
        <f t="shared" si="49"/>
        <v>0</v>
      </c>
      <c r="BK30" s="63">
        <f t="shared" si="49"/>
        <v>0</v>
      </c>
      <c r="BL30" s="63">
        <f t="shared" si="49"/>
        <v>0</v>
      </c>
      <c r="BM30" s="63">
        <f t="shared" si="49"/>
        <v>0</v>
      </c>
      <c r="BN30" s="63">
        <f t="shared" si="49"/>
        <v>0</v>
      </c>
      <c r="BO30" s="63">
        <f t="shared" si="49"/>
        <v>0</v>
      </c>
      <c r="BP30" s="63">
        <f t="shared" si="49"/>
        <v>0</v>
      </c>
      <c r="BQ30" s="63">
        <f t="shared" si="49"/>
        <v>0</v>
      </c>
      <c r="BR30" s="63">
        <f t="shared" si="49"/>
        <v>0</v>
      </c>
      <c r="BS30" s="63">
        <f t="shared" si="49"/>
        <v>0</v>
      </c>
      <c r="BT30" s="63">
        <f t="shared" si="50"/>
        <v>0</v>
      </c>
      <c r="BU30" s="63">
        <f t="shared" si="50"/>
        <v>0</v>
      </c>
      <c r="BV30" s="63">
        <f t="shared" si="50"/>
        <v>0</v>
      </c>
      <c r="BW30" s="63">
        <f t="shared" si="50"/>
        <v>0</v>
      </c>
      <c r="BX30" s="63">
        <f t="shared" si="50"/>
        <v>0</v>
      </c>
      <c r="BY30" s="63">
        <f t="shared" si="50"/>
        <v>0</v>
      </c>
      <c r="BZ30" s="63">
        <f t="shared" si="50"/>
        <v>0</v>
      </c>
      <c r="CA30" s="63">
        <f t="shared" si="50"/>
        <v>0</v>
      </c>
      <c r="CB30" s="63">
        <f t="shared" si="50"/>
        <v>0</v>
      </c>
      <c r="CC30" s="63">
        <f t="shared" si="50"/>
        <v>0</v>
      </c>
      <c r="CD30" s="63">
        <f t="shared" si="51"/>
        <v>0</v>
      </c>
      <c r="CE30" s="63">
        <f t="shared" si="51"/>
        <v>0</v>
      </c>
      <c r="CF30" s="63">
        <f t="shared" si="51"/>
        <v>0</v>
      </c>
      <c r="CG30" s="63">
        <f t="shared" si="51"/>
        <v>0</v>
      </c>
      <c r="CH30" s="63">
        <f t="shared" si="51"/>
        <v>0</v>
      </c>
      <c r="CI30" s="63">
        <f t="shared" si="51"/>
        <v>0</v>
      </c>
      <c r="CJ30" s="63">
        <f t="shared" si="51"/>
        <v>0</v>
      </c>
      <c r="CK30" s="63">
        <f t="shared" si="51"/>
        <v>0</v>
      </c>
      <c r="CL30" s="63">
        <f t="shared" si="51"/>
        <v>0</v>
      </c>
      <c r="CM30" s="63">
        <f t="shared" si="51"/>
        <v>0</v>
      </c>
      <c r="CN30" s="63">
        <f t="shared" si="52"/>
        <v>0</v>
      </c>
      <c r="CO30" s="63">
        <f t="shared" si="52"/>
        <v>0</v>
      </c>
      <c r="CP30" s="63">
        <f t="shared" si="52"/>
        <v>0</v>
      </c>
      <c r="CQ30" s="63">
        <f t="shared" si="52"/>
        <v>0</v>
      </c>
      <c r="CR30" s="63">
        <f t="shared" si="52"/>
        <v>0</v>
      </c>
      <c r="CS30" s="63">
        <f t="shared" si="52"/>
        <v>0</v>
      </c>
      <c r="CT30" s="63">
        <f t="shared" si="52"/>
        <v>0</v>
      </c>
      <c r="CU30" s="63">
        <f t="shared" si="52"/>
        <v>0</v>
      </c>
      <c r="CV30" s="63">
        <f t="shared" si="52"/>
        <v>0</v>
      </c>
      <c r="CW30" s="63">
        <f t="shared" si="52"/>
        <v>0</v>
      </c>
      <c r="CX30" s="63">
        <f t="shared" si="62"/>
        <v>0</v>
      </c>
      <c r="CY30" s="63">
        <f t="shared" si="62"/>
        <v>0</v>
      </c>
      <c r="CZ30" s="63">
        <f t="shared" si="62"/>
        <v>0</v>
      </c>
      <c r="DA30" s="63">
        <f t="shared" si="62"/>
        <v>0</v>
      </c>
      <c r="DB30" s="63">
        <f t="shared" si="62"/>
        <v>0</v>
      </c>
      <c r="DC30" s="63">
        <f t="shared" si="62"/>
        <v>0</v>
      </c>
      <c r="DD30" s="63">
        <f t="shared" si="62"/>
        <v>0</v>
      </c>
      <c r="DE30" s="63">
        <f t="shared" si="58"/>
        <v>0</v>
      </c>
      <c r="DF30" s="63">
        <f t="shared" si="58"/>
        <v>0</v>
      </c>
      <c r="DG30" s="63">
        <f t="shared" si="58"/>
        <v>0</v>
      </c>
      <c r="DH30" s="63">
        <f t="shared" si="58"/>
        <v>0</v>
      </c>
      <c r="DI30" s="63">
        <f t="shared" si="58"/>
        <v>0</v>
      </c>
      <c r="DJ30" s="63">
        <f t="shared" si="58"/>
        <v>0</v>
      </c>
      <c r="DK30" s="63">
        <f t="shared" si="58"/>
        <v>0</v>
      </c>
      <c r="DL30" s="63">
        <f t="shared" si="58"/>
        <v>0</v>
      </c>
      <c r="DM30" s="63">
        <f t="shared" si="58"/>
        <v>0</v>
      </c>
      <c r="DN30" s="63">
        <f t="shared" si="58"/>
        <v>0</v>
      </c>
      <c r="DO30" s="63">
        <f t="shared" si="58"/>
        <v>0</v>
      </c>
      <c r="DP30" s="63">
        <f t="shared" si="58"/>
        <v>0</v>
      </c>
      <c r="DQ30" s="63">
        <f t="shared" si="58"/>
        <v>0</v>
      </c>
      <c r="DR30" s="63">
        <f t="shared" si="58"/>
        <v>0</v>
      </c>
      <c r="DS30" s="63">
        <f t="shared" si="58"/>
        <v>0</v>
      </c>
      <c r="DT30" s="63">
        <f t="shared" si="58"/>
        <v>0</v>
      </c>
      <c r="DU30" s="63">
        <f t="shared" si="58"/>
        <v>0</v>
      </c>
      <c r="DV30" s="63">
        <f t="shared" si="58"/>
        <v>0</v>
      </c>
      <c r="DW30" s="63">
        <f t="shared" si="58"/>
        <v>0</v>
      </c>
      <c r="DX30" s="63">
        <f t="shared" si="58"/>
        <v>0</v>
      </c>
      <c r="DY30" s="63">
        <f t="shared" si="58"/>
        <v>0</v>
      </c>
      <c r="DZ30" s="63">
        <f t="shared" si="58"/>
        <v>0</v>
      </c>
      <c r="EA30" s="63">
        <f t="shared" si="58"/>
        <v>0</v>
      </c>
      <c r="EB30" s="63">
        <f t="shared" si="58"/>
        <v>0</v>
      </c>
      <c r="EC30" s="63">
        <f t="shared" si="58"/>
        <v>0</v>
      </c>
      <c r="ED30" s="63">
        <f t="shared" si="58"/>
        <v>0</v>
      </c>
      <c r="EE30" s="63">
        <f t="shared" si="58"/>
        <v>0</v>
      </c>
      <c r="EF30" s="63">
        <f t="shared" si="58"/>
        <v>0</v>
      </c>
      <c r="EG30" s="63">
        <f t="shared" si="58"/>
        <v>0</v>
      </c>
      <c r="EH30" s="63">
        <f t="shared" si="58"/>
        <v>0</v>
      </c>
      <c r="EI30" s="63">
        <f t="shared" si="58"/>
        <v>0</v>
      </c>
      <c r="EJ30" s="63">
        <f t="shared" si="58"/>
        <v>0</v>
      </c>
      <c r="EK30" s="63">
        <f t="shared" si="58"/>
        <v>0</v>
      </c>
      <c r="EL30" s="63">
        <f t="shared" si="58"/>
        <v>0</v>
      </c>
      <c r="EM30" s="63">
        <f t="shared" si="58"/>
        <v>0</v>
      </c>
      <c r="EN30" s="63">
        <f t="shared" si="58"/>
        <v>0</v>
      </c>
      <c r="EO30" s="63">
        <f t="shared" si="58"/>
        <v>0</v>
      </c>
    </row>
    <row r="31" spans="2:145" x14ac:dyDescent="0.45">
      <c r="B31" s="81">
        <f t="shared" si="59"/>
        <v>900</v>
      </c>
      <c r="C31" s="81" t="str">
        <f t="shared" si="59"/>
        <v>[Retail Tenant]</v>
      </c>
      <c r="F31" s="87">
        <v>36</v>
      </c>
      <c r="H31" s="61">
        <f t="shared" si="60"/>
        <v>0</v>
      </c>
      <c r="I31" s="101">
        <f t="shared" si="61"/>
        <v>0</v>
      </c>
      <c r="J31" s="103">
        <f t="shared" si="43"/>
        <v>0</v>
      </c>
      <c r="L31" s="63">
        <f t="shared" si="44"/>
        <v>0</v>
      </c>
      <c r="M31" s="63">
        <f t="shared" si="44"/>
        <v>0</v>
      </c>
      <c r="N31" s="63">
        <f t="shared" si="44"/>
        <v>0</v>
      </c>
      <c r="O31" s="63">
        <f t="shared" si="44"/>
        <v>0</v>
      </c>
      <c r="P31" s="63">
        <f t="shared" si="44"/>
        <v>0</v>
      </c>
      <c r="Q31" s="63">
        <f t="shared" si="44"/>
        <v>0</v>
      </c>
      <c r="R31" s="63">
        <f t="shared" si="44"/>
        <v>0</v>
      </c>
      <c r="S31" s="63">
        <f t="shared" si="44"/>
        <v>0</v>
      </c>
      <c r="T31" s="63">
        <f t="shared" si="44"/>
        <v>0</v>
      </c>
      <c r="U31" s="63">
        <f t="shared" si="44"/>
        <v>0</v>
      </c>
      <c r="V31" s="63">
        <f t="shared" si="45"/>
        <v>0</v>
      </c>
      <c r="W31" s="63">
        <f t="shared" si="45"/>
        <v>0</v>
      </c>
      <c r="X31" s="63">
        <f t="shared" si="45"/>
        <v>0</v>
      </c>
      <c r="Y31" s="63">
        <f t="shared" si="45"/>
        <v>0</v>
      </c>
      <c r="Z31" s="63">
        <f t="shared" si="45"/>
        <v>0</v>
      </c>
      <c r="AA31" s="63">
        <f t="shared" si="45"/>
        <v>0</v>
      </c>
      <c r="AB31" s="63">
        <f t="shared" si="45"/>
        <v>0</v>
      </c>
      <c r="AC31" s="63">
        <f t="shared" si="45"/>
        <v>0</v>
      </c>
      <c r="AD31" s="63">
        <f t="shared" si="45"/>
        <v>0</v>
      </c>
      <c r="AE31" s="63">
        <f t="shared" si="45"/>
        <v>0</v>
      </c>
      <c r="AF31" s="63">
        <f t="shared" si="46"/>
        <v>0</v>
      </c>
      <c r="AG31" s="63">
        <f t="shared" si="46"/>
        <v>0</v>
      </c>
      <c r="AH31" s="63">
        <f t="shared" si="46"/>
        <v>0</v>
      </c>
      <c r="AI31" s="63">
        <f t="shared" si="46"/>
        <v>0</v>
      </c>
      <c r="AJ31" s="63">
        <f t="shared" si="46"/>
        <v>0</v>
      </c>
      <c r="AK31" s="63">
        <f t="shared" si="46"/>
        <v>0</v>
      </c>
      <c r="AL31" s="63">
        <f t="shared" si="46"/>
        <v>0</v>
      </c>
      <c r="AM31" s="63">
        <f t="shared" si="46"/>
        <v>0</v>
      </c>
      <c r="AN31" s="63">
        <f t="shared" si="46"/>
        <v>0</v>
      </c>
      <c r="AO31" s="63">
        <f t="shared" si="46"/>
        <v>0</v>
      </c>
      <c r="AP31" s="63">
        <f t="shared" si="47"/>
        <v>0</v>
      </c>
      <c r="AQ31" s="63">
        <f t="shared" si="47"/>
        <v>0</v>
      </c>
      <c r="AR31" s="63">
        <f t="shared" si="47"/>
        <v>0</v>
      </c>
      <c r="AS31" s="63">
        <f t="shared" si="47"/>
        <v>0</v>
      </c>
      <c r="AT31" s="63">
        <f t="shared" si="47"/>
        <v>0</v>
      </c>
      <c r="AU31" s="63">
        <f t="shared" si="47"/>
        <v>0</v>
      </c>
      <c r="AV31" s="63">
        <f t="shared" si="47"/>
        <v>0</v>
      </c>
      <c r="AW31" s="63">
        <f t="shared" si="47"/>
        <v>0</v>
      </c>
      <c r="AX31" s="63">
        <f t="shared" si="47"/>
        <v>0</v>
      </c>
      <c r="AY31" s="63">
        <f t="shared" si="47"/>
        <v>0</v>
      </c>
      <c r="AZ31" s="63">
        <f t="shared" si="48"/>
        <v>0</v>
      </c>
      <c r="BA31" s="63">
        <f t="shared" si="48"/>
        <v>0</v>
      </c>
      <c r="BB31" s="63">
        <f t="shared" si="48"/>
        <v>0</v>
      </c>
      <c r="BC31" s="63">
        <f t="shared" si="48"/>
        <v>0</v>
      </c>
      <c r="BD31" s="63">
        <f t="shared" si="48"/>
        <v>0</v>
      </c>
      <c r="BE31" s="63">
        <f t="shared" si="48"/>
        <v>0</v>
      </c>
      <c r="BF31" s="63">
        <f t="shared" si="48"/>
        <v>0</v>
      </c>
      <c r="BG31" s="63">
        <f t="shared" si="48"/>
        <v>0</v>
      </c>
      <c r="BH31" s="63">
        <f t="shared" si="48"/>
        <v>0</v>
      </c>
      <c r="BI31" s="63">
        <f t="shared" si="48"/>
        <v>0</v>
      </c>
      <c r="BJ31" s="63">
        <f t="shared" si="49"/>
        <v>0</v>
      </c>
      <c r="BK31" s="63">
        <f t="shared" si="49"/>
        <v>0</v>
      </c>
      <c r="BL31" s="63">
        <f t="shared" si="49"/>
        <v>0</v>
      </c>
      <c r="BM31" s="63">
        <f t="shared" si="49"/>
        <v>0</v>
      </c>
      <c r="BN31" s="63">
        <f t="shared" si="49"/>
        <v>0</v>
      </c>
      <c r="BO31" s="63">
        <f t="shared" si="49"/>
        <v>0</v>
      </c>
      <c r="BP31" s="63">
        <f t="shared" si="49"/>
        <v>0</v>
      </c>
      <c r="BQ31" s="63">
        <f t="shared" si="49"/>
        <v>0</v>
      </c>
      <c r="BR31" s="63">
        <f t="shared" si="49"/>
        <v>0</v>
      </c>
      <c r="BS31" s="63">
        <f t="shared" si="49"/>
        <v>0</v>
      </c>
      <c r="BT31" s="63">
        <f t="shared" si="50"/>
        <v>0</v>
      </c>
      <c r="BU31" s="63">
        <f t="shared" si="50"/>
        <v>0</v>
      </c>
      <c r="BV31" s="63">
        <f t="shared" si="50"/>
        <v>0</v>
      </c>
      <c r="BW31" s="63">
        <f t="shared" si="50"/>
        <v>0</v>
      </c>
      <c r="BX31" s="63">
        <f t="shared" si="50"/>
        <v>0</v>
      </c>
      <c r="BY31" s="63">
        <f t="shared" si="50"/>
        <v>0</v>
      </c>
      <c r="BZ31" s="63">
        <f t="shared" si="50"/>
        <v>0</v>
      </c>
      <c r="CA31" s="63">
        <f t="shared" si="50"/>
        <v>0</v>
      </c>
      <c r="CB31" s="63">
        <f t="shared" si="50"/>
        <v>0</v>
      </c>
      <c r="CC31" s="63">
        <f t="shared" si="50"/>
        <v>0</v>
      </c>
      <c r="CD31" s="63">
        <f t="shared" si="51"/>
        <v>0</v>
      </c>
      <c r="CE31" s="63">
        <f t="shared" si="51"/>
        <v>0</v>
      </c>
      <c r="CF31" s="63">
        <f t="shared" si="51"/>
        <v>0</v>
      </c>
      <c r="CG31" s="63">
        <f t="shared" si="51"/>
        <v>0</v>
      </c>
      <c r="CH31" s="63">
        <f t="shared" si="51"/>
        <v>0</v>
      </c>
      <c r="CI31" s="63">
        <f t="shared" si="51"/>
        <v>0</v>
      </c>
      <c r="CJ31" s="63">
        <f t="shared" si="51"/>
        <v>0</v>
      </c>
      <c r="CK31" s="63">
        <f t="shared" si="51"/>
        <v>0</v>
      </c>
      <c r="CL31" s="63">
        <f t="shared" si="51"/>
        <v>0</v>
      </c>
      <c r="CM31" s="63">
        <f t="shared" si="51"/>
        <v>0</v>
      </c>
      <c r="CN31" s="63">
        <f t="shared" si="52"/>
        <v>0</v>
      </c>
      <c r="CO31" s="63">
        <f t="shared" si="52"/>
        <v>0</v>
      </c>
      <c r="CP31" s="63">
        <f t="shared" si="52"/>
        <v>0</v>
      </c>
      <c r="CQ31" s="63">
        <f t="shared" si="52"/>
        <v>0</v>
      </c>
      <c r="CR31" s="63">
        <f t="shared" si="52"/>
        <v>0</v>
      </c>
      <c r="CS31" s="63">
        <f t="shared" si="52"/>
        <v>0</v>
      </c>
      <c r="CT31" s="63">
        <f t="shared" si="52"/>
        <v>0</v>
      </c>
      <c r="CU31" s="63">
        <f t="shared" si="52"/>
        <v>0</v>
      </c>
      <c r="CV31" s="63">
        <f t="shared" si="52"/>
        <v>0</v>
      </c>
      <c r="CW31" s="63">
        <f t="shared" si="52"/>
        <v>0</v>
      </c>
      <c r="CX31" s="63">
        <f t="shared" si="62"/>
        <v>0</v>
      </c>
      <c r="CY31" s="63">
        <f t="shared" si="62"/>
        <v>0</v>
      </c>
      <c r="CZ31" s="63">
        <f t="shared" si="62"/>
        <v>0</v>
      </c>
      <c r="DA31" s="63">
        <f t="shared" si="62"/>
        <v>0</v>
      </c>
      <c r="DB31" s="63">
        <f t="shared" si="62"/>
        <v>0</v>
      </c>
      <c r="DC31" s="63">
        <f t="shared" si="62"/>
        <v>0</v>
      </c>
      <c r="DD31" s="63">
        <f t="shared" si="62"/>
        <v>0</v>
      </c>
      <c r="DE31" s="63">
        <f t="shared" si="58"/>
        <v>0</v>
      </c>
      <c r="DF31" s="63">
        <f t="shared" si="58"/>
        <v>0</v>
      </c>
      <c r="DG31" s="63">
        <f t="shared" si="58"/>
        <v>0</v>
      </c>
      <c r="DH31" s="63">
        <f t="shared" si="58"/>
        <v>0</v>
      </c>
      <c r="DI31" s="63">
        <f t="shared" si="58"/>
        <v>0</v>
      </c>
      <c r="DJ31" s="63">
        <f t="shared" si="58"/>
        <v>0</v>
      </c>
      <c r="DK31" s="63">
        <f t="shared" si="58"/>
        <v>0</v>
      </c>
      <c r="DL31" s="63">
        <f t="shared" si="58"/>
        <v>0</v>
      </c>
      <c r="DM31" s="63">
        <f t="shared" si="58"/>
        <v>0</v>
      </c>
      <c r="DN31" s="63">
        <f t="shared" si="58"/>
        <v>0</v>
      </c>
      <c r="DO31" s="63">
        <f t="shared" si="58"/>
        <v>0</v>
      </c>
      <c r="DP31" s="63">
        <f t="shared" si="58"/>
        <v>0</v>
      </c>
      <c r="DQ31" s="63">
        <f t="shared" si="58"/>
        <v>0</v>
      </c>
      <c r="DR31" s="63">
        <f t="shared" si="58"/>
        <v>0</v>
      </c>
      <c r="DS31" s="63">
        <f t="shared" si="58"/>
        <v>0</v>
      </c>
      <c r="DT31" s="63">
        <f t="shared" si="58"/>
        <v>0</v>
      </c>
      <c r="DU31" s="63">
        <f t="shared" si="58"/>
        <v>0</v>
      </c>
      <c r="DV31" s="63">
        <f t="shared" si="58"/>
        <v>0</v>
      </c>
      <c r="DW31" s="63">
        <f t="shared" si="58"/>
        <v>0</v>
      </c>
      <c r="DX31" s="63">
        <f t="shared" si="58"/>
        <v>0</v>
      </c>
      <c r="DY31" s="63">
        <f t="shared" si="58"/>
        <v>0</v>
      </c>
      <c r="DZ31" s="63">
        <f t="shared" si="58"/>
        <v>0</v>
      </c>
      <c r="EA31" s="63">
        <f t="shared" si="58"/>
        <v>0</v>
      </c>
      <c r="EB31" s="63">
        <f t="shared" si="58"/>
        <v>0</v>
      </c>
      <c r="EC31" s="63">
        <f t="shared" si="58"/>
        <v>0</v>
      </c>
      <c r="ED31" s="63">
        <f t="shared" si="58"/>
        <v>0</v>
      </c>
      <c r="EE31" s="63">
        <f t="shared" si="58"/>
        <v>0</v>
      </c>
      <c r="EF31" s="63">
        <f t="shared" si="58"/>
        <v>0</v>
      </c>
      <c r="EG31" s="63">
        <f t="shared" si="58"/>
        <v>0</v>
      </c>
      <c r="EH31" s="63">
        <f t="shared" si="58"/>
        <v>0</v>
      </c>
      <c r="EI31" s="63">
        <f t="shared" si="58"/>
        <v>0</v>
      </c>
      <c r="EJ31" s="63">
        <f t="shared" si="58"/>
        <v>0</v>
      </c>
      <c r="EK31" s="63">
        <f t="shared" si="58"/>
        <v>0</v>
      </c>
      <c r="EL31" s="63">
        <f t="shared" si="58"/>
        <v>0</v>
      </c>
      <c r="EM31" s="63">
        <f t="shared" si="58"/>
        <v>0</v>
      </c>
      <c r="EN31" s="63">
        <f t="shared" si="58"/>
        <v>0</v>
      </c>
      <c r="EO31" s="63">
        <f t="shared" si="58"/>
        <v>0</v>
      </c>
    </row>
    <row r="32" spans="2:145" x14ac:dyDescent="0.45">
      <c r="B32" s="81">
        <f t="shared" si="59"/>
        <v>1000</v>
      </c>
      <c r="C32" s="81" t="str">
        <f t="shared" si="59"/>
        <v>[Retail Tenant]</v>
      </c>
      <c r="F32" s="87">
        <v>1</v>
      </c>
      <c r="H32" s="61">
        <f t="shared" si="60"/>
        <v>0</v>
      </c>
      <c r="I32" s="101">
        <f t="shared" si="61"/>
        <v>0</v>
      </c>
      <c r="J32" s="103">
        <f t="shared" si="43"/>
        <v>0</v>
      </c>
      <c r="L32" s="63">
        <f t="shared" si="44"/>
        <v>0</v>
      </c>
      <c r="M32" s="63">
        <f t="shared" si="44"/>
        <v>0</v>
      </c>
      <c r="N32" s="63">
        <f t="shared" si="44"/>
        <v>0</v>
      </c>
      <c r="O32" s="63">
        <f t="shared" si="44"/>
        <v>0</v>
      </c>
      <c r="P32" s="63">
        <f t="shared" si="44"/>
        <v>0</v>
      </c>
      <c r="Q32" s="63">
        <f t="shared" si="44"/>
        <v>0</v>
      </c>
      <c r="R32" s="63">
        <f t="shared" si="44"/>
        <v>0</v>
      </c>
      <c r="S32" s="63">
        <f t="shared" si="44"/>
        <v>0</v>
      </c>
      <c r="T32" s="63">
        <f t="shared" si="44"/>
        <v>0</v>
      </c>
      <c r="U32" s="63">
        <f t="shared" si="44"/>
        <v>0</v>
      </c>
      <c r="V32" s="63">
        <f t="shared" si="45"/>
        <v>0</v>
      </c>
      <c r="W32" s="63">
        <f t="shared" si="45"/>
        <v>0</v>
      </c>
      <c r="X32" s="63">
        <f t="shared" si="45"/>
        <v>0</v>
      </c>
      <c r="Y32" s="63">
        <f t="shared" si="45"/>
        <v>0</v>
      </c>
      <c r="Z32" s="63">
        <f t="shared" si="45"/>
        <v>0</v>
      </c>
      <c r="AA32" s="63">
        <f t="shared" si="45"/>
        <v>0</v>
      </c>
      <c r="AB32" s="63">
        <f t="shared" si="45"/>
        <v>0</v>
      </c>
      <c r="AC32" s="63">
        <f t="shared" si="45"/>
        <v>0</v>
      </c>
      <c r="AD32" s="63">
        <f t="shared" si="45"/>
        <v>0</v>
      </c>
      <c r="AE32" s="63">
        <f t="shared" si="45"/>
        <v>0</v>
      </c>
      <c r="AF32" s="63">
        <f t="shared" si="46"/>
        <v>0</v>
      </c>
      <c r="AG32" s="63">
        <f t="shared" si="46"/>
        <v>0</v>
      </c>
      <c r="AH32" s="63">
        <f t="shared" si="46"/>
        <v>0</v>
      </c>
      <c r="AI32" s="63">
        <f t="shared" si="46"/>
        <v>0</v>
      </c>
      <c r="AJ32" s="63">
        <f t="shared" si="46"/>
        <v>0</v>
      </c>
      <c r="AK32" s="63">
        <f t="shared" si="46"/>
        <v>0</v>
      </c>
      <c r="AL32" s="63">
        <f t="shared" si="46"/>
        <v>0</v>
      </c>
      <c r="AM32" s="63">
        <f t="shared" si="46"/>
        <v>0</v>
      </c>
      <c r="AN32" s="63">
        <f t="shared" si="46"/>
        <v>0</v>
      </c>
      <c r="AO32" s="63">
        <f t="shared" si="46"/>
        <v>0</v>
      </c>
      <c r="AP32" s="63">
        <f t="shared" si="47"/>
        <v>0</v>
      </c>
      <c r="AQ32" s="63">
        <f t="shared" si="47"/>
        <v>0</v>
      </c>
      <c r="AR32" s="63">
        <f t="shared" si="47"/>
        <v>0</v>
      </c>
      <c r="AS32" s="63">
        <f t="shared" si="47"/>
        <v>0</v>
      </c>
      <c r="AT32" s="63">
        <f t="shared" si="47"/>
        <v>0</v>
      </c>
      <c r="AU32" s="63">
        <f t="shared" si="47"/>
        <v>0</v>
      </c>
      <c r="AV32" s="63">
        <f t="shared" si="47"/>
        <v>0</v>
      </c>
      <c r="AW32" s="63">
        <f t="shared" si="47"/>
        <v>0</v>
      </c>
      <c r="AX32" s="63">
        <f t="shared" si="47"/>
        <v>0</v>
      </c>
      <c r="AY32" s="63">
        <f t="shared" si="47"/>
        <v>0</v>
      </c>
      <c r="AZ32" s="63">
        <f t="shared" si="48"/>
        <v>0</v>
      </c>
      <c r="BA32" s="63">
        <f t="shared" si="48"/>
        <v>0</v>
      </c>
      <c r="BB32" s="63">
        <f t="shared" si="48"/>
        <v>0</v>
      </c>
      <c r="BC32" s="63">
        <f t="shared" si="48"/>
        <v>0</v>
      </c>
      <c r="BD32" s="63">
        <f t="shared" si="48"/>
        <v>0</v>
      </c>
      <c r="BE32" s="63">
        <f t="shared" si="48"/>
        <v>0</v>
      </c>
      <c r="BF32" s="63">
        <f t="shared" si="48"/>
        <v>0</v>
      </c>
      <c r="BG32" s="63">
        <f t="shared" si="48"/>
        <v>0</v>
      </c>
      <c r="BH32" s="63">
        <f t="shared" si="48"/>
        <v>0</v>
      </c>
      <c r="BI32" s="63">
        <f t="shared" si="48"/>
        <v>0</v>
      </c>
      <c r="BJ32" s="63">
        <f t="shared" si="49"/>
        <v>0</v>
      </c>
      <c r="BK32" s="63">
        <f t="shared" si="49"/>
        <v>0</v>
      </c>
      <c r="BL32" s="63">
        <f t="shared" si="49"/>
        <v>0</v>
      </c>
      <c r="BM32" s="63">
        <f t="shared" si="49"/>
        <v>0</v>
      </c>
      <c r="BN32" s="63">
        <f t="shared" si="49"/>
        <v>0</v>
      </c>
      <c r="BO32" s="63">
        <f t="shared" si="49"/>
        <v>0</v>
      </c>
      <c r="BP32" s="63">
        <f t="shared" si="49"/>
        <v>0</v>
      </c>
      <c r="BQ32" s="63">
        <f t="shared" si="49"/>
        <v>0</v>
      </c>
      <c r="BR32" s="63">
        <f t="shared" si="49"/>
        <v>0</v>
      </c>
      <c r="BS32" s="63">
        <f t="shared" si="49"/>
        <v>0</v>
      </c>
      <c r="BT32" s="63">
        <f t="shared" si="50"/>
        <v>0</v>
      </c>
      <c r="BU32" s="63">
        <f t="shared" si="50"/>
        <v>0</v>
      </c>
      <c r="BV32" s="63">
        <f t="shared" si="50"/>
        <v>0</v>
      </c>
      <c r="BW32" s="63">
        <f t="shared" si="50"/>
        <v>0</v>
      </c>
      <c r="BX32" s="63">
        <f t="shared" si="50"/>
        <v>0</v>
      </c>
      <c r="BY32" s="63">
        <f t="shared" si="50"/>
        <v>0</v>
      </c>
      <c r="BZ32" s="63">
        <f t="shared" si="50"/>
        <v>0</v>
      </c>
      <c r="CA32" s="63">
        <f t="shared" si="50"/>
        <v>0</v>
      </c>
      <c r="CB32" s="63">
        <f t="shared" si="50"/>
        <v>0</v>
      </c>
      <c r="CC32" s="63">
        <f t="shared" si="50"/>
        <v>0</v>
      </c>
      <c r="CD32" s="63">
        <f t="shared" si="51"/>
        <v>0</v>
      </c>
      <c r="CE32" s="63">
        <f t="shared" si="51"/>
        <v>0</v>
      </c>
      <c r="CF32" s="63">
        <f t="shared" si="51"/>
        <v>0</v>
      </c>
      <c r="CG32" s="63">
        <f t="shared" si="51"/>
        <v>0</v>
      </c>
      <c r="CH32" s="63">
        <f t="shared" si="51"/>
        <v>0</v>
      </c>
      <c r="CI32" s="63">
        <f t="shared" si="51"/>
        <v>0</v>
      </c>
      <c r="CJ32" s="63">
        <f t="shared" si="51"/>
        <v>0</v>
      </c>
      <c r="CK32" s="63">
        <f t="shared" si="51"/>
        <v>0</v>
      </c>
      <c r="CL32" s="63">
        <f t="shared" si="51"/>
        <v>0</v>
      </c>
      <c r="CM32" s="63">
        <f t="shared" si="51"/>
        <v>0</v>
      </c>
      <c r="CN32" s="63">
        <f t="shared" si="52"/>
        <v>0</v>
      </c>
      <c r="CO32" s="63">
        <f t="shared" si="52"/>
        <v>0</v>
      </c>
      <c r="CP32" s="63">
        <f t="shared" si="52"/>
        <v>0</v>
      </c>
      <c r="CQ32" s="63">
        <f t="shared" si="52"/>
        <v>0</v>
      </c>
      <c r="CR32" s="63">
        <f t="shared" si="52"/>
        <v>0</v>
      </c>
      <c r="CS32" s="63">
        <f t="shared" si="52"/>
        <v>0</v>
      </c>
      <c r="CT32" s="63">
        <f t="shared" si="52"/>
        <v>0</v>
      </c>
      <c r="CU32" s="63">
        <f t="shared" si="52"/>
        <v>0</v>
      </c>
      <c r="CV32" s="63">
        <f t="shared" si="52"/>
        <v>0</v>
      </c>
      <c r="CW32" s="63">
        <f t="shared" si="52"/>
        <v>0</v>
      </c>
      <c r="CX32" s="63">
        <f t="shared" si="62"/>
        <v>0</v>
      </c>
      <c r="CY32" s="63">
        <f t="shared" si="62"/>
        <v>0</v>
      </c>
      <c r="CZ32" s="63">
        <f t="shared" si="62"/>
        <v>0</v>
      </c>
      <c r="DA32" s="63">
        <f t="shared" si="62"/>
        <v>0</v>
      </c>
      <c r="DB32" s="63">
        <f t="shared" si="62"/>
        <v>0</v>
      </c>
      <c r="DC32" s="63">
        <f t="shared" si="62"/>
        <v>0</v>
      </c>
      <c r="DD32" s="63">
        <f t="shared" si="62"/>
        <v>0</v>
      </c>
      <c r="DE32" s="63">
        <f t="shared" si="58"/>
        <v>0</v>
      </c>
      <c r="DF32" s="63">
        <f t="shared" si="58"/>
        <v>0</v>
      </c>
      <c r="DG32" s="63">
        <f t="shared" si="58"/>
        <v>0</v>
      </c>
      <c r="DH32" s="63">
        <f t="shared" si="58"/>
        <v>0</v>
      </c>
      <c r="DI32" s="63">
        <f t="shared" si="58"/>
        <v>0</v>
      </c>
      <c r="DJ32" s="63">
        <f t="shared" si="58"/>
        <v>0</v>
      </c>
      <c r="DK32" s="63">
        <f t="shared" si="58"/>
        <v>0</v>
      </c>
      <c r="DL32" s="63">
        <f t="shared" si="58"/>
        <v>0</v>
      </c>
      <c r="DM32" s="63">
        <f t="shared" si="58"/>
        <v>0</v>
      </c>
      <c r="DN32" s="63">
        <f t="shared" si="58"/>
        <v>0</v>
      </c>
      <c r="DO32" s="63">
        <f t="shared" si="58"/>
        <v>0</v>
      </c>
      <c r="DP32" s="63">
        <f t="shared" si="58"/>
        <v>0</v>
      </c>
      <c r="DQ32" s="63">
        <f t="shared" si="58"/>
        <v>0</v>
      </c>
      <c r="DR32" s="63">
        <f t="shared" si="58"/>
        <v>0</v>
      </c>
      <c r="DS32" s="63">
        <f t="shared" si="58"/>
        <v>0</v>
      </c>
      <c r="DT32" s="63">
        <f t="shared" si="58"/>
        <v>0</v>
      </c>
      <c r="DU32" s="63">
        <f t="shared" si="58"/>
        <v>0</v>
      </c>
      <c r="DV32" s="63">
        <f t="shared" si="58"/>
        <v>0</v>
      </c>
      <c r="DW32" s="63">
        <f t="shared" si="58"/>
        <v>0</v>
      </c>
      <c r="DX32" s="63">
        <f t="shared" si="58"/>
        <v>0</v>
      </c>
      <c r="DY32" s="63">
        <f t="shared" si="58"/>
        <v>0</v>
      </c>
      <c r="DZ32" s="63">
        <f t="shared" si="58"/>
        <v>0</v>
      </c>
      <c r="EA32" s="63">
        <f t="shared" si="58"/>
        <v>0</v>
      </c>
      <c r="EB32" s="63">
        <f t="shared" si="58"/>
        <v>0</v>
      </c>
      <c r="EC32" s="63">
        <f t="shared" si="58"/>
        <v>0</v>
      </c>
      <c r="ED32" s="63">
        <f t="shared" si="58"/>
        <v>0</v>
      </c>
      <c r="EE32" s="63">
        <f t="shared" si="58"/>
        <v>0</v>
      </c>
      <c r="EF32" s="63">
        <f t="shared" si="58"/>
        <v>0</v>
      </c>
      <c r="EG32" s="63">
        <f t="shared" si="58"/>
        <v>0</v>
      </c>
      <c r="EH32" s="63">
        <f t="shared" si="58"/>
        <v>0</v>
      </c>
      <c r="EI32" s="63">
        <f t="shared" si="58"/>
        <v>0</v>
      </c>
      <c r="EJ32" s="63">
        <f t="shared" si="58"/>
        <v>0</v>
      </c>
      <c r="EK32" s="63">
        <f t="shared" si="58"/>
        <v>0</v>
      </c>
      <c r="EL32" s="63">
        <f t="shared" si="58"/>
        <v>0</v>
      </c>
      <c r="EM32" s="63">
        <f t="shared" si="58"/>
        <v>0</v>
      </c>
      <c r="EN32" s="63">
        <f t="shared" si="58"/>
        <v>0</v>
      </c>
      <c r="EO32" s="63">
        <f t="shared" si="58"/>
        <v>0</v>
      </c>
    </row>
    <row r="33" spans="2:145" x14ac:dyDescent="0.45">
      <c r="B33" s="81">
        <f t="shared" si="59"/>
        <v>1100</v>
      </c>
      <c r="C33" s="81" t="str">
        <f t="shared" si="59"/>
        <v>[Retail Tenant]</v>
      </c>
      <c r="F33" s="87">
        <v>1</v>
      </c>
      <c r="H33" s="61">
        <f t="shared" si="60"/>
        <v>0</v>
      </c>
      <c r="I33" s="101">
        <f t="shared" si="61"/>
        <v>0</v>
      </c>
      <c r="J33" s="103">
        <f t="shared" si="43"/>
        <v>0</v>
      </c>
      <c r="L33" s="63">
        <f t="shared" si="44"/>
        <v>0</v>
      </c>
      <c r="M33" s="63">
        <f t="shared" si="44"/>
        <v>0</v>
      </c>
      <c r="N33" s="63">
        <f t="shared" si="44"/>
        <v>0</v>
      </c>
      <c r="O33" s="63">
        <f t="shared" si="44"/>
        <v>0</v>
      </c>
      <c r="P33" s="63">
        <f t="shared" si="44"/>
        <v>0</v>
      </c>
      <c r="Q33" s="63">
        <f t="shared" si="44"/>
        <v>0</v>
      </c>
      <c r="R33" s="63">
        <f t="shared" si="44"/>
        <v>0</v>
      </c>
      <c r="S33" s="63">
        <f t="shared" si="44"/>
        <v>0</v>
      </c>
      <c r="T33" s="63">
        <f t="shared" si="44"/>
        <v>0</v>
      </c>
      <c r="U33" s="63">
        <f t="shared" si="44"/>
        <v>0</v>
      </c>
      <c r="V33" s="63">
        <f t="shared" si="45"/>
        <v>0</v>
      </c>
      <c r="W33" s="63">
        <f t="shared" si="45"/>
        <v>0</v>
      </c>
      <c r="X33" s="63">
        <f t="shared" si="45"/>
        <v>0</v>
      </c>
      <c r="Y33" s="63">
        <f t="shared" si="45"/>
        <v>0</v>
      </c>
      <c r="Z33" s="63">
        <f t="shared" si="45"/>
        <v>0</v>
      </c>
      <c r="AA33" s="63">
        <f t="shared" si="45"/>
        <v>0</v>
      </c>
      <c r="AB33" s="63">
        <f t="shared" si="45"/>
        <v>0</v>
      </c>
      <c r="AC33" s="63">
        <f t="shared" si="45"/>
        <v>0</v>
      </c>
      <c r="AD33" s="63">
        <f t="shared" si="45"/>
        <v>0</v>
      </c>
      <c r="AE33" s="63">
        <f t="shared" si="45"/>
        <v>0</v>
      </c>
      <c r="AF33" s="63">
        <f t="shared" si="46"/>
        <v>0</v>
      </c>
      <c r="AG33" s="63">
        <f t="shared" si="46"/>
        <v>0</v>
      </c>
      <c r="AH33" s="63">
        <f t="shared" si="46"/>
        <v>0</v>
      </c>
      <c r="AI33" s="63">
        <f t="shared" si="46"/>
        <v>0</v>
      </c>
      <c r="AJ33" s="63">
        <f t="shared" si="46"/>
        <v>0</v>
      </c>
      <c r="AK33" s="63">
        <f t="shared" si="46"/>
        <v>0</v>
      </c>
      <c r="AL33" s="63">
        <f t="shared" si="46"/>
        <v>0</v>
      </c>
      <c r="AM33" s="63">
        <f t="shared" si="46"/>
        <v>0</v>
      </c>
      <c r="AN33" s="63">
        <f t="shared" si="46"/>
        <v>0</v>
      </c>
      <c r="AO33" s="63">
        <f t="shared" si="46"/>
        <v>0</v>
      </c>
      <c r="AP33" s="63">
        <f t="shared" si="47"/>
        <v>0</v>
      </c>
      <c r="AQ33" s="63">
        <f t="shared" si="47"/>
        <v>0</v>
      </c>
      <c r="AR33" s="63">
        <f t="shared" si="47"/>
        <v>0</v>
      </c>
      <c r="AS33" s="63">
        <f t="shared" si="47"/>
        <v>0</v>
      </c>
      <c r="AT33" s="63">
        <f t="shared" si="47"/>
        <v>0</v>
      </c>
      <c r="AU33" s="63">
        <f t="shared" si="47"/>
        <v>0</v>
      </c>
      <c r="AV33" s="63">
        <f t="shared" si="47"/>
        <v>0</v>
      </c>
      <c r="AW33" s="63">
        <f t="shared" si="47"/>
        <v>0</v>
      </c>
      <c r="AX33" s="63">
        <f t="shared" si="47"/>
        <v>0</v>
      </c>
      <c r="AY33" s="63">
        <f t="shared" si="47"/>
        <v>0</v>
      </c>
      <c r="AZ33" s="63">
        <f t="shared" si="48"/>
        <v>0</v>
      </c>
      <c r="BA33" s="63">
        <f t="shared" si="48"/>
        <v>0</v>
      </c>
      <c r="BB33" s="63">
        <f t="shared" si="48"/>
        <v>0</v>
      </c>
      <c r="BC33" s="63">
        <f t="shared" si="48"/>
        <v>0</v>
      </c>
      <c r="BD33" s="63">
        <f t="shared" si="48"/>
        <v>0</v>
      </c>
      <c r="BE33" s="63">
        <f t="shared" si="48"/>
        <v>0</v>
      </c>
      <c r="BF33" s="63">
        <f t="shared" si="48"/>
        <v>0</v>
      </c>
      <c r="BG33" s="63">
        <f t="shared" si="48"/>
        <v>0</v>
      </c>
      <c r="BH33" s="63">
        <f t="shared" si="48"/>
        <v>0</v>
      </c>
      <c r="BI33" s="63">
        <f t="shared" si="48"/>
        <v>0</v>
      </c>
      <c r="BJ33" s="63">
        <f t="shared" si="49"/>
        <v>0</v>
      </c>
      <c r="BK33" s="63">
        <f t="shared" si="49"/>
        <v>0</v>
      </c>
      <c r="BL33" s="63">
        <f t="shared" si="49"/>
        <v>0</v>
      </c>
      <c r="BM33" s="63">
        <f t="shared" si="49"/>
        <v>0</v>
      </c>
      <c r="BN33" s="63">
        <f t="shared" si="49"/>
        <v>0</v>
      </c>
      <c r="BO33" s="63">
        <f t="shared" si="49"/>
        <v>0</v>
      </c>
      <c r="BP33" s="63">
        <f t="shared" si="49"/>
        <v>0</v>
      </c>
      <c r="BQ33" s="63">
        <f t="shared" si="49"/>
        <v>0</v>
      </c>
      <c r="BR33" s="63">
        <f t="shared" si="49"/>
        <v>0</v>
      </c>
      <c r="BS33" s="63">
        <f t="shared" si="49"/>
        <v>0</v>
      </c>
      <c r="BT33" s="63">
        <f t="shared" si="50"/>
        <v>0</v>
      </c>
      <c r="BU33" s="63">
        <f t="shared" si="50"/>
        <v>0</v>
      </c>
      <c r="BV33" s="63">
        <f t="shared" si="50"/>
        <v>0</v>
      </c>
      <c r="BW33" s="63">
        <f t="shared" si="50"/>
        <v>0</v>
      </c>
      <c r="BX33" s="63">
        <f t="shared" si="50"/>
        <v>0</v>
      </c>
      <c r="BY33" s="63">
        <f t="shared" si="50"/>
        <v>0</v>
      </c>
      <c r="BZ33" s="63">
        <f t="shared" si="50"/>
        <v>0</v>
      </c>
      <c r="CA33" s="63">
        <f t="shared" si="50"/>
        <v>0</v>
      </c>
      <c r="CB33" s="63">
        <f t="shared" si="50"/>
        <v>0</v>
      </c>
      <c r="CC33" s="63">
        <f t="shared" si="50"/>
        <v>0</v>
      </c>
      <c r="CD33" s="63">
        <f t="shared" si="51"/>
        <v>0</v>
      </c>
      <c r="CE33" s="63">
        <f t="shared" si="51"/>
        <v>0</v>
      </c>
      <c r="CF33" s="63">
        <f t="shared" si="51"/>
        <v>0</v>
      </c>
      <c r="CG33" s="63">
        <f t="shared" si="51"/>
        <v>0</v>
      </c>
      <c r="CH33" s="63">
        <f t="shared" si="51"/>
        <v>0</v>
      </c>
      <c r="CI33" s="63">
        <f t="shared" si="51"/>
        <v>0</v>
      </c>
      <c r="CJ33" s="63">
        <f t="shared" si="51"/>
        <v>0</v>
      </c>
      <c r="CK33" s="63">
        <f t="shared" si="51"/>
        <v>0</v>
      </c>
      <c r="CL33" s="63">
        <f t="shared" si="51"/>
        <v>0</v>
      </c>
      <c r="CM33" s="63">
        <f t="shared" si="51"/>
        <v>0</v>
      </c>
      <c r="CN33" s="63">
        <f t="shared" si="52"/>
        <v>0</v>
      </c>
      <c r="CO33" s="63">
        <f t="shared" si="52"/>
        <v>0</v>
      </c>
      <c r="CP33" s="63">
        <f t="shared" si="52"/>
        <v>0</v>
      </c>
      <c r="CQ33" s="63">
        <f t="shared" si="52"/>
        <v>0</v>
      </c>
      <c r="CR33" s="63">
        <f t="shared" si="52"/>
        <v>0</v>
      </c>
      <c r="CS33" s="63">
        <f t="shared" si="52"/>
        <v>0</v>
      </c>
      <c r="CT33" s="63">
        <f t="shared" si="52"/>
        <v>0</v>
      </c>
      <c r="CU33" s="63">
        <f t="shared" si="52"/>
        <v>0</v>
      </c>
      <c r="CV33" s="63">
        <f t="shared" si="52"/>
        <v>0</v>
      </c>
      <c r="CW33" s="63">
        <f t="shared" si="52"/>
        <v>0</v>
      </c>
      <c r="CX33" s="63">
        <f t="shared" si="62"/>
        <v>0</v>
      </c>
      <c r="CY33" s="63">
        <f t="shared" si="62"/>
        <v>0</v>
      </c>
      <c r="CZ33" s="63">
        <f t="shared" si="62"/>
        <v>0</v>
      </c>
      <c r="DA33" s="63">
        <f t="shared" si="62"/>
        <v>0</v>
      </c>
      <c r="DB33" s="63">
        <f t="shared" si="62"/>
        <v>0</v>
      </c>
      <c r="DC33" s="63">
        <f t="shared" si="62"/>
        <v>0</v>
      </c>
      <c r="DD33" s="63">
        <f t="shared" si="62"/>
        <v>0</v>
      </c>
      <c r="DE33" s="63">
        <f t="shared" si="58"/>
        <v>0</v>
      </c>
      <c r="DF33" s="63">
        <f t="shared" si="58"/>
        <v>0</v>
      </c>
      <c r="DG33" s="63">
        <f t="shared" si="58"/>
        <v>0</v>
      </c>
      <c r="DH33" s="63">
        <f t="shared" si="58"/>
        <v>0</v>
      </c>
      <c r="DI33" s="63">
        <f t="shared" si="58"/>
        <v>0</v>
      </c>
      <c r="DJ33" s="63">
        <f t="shared" si="58"/>
        <v>0</v>
      </c>
      <c r="DK33" s="63">
        <f t="shared" si="58"/>
        <v>0</v>
      </c>
      <c r="DL33" s="63">
        <f t="shared" si="58"/>
        <v>0</v>
      </c>
      <c r="DM33" s="63">
        <f t="shared" si="58"/>
        <v>0</v>
      </c>
      <c r="DN33" s="63">
        <f t="shared" si="58"/>
        <v>0</v>
      </c>
      <c r="DO33" s="63">
        <f t="shared" si="58"/>
        <v>0</v>
      </c>
      <c r="DP33" s="63">
        <f t="shared" si="58"/>
        <v>0</v>
      </c>
      <c r="DQ33" s="63">
        <f t="shared" si="58"/>
        <v>0</v>
      </c>
      <c r="DR33" s="63">
        <f t="shared" si="58"/>
        <v>0</v>
      </c>
      <c r="DS33" s="63">
        <f t="shared" si="58"/>
        <v>0</v>
      </c>
      <c r="DT33" s="63">
        <f t="shared" si="58"/>
        <v>0</v>
      </c>
      <c r="DU33" s="63">
        <f t="shared" si="58"/>
        <v>0</v>
      </c>
      <c r="DV33" s="63">
        <f t="shared" si="58"/>
        <v>0</v>
      </c>
      <c r="DW33" s="63">
        <f t="shared" si="58"/>
        <v>0</v>
      </c>
      <c r="DX33" s="63">
        <f t="shared" si="58"/>
        <v>0</v>
      </c>
      <c r="DY33" s="63">
        <f t="shared" si="58"/>
        <v>0</v>
      </c>
      <c r="DZ33" s="63">
        <f t="shared" si="58"/>
        <v>0</v>
      </c>
      <c r="EA33" s="63">
        <f t="shared" si="58"/>
        <v>0</v>
      </c>
      <c r="EB33" s="63">
        <f t="shared" si="58"/>
        <v>0</v>
      </c>
      <c r="EC33" s="63">
        <f t="shared" si="58"/>
        <v>0</v>
      </c>
      <c r="ED33" s="63">
        <f t="shared" si="58"/>
        <v>0</v>
      </c>
      <c r="EE33" s="63">
        <f t="shared" si="58"/>
        <v>0</v>
      </c>
      <c r="EF33" s="63">
        <f t="shared" si="58"/>
        <v>0</v>
      </c>
      <c r="EG33" s="63">
        <f t="shared" si="58"/>
        <v>0</v>
      </c>
      <c r="EH33" s="63">
        <f t="shared" si="58"/>
        <v>0</v>
      </c>
      <c r="EI33" s="63">
        <f t="shared" si="58"/>
        <v>0</v>
      </c>
      <c r="EJ33" s="63">
        <f t="shared" si="58"/>
        <v>0</v>
      </c>
      <c r="EK33" s="63">
        <f t="shared" si="58"/>
        <v>0</v>
      </c>
      <c r="EL33" s="63">
        <f t="shared" si="58"/>
        <v>0</v>
      </c>
      <c r="EM33" s="63">
        <f t="shared" si="58"/>
        <v>0</v>
      </c>
      <c r="EN33" s="63">
        <f t="shared" si="58"/>
        <v>0</v>
      </c>
      <c r="EO33" s="63">
        <f t="shared" ref="DE33:EO35" si="63">IFERROR((EO$5&gt;=$F33)*$H33*EO$47,0)</f>
        <v>0</v>
      </c>
    </row>
    <row r="34" spans="2:145" x14ac:dyDescent="0.45">
      <c r="B34" s="81">
        <f t="shared" si="59"/>
        <v>1200</v>
      </c>
      <c r="C34" s="81" t="str">
        <f t="shared" si="59"/>
        <v>[Retail Tenant]</v>
      </c>
      <c r="F34" s="87">
        <v>1</v>
      </c>
      <c r="H34" s="61">
        <f t="shared" si="60"/>
        <v>0</v>
      </c>
      <c r="I34" s="101">
        <f t="shared" si="61"/>
        <v>0</v>
      </c>
      <c r="J34" s="103">
        <f t="shared" si="43"/>
        <v>0</v>
      </c>
      <c r="L34" s="63">
        <f t="shared" si="44"/>
        <v>0</v>
      </c>
      <c r="M34" s="63">
        <f t="shared" si="44"/>
        <v>0</v>
      </c>
      <c r="N34" s="63">
        <f t="shared" si="44"/>
        <v>0</v>
      </c>
      <c r="O34" s="63">
        <f t="shared" si="44"/>
        <v>0</v>
      </c>
      <c r="P34" s="63">
        <f t="shared" si="44"/>
        <v>0</v>
      </c>
      <c r="Q34" s="63">
        <f t="shared" si="44"/>
        <v>0</v>
      </c>
      <c r="R34" s="63">
        <f t="shared" si="44"/>
        <v>0</v>
      </c>
      <c r="S34" s="63">
        <f t="shared" si="44"/>
        <v>0</v>
      </c>
      <c r="T34" s="63">
        <f t="shared" si="44"/>
        <v>0</v>
      </c>
      <c r="U34" s="63">
        <f t="shared" si="44"/>
        <v>0</v>
      </c>
      <c r="V34" s="63">
        <f t="shared" si="45"/>
        <v>0</v>
      </c>
      <c r="W34" s="63">
        <f t="shared" si="45"/>
        <v>0</v>
      </c>
      <c r="X34" s="63">
        <f t="shared" si="45"/>
        <v>0</v>
      </c>
      <c r="Y34" s="63">
        <f t="shared" si="45"/>
        <v>0</v>
      </c>
      <c r="Z34" s="63">
        <f t="shared" si="45"/>
        <v>0</v>
      </c>
      <c r="AA34" s="63">
        <f t="shared" si="45"/>
        <v>0</v>
      </c>
      <c r="AB34" s="63">
        <f t="shared" si="45"/>
        <v>0</v>
      </c>
      <c r="AC34" s="63">
        <f t="shared" si="45"/>
        <v>0</v>
      </c>
      <c r="AD34" s="63">
        <f t="shared" si="45"/>
        <v>0</v>
      </c>
      <c r="AE34" s="63">
        <f t="shared" si="45"/>
        <v>0</v>
      </c>
      <c r="AF34" s="63">
        <f t="shared" si="46"/>
        <v>0</v>
      </c>
      <c r="AG34" s="63">
        <f t="shared" si="46"/>
        <v>0</v>
      </c>
      <c r="AH34" s="63">
        <f t="shared" si="46"/>
        <v>0</v>
      </c>
      <c r="AI34" s="63">
        <f t="shared" si="46"/>
        <v>0</v>
      </c>
      <c r="AJ34" s="63">
        <f t="shared" si="46"/>
        <v>0</v>
      </c>
      <c r="AK34" s="63">
        <f t="shared" si="46"/>
        <v>0</v>
      </c>
      <c r="AL34" s="63">
        <f t="shared" si="46"/>
        <v>0</v>
      </c>
      <c r="AM34" s="63">
        <f t="shared" si="46"/>
        <v>0</v>
      </c>
      <c r="AN34" s="63">
        <f t="shared" si="46"/>
        <v>0</v>
      </c>
      <c r="AO34" s="63">
        <f t="shared" si="46"/>
        <v>0</v>
      </c>
      <c r="AP34" s="63">
        <f t="shared" si="47"/>
        <v>0</v>
      </c>
      <c r="AQ34" s="63">
        <f t="shared" si="47"/>
        <v>0</v>
      </c>
      <c r="AR34" s="63">
        <f t="shared" si="47"/>
        <v>0</v>
      </c>
      <c r="AS34" s="63">
        <f t="shared" si="47"/>
        <v>0</v>
      </c>
      <c r="AT34" s="63">
        <f t="shared" si="47"/>
        <v>0</v>
      </c>
      <c r="AU34" s="63">
        <f t="shared" si="47"/>
        <v>0</v>
      </c>
      <c r="AV34" s="63">
        <f t="shared" si="47"/>
        <v>0</v>
      </c>
      <c r="AW34" s="63">
        <f t="shared" si="47"/>
        <v>0</v>
      </c>
      <c r="AX34" s="63">
        <f t="shared" si="47"/>
        <v>0</v>
      </c>
      <c r="AY34" s="63">
        <f t="shared" si="47"/>
        <v>0</v>
      </c>
      <c r="AZ34" s="63">
        <f t="shared" si="48"/>
        <v>0</v>
      </c>
      <c r="BA34" s="63">
        <f t="shared" si="48"/>
        <v>0</v>
      </c>
      <c r="BB34" s="63">
        <f t="shared" si="48"/>
        <v>0</v>
      </c>
      <c r="BC34" s="63">
        <f t="shared" si="48"/>
        <v>0</v>
      </c>
      <c r="BD34" s="63">
        <f t="shared" si="48"/>
        <v>0</v>
      </c>
      <c r="BE34" s="63">
        <f t="shared" si="48"/>
        <v>0</v>
      </c>
      <c r="BF34" s="63">
        <f t="shared" si="48"/>
        <v>0</v>
      </c>
      <c r="BG34" s="63">
        <f t="shared" si="48"/>
        <v>0</v>
      </c>
      <c r="BH34" s="63">
        <f t="shared" si="48"/>
        <v>0</v>
      </c>
      <c r="BI34" s="63">
        <f t="shared" si="48"/>
        <v>0</v>
      </c>
      <c r="BJ34" s="63">
        <f t="shared" si="49"/>
        <v>0</v>
      </c>
      <c r="BK34" s="63">
        <f t="shared" si="49"/>
        <v>0</v>
      </c>
      <c r="BL34" s="63">
        <f t="shared" si="49"/>
        <v>0</v>
      </c>
      <c r="BM34" s="63">
        <f t="shared" si="49"/>
        <v>0</v>
      </c>
      <c r="BN34" s="63">
        <f t="shared" si="49"/>
        <v>0</v>
      </c>
      <c r="BO34" s="63">
        <f t="shared" si="49"/>
        <v>0</v>
      </c>
      <c r="BP34" s="63">
        <f t="shared" si="49"/>
        <v>0</v>
      </c>
      <c r="BQ34" s="63">
        <f t="shared" si="49"/>
        <v>0</v>
      </c>
      <c r="BR34" s="63">
        <f t="shared" si="49"/>
        <v>0</v>
      </c>
      <c r="BS34" s="63">
        <f t="shared" si="49"/>
        <v>0</v>
      </c>
      <c r="BT34" s="63">
        <f t="shared" si="50"/>
        <v>0</v>
      </c>
      <c r="BU34" s="63">
        <f t="shared" si="50"/>
        <v>0</v>
      </c>
      <c r="BV34" s="63">
        <f t="shared" si="50"/>
        <v>0</v>
      </c>
      <c r="BW34" s="63">
        <f t="shared" si="50"/>
        <v>0</v>
      </c>
      <c r="BX34" s="63">
        <f t="shared" si="50"/>
        <v>0</v>
      </c>
      <c r="BY34" s="63">
        <f t="shared" si="50"/>
        <v>0</v>
      </c>
      <c r="BZ34" s="63">
        <f t="shared" si="50"/>
        <v>0</v>
      </c>
      <c r="CA34" s="63">
        <f t="shared" si="50"/>
        <v>0</v>
      </c>
      <c r="CB34" s="63">
        <f t="shared" si="50"/>
        <v>0</v>
      </c>
      <c r="CC34" s="63">
        <f t="shared" si="50"/>
        <v>0</v>
      </c>
      <c r="CD34" s="63">
        <f t="shared" si="51"/>
        <v>0</v>
      </c>
      <c r="CE34" s="63">
        <f t="shared" si="51"/>
        <v>0</v>
      </c>
      <c r="CF34" s="63">
        <f t="shared" si="51"/>
        <v>0</v>
      </c>
      <c r="CG34" s="63">
        <f t="shared" si="51"/>
        <v>0</v>
      </c>
      <c r="CH34" s="63">
        <f t="shared" si="51"/>
        <v>0</v>
      </c>
      <c r="CI34" s="63">
        <f t="shared" si="51"/>
        <v>0</v>
      </c>
      <c r="CJ34" s="63">
        <f t="shared" si="51"/>
        <v>0</v>
      </c>
      <c r="CK34" s="63">
        <f t="shared" si="51"/>
        <v>0</v>
      </c>
      <c r="CL34" s="63">
        <f t="shared" si="51"/>
        <v>0</v>
      </c>
      <c r="CM34" s="63">
        <f t="shared" si="51"/>
        <v>0</v>
      </c>
      <c r="CN34" s="63">
        <f t="shared" si="52"/>
        <v>0</v>
      </c>
      <c r="CO34" s="63">
        <f t="shared" si="52"/>
        <v>0</v>
      </c>
      <c r="CP34" s="63">
        <f t="shared" si="52"/>
        <v>0</v>
      </c>
      <c r="CQ34" s="63">
        <f t="shared" si="52"/>
        <v>0</v>
      </c>
      <c r="CR34" s="63">
        <f t="shared" si="52"/>
        <v>0</v>
      </c>
      <c r="CS34" s="63">
        <f t="shared" si="52"/>
        <v>0</v>
      </c>
      <c r="CT34" s="63">
        <f t="shared" si="52"/>
        <v>0</v>
      </c>
      <c r="CU34" s="63">
        <f t="shared" si="52"/>
        <v>0</v>
      </c>
      <c r="CV34" s="63">
        <f t="shared" si="52"/>
        <v>0</v>
      </c>
      <c r="CW34" s="63">
        <f t="shared" si="52"/>
        <v>0</v>
      </c>
      <c r="CX34" s="63">
        <f t="shared" si="62"/>
        <v>0</v>
      </c>
      <c r="CY34" s="63">
        <f t="shared" si="62"/>
        <v>0</v>
      </c>
      <c r="CZ34" s="63">
        <f t="shared" si="62"/>
        <v>0</v>
      </c>
      <c r="DA34" s="63">
        <f t="shared" si="62"/>
        <v>0</v>
      </c>
      <c r="DB34" s="63">
        <f t="shared" si="62"/>
        <v>0</v>
      </c>
      <c r="DC34" s="63">
        <f t="shared" si="62"/>
        <v>0</v>
      </c>
      <c r="DD34" s="63">
        <f t="shared" si="62"/>
        <v>0</v>
      </c>
      <c r="DE34" s="63">
        <f t="shared" si="63"/>
        <v>0</v>
      </c>
      <c r="DF34" s="63">
        <f t="shared" si="63"/>
        <v>0</v>
      </c>
      <c r="DG34" s="63">
        <f t="shared" si="63"/>
        <v>0</v>
      </c>
      <c r="DH34" s="63">
        <f t="shared" si="63"/>
        <v>0</v>
      </c>
      <c r="DI34" s="63">
        <f t="shared" si="63"/>
        <v>0</v>
      </c>
      <c r="DJ34" s="63">
        <f t="shared" si="63"/>
        <v>0</v>
      </c>
      <c r="DK34" s="63">
        <f t="shared" si="63"/>
        <v>0</v>
      </c>
      <c r="DL34" s="63">
        <f t="shared" si="63"/>
        <v>0</v>
      </c>
      <c r="DM34" s="63">
        <f t="shared" si="63"/>
        <v>0</v>
      </c>
      <c r="DN34" s="63">
        <f t="shared" si="63"/>
        <v>0</v>
      </c>
      <c r="DO34" s="63">
        <f t="shared" si="63"/>
        <v>0</v>
      </c>
      <c r="DP34" s="63">
        <f t="shared" si="63"/>
        <v>0</v>
      </c>
      <c r="DQ34" s="63">
        <f t="shared" si="63"/>
        <v>0</v>
      </c>
      <c r="DR34" s="63">
        <f t="shared" si="63"/>
        <v>0</v>
      </c>
      <c r="DS34" s="63">
        <f t="shared" si="63"/>
        <v>0</v>
      </c>
      <c r="DT34" s="63">
        <f t="shared" si="63"/>
        <v>0</v>
      </c>
      <c r="DU34" s="63">
        <f t="shared" si="63"/>
        <v>0</v>
      </c>
      <c r="DV34" s="63">
        <f t="shared" si="63"/>
        <v>0</v>
      </c>
      <c r="DW34" s="63">
        <f t="shared" si="63"/>
        <v>0</v>
      </c>
      <c r="DX34" s="63">
        <f t="shared" si="63"/>
        <v>0</v>
      </c>
      <c r="DY34" s="63">
        <f t="shared" si="63"/>
        <v>0</v>
      </c>
      <c r="DZ34" s="63">
        <f t="shared" si="63"/>
        <v>0</v>
      </c>
      <c r="EA34" s="63">
        <f t="shared" si="63"/>
        <v>0</v>
      </c>
      <c r="EB34" s="63">
        <f t="shared" si="63"/>
        <v>0</v>
      </c>
      <c r="EC34" s="63">
        <f t="shared" si="63"/>
        <v>0</v>
      </c>
      <c r="ED34" s="63">
        <f t="shared" si="63"/>
        <v>0</v>
      </c>
      <c r="EE34" s="63">
        <f t="shared" si="63"/>
        <v>0</v>
      </c>
      <c r="EF34" s="63">
        <f t="shared" si="63"/>
        <v>0</v>
      </c>
      <c r="EG34" s="63">
        <f t="shared" si="63"/>
        <v>0</v>
      </c>
      <c r="EH34" s="63">
        <f t="shared" si="63"/>
        <v>0</v>
      </c>
      <c r="EI34" s="63">
        <f t="shared" si="63"/>
        <v>0</v>
      </c>
      <c r="EJ34" s="63">
        <f t="shared" si="63"/>
        <v>0</v>
      </c>
      <c r="EK34" s="63">
        <f t="shared" si="63"/>
        <v>0</v>
      </c>
      <c r="EL34" s="63">
        <f t="shared" si="63"/>
        <v>0</v>
      </c>
      <c r="EM34" s="63">
        <f t="shared" si="63"/>
        <v>0</v>
      </c>
      <c r="EN34" s="63">
        <f t="shared" si="63"/>
        <v>0</v>
      </c>
      <c r="EO34" s="63">
        <f t="shared" si="63"/>
        <v>0</v>
      </c>
    </row>
    <row r="35" spans="2:145" x14ac:dyDescent="0.45">
      <c r="B35" s="81">
        <f t="shared" si="59"/>
        <v>1300</v>
      </c>
      <c r="C35" s="81" t="str">
        <f t="shared" si="59"/>
        <v>[Retail Tenant]</v>
      </c>
      <c r="F35" s="87">
        <v>1</v>
      </c>
      <c r="H35" s="61">
        <f t="shared" si="60"/>
        <v>0</v>
      </c>
      <c r="I35" s="101">
        <f t="shared" si="61"/>
        <v>0</v>
      </c>
      <c r="J35" s="103">
        <f t="shared" si="43"/>
        <v>0</v>
      </c>
      <c r="L35" s="63">
        <f t="shared" si="44"/>
        <v>0</v>
      </c>
      <c r="M35" s="63">
        <f t="shared" si="44"/>
        <v>0</v>
      </c>
      <c r="N35" s="63">
        <f t="shared" si="44"/>
        <v>0</v>
      </c>
      <c r="O35" s="63">
        <f t="shared" si="44"/>
        <v>0</v>
      </c>
      <c r="P35" s="63">
        <f t="shared" si="44"/>
        <v>0</v>
      </c>
      <c r="Q35" s="63">
        <f t="shared" si="44"/>
        <v>0</v>
      </c>
      <c r="R35" s="63">
        <f t="shared" si="44"/>
        <v>0</v>
      </c>
      <c r="S35" s="63">
        <f t="shared" si="44"/>
        <v>0</v>
      </c>
      <c r="T35" s="63">
        <f t="shared" si="44"/>
        <v>0</v>
      </c>
      <c r="U35" s="63">
        <f t="shared" si="44"/>
        <v>0</v>
      </c>
      <c r="V35" s="63">
        <f t="shared" si="45"/>
        <v>0</v>
      </c>
      <c r="W35" s="63">
        <f t="shared" si="45"/>
        <v>0</v>
      </c>
      <c r="X35" s="63">
        <f t="shared" si="45"/>
        <v>0</v>
      </c>
      <c r="Y35" s="63">
        <f t="shared" si="45"/>
        <v>0</v>
      </c>
      <c r="Z35" s="63">
        <f t="shared" si="45"/>
        <v>0</v>
      </c>
      <c r="AA35" s="63">
        <f t="shared" si="45"/>
        <v>0</v>
      </c>
      <c r="AB35" s="63">
        <f t="shared" si="45"/>
        <v>0</v>
      </c>
      <c r="AC35" s="63">
        <f t="shared" si="45"/>
        <v>0</v>
      </c>
      <c r="AD35" s="63">
        <f t="shared" si="45"/>
        <v>0</v>
      </c>
      <c r="AE35" s="63">
        <f t="shared" si="45"/>
        <v>0</v>
      </c>
      <c r="AF35" s="63">
        <f t="shared" si="46"/>
        <v>0</v>
      </c>
      <c r="AG35" s="63">
        <f t="shared" si="46"/>
        <v>0</v>
      </c>
      <c r="AH35" s="63">
        <f t="shared" si="46"/>
        <v>0</v>
      </c>
      <c r="AI35" s="63">
        <f t="shared" si="46"/>
        <v>0</v>
      </c>
      <c r="AJ35" s="63">
        <f t="shared" si="46"/>
        <v>0</v>
      </c>
      <c r="AK35" s="63">
        <f t="shared" si="46"/>
        <v>0</v>
      </c>
      <c r="AL35" s="63">
        <f t="shared" si="46"/>
        <v>0</v>
      </c>
      <c r="AM35" s="63">
        <f t="shared" si="46"/>
        <v>0</v>
      </c>
      <c r="AN35" s="63">
        <f t="shared" si="46"/>
        <v>0</v>
      </c>
      <c r="AO35" s="63">
        <f t="shared" si="46"/>
        <v>0</v>
      </c>
      <c r="AP35" s="63">
        <f t="shared" si="47"/>
        <v>0</v>
      </c>
      <c r="AQ35" s="63">
        <f t="shared" si="47"/>
        <v>0</v>
      </c>
      <c r="AR35" s="63">
        <f t="shared" si="47"/>
        <v>0</v>
      </c>
      <c r="AS35" s="63">
        <f t="shared" si="47"/>
        <v>0</v>
      </c>
      <c r="AT35" s="63">
        <f t="shared" si="47"/>
        <v>0</v>
      </c>
      <c r="AU35" s="63">
        <f t="shared" si="47"/>
        <v>0</v>
      </c>
      <c r="AV35" s="63">
        <f t="shared" si="47"/>
        <v>0</v>
      </c>
      <c r="AW35" s="63">
        <f t="shared" si="47"/>
        <v>0</v>
      </c>
      <c r="AX35" s="63">
        <f t="shared" si="47"/>
        <v>0</v>
      </c>
      <c r="AY35" s="63">
        <f t="shared" si="47"/>
        <v>0</v>
      </c>
      <c r="AZ35" s="63">
        <f t="shared" si="48"/>
        <v>0</v>
      </c>
      <c r="BA35" s="63">
        <f t="shared" si="48"/>
        <v>0</v>
      </c>
      <c r="BB35" s="63">
        <f t="shared" si="48"/>
        <v>0</v>
      </c>
      <c r="BC35" s="63">
        <f t="shared" si="48"/>
        <v>0</v>
      </c>
      <c r="BD35" s="63">
        <f t="shared" si="48"/>
        <v>0</v>
      </c>
      <c r="BE35" s="63">
        <f t="shared" si="48"/>
        <v>0</v>
      </c>
      <c r="BF35" s="63">
        <f t="shared" si="48"/>
        <v>0</v>
      </c>
      <c r="BG35" s="63">
        <f t="shared" si="48"/>
        <v>0</v>
      </c>
      <c r="BH35" s="63">
        <f t="shared" si="48"/>
        <v>0</v>
      </c>
      <c r="BI35" s="63">
        <f t="shared" si="48"/>
        <v>0</v>
      </c>
      <c r="BJ35" s="63">
        <f t="shared" si="49"/>
        <v>0</v>
      </c>
      <c r="BK35" s="63">
        <f t="shared" si="49"/>
        <v>0</v>
      </c>
      <c r="BL35" s="63">
        <f t="shared" si="49"/>
        <v>0</v>
      </c>
      <c r="BM35" s="63">
        <f t="shared" si="49"/>
        <v>0</v>
      </c>
      <c r="BN35" s="63">
        <f t="shared" si="49"/>
        <v>0</v>
      </c>
      <c r="BO35" s="63">
        <f t="shared" si="49"/>
        <v>0</v>
      </c>
      <c r="BP35" s="63">
        <f t="shared" si="49"/>
        <v>0</v>
      </c>
      <c r="BQ35" s="63">
        <f t="shared" si="49"/>
        <v>0</v>
      </c>
      <c r="BR35" s="63">
        <f t="shared" si="49"/>
        <v>0</v>
      </c>
      <c r="BS35" s="63">
        <f t="shared" si="49"/>
        <v>0</v>
      </c>
      <c r="BT35" s="63">
        <f t="shared" si="50"/>
        <v>0</v>
      </c>
      <c r="BU35" s="63">
        <f t="shared" si="50"/>
        <v>0</v>
      </c>
      <c r="BV35" s="63">
        <f t="shared" si="50"/>
        <v>0</v>
      </c>
      <c r="BW35" s="63">
        <f t="shared" si="50"/>
        <v>0</v>
      </c>
      <c r="BX35" s="63">
        <f t="shared" si="50"/>
        <v>0</v>
      </c>
      <c r="BY35" s="63">
        <f t="shared" si="50"/>
        <v>0</v>
      </c>
      <c r="BZ35" s="63">
        <f t="shared" si="50"/>
        <v>0</v>
      </c>
      <c r="CA35" s="63">
        <f t="shared" si="50"/>
        <v>0</v>
      </c>
      <c r="CB35" s="63">
        <f t="shared" si="50"/>
        <v>0</v>
      </c>
      <c r="CC35" s="63">
        <f t="shared" si="50"/>
        <v>0</v>
      </c>
      <c r="CD35" s="63">
        <f t="shared" si="51"/>
        <v>0</v>
      </c>
      <c r="CE35" s="63">
        <f t="shared" si="51"/>
        <v>0</v>
      </c>
      <c r="CF35" s="63">
        <f t="shared" si="51"/>
        <v>0</v>
      </c>
      <c r="CG35" s="63">
        <f t="shared" si="51"/>
        <v>0</v>
      </c>
      <c r="CH35" s="63">
        <f t="shared" si="51"/>
        <v>0</v>
      </c>
      <c r="CI35" s="63">
        <f t="shared" si="51"/>
        <v>0</v>
      </c>
      <c r="CJ35" s="63">
        <f t="shared" si="51"/>
        <v>0</v>
      </c>
      <c r="CK35" s="63">
        <f t="shared" si="51"/>
        <v>0</v>
      </c>
      <c r="CL35" s="63">
        <f t="shared" si="51"/>
        <v>0</v>
      </c>
      <c r="CM35" s="63">
        <f t="shared" si="51"/>
        <v>0</v>
      </c>
      <c r="CN35" s="63">
        <f t="shared" si="52"/>
        <v>0</v>
      </c>
      <c r="CO35" s="63">
        <f t="shared" si="52"/>
        <v>0</v>
      </c>
      <c r="CP35" s="63">
        <f t="shared" si="52"/>
        <v>0</v>
      </c>
      <c r="CQ35" s="63">
        <f t="shared" si="52"/>
        <v>0</v>
      </c>
      <c r="CR35" s="63">
        <f t="shared" si="52"/>
        <v>0</v>
      </c>
      <c r="CS35" s="63">
        <f t="shared" si="52"/>
        <v>0</v>
      </c>
      <c r="CT35" s="63">
        <f t="shared" si="52"/>
        <v>0</v>
      </c>
      <c r="CU35" s="63">
        <f t="shared" si="52"/>
        <v>0</v>
      </c>
      <c r="CV35" s="63">
        <f t="shared" si="52"/>
        <v>0</v>
      </c>
      <c r="CW35" s="63">
        <f t="shared" si="52"/>
        <v>0</v>
      </c>
      <c r="CX35" s="63">
        <f t="shared" si="62"/>
        <v>0</v>
      </c>
      <c r="CY35" s="63">
        <f t="shared" si="62"/>
        <v>0</v>
      </c>
      <c r="CZ35" s="63">
        <f t="shared" si="62"/>
        <v>0</v>
      </c>
      <c r="DA35" s="63">
        <f t="shared" si="62"/>
        <v>0</v>
      </c>
      <c r="DB35" s="63">
        <f t="shared" si="62"/>
        <v>0</v>
      </c>
      <c r="DC35" s="63">
        <f t="shared" si="62"/>
        <v>0</v>
      </c>
      <c r="DD35" s="63">
        <f t="shared" si="62"/>
        <v>0</v>
      </c>
      <c r="DE35" s="63">
        <f t="shared" si="63"/>
        <v>0</v>
      </c>
      <c r="DF35" s="63">
        <f t="shared" si="63"/>
        <v>0</v>
      </c>
      <c r="DG35" s="63">
        <f t="shared" si="63"/>
        <v>0</v>
      </c>
      <c r="DH35" s="63">
        <f t="shared" si="63"/>
        <v>0</v>
      </c>
      <c r="DI35" s="63">
        <f t="shared" si="63"/>
        <v>0</v>
      </c>
      <c r="DJ35" s="63">
        <f t="shared" si="63"/>
        <v>0</v>
      </c>
      <c r="DK35" s="63">
        <f t="shared" si="63"/>
        <v>0</v>
      </c>
      <c r="DL35" s="63">
        <f t="shared" si="63"/>
        <v>0</v>
      </c>
      <c r="DM35" s="63">
        <f t="shared" si="63"/>
        <v>0</v>
      </c>
      <c r="DN35" s="63">
        <f t="shared" si="63"/>
        <v>0</v>
      </c>
      <c r="DO35" s="63">
        <f t="shared" si="63"/>
        <v>0</v>
      </c>
      <c r="DP35" s="63">
        <f t="shared" si="63"/>
        <v>0</v>
      </c>
      <c r="DQ35" s="63">
        <f t="shared" si="63"/>
        <v>0</v>
      </c>
      <c r="DR35" s="63">
        <f t="shared" si="63"/>
        <v>0</v>
      </c>
      <c r="DS35" s="63">
        <f t="shared" si="63"/>
        <v>0</v>
      </c>
      <c r="DT35" s="63">
        <f t="shared" si="63"/>
        <v>0</v>
      </c>
      <c r="DU35" s="63">
        <f t="shared" si="63"/>
        <v>0</v>
      </c>
      <c r="DV35" s="63">
        <f t="shared" si="63"/>
        <v>0</v>
      </c>
      <c r="DW35" s="63">
        <f t="shared" si="63"/>
        <v>0</v>
      </c>
      <c r="DX35" s="63">
        <f t="shared" si="63"/>
        <v>0</v>
      </c>
      <c r="DY35" s="63">
        <f t="shared" si="63"/>
        <v>0</v>
      </c>
      <c r="DZ35" s="63">
        <f t="shared" si="63"/>
        <v>0</v>
      </c>
      <c r="EA35" s="63">
        <f t="shared" si="63"/>
        <v>0</v>
      </c>
      <c r="EB35" s="63">
        <f t="shared" si="63"/>
        <v>0</v>
      </c>
      <c r="EC35" s="63">
        <f t="shared" si="63"/>
        <v>0</v>
      </c>
      <c r="ED35" s="63">
        <f t="shared" si="63"/>
        <v>0</v>
      </c>
      <c r="EE35" s="63">
        <f t="shared" si="63"/>
        <v>0</v>
      </c>
      <c r="EF35" s="63">
        <f t="shared" si="63"/>
        <v>0</v>
      </c>
      <c r="EG35" s="63">
        <f t="shared" si="63"/>
        <v>0</v>
      </c>
      <c r="EH35" s="63">
        <f t="shared" si="63"/>
        <v>0</v>
      </c>
      <c r="EI35" s="63">
        <f t="shared" si="63"/>
        <v>0</v>
      </c>
      <c r="EJ35" s="63">
        <f t="shared" si="63"/>
        <v>0</v>
      </c>
      <c r="EK35" s="63">
        <f t="shared" si="63"/>
        <v>0</v>
      </c>
      <c r="EL35" s="63">
        <f t="shared" si="63"/>
        <v>0</v>
      </c>
      <c r="EM35" s="63">
        <f t="shared" si="63"/>
        <v>0</v>
      </c>
      <c r="EN35" s="63">
        <f t="shared" si="63"/>
        <v>0</v>
      </c>
      <c r="EO35" s="63">
        <f t="shared" si="63"/>
        <v>0</v>
      </c>
    </row>
    <row r="36" spans="2:145" x14ac:dyDescent="0.45">
      <c r="B36" s="67" t="s">
        <v>104</v>
      </c>
      <c r="C36" s="67"/>
      <c r="D36" s="67"/>
      <c r="E36" s="67"/>
      <c r="F36" s="92">
        <f>MIN(F23:F35)</f>
        <v>1</v>
      </c>
      <c r="G36" s="67"/>
      <c r="H36" s="67"/>
      <c r="I36" s="102">
        <f>IFERROR(J36/F19,0)</f>
        <v>0</v>
      </c>
      <c r="J36" s="104">
        <f>SUM(J23:J35)</f>
        <v>0</v>
      </c>
      <c r="L36" s="104">
        <f t="shared" ref="L36:AQ36" si="64">SUM(L23:L35)</f>
        <v>0</v>
      </c>
      <c r="M36" s="104">
        <f t="shared" si="64"/>
        <v>0</v>
      </c>
      <c r="N36" s="104">
        <f t="shared" si="64"/>
        <v>0</v>
      </c>
      <c r="O36" s="104">
        <f t="shared" si="64"/>
        <v>0</v>
      </c>
      <c r="P36" s="104">
        <f t="shared" si="64"/>
        <v>0</v>
      </c>
      <c r="Q36" s="104">
        <f t="shared" si="64"/>
        <v>0</v>
      </c>
      <c r="R36" s="104">
        <f t="shared" si="64"/>
        <v>0</v>
      </c>
      <c r="S36" s="104">
        <f t="shared" si="64"/>
        <v>0</v>
      </c>
      <c r="T36" s="104">
        <f t="shared" si="64"/>
        <v>0</v>
      </c>
      <c r="U36" s="104">
        <f t="shared" si="64"/>
        <v>0</v>
      </c>
      <c r="V36" s="104">
        <f t="shared" si="64"/>
        <v>0</v>
      </c>
      <c r="W36" s="104">
        <f t="shared" si="64"/>
        <v>0</v>
      </c>
      <c r="X36" s="104">
        <f t="shared" si="64"/>
        <v>0</v>
      </c>
      <c r="Y36" s="104">
        <f t="shared" si="64"/>
        <v>0</v>
      </c>
      <c r="Z36" s="104">
        <f t="shared" si="64"/>
        <v>0</v>
      </c>
      <c r="AA36" s="104">
        <f t="shared" si="64"/>
        <v>0</v>
      </c>
      <c r="AB36" s="104">
        <f t="shared" si="64"/>
        <v>0</v>
      </c>
      <c r="AC36" s="104">
        <f t="shared" si="64"/>
        <v>0</v>
      </c>
      <c r="AD36" s="104">
        <f t="shared" si="64"/>
        <v>0</v>
      </c>
      <c r="AE36" s="104">
        <f t="shared" si="64"/>
        <v>0</v>
      </c>
      <c r="AF36" s="104">
        <f t="shared" si="64"/>
        <v>0</v>
      </c>
      <c r="AG36" s="104">
        <f t="shared" si="64"/>
        <v>0</v>
      </c>
      <c r="AH36" s="104">
        <f t="shared" si="64"/>
        <v>0</v>
      </c>
      <c r="AI36" s="104">
        <f t="shared" si="64"/>
        <v>0</v>
      </c>
      <c r="AJ36" s="104">
        <f t="shared" si="64"/>
        <v>0</v>
      </c>
      <c r="AK36" s="104">
        <f t="shared" si="64"/>
        <v>0</v>
      </c>
      <c r="AL36" s="104">
        <f t="shared" si="64"/>
        <v>0</v>
      </c>
      <c r="AM36" s="104">
        <f t="shared" si="64"/>
        <v>0</v>
      </c>
      <c r="AN36" s="104">
        <f t="shared" si="64"/>
        <v>0</v>
      </c>
      <c r="AO36" s="104">
        <f t="shared" si="64"/>
        <v>0</v>
      </c>
      <c r="AP36" s="104">
        <f t="shared" si="64"/>
        <v>0</v>
      </c>
      <c r="AQ36" s="104">
        <f t="shared" si="64"/>
        <v>0</v>
      </c>
      <c r="AR36" s="104">
        <f t="shared" ref="AR36:BW36" si="65">SUM(AR23:AR35)</f>
        <v>0</v>
      </c>
      <c r="AS36" s="104">
        <f t="shared" si="65"/>
        <v>0</v>
      </c>
      <c r="AT36" s="104">
        <f t="shared" si="65"/>
        <v>0</v>
      </c>
      <c r="AU36" s="104">
        <f t="shared" si="65"/>
        <v>0</v>
      </c>
      <c r="AV36" s="104">
        <f t="shared" si="65"/>
        <v>0</v>
      </c>
      <c r="AW36" s="104">
        <f t="shared" si="65"/>
        <v>0</v>
      </c>
      <c r="AX36" s="104">
        <f t="shared" si="65"/>
        <v>0</v>
      </c>
      <c r="AY36" s="104">
        <f t="shared" si="65"/>
        <v>0</v>
      </c>
      <c r="AZ36" s="104">
        <f t="shared" si="65"/>
        <v>0</v>
      </c>
      <c r="BA36" s="104">
        <f t="shared" si="65"/>
        <v>0</v>
      </c>
      <c r="BB36" s="104">
        <f t="shared" si="65"/>
        <v>0</v>
      </c>
      <c r="BC36" s="104">
        <f t="shared" si="65"/>
        <v>0</v>
      </c>
      <c r="BD36" s="104">
        <f t="shared" si="65"/>
        <v>0</v>
      </c>
      <c r="BE36" s="104">
        <f t="shared" si="65"/>
        <v>0</v>
      </c>
      <c r="BF36" s="104">
        <f t="shared" si="65"/>
        <v>0</v>
      </c>
      <c r="BG36" s="104">
        <f t="shared" si="65"/>
        <v>0</v>
      </c>
      <c r="BH36" s="104">
        <f t="shared" si="65"/>
        <v>0</v>
      </c>
      <c r="BI36" s="104">
        <f t="shared" si="65"/>
        <v>0</v>
      </c>
      <c r="BJ36" s="104">
        <f t="shared" si="65"/>
        <v>0</v>
      </c>
      <c r="BK36" s="104">
        <f t="shared" si="65"/>
        <v>0</v>
      </c>
      <c r="BL36" s="104">
        <f t="shared" si="65"/>
        <v>0</v>
      </c>
      <c r="BM36" s="104">
        <f t="shared" si="65"/>
        <v>0</v>
      </c>
      <c r="BN36" s="104">
        <f t="shared" si="65"/>
        <v>0</v>
      </c>
      <c r="BO36" s="104">
        <f t="shared" si="65"/>
        <v>0</v>
      </c>
      <c r="BP36" s="104">
        <f t="shared" si="65"/>
        <v>0</v>
      </c>
      <c r="BQ36" s="104">
        <f t="shared" si="65"/>
        <v>0</v>
      </c>
      <c r="BR36" s="104">
        <f t="shared" si="65"/>
        <v>0</v>
      </c>
      <c r="BS36" s="104">
        <f t="shared" si="65"/>
        <v>0</v>
      </c>
      <c r="BT36" s="104">
        <f t="shared" si="65"/>
        <v>0</v>
      </c>
      <c r="BU36" s="104">
        <f t="shared" si="65"/>
        <v>0</v>
      </c>
      <c r="BV36" s="104">
        <f t="shared" si="65"/>
        <v>0</v>
      </c>
      <c r="BW36" s="104">
        <f t="shared" si="65"/>
        <v>0</v>
      </c>
      <c r="BX36" s="104">
        <f t="shared" ref="BX36:DC36" si="66">SUM(BX23:BX35)</f>
        <v>0</v>
      </c>
      <c r="BY36" s="104">
        <f t="shared" si="66"/>
        <v>0</v>
      </c>
      <c r="BZ36" s="104">
        <f t="shared" si="66"/>
        <v>0</v>
      </c>
      <c r="CA36" s="104">
        <f t="shared" si="66"/>
        <v>0</v>
      </c>
      <c r="CB36" s="104">
        <f t="shared" si="66"/>
        <v>0</v>
      </c>
      <c r="CC36" s="104">
        <f t="shared" si="66"/>
        <v>0</v>
      </c>
      <c r="CD36" s="104">
        <f t="shared" si="66"/>
        <v>0</v>
      </c>
      <c r="CE36" s="104">
        <f t="shared" si="66"/>
        <v>0</v>
      </c>
      <c r="CF36" s="104">
        <f t="shared" si="66"/>
        <v>0</v>
      </c>
      <c r="CG36" s="104">
        <f t="shared" si="66"/>
        <v>0</v>
      </c>
      <c r="CH36" s="104">
        <f t="shared" si="66"/>
        <v>0</v>
      </c>
      <c r="CI36" s="104">
        <f t="shared" si="66"/>
        <v>0</v>
      </c>
      <c r="CJ36" s="104">
        <f t="shared" si="66"/>
        <v>0</v>
      </c>
      <c r="CK36" s="104">
        <f t="shared" si="66"/>
        <v>0</v>
      </c>
      <c r="CL36" s="104">
        <f t="shared" si="66"/>
        <v>0</v>
      </c>
      <c r="CM36" s="104">
        <f t="shared" si="66"/>
        <v>0</v>
      </c>
      <c r="CN36" s="104">
        <f t="shared" si="66"/>
        <v>0</v>
      </c>
      <c r="CO36" s="104">
        <f t="shared" si="66"/>
        <v>0</v>
      </c>
      <c r="CP36" s="104">
        <f t="shared" si="66"/>
        <v>0</v>
      </c>
      <c r="CQ36" s="104">
        <f t="shared" si="66"/>
        <v>0</v>
      </c>
      <c r="CR36" s="104">
        <f t="shared" si="66"/>
        <v>0</v>
      </c>
      <c r="CS36" s="104">
        <f t="shared" si="66"/>
        <v>0</v>
      </c>
      <c r="CT36" s="104">
        <f t="shared" si="66"/>
        <v>0</v>
      </c>
      <c r="CU36" s="104">
        <f t="shared" si="66"/>
        <v>0</v>
      </c>
      <c r="CV36" s="104">
        <f t="shared" si="66"/>
        <v>0</v>
      </c>
      <c r="CW36" s="104">
        <f t="shared" si="66"/>
        <v>0</v>
      </c>
      <c r="CX36" s="104">
        <f t="shared" si="66"/>
        <v>0</v>
      </c>
      <c r="CY36" s="104">
        <f t="shared" si="66"/>
        <v>0</v>
      </c>
      <c r="CZ36" s="104">
        <f t="shared" si="66"/>
        <v>0</v>
      </c>
      <c r="DA36" s="104">
        <f t="shared" si="66"/>
        <v>0</v>
      </c>
      <c r="DB36" s="104">
        <f t="shared" si="66"/>
        <v>0</v>
      </c>
      <c r="DC36" s="104">
        <f t="shared" si="66"/>
        <v>0</v>
      </c>
      <c r="DD36" s="104">
        <f>SUM(DD23:DD35)</f>
        <v>0</v>
      </c>
      <c r="DE36" s="104">
        <f t="shared" ref="DE36:EO36" si="67">SUM(DE23:DE35)</f>
        <v>0</v>
      </c>
      <c r="DF36" s="104">
        <f t="shared" si="67"/>
        <v>0</v>
      </c>
      <c r="DG36" s="104">
        <f t="shared" si="67"/>
        <v>0</v>
      </c>
      <c r="DH36" s="104">
        <f t="shared" si="67"/>
        <v>0</v>
      </c>
      <c r="DI36" s="104">
        <f t="shared" si="67"/>
        <v>0</v>
      </c>
      <c r="DJ36" s="104">
        <f t="shared" si="67"/>
        <v>0</v>
      </c>
      <c r="DK36" s="104">
        <f t="shared" si="67"/>
        <v>0</v>
      </c>
      <c r="DL36" s="104">
        <f t="shared" si="67"/>
        <v>0</v>
      </c>
      <c r="DM36" s="104">
        <f t="shared" si="67"/>
        <v>0</v>
      </c>
      <c r="DN36" s="104">
        <f t="shared" si="67"/>
        <v>0</v>
      </c>
      <c r="DO36" s="104">
        <f t="shared" si="67"/>
        <v>0</v>
      </c>
      <c r="DP36" s="104">
        <f t="shared" si="67"/>
        <v>0</v>
      </c>
      <c r="DQ36" s="104">
        <f t="shared" si="67"/>
        <v>0</v>
      </c>
      <c r="DR36" s="104">
        <f t="shared" si="67"/>
        <v>0</v>
      </c>
      <c r="DS36" s="104">
        <f t="shared" si="67"/>
        <v>0</v>
      </c>
      <c r="DT36" s="104">
        <f t="shared" si="67"/>
        <v>0</v>
      </c>
      <c r="DU36" s="104">
        <f t="shared" si="67"/>
        <v>0</v>
      </c>
      <c r="DV36" s="104">
        <f t="shared" si="67"/>
        <v>0</v>
      </c>
      <c r="DW36" s="104">
        <f t="shared" si="67"/>
        <v>0</v>
      </c>
      <c r="DX36" s="104">
        <f t="shared" si="67"/>
        <v>0</v>
      </c>
      <c r="DY36" s="104">
        <f t="shared" si="67"/>
        <v>0</v>
      </c>
      <c r="DZ36" s="104">
        <f t="shared" si="67"/>
        <v>0</v>
      </c>
      <c r="EA36" s="104">
        <f t="shared" si="67"/>
        <v>0</v>
      </c>
      <c r="EB36" s="104">
        <f t="shared" si="67"/>
        <v>0</v>
      </c>
      <c r="EC36" s="104">
        <f t="shared" si="67"/>
        <v>0</v>
      </c>
      <c r="ED36" s="104">
        <f t="shared" si="67"/>
        <v>0</v>
      </c>
      <c r="EE36" s="104">
        <f t="shared" si="67"/>
        <v>0</v>
      </c>
      <c r="EF36" s="104">
        <f t="shared" si="67"/>
        <v>0</v>
      </c>
      <c r="EG36" s="104">
        <f t="shared" si="67"/>
        <v>0</v>
      </c>
      <c r="EH36" s="104">
        <f t="shared" si="67"/>
        <v>0</v>
      </c>
      <c r="EI36" s="104">
        <f t="shared" si="67"/>
        <v>0</v>
      </c>
      <c r="EJ36" s="104">
        <f t="shared" si="67"/>
        <v>0</v>
      </c>
      <c r="EK36" s="104">
        <f t="shared" si="67"/>
        <v>0</v>
      </c>
      <c r="EL36" s="104">
        <f t="shared" si="67"/>
        <v>0</v>
      </c>
      <c r="EM36" s="104">
        <f t="shared" si="67"/>
        <v>0</v>
      </c>
      <c r="EN36" s="104">
        <f t="shared" si="67"/>
        <v>0</v>
      </c>
      <c r="EO36" s="104">
        <f t="shared" si="67"/>
        <v>0</v>
      </c>
    </row>
    <row r="37" spans="2:145" x14ac:dyDescent="0.45">
      <c r="B37" s="79"/>
      <c r="C37" s="79"/>
      <c r="D37" s="79"/>
      <c r="E37" s="79"/>
      <c r="F37" s="79"/>
      <c r="G37" s="79"/>
      <c r="H37" s="79"/>
      <c r="I37" s="107"/>
      <c r="J37" s="11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</row>
    <row r="38" spans="2:145" s="79" customFormat="1" x14ac:dyDescent="0.45">
      <c r="B38" s="67" t="s">
        <v>130</v>
      </c>
      <c r="C38" s="67"/>
      <c r="D38" s="67"/>
      <c r="E38" s="67"/>
      <c r="F38" s="67"/>
      <c r="G38" s="67"/>
      <c r="H38" s="67"/>
      <c r="I38" s="102">
        <f>IFERROR(J38/F19,0)</f>
        <v>0</v>
      </c>
      <c r="J38" s="104">
        <f>+J36+J19</f>
        <v>0</v>
      </c>
      <c r="L38" s="80">
        <f t="shared" ref="L38:AQ38" si="68">+L36+L19</f>
        <v>0</v>
      </c>
      <c r="M38" s="80">
        <f t="shared" si="68"/>
        <v>0</v>
      </c>
      <c r="N38" s="80">
        <f t="shared" si="68"/>
        <v>0</v>
      </c>
      <c r="O38" s="80">
        <f t="shared" si="68"/>
        <v>0</v>
      </c>
      <c r="P38" s="80">
        <f t="shared" si="68"/>
        <v>0</v>
      </c>
      <c r="Q38" s="80">
        <f t="shared" si="68"/>
        <v>0</v>
      </c>
      <c r="R38" s="80">
        <f t="shared" si="68"/>
        <v>0</v>
      </c>
      <c r="S38" s="80">
        <f t="shared" si="68"/>
        <v>0</v>
      </c>
      <c r="T38" s="80">
        <f t="shared" si="68"/>
        <v>0</v>
      </c>
      <c r="U38" s="80">
        <f t="shared" si="68"/>
        <v>0</v>
      </c>
      <c r="V38" s="80">
        <f t="shared" si="68"/>
        <v>0</v>
      </c>
      <c r="W38" s="80">
        <f t="shared" si="68"/>
        <v>0</v>
      </c>
      <c r="X38" s="80">
        <f t="shared" si="68"/>
        <v>0</v>
      </c>
      <c r="Y38" s="80">
        <f t="shared" si="68"/>
        <v>0</v>
      </c>
      <c r="Z38" s="80">
        <f t="shared" si="68"/>
        <v>0</v>
      </c>
      <c r="AA38" s="80">
        <f t="shared" si="68"/>
        <v>0</v>
      </c>
      <c r="AB38" s="80">
        <f t="shared" si="68"/>
        <v>0</v>
      </c>
      <c r="AC38" s="80">
        <f t="shared" si="68"/>
        <v>0</v>
      </c>
      <c r="AD38" s="80">
        <f t="shared" si="68"/>
        <v>0</v>
      </c>
      <c r="AE38" s="80">
        <f t="shared" si="68"/>
        <v>0</v>
      </c>
      <c r="AF38" s="80">
        <f t="shared" si="68"/>
        <v>0</v>
      </c>
      <c r="AG38" s="80">
        <f t="shared" si="68"/>
        <v>0</v>
      </c>
      <c r="AH38" s="80">
        <f t="shared" si="68"/>
        <v>0</v>
      </c>
      <c r="AI38" s="80">
        <f t="shared" si="68"/>
        <v>0</v>
      </c>
      <c r="AJ38" s="80">
        <f t="shared" si="68"/>
        <v>0</v>
      </c>
      <c r="AK38" s="80">
        <f t="shared" si="68"/>
        <v>0</v>
      </c>
      <c r="AL38" s="80">
        <f t="shared" si="68"/>
        <v>0</v>
      </c>
      <c r="AM38" s="80">
        <f t="shared" si="68"/>
        <v>0</v>
      </c>
      <c r="AN38" s="80">
        <f t="shared" si="68"/>
        <v>0</v>
      </c>
      <c r="AO38" s="80">
        <f t="shared" si="68"/>
        <v>0</v>
      </c>
      <c r="AP38" s="80">
        <f t="shared" si="68"/>
        <v>0</v>
      </c>
      <c r="AQ38" s="80">
        <f t="shared" si="68"/>
        <v>0</v>
      </c>
      <c r="AR38" s="80">
        <f t="shared" ref="AR38:BW38" si="69">+AR36+AR19</f>
        <v>0</v>
      </c>
      <c r="AS38" s="80">
        <f t="shared" si="69"/>
        <v>0</v>
      </c>
      <c r="AT38" s="80">
        <f t="shared" si="69"/>
        <v>0</v>
      </c>
      <c r="AU38" s="80">
        <f t="shared" si="69"/>
        <v>0</v>
      </c>
      <c r="AV38" s="80">
        <f t="shared" si="69"/>
        <v>0</v>
      </c>
      <c r="AW38" s="80">
        <f t="shared" si="69"/>
        <v>0</v>
      </c>
      <c r="AX38" s="80">
        <f t="shared" si="69"/>
        <v>0</v>
      </c>
      <c r="AY38" s="80">
        <f t="shared" si="69"/>
        <v>0</v>
      </c>
      <c r="AZ38" s="80">
        <f t="shared" si="69"/>
        <v>0</v>
      </c>
      <c r="BA38" s="80">
        <f t="shared" si="69"/>
        <v>0</v>
      </c>
      <c r="BB38" s="80">
        <f t="shared" si="69"/>
        <v>0</v>
      </c>
      <c r="BC38" s="80">
        <f t="shared" si="69"/>
        <v>0</v>
      </c>
      <c r="BD38" s="80">
        <f t="shared" si="69"/>
        <v>0</v>
      </c>
      <c r="BE38" s="80">
        <f t="shared" si="69"/>
        <v>0</v>
      </c>
      <c r="BF38" s="80">
        <f t="shared" si="69"/>
        <v>0</v>
      </c>
      <c r="BG38" s="80">
        <f t="shared" si="69"/>
        <v>0</v>
      </c>
      <c r="BH38" s="80">
        <f t="shared" si="69"/>
        <v>0</v>
      </c>
      <c r="BI38" s="80">
        <f t="shared" si="69"/>
        <v>0</v>
      </c>
      <c r="BJ38" s="80">
        <f t="shared" si="69"/>
        <v>0</v>
      </c>
      <c r="BK38" s="80">
        <f t="shared" si="69"/>
        <v>0</v>
      </c>
      <c r="BL38" s="80">
        <f t="shared" si="69"/>
        <v>0</v>
      </c>
      <c r="BM38" s="80">
        <f t="shared" si="69"/>
        <v>0</v>
      </c>
      <c r="BN38" s="80">
        <f t="shared" si="69"/>
        <v>0</v>
      </c>
      <c r="BO38" s="80">
        <f t="shared" si="69"/>
        <v>0</v>
      </c>
      <c r="BP38" s="80">
        <f t="shared" si="69"/>
        <v>0</v>
      </c>
      <c r="BQ38" s="80">
        <f t="shared" si="69"/>
        <v>0</v>
      </c>
      <c r="BR38" s="80">
        <f t="shared" si="69"/>
        <v>0</v>
      </c>
      <c r="BS38" s="80">
        <f t="shared" si="69"/>
        <v>0</v>
      </c>
      <c r="BT38" s="80">
        <f t="shared" si="69"/>
        <v>0</v>
      </c>
      <c r="BU38" s="80">
        <f t="shared" si="69"/>
        <v>0</v>
      </c>
      <c r="BV38" s="80">
        <f t="shared" si="69"/>
        <v>0</v>
      </c>
      <c r="BW38" s="80">
        <f t="shared" si="69"/>
        <v>0</v>
      </c>
      <c r="BX38" s="80">
        <f t="shared" ref="BX38:DD38" si="70">+BX36+BX19</f>
        <v>0</v>
      </c>
      <c r="BY38" s="80">
        <f t="shared" si="70"/>
        <v>0</v>
      </c>
      <c r="BZ38" s="80">
        <f t="shared" si="70"/>
        <v>0</v>
      </c>
      <c r="CA38" s="80">
        <f t="shared" si="70"/>
        <v>0</v>
      </c>
      <c r="CB38" s="80">
        <f t="shared" si="70"/>
        <v>0</v>
      </c>
      <c r="CC38" s="80">
        <f t="shared" si="70"/>
        <v>0</v>
      </c>
      <c r="CD38" s="80">
        <f t="shared" si="70"/>
        <v>0</v>
      </c>
      <c r="CE38" s="80">
        <f t="shared" si="70"/>
        <v>0</v>
      </c>
      <c r="CF38" s="80">
        <f t="shared" si="70"/>
        <v>0</v>
      </c>
      <c r="CG38" s="80">
        <f t="shared" si="70"/>
        <v>0</v>
      </c>
      <c r="CH38" s="80">
        <f t="shared" si="70"/>
        <v>0</v>
      </c>
      <c r="CI38" s="80">
        <f t="shared" si="70"/>
        <v>0</v>
      </c>
      <c r="CJ38" s="80">
        <f t="shared" si="70"/>
        <v>0</v>
      </c>
      <c r="CK38" s="80">
        <f t="shared" si="70"/>
        <v>0</v>
      </c>
      <c r="CL38" s="80">
        <f t="shared" si="70"/>
        <v>0</v>
      </c>
      <c r="CM38" s="80">
        <f t="shared" si="70"/>
        <v>0</v>
      </c>
      <c r="CN38" s="80">
        <f t="shared" si="70"/>
        <v>0</v>
      </c>
      <c r="CO38" s="80">
        <f t="shared" si="70"/>
        <v>0</v>
      </c>
      <c r="CP38" s="80">
        <f t="shared" si="70"/>
        <v>0</v>
      </c>
      <c r="CQ38" s="80">
        <f t="shared" si="70"/>
        <v>0</v>
      </c>
      <c r="CR38" s="80">
        <f t="shared" si="70"/>
        <v>0</v>
      </c>
      <c r="CS38" s="80">
        <f t="shared" si="70"/>
        <v>0</v>
      </c>
      <c r="CT38" s="80">
        <f t="shared" si="70"/>
        <v>0</v>
      </c>
      <c r="CU38" s="80">
        <f t="shared" si="70"/>
        <v>0</v>
      </c>
      <c r="CV38" s="80">
        <f t="shared" si="70"/>
        <v>0</v>
      </c>
      <c r="CW38" s="80">
        <f t="shared" si="70"/>
        <v>0</v>
      </c>
      <c r="CX38" s="80">
        <f t="shared" si="70"/>
        <v>0</v>
      </c>
      <c r="CY38" s="80">
        <f t="shared" si="70"/>
        <v>0</v>
      </c>
      <c r="CZ38" s="80">
        <f t="shared" si="70"/>
        <v>0</v>
      </c>
      <c r="DA38" s="80">
        <f t="shared" si="70"/>
        <v>0</v>
      </c>
      <c r="DB38" s="80">
        <f t="shared" si="70"/>
        <v>0</v>
      </c>
      <c r="DC38" s="80">
        <f t="shared" si="70"/>
        <v>0</v>
      </c>
      <c r="DD38" s="80">
        <f t="shared" si="70"/>
        <v>0</v>
      </c>
      <c r="DE38" s="80">
        <f t="shared" ref="DE38:EO38" si="71">+DE36+DE19</f>
        <v>0</v>
      </c>
      <c r="DF38" s="80">
        <f t="shared" si="71"/>
        <v>0</v>
      </c>
      <c r="DG38" s="80">
        <f t="shared" si="71"/>
        <v>0</v>
      </c>
      <c r="DH38" s="80">
        <f t="shared" si="71"/>
        <v>0</v>
      </c>
      <c r="DI38" s="80">
        <f t="shared" si="71"/>
        <v>0</v>
      </c>
      <c r="DJ38" s="80">
        <f t="shared" si="71"/>
        <v>0</v>
      </c>
      <c r="DK38" s="80">
        <f t="shared" si="71"/>
        <v>0</v>
      </c>
      <c r="DL38" s="80">
        <f t="shared" si="71"/>
        <v>0</v>
      </c>
      <c r="DM38" s="80">
        <f t="shared" si="71"/>
        <v>0</v>
      </c>
      <c r="DN38" s="80">
        <f t="shared" si="71"/>
        <v>0</v>
      </c>
      <c r="DO38" s="80">
        <f t="shared" si="71"/>
        <v>0</v>
      </c>
      <c r="DP38" s="80">
        <f t="shared" si="71"/>
        <v>0</v>
      </c>
      <c r="DQ38" s="80">
        <f t="shared" si="71"/>
        <v>0</v>
      </c>
      <c r="DR38" s="80">
        <f t="shared" si="71"/>
        <v>0</v>
      </c>
      <c r="DS38" s="80">
        <f t="shared" si="71"/>
        <v>0</v>
      </c>
      <c r="DT38" s="80">
        <f t="shared" si="71"/>
        <v>0</v>
      </c>
      <c r="DU38" s="80">
        <f t="shared" si="71"/>
        <v>0</v>
      </c>
      <c r="DV38" s="80">
        <f t="shared" si="71"/>
        <v>0</v>
      </c>
      <c r="DW38" s="80">
        <f t="shared" si="71"/>
        <v>0</v>
      </c>
      <c r="DX38" s="80">
        <f t="shared" si="71"/>
        <v>0</v>
      </c>
      <c r="DY38" s="80">
        <f t="shared" si="71"/>
        <v>0</v>
      </c>
      <c r="DZ38" s="80">
        <f t="shared" si="71"/>
        <v>0</v>
      </c>
      <c r="EA38" s="80">
        <f t="shared" si="71"/>
        <v>0</v>
      </c>
      <c r="EB38" s="80">
        <f t="shared" si="71"/>
        <v>0</v>
      </c>
      <c r="EC38" s="80">
        <f t="shared" si="71"/>
        <v>0</v>
      </c>
      <c r="ED38" s="80">
        <f t="shared" si="71"/>
        <v>0</v>
      </c>
      <c r="EE38" s="80">
        <f t="shared" si="71"/>
        <v>0</v>
      </c>
      <c r="EF38" s="80">
        <f t="shared" si="71"/>
        <v>0</v>
      </c>
      <c r="EG38" s="80">
        <f t="shared" si="71"/>
        <v>0</v>
      </c>
      <c r="EH38" s="80">
        <f t="shared" si="71"/>
        <v>0</v>
      </c>
      <c r="EI38" s="80">
        <f t="shared" si="71"/>
        <v>0</v>
      </c>
      <c r="EJ38" s="80">
        <f t="shared" si="71"/>
        <v>0</v>
      </c>
      <c r="EK38" s="80">
        <f t="shared" si="71"/>
        <v>0</v>
      </c>
      <c r="EL38" s="80">
        <f t="shared" si="71"/>
        <v>0</v>
      </c>
      <c r="EM38" s="80">
        <f t="shared" si="71"/>
        <v>0</v>
      </c>
      <c r="EN38" s="80">
        <f t="shared" si="71"/>
        <v>0</v>
      </c>
      <c r="EO38" s="80">
        <f t="shared" si="71"/>
        <v>0</v>
      </c>
    </row>
    <row r="39" spans="2:145" x14ac:dyDescent="0.45">
      <c r="B39" s="58" t="s">
        <v>112</v>
      </c>
      <c r="G39" s="106">
        <v>0.05</v>
      </c>
      <c r="I39" s="101">
        <f>IFERROR(J39/$F$19,0)</f>
        <v>0</v>
      </c>
      <c r="J39" s="103">
        <f>+SUM(J36,J19)*G39</f>
        <v>0</v>
      </c>
      <c r="L39" s="63">
        <f>-$G$39*L38</f>
        <v>0</v>
      </c>
      <c r="M39" s="63">
        <f t="shared" ref="M39:BX39" si="72">-$G$39*M38</f>
        <v>0</v>
      </c>
      <c r="N39" s="63">
        <f t="shared" si="72"/>
        <v>0</v>
      </c>
      <c r="O39" s="63">
        <f t="shared" si="72"/>
        <v>0</v>
      </c>
      <c r="P39" s="63">
        <f t="shared" si="72"/>
        <v>0</v>
      </c>
      <c r="Q39" s="63">
        <f t="shared" si="72"/>
        <v>0</v>
      </c>
      <c r="R39" s="63">
        <f t="shared" si="72"/>
        <v>0</v>
      </c>
      <c r="S39" s="63">
        <f t="shared" si="72"/>
        <v>0</v>
      </c>
      <c r="T39" s="63">
        <f t="shared" si="72"/>
        <v>0</v>
      </c>
      <c r="U39" s="63">
        <f t="shared" si="72"/>
        <v>0</v>
      </c>
      <c r="V39" s="63">
        <f t="shared" si="72"/>
        <v>0</v>
      </c>
      <c r="W39" s="63">
        <f t="shared" si="72"/>
        <v>0</v>
      </c>
      <c r="X39" s="63">
        <f t="shared" si="72"/>
        <v>0</v>
      </c>
      <c r="Y39" s="63">
        <f t="shared" si="72"/>
        <v>0</v>
      </c>
      <c r="Z39" s="63">
        <f t="shared" si="72"/>
        <v>0</v>
      </c>
      <c r="AA39" s="63">
        <f t="shared" si="72"/>
        <v>0</v>
      </c>
      <c r="AB39" s="63">
        <f t="shared" si="72"/>
        <v>0</v>
      </c>
      <c r="AC39" s="63">
        <f t="shared" si="72"/>
        <v>0</v>
      </c>
      <c r="AD39" s="63">
        <f t="shared" si="72"/>
        <v>0</v>
      </c>
      <c r="AE39" s="63">
        <f t="shared" si="72"/>
        <v>0</v>
      </c>
      <c r="AF39" s="63">
        <f t="shared" si="72"/>
        <v>0</v>
      </c>
      <c r="AG39" s="63">
        <f t="shared" si="72"/>
        <v>0</v>
      </c>
      <c r="AH39" s="63">
        <f t="shared" si="72"/>
        <v>0</v>
      </c>
      <c r="AI39" s="63">
        <f t="shared" si="72"/>
        <v>0</v>
      </c>
      <c r="AJ39" s="63">
        <f t="shared" si="72"/>
        <v>0</v>
      </c>
      <c r="AK39" s="63">
        <f t="shared" si="72"/>
        <v>0</v>
      </c>
      <c r="AL39" s="63">
        <f t="shared" si="72"/>
        <v>0</v>
      </c>
      <c r="AM39" s="63">
        <f t="shared" si="72"/>
        <v>0</v>
      </c>
      <c r="AN39" s="63">
        <f t="shared" si="72"/>
        <v>0</v>
      </c>
      <c r="AO39" s="63">
        <f t="shared" si="72"/>
        <v>0</v>
      </c>
      <c r="AP39" s="63">
        <f t="shared" si="72"/>
        <v>0</v>
      </c>
      <c r="AQ39" s="63">
        <f t="shared" si="72"/>
        <v>0</v>
      </c>
      <c r="AR39" s="63">
        <f t="shared" si="72"/>
        <v>0</v>
      </c>
      <c r="AS39" s="63">
        <f t="shared" si="72"/>
        <v>0</v>
      </c>
      <c r="AT39" s="63">
        <f t="shared" si="72"/>
        <v>0</v>
      </c>
      <c r="AU39" s="63">
        <f t="shared" si="72"/>
        <v>0</v>
      </c>
      <c r="AV39" s="63">
        <f t="shared" si="72"/>
        <v>0</v>
      </c>
      <c r="AW39" s="63">
        <f t="shared" si="72"/>
        <v>0</v>
      </c>
      <c r="AX39" s="63">
        <f t="shared" si="72"/>
        <v>0</v>
      </c>
      <c r="AY39" s="63">
        <f t="shared" si="72"/>
        <v>0</v>
      </c>
      <c r="AZ39" s="63">
        <f t="shared" si="72"/>
        <v>0</v>
      </c>
      <c r="BA39" s="63">
        <f t="shared" si="72"/>
        <v>0</v>
      </c>
      <c r="BB39" s="63">
        <f t="shared" si="72"/>
        <v>0</v>
      </c>
      <c r="BC39" s="63">
        <f t="shared" si="72"/>
        <v>0</v>
      </c>
      <c r="BD39" s="63">
        <f t="shared" si="72"/>
        <v>0</v>
      </c>
      <c r="BE39" s="63">
        <f t="shared" si="72"/>
        <v>0</v>
      </c>
      <c r="BF39" s="63">
        <f t="shared" si="72"/>
        <v>0</v>
      </c>
      <c r="BG39" s="63">
        <f t="shared" si="72"/>
        <v>0</v>
      </c>
      <c r="BH39" s="63">
        <f t="shared" si="72"/>
        <v>0</v>
      </c>
      <c r="BI39" s="63">
        <f t="shared" si="72"/>
        <v>0</v>
      </c>
      <c r="BJ39" s="63">
        <f t="shared" si="72"/>
        <v>0</v>
      </c>
      <c r="BK39" s="63">
        <f t="shared" si="72"/>
        <v>0</v>
      </c>
      <c r="BL39" s="63">
        <f t="shared" si="72"/>
        <v>0</v>
      </c>
      <c r="BM39" s="63">
        <f t="shared" si="72"/>
        <v>0</v>
      </c>
      <c r="BN39" s="63">
        <f t="shared" si="72"/>
        <v>0</v>
      </c>
      <c r="BO39" s="63">
        <f t="shared" si="72"/>
        <v>0</v>
      </c>
      <c r="BP39" s="63">
        <f t="shared" si="72"/>
        <v>0</v>
      </c>
      <c r="BQ39" s="63">
        <f t="shared" si="72"/>
        <v>0</v>
      </c>
      <c r="BR39" s="63">
        <f t="shared" si="72"/>
        <v>0</v>
      </c>
      <c r="BS39" s="63">
        <f t="shared" si="72"/>
        <v>0</v>
      </c>
      <c r="BT39" s="63">
        <f t="shared" si="72"/>
        <v>0</v>
      </c>
      <c r="BU39" s="63">
        <f t="shared" si="72"/>
        <v>0</v>
      </c>
      <c r="BV39" s="63">
        <f t="shared" si="72"/>
        <v>0</v>
      </c>
      <c r="BW39" s="63">
        <f t="shared" si="72"/>
        <v>0</v>
      </c>
      <c r="BX39" s="63">
        <f t="shared" si="72"/>
        <v>0</v>
      </c>
      <c r="BY39" s="63">
        <f t="shared" ref="BY39:CQ39" si="73">-$G$39*BY38</f>
        <v>0</v>
      </c>
      <c r="BZ39" s="63">
        <f t="shared" si="73"/>
        <v>0</v>
      </c>
      <c r="CA39" s="63">
        <f t="shared" si="73"/>
        <v>0</v>
      </c>
      <c r="CB39" s="63">
        <f t="shared" si="73"/>
        <v>0</v>
      </c>
      <c r="CC39" s="63">
        <f t="shared" si="73"/>
        <v>0</v>
      </c>
      <c r="CD39" s="63">
        <f t="shared" si="73"/>
        <v>0</v>
      </c>
      <c r="CE39" s="63">
        <f t="shared" si="73"/>
        <v>0</v>
      </c>
      <c r="CF39" s="63">
        <f t="shared" si="73"/>
        <v>0</v>
      </c>
      <c r="CG39" s="63">
        <f t="shared" si="73"/>
        <v>0</v>
      </c>
      <c r="CH39" s="63">
        <f t="shared" si="73"/>
        <v>0</v>
      </c>
      <c r="CI39" s="63">
        <f t="shared" si="73"/>
        <v>0</v>
      </c>
      <c r="CJ39" s="63">
        <f t="shared" si="73"/>
        <v>0</v>
      </c>
      <c r="CK39" s="63">
        <f t="shared" si="73"/>
        <v>0</v>
      </c>
      <c r="CL39" s="63">
        <f t="shared" si="73"/>
        <v>0</v>
      </c>
      <c r="CM39" s="63">
        <f t="shared" si="73"/>
        <v>0</v>
      </c>
      <c r="CN39" s="63">
        <f t="shared" si="73"/>
        <v>0</v>
      </c>
      <c r="CO39" s="63">
        <f t="shared" si="73"/>
        <v>0</v>
      </c>
      <c r="CP39" s="63">
        <f t="shared" si="73"/>
        <v>0</v>
      </c>
      <c r="CQ39" s="63">
        <f t="shared" si="73"/>
        <v>0</v>
      </c>
      <c r="CR39" s="63">
        <f t="shared" ref="CR39:DD39" si="74">-$G$39*CR38</f>
        <v>0</v>
      </c>
      <c r="CS39" s="63">
        <f t="shared" si="74"/>
        <v>0</v>
      </c>
      <c r="CT39" s="63">
        <f t="shared" si="74"/>
        <v>0</v>
      </c>
      <c r="CU39" s="63">
        <f t="shared" si="74"/>
        <v>0</v>
      </c>
      <c r="CV39" s="63">
        <f t="shared" si="74"/>
        <v>0</v>
      </c>
      <c r="CW39" s="63">
        <f t="shared" si="74"/>
        <v>0</v>
      </c>
      <c r="CX39" s="63">
        <f t="shared" si="74"/>
        <v>0</v>
      </c>
      <c r="CY39" s="63">
        <f t="shared" si="74"/>
        <v>0</v>
      </c>
      <c r="CZ39" s="63">
        <f t="shared" si="74"/>
        <v>0</v>
      </c>
      <c r="DA39" s="63">
        <f t="shared" si="74"/>
        <v>0</v>
      </c>
      <c r="DB39" s="63">
        <f t="shared" si="74"/>
        <v>0</v>
      </c>
      <c r="DC39" s="63">
        <f t="shared" si="74"/>
        <v>0</v>
      </c>
      <c r="DD39" s="63">
        <f t="shared" si="74"/>
        <v>0</v>
      </c>
      <c r="DE39" s="63">
        <f t="shared" ref="DE39:EO39" si="75">-$G$39*DE38</f>
        <v>0</v>
      </c>
      <c r="DF39" s="63">
        <f t="shared" si="75"/>
        <v>0</v>
      </c>
      <c r="DG39" s="63">
        <f t="shared" si="75"/>
        <v>0</v>
      </c>
      <c r="DH39" s="63">
        <f t="shared" si="75"/>
        <v>0</v>
      </c>
      <c r="DI39" s="63">
        <f t="shared" si="75"/>
        <v>0</v>
      </c>
      <c r="DJ39" s="63">
        <f t="shared" si="75"/>
        <v>0</v>
      </c>
      <c r="DK39" s="63">
        <f t="shared" si="75"/>
        <v>0</v>
      </c>
      <c r="DL39" s="63">
        <f t="shared" si="75"/>
        <v>0</v>
      </c>
      <c r="DM39" s="63">
        <f t="shared" si="75"/>
        <v>0</v>
      </c>
      <c r="DN39" s="63">
        <f t="shared" si="75"/>
        <v>0</v>
      </c>
      <c r="DO39" s="63">
        <f t="shared" si="75"/>
        <v>0</v>
      </c>
      <c r="DP39" s="63">
        <f t="shared" si="75"/>
        <v>0</v>
      </c>
      <c r="DQ39" s="63">
        <f t="shared" si="75"/>
        <v>0</v>
      </c>
      <c r="DR39" s="63">
        <f t="shared" si="75"/>
        <v>0</v>
      </c>
      <c r="DS39" s="63">
        <f t="shared" si="75"/>
        <v>0</v>
      </c>
      <c r="DT39" s="63">
        <f t="shared" si="75"/>
        <v>0</v>
      </c>
      <c r="DU39" s="63">
        <f t="shared" si="75"/>
        <v>0</v>
      </c>
      <c r="DV39" s="63">
        <f t="shared" si="75"/>
        <v>0</v>
      </c>
      <c r="DW39" s="63">
        <f t="shared" si="75"/>
        <v>0</v>
      </c>
      <c r="DX39" s="63">
        <f t="shared" si="75"/>
        <v>0</v>
      </c>
      <c r="DY39" s="63">
        <f t="shared" si="75"/>
        <v>0</v>
      </c>
      <c r="DZ39" s="63">
        <f t="shared" si="75"/>
        <v>0</v>
      </c>
      <c r="EA39" s="63">
        <f t="shared" si="75"/>
        <v>0</v>
      </c>
      <c r="EB39" s="63">
        <f t="shared" si="75"/>
        <v>0</v>
      </c>
      <c r="EC39" s="63">
        <f t="shared" si="75"/>
        <v>0</v>
      </c>
      <c r="ED39" s="63">
        <f t="shared" si="75"/>
        <v>0</v>
      </c>
      <c r="EE39" s="63">
        <f t="shared" si="75"/>
        <v>0</v>
      </c>
      <c r="EF39" s="63">
        <f t="shared" si="75"/>
        <v>0</v>
      </c>
      <c r="EG39" s="63">
        <f t="shared" si="75"/>
        <v>0</v>
      </c>
      <c r="EH39" s="63">
        <f t="shared" si="75"/>
        <v>0</v>
      </c>
      <c r="EI39" s="63">
        <f t="shared" si="75"/>
        <v>0</v>
      </c>
      <c r="EJ39" s="63">
        <f t="shared" si="75"/>
        <v>0</v>
      </c>
      <c r="EK39" s="63">
        <f t="shared" si="75"/>
        <v>0</v>
      </c>
      <c r="EL39" s="63">
        <f t="shared" si="75"/>
        <v>0</v>
      </c>
      <c r="EM39" s="63">
        <f t="shared" si="75"/>
        <v>0</v>
      </c>
      <c r="EN39" s="63">
        <f t="shared" si="75"/>
        <v>0</v>
      </c>
      <c r="EO39" s="63">
        <f t="shared" si="75"/>
        <v>0</v>
      </c>
    </row>
    <row r="40" spans="2:145" s="79" customFormat="1" x14ac:dyDescent="0.45">
      <c r="B40" s="116" t="s">
        <v>130</v>
      </c>
      <c r="C40" s="116"/>
      <c r="D40" s="116"/>
      <c r="E40" s="116"/>
      <c r="F40" s="116"/>
      <c r="G40" s="116"/>
      <c r="H40" s="116"/>
      <c r="I40" s="117">
        <f>IFERROR(J40/F19,0)</f>
        <v>0</v>
      </c>
      <c r="J40" s="126">
        <f>+J38-J39</f>
        <v>0</v>
      </c>
      <c r="L40" s="68">
        <f>SUM(L38:L39)</f>
        <v>0</v>
      </c>
      <c r="M40" s="68">
        <f t="shared" ref="M40:BX40" si="76">SUM(M38:M39)</f>
        <v>0</v>
      </c>
      <c r="N40" s="68">
        <f t="shared" si="76"/>
        <v>0</v>
      </c>
      <c r="O40" s="68">
        <f t="shared" si="76"/>
        <v>0</v>
      </c>
      <c r="P40" s="68">
        <f t="shared" si="76"/>
        <v>0</v>
      </c>
      <c r="Q40" s="68">
        <f t="shared" si="76"/>
        <v>0</v>
      </c>
      <c r="R40" s="68">
        <f t="shared" si="76"/>
        <v>0</v>
      </c>
      <c r="S40" s="68">
        <f t="shared" si="76"/>
        <v>0</v>
      </c>
      <c r="T40" s="68">
        <f t="shared" si="76"/>
        <v>0</v>
      </c>
      <c r="U40" s="68">
        <f t="shared" si="76"/>
        <v>0</v>
      </c>
      <c r="V40" s="68">
        <f t="shared" si="76"/>
        <v>0</v>
      </c>
      <c r="W40" s="68">
        <f t="shared" si="76"/>
        <v>0</v>
      </c>
      <c r="X40" s="68">
        <f t="shared" si="76"/>
        <v>0</v>
      </c>
      <c r="Y40" s="68">
        <f t="shared" si="76"/>
        <v>0</v>
      </c>
      <c r="Z40" s="68">
        <f t="shared" si="76"/>
        <v>0</v>
      </c>
      <c r="AA40" s="68">
        <f t="shared" si="76"/>
        <v>0</v>
      </c>
      <c r="AB40" s="68">
        <f t="shared" si="76"/>
        <v>0</v>
      </c>
      <c r="AC40" s="68">
        <f t="shared" si="76"/>
        <v>0</v>
      </c>
      <c r="AD40" s="68">
        <f t="shared" si="76"/>
        <v>0</v>
      </c>
      <c r="AE40" s="68">
        <f t="shared" si="76"/>
        <v>0</v>
      </c>
      <c r="AF40" s="68">
        <f t="shared" si="76"/>
        <v>0</v>
      </c>
      <c r="AG40" s="68">
        <f t="shared" si="76"/>
        <v>0</v>
      </c>
      <c r="AH40" s="68">
        <f t="shared" si="76"/>
        <v>0</v>
      </c>
      <c r="AI40" s="68">
        <f t="shared" si="76"/>
        <v>0</v>
      </c>
      <c r="AJ40" s="68">
        <f t="shared" si="76"/>
        <v>0</v>
      </c>
      <c r="AK40" s="68">
        <f t="shared" si="76"/>
        <v>0</v>
      </c>
      <c r="AL40" s="68">
        <f t="shared" si="76"/>
        <v>0</v>
      </c>
      <c r="AM40" s="68">
        <f t="shared" si="76"/>
        <v>0</v>
      </c>
      <c r="AN40" s="68">
        <f t="shared" si="76"/>
        <v>0</v>
      </c>
      <c r="AO40" s="68">
        <f t="shared" si="76"/>
        <v>0</v>
      </c>
      <c r="AP40" s="68">
        <f t="shared" si="76"/>
        <v>0</v>
      </c>
      <c r="AQ40" s="68">
        <f t="shared" si="76"/>
        <v>0</v>
      </c>
      <c r="AR40" s="68">
        <f t="shared" si="76"/>
        <v>0</v>
      </c>
      <c r="AS40" s="68">
        <f t="shared" si="76"/>
        <v>0</v>
      </c>
      <c r="AT40" s="68">
        <f t="shared" si="76"/>
        <v>0</v>
      </c>
      <c r="AU40" s="68">
        <f t="shared" si="76"/>
        <v>0</v>
      </c>
      <c r="AV40" s="68">
        <f t="shared" si="76"/>
        <v>0</v>
      </c>
      <c r="AW40" s="68">
        <f t="shared" si="76"/>
        <v>0</v>
      </c>
      <c r="AX40" s="68">
        <f t="shared" si="76"/>
        <v>0</v>
      </c>
      <c r="AY40" s="68">
        <f t="shared" si="76"/>
        <v>0</v>
      </c>
      <c r="AZ40" s="68">
        <f t="shared" si="76"/>
        <v>0</v>
      </c>
      <c r="BA40" s="68">
        <f t="shared" si="76"/>
        <v>0</v>
      </c>
      <c r="BB40" s="68">
        <f t="shared" si="76"/>
        <v>0</v>
      </c>
      <c r="BC40" s="68">
        <f t="shared" si="76"/>
        <v>0</v>
      </c>
      <c r="BD40" s="68">
        <f t="shared" si="76"/>
        <v>0</v>
      </c>
      <c r="BE40" s="68">
        <f t="shared" si="76"/>
        <v>0</v>
      </c>
      <c r="BF40" s="68">
        <f t="shared" si="76"/>
        <v>0</v>
      </c>
      <c r="BG40" s="68">
        <f t="shared" si="76"/>
        <v>0</v>
      </c>
      <c r="BH40" s="68">
        <f t="shared" si="76"/>
        <v>0</v>
      </c>
      <c r="BI40" s="68">
        <f t="shared" si="76"/>
        <v>0</v>
      </c>
      <c r="BJ40" s="68">
        <f t="shared" si="76"/>
        <v>0</v>
      </c>
      <c r="BK40" s="68">
        <f t="shared" si="76"/>
        <v>0</v>
      </c>
      <c r="BL40" s="68">
        <f t="shared" si="76"/>
        <v>0</v>
      </c>
      <c r="BM40" s="68">
        <f t="shared" si="76"/>
        <v>0</v>
      </c>
      <c r="BN40" s="68">
        <f t="shared" si="76"/>
        <v>0</v>
      </c>
      <c r="BO40" s="68">
        <f t="shared" si="76"/>
        <v>0</v>
      </c>
      <c r="BP40" s="68">
        <f t="shared" si="76"/>
        <v>0</v>
      </c>
      <c r="BQ40" s="68">
        <f t="shared" si="76"/>
        <v>0</v>
      </c>
      <c r="BR40" s="68">
        <f t="shared" si="76"/>
        <v>0</v>
      </c>
      <c r="BS40" s="68">
        <f t="shared" si="76"/>
        <v>0</v>
      </c>
      <c r="BT40" s="68">
        <f t="shared" si="76"/>
        <v>0</v>
      </c>
      <c r="BU40" s="68">
        <f t="shared" si="76"/>
        <v>0</v>
      </c>
      <c r="BV40" s="68">
        <f t="shared" si="76"/>
        <v>0</v>
      </c>
      <c r="BW40" s="68">
        <f t="shared" si="76"/>
        <v>0</v>
      </c>
      <c r="BX40" s="68">
        <f t="shared" si="76"/>
        <v>0</v>
      </c>
      <c r="BY40" s="68">
        <f t="shared" ref="BY40:CQ40" si="77">SUM(BY38:BY39)</f>
        <v>0</v>
      </c>
      <c r="BZ40" s="68">
        <f t="shared" si="77"/>
        <v>0</v>
      </c>
      <c r="CA40" s="68">
        <f t="shared" si="77"/>
        <v>0</v>
      </c>
      <c r="CB40" s="68">
        <f t="shared" si="77"/>
        <v>0</v>
      </c>
      <c r="CC40" s="68">
        <f t="shared" si="77"/>
        <v>0</v>
      </c>
      <c r="CD40" s="68">
        <f t="shared" si="77"/>
        <v>0</v>
      </c>
      <c r="CE40" s="68">
        <f t="shared" si="77"/>
        <v>0</v>
      </c>
      <c r="CF40" s="68">
        <f t="shared" si="77"/>
        <v>0</v>
      </c>
      <c r="CG40" s="68">
        <f t="shared" si="77"/>
        <v>0</v>
      </c>
      <c r="CH40" s="68">
        <f t="shared" si="77"/>
        <v>0</v>
      </c>
      <c r="CI40" s="68">
        <f t="shared" si="77"/>
        <v>0</v>
      </c>
      <c r="CJ40" s="68">
        <f t="shared" si="77"/>
        <v>0</v>
      </c>
      <c r="CK40" s="68">
        <f t="shared" si="77"/>
        <v>0</v>
      </c>
      <c r="CL40" s="68">
        <f t="shared" si="77"/>
        <v>0</v>
      </c>
      <c r="CM40" s="68">
        <f t="shared" si="77"/>
        <v>0</v>
      </c>
      <c r="CN40" s="68">
        <f t="shared" si="77"/>
        <v>0</v>
      </c>
      <c r="CO40" s="68">
        <f t="shared" si="77"/>
        <v>0</v>
      </c>
      <c r="CP40" s="68">
        <f t="shared" si="77"/>
        <v>0</v>
      </c>
      <c r="CQ40" s="68">
        <f t="shared" si="77"/>
        <v>0</v>
      </c>
      <c r="CR40" s="68">
        <f t="shared" ref="CR40:DD40" si="78">SUM(CR38:CR39)</f>
        <v>0</v>
      </c>
      <c r="CS40" s="68">
        <f t="shared" si="78"/>
        <v>0</v>
      </c>
      <c r="CT40" s="68">
        <f t="shared" si="78"/>
        <v>0</v>
      </c>
      <c r="CU40" s="68">
        <f t="shared" si="78"/>
        <v>0</v>
      </c>
      <c r="CV40" s="68">
        <f t="shared" si="78"/>
        <v>0</v>
      </c>
      <c r="CW40" s="68">
        <f t="shared" si="78"/>
        <v>0</v>
      </c>
      <c r="CX40" s="68">
        <f t="shared" si="78"/>
        <v>0</v>
      </c>
      <c r="CY40" s="68">
        <f t="shared" si="78"/>
        <v>0</v>
      </c>
      <c r="CZ40" s="68">
        <f t="shared" si="78"/>
        <v>0</v>
      </c>
      <c r="DA40" s="68">
        <f t="shared" si="78"/>
        <v>0</v>
      </c>
      <c r="DB40" s="68">
        <f t="shared" si="78"/>
        <v>0</v>
      </c>
      <c r="DC40" s="68">
        <f t="shared" si="78"/>
        <v>0</v>
      </c>
      <c r="DD40" s="68">
        <f t="shared" si="78"/>
        <v>0</v>
      </c>
      <c r="DE40" s="68">
        <f t="shared" ref="DE40:EO40" si="79">SUM(DE38:DE39)</f>
        <v>0</v>
      </c>
      <c r="DF40" s="68">
        <f t="shared" si="79"/>
        <v>0</v>
      </c>
      <c r="DG40" s="68">
        <f t="shared" si="79"/>
        <v>0</v>
      </c>
      <c r="DH40" s="68">
        <f t="shared" si="79"/>
        <v>0</v>
      </c>
      <c r="DI40" s="68">
        <f t="shared" si="79"/>
        <v>0</v>
      </c>
      <c r="DJ40" s="68">
        <f t="shared" si="79"/>
        <v>0</v>
      </c>
      <c r="DK40" s="68">
        <f t="shared" si="79"/>
        <v>0</v>
      </c>
      <c r="DL40" s="68">
        <f t="shared" si="79"/>
        <v>0</v>
      </c>
      <c r="DM40" s="68">
        <f t="shared" si="79"/>
        <v>0</v>
      </c>
      <c r="DN40" s="68">
        <f t="shared" si="79"/>
        <v>0</v>
      </c>
      <c r="DO40" s="68">
        <f t="shared" si="79"/>
        <v>0</v>
      </c>
      <c r="DP40" s="68">
        <f t="shared" si="79"/>
        <v>0</v>
      </c>
      <c r="DQ40" s="68">
        <f t="shared" si="79"/>
        <v>0</v>
      </c>
      <c r="DR40" s="68">
        <f t="shared" si="79"/>
        <v>0</v>
      </c>
      <c r="DS40" s="68">
        <f t="shared" si="79"/>
        <v>0</v>
      </c>
      <c r="DT40" s="68">
        <f t="shared" si="79"/>
        <v>0</v>
      </c>
      <c r="DU40" s="68">
        <f t="shared" si="79"/>
        <v>0</v>
      </c>
      <c r="DV40" s="68">
        <f t="shared" si="79"/>
        <v>0</v>
      </c>
      <c r="DW40" s="68">
        <f t="shared" si="79"/>
        <v>0</v>
      </c>
      <c r="DX40" s="68">
        <f t="shared" si="79"/>
        <v>0</v>
      </c>
      <c r="DY40" s="68">
        <f t="shared" si="79"/>
        <v>0</v>
      </c>
      <c r="DZ40" s="68">
        <f t="shared" si="79"/>
        <v>0</v>
      </c>
      <c r="EA40" s="68">
        <f t="shared" si="79"/>
        <v>0</v>
      </c>
      <c r="EB40" s="68">
        <f t="shared" si="79"/>
        <v>0</v>
      </c>
      <c r="EC40" s="68">
        <f t="shared" si="79"/>
        <v>0</v>
      </c>
      <c r="ED40" s="68">
        <f t="shared" si="79"/>
        <v>0</v>
      </c>
      <c r="EE40" s="68">
        <f t="shared" si="79"/>
        <v>0</v>
      </c>
      <c r="EF40" s="68">
        <f t="shared" si="79"/>
        <v>0</v>
      </c>
      <c r="EG40" s="68">
        <f t="shared" si="79"/>
        <v>0</v>
      </c>
      <c r="EH40" s="68">
        <f t="shared" si="79"/>
        <v>0</v>
      </c>
      <c r="EI40" s="68">
        <f t="shared" si="79"/>
        <v>0</v>
      </c>
      <c r="EJ40" s="68">
        <f t="shared" si="79"/>
        <v>0</v>
      </c>
      <c r="EK40" s="68">
        <f t="shared" si="79"/>
        <v>0</v>
      </c>
      <c r="EL40" s="68">
        <f t="shared" si="79"/>
        <v>0</v>
      </c>
      <c r="EM40" s="68">
        <f t="shared" si="79"/>
        <v>0</v>
      </c>
      <c r="EN40" s="68">
        <f t="shared" si="79"/>
        <v>0</v>
      </c>
      <c r="EO40" s="68">
        <f t="shared" si="79"/>
        <v>0</v>
      </c>
    </row>
    <row r="41" spans="2:145" x14ac:dyDescent="0.45"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</row>
    <row r="42" spans="2:145" x14ac:dyDescent="0.45">
      <c r="B42" s="58" t="s">
        <v>105</v>
      </c>
      <c r="G42" s="138" t="s">
        <v>147</v>
      </c>
      <c r="H42" s="96"/>
      <c r="I42" s="96" t="s">
        <v>108</v>
      </c>
      <c r="J42" s="96" t="s">
        <v>48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</row>
    <row r="43" spans="2:145" x14ac:dyDescent="0.45">
      <c r="B43" s="89" t="s">
        <v>76</v>
      </c>
      <c r="C43" s="89"/>
      <c r="D43" s="89"/>
      <c r="E43" s="89"/>
      <c r="F43" s="89"/>
      <c r="G43" s="136">
        <f>+Assumptions!$I$138</f>
        <v>0.02</v>
      </c>
      <c r="H43" s="99"/>
      <c r="I43" s="98">
        <v>0</v>
      </c>
      <c r="J43" s="90">
        <f>+$F$19*I43</f>
        <v>0</v>
      </c>
      <c r="L43" s="63">
        <f t="shared" ref="L43:U45" si="80">IFERROR($J43/12*L$20*(1+$G43)^(ROUNDUP(L$5/12,0)-1),0)</f>
        <v>0</v>
      </c>
      <c r="M43" s="63">
        <f t="shared" si="80"/>
        <v>0</v>
      </c>
      <c r="N43" s="63">
        <f t="shared" si="80"/>
        <v>0</v>
      </c>
      <c r="O43" s="63">
        <f t="shared" si="80"/>
        <v>0</v>
      </c>
      <c r="P43" s="63">
        <f t="shared" si="80"/>
        <v>0</v>
      </c>
      <c r="Q43" s="63">
        <f t="shared" si="80"/>
        <v>0</v>
      </c>
      <c r="R43" s="63">
        <f t="shared" si="80"/>
        <v>0</v>
      </c>
      <c r="S43" s="63">
        <f t="shared" si="80"/>
        <v>0</v>
      </c>
      <c r="T43" s="63">
        <f t="shared" si="80"/>
        <v>0</v>
      </c>
      <c r="U43" s="63">
        <f t="shared" si="80"/>
        <v>0</v>
      </c>
      <c r="V43" s="63">
        <f t="shared" ref="V43:AE45" si="81">IFERROR($J43/12*V$20*(1+$G43)^(ROUNDUP(V$5/12,0)-1),0)</f>
        <v>0</v>
      </c>
      <c r="W43" s="63">
        <f t="shared" si="81"/>
        <v>0</v>
      </c>
      <c r="X43" s="63">
        <f t="shared" si="81"/>
        <v>0</v>
      </c>
      <c r="Y43" s="63">
        <f t="shared" si="81"/>
        <v>0</v>
      </c>
      <c r="Z43" s="63">
        <f t="shared" si="81"/>
        <v>0</v>
      </c>
      <c r="AA43" s="63">
        <f t="shared" si="81"/>
        <v>0</v>
      </c>
      <c r="AB43" s="63">
        <f t="shared" si="81"/>
        <v>0</v>
      </c>
      <c r="AC43" s="63">
        <f t="shared" si="81"/>
        <v>0</v>
      </c>
      <c r="AD43" s="63">
        <f t="shared" si="81"/>
        <v>0</v>
      </c>
      <c r="AE43" s="63">
        <f t="shared" si="81"/>
        <v>0</v>
      </c>
      <c r="AF43" s="63">
        <f t="shared" ref="AF43:AO45" si="82">IFERROR($J43/12*AF$20*(1+$G43)^(ROUNDUP(AF$5/12,0)-1),0)</f>
        <v>0</v>
      </c>
      <c r="AG43" s="63">
        <f t="shared" si="82"/>
        <v>0</v>
      </c>
      <c r="AH43" s="63">
        <f t="shared" si="82"/>
        <v>0</v>
      </c>
      <c r="AI43" s="63">
        <f t="shared" si="82"/>
        <v>0</v>
      </c>
      <c r="AJ43" s="63">
        <f t="shared" si="82"/>
        <v>0</v>
      </c>
      <c r="AK43" s="63">
        <f t="shared" si="82"/>
        <v>0</v>
      </c>
      <c r="AL43" s="63">
        <f t="shared" si="82"/>
        <v>0</v>
      </c>
      <c r="AM43" s="63">
        <f t="shared" si="82"/>
        <v>0</v>
      </c>
      <c r="AN43" s="63">
        <f t="shared" si="82"/>
        <v>0</v>
      </c>
      <c r="AO43" s="63">
        <f t="shared" si="82"/>
        <v>0</v>
      </c>
      <c r="AP43" s="63">
        <f t="shared" ref="AP43:AY45" si="83">IFERROR($J43/12*AP$20*(1+$G43)^(ROUNDUP(AP$5/12,0)-1),0)</f>
        <v>0</v>
      </c>
      <c r="AQ43" s="63">
        <f t="shared" si="83"/>
        <v>0</v>
      </c>
      <c r="AR43" s="63">
        <f t="shared" si="83"/>
        <v>0</v>
      </c>
      <c r="AS43" s="63">
        <f t="shared" si="83"/>
        <v>0</v>
      </c>
      <c r="AT43" s="63">
        <f t="shared" si="83"/>
        <v>0</v>
      </c>
      <c r="AU43" s="63">
        <f t="shared" si="83"/>
        <v>0</v>
      </c>
      <c r="AV43" s="63">
        <f t="shared" si="83"/>
        <v>0</v>
      </c>
      <c r="AW43" s="63">
        <f t="shared" si="83"/>
        <v>0</v>
      </c>
      <c r="AX43" s="63">
        <f t="shared" si="83"/>
        <v>0</v>
      </c>
      <c r="AY43" s="63">
        <f t="shared" si="83"/>
        <v>0</v>
      </c>
      <c r="AZ43" s="63">
        <f t="shared" ref="AZ43:BI45" si="84">IFERROR($J43/12*AZ$20*(1+$G43)^(ROUNDUP(AZ$5/12,0)-1),0)</f>
        <v>0</v>
      </c>
      <c r="BA43" s="63">
        <f t="shared" si="84"/>
        <v>0</v>
      </c>
      <c r="BB43" s="63">
        <f t="shared" si="84"/>
        <v>0</v>
      </c>
      <c r="BC43" s="63">
        <f t="shared" si="84"/>
        <v>0</v>
      </c>
      <c r="BD43" s="63">
        <f t="shared" si="84"/>
        <v>0</v>
      </c>
      <c r="BE43" s="63">
        <f t="shared" si="84"/>
        <v>0</v>
      </c>
      <c r="BF43" s="63">
        <f t="shared" si="84"/>
        <v>0</v>
      </c>
      <c r="BG43" s="63">
        <f t="shared" si="84"/>
        <v>0</v>
      </c>
      <c r="BH43" s="63">
        <f t="shared" si="84"/>
        <v>0</v>
      </c>
      <c r="BI43" s="63">
        <f t="shared" si="84"/>
        <v>0</v>
      </c>
      <c r="BJ43" s="63">
        <f t="shared" ref="BJ43:BS45" si="85">IFERROR($J43/12*BJ$20*(1+$G43)^(ROUNDUP(BJ$5/12,0)-1),0)</f>
        <v>0</v>
      </c>
      <c r="BK43" s="63">
        <f t="shared" si="85"/>
        <v>0</v>
      </c>
      <c r="BL43" s="63">
        <f t="shared" si="85"/>
        <v>0</v>
      </c>
      <c r="BM43" s="63">
        <f t="shared" si="85"/>
        <v>0</v>
      </c>
      <c r="BN43" s="63">
        <f t="shared" si="85"/>
        <v>0</v>
      </c>
      <c r="BO43" s="63">
        <f t="shared" si="85"/>
        <v>0</v>
      </c>
      <c r="BP43" s="63">
        <f t="shared" si="85"/>
        <v>0</v>
      </c>
      <c r="BQ43" s="63">
        <f t="shared" si="85"/>
        <v>0</v>
      </c>
      <c r="BR43" s="63">
        <f t="shared" si="85"/>
        <v>0</v>
      </c>
      <c r="BS43" s="63">
        <f t="shared" si="85"/>
        <v>0</v>
      </c>
      <c r="BT43" s="63">
        <f t="shared" ref="BT43:CC45" si="86">IFERROR($J43/12*BT$20*(1+$G43)^(ROUNDUP(BT$5/12,0)-1),0)</f>
        <v>0</v>
      </c>
      <c r="BU43" s="63">
        <f t="shared" si="86"/>
        <v>0</v>
      </c>
      <c r="BV43" s="63">
        <f t="shared" si="86"/>
        <v>0</v>
      </c>
      <c r="BW43" s="63">
        <f t="shared" si="86"/>
        <v>0</v>
      </c>
      <c r="BX43" s="63">
        <f t="shared" si="86"/>
        <v>0</v>
      </c>
      <c r="BY43" s="63">
        <f t="shared" si="86"/>
        <v>0</v>
      </c>
      <c r="BZ43" s="63">
        <f t="shared" si="86"/>
        <v>0</v>
      </c>
      <c r="CA43" s="63">
        <f t="shared" si="86"/>
        <v>0</v>
      </c>
      <c r="CB43" s="63">
        <f t="shared" si="86"/>
        <v>0</v>
      </c>
      <c r="CC43" s="63">
        <f t="shared" si="86"/>
        <v>0</v>
      </c>
      <c r="CD43" s="63">
        <f t="shared" ref="CD43:CM45" si="87">IFERROR($J43/12*CD$20*(1+$G43)^(ROUNDUP(CD$5/12,0)-1),0)</f>
        <v>0</v>
      </c>
      <c r="CE43" s="63">
        <f t="shared" si="87"/>
        <v>0</v>
      </c>
      <c r="CF43" s="63">
        <f t="shared" si="87"/>
        <v>0</v>
      </c>
      <c r="CG43" s="63">
        <f t="shared" si="87"/>
        <v>0</v>
      </c>
      <c r="CH43" s="63">
        <f t="shared" si="87"/>
        <v>0</v>
      </c>
      <c r="CI43" s="63">
        <f t="shared" si="87"/>
        <v>0</v>
      </c>
      <c r="CJ43" s="63">
        <f t="shared" si="87"/>
        <v>0</v>
      </c>
      <c r="CK43" s="63">
        <f t="shared" si="87"/>
        <v>0</v>
      </c>
      <c r="CL43" s="63">
        <f t="shared" si="87"/>
        <v>0</v>
      </c>
      <c r="CM43" s="63">
        <f t="shared" si="87"/>
        <v>0</v>
      </c>
      <c r="CN43" s="63">
        <f t="shared" ref="CN43:CW45" si="88">IFERROR($J43/12*CN$20*(1+$G43)^(ROUNDUP(CN$5/12,0)-1),0)</f>
        <v>0</v>
      </c>
      <c r="CO43" s="63">
        <f t="shared" si="88"/>
        <v>0</v>
      </c>
      <c r="CP43" s="63">
        <f t="shared" si="88"/>
        <v>0</v>
      </c>
      <c r="CQ43" s="63">
        <f t="shared" si="88"/>
        <v>0</v>
      </c>
      <c r="CR43" s="63">
        <f t="shared" si="88"/>
        <v>0</v>
      </c>
      <c r="CS43" s="63">
        <f t="shared" si="88"/>
        <v>0</v>
      </c>
      <c r="CT43" s="63">
        <f t="shared" si="88"/>
        <v>0</v>
      </c>
      <c r="CU43" s="63">
        <f t="shared" si="88"/>
        <v>0</v>
      </c>
      <c r="CV43" s="63">
        <f t="shared" si="88"/>
        <v>0</v>
      </c>
      <c r="CW43" s="63">
        <f t="shared" si="88"/>
        <v>0</v>
      </c>
      <c r="CX43" s="63">
        <f t="shared" ref="CX43:EO45" si="89">IFERROR($J43/12*CX$20*(1+$G43)^(ROUNDUP(CX$5/12,0)-1),0)</f>
        <v>0</v>
      </c>
      <c r="CY43" s="63">
        <f t="shared" si="89"/>
        <v>0</v>
      </c>
      <c r="CZ43" s="63">
        <f t="shared" si="89"/>
        <v>0</v>
      </c>
      <c r="DA43" s="63">
        <f t="shared" si="89"/>
        <v>0</v>
      </c>
      <c r="DB43" s="63">
        <f t="shared" si="89"/>
        <v>0</v>
      </c>
      <c r="DC43" s="63">
        <f t="shared" si="89"/>
        <v>0</v>
      </c>
      <c r="DD43" s="63">
        <f t="shared" si="89"/>
        <v>0</v>
      </c>
      <c r="DE43" s="63">
        <f t="shared" si="89"/>
        <v>0</v>
      </c>
      <c r="DF43" s="63">
        <f t="shared" si="89"/>
        <v>0</v>
      </c>
      <c r="DG43" s="63">
        <f t="shared" si="89"/>
        <v>0</v>
      </c>
      <c r="DH43" s="63">
        <f t="shared" si="89"/>
        <v>0</v>
      </c>
      <c r="DI43" s="63">
        <f t="shared" si="89"/>
        <v>0</v>
      </c>
      <c r="DJ43" s="63">
        <f t="shared" si="89"/>
        <v>0</v>
      </c>
      <c r="DK43" s="63">
        <f t="shared" si="89"/>
        <v>0</v>
      </c>
      <c r="DL43" s="63">
        <f t="shared" si="89"/>
        <v>0</v>
      </c>
      <c r="DM43" s="63">
        <f t="shared" si="89"/>
        <v>0</v>
      </c>
      <c r="DN43" s="63">
        <f t="shared" si="89"/>
        <v>0</v>
      </c>
      <c r="DO43" s="63">
        <f t="shared" si="89"/>
        <v>0</v>
      </c>
      <c r="DP43" s="63">
        <f t="shared" si="89"/>
        <v>0</v>
      </c>
      <c r="DQ43" s="63">
        <f t="shared" si="89"/>
        <v>0</v>
      </c>
      <c r="DR43" s="63">
        <f t="shared" si="89"/>
        <v>0</v>
      </c>
      <c r="DS43" s="63">
        <f t="shared" si="89"/>
        <v>0</v>
      </c>
      <c r="DT43" s="63">
        <f t="shared" si="89"/>
        <v>0</v>
      </c>
      <c r="DU43" s="63">
        <f t="shared" si="89"/>
        <v>0</v>
      </c>
      <c r="DV43" s="63">
        <f t="shared" si="89"/>
        <v>0</v>
      </c>
      <c r="DW43" s="63">
        <f t="shared" si="89"/>
        <v>0</v>
      </c>
      <c r="DX43" s="63">
        <f t="shared" si="89"/>
        <v>0</v>
      </c>
      <c r="DY43" s="63">
        <f t="shared" si="89"/>
        <v>0</v>
      </c>
      <c r="DZ43" s="63">
        <f t="shared" si="89"/>
        <v>0</v>
      </c>
      <c r="EA43" s="63">
        <f t="shared" si="89"/>
        <v>0</v>
      </c>
      <c r="EB43" s="63">
        <f t="shared" si="89"/>
        <v>0</v>
      </c>
      <c r="EC43" s="63">
        <f t="shared" si="89"/>
        <v>0</v>
      </c>
      <c r="ED43" s="63">
        <f t="shared" si="89"/>
        <v>0</v>
      </c>
      <c r="EE43" s="63">
        <f t="shared" si="89"/>
        <v>0</v>
      </c>
      <c r="EF43" s="63">
        <f t="shared" si="89"/>
        <v>0</v>
      </c>
      <c r="EG43" s="63">
        <f t="shared" si="89"/>
        <v>0</v>
      </c>
      <c r="EH43" s="63">
        <f t="shared" si="89"/>
        <v>0</v>
      </c>
      <c r="EI43" s="63">
        <f t="shared" si="89"/>
        <v>0</v>
      </c>
      <c r="EJ43" s="63">
        <f t="shared" si="89"/>
        <v>0</v>
      </c>
      <c r="EK43" s="63">
        <f t="shared" si="89"/>
        <v>0</v>
      </c>
      <c r="EL43" s="63">
        <f t="shared" si="89"/>
        <v>0</v>
      </c>
      <c r="EM43" s="63">
        <f t="shared" si="89"/>
        <v>0</v>
      </c>
      <c r="EN43" s="63">
        <f t="shared" si="89"/>
        <v>0</v>
      </c>
      <c r="EO43" s="63">
        <f t="shared" si="89"/>
        <v>0</v>
      </c>
    </row>
    <row r="44" spans="2:145" x14ac:dyDescent="0.45">
      <c r="B44" s="58" t="s">
        <v>106</v>
      </c>
      <c r="G44" s="137">
        <f>+Assumptions!$I$138</f>
        <v>0.02</v>
      </c>
      <c r="H44" s="100"/>
      <c r="I44" s="88">
        <v>0</v>
      </c>
      <c r="J44" s="63">
        <f>+$F$19*I44</f>
        <v>0</v>
      </c>
      <c r="L44" s="63">
        <f t="shared" si="80"/>
        <v>0</v>
      </c>
      <c r="M44" s="63">
        <f t="shared" si="80"/>
        <v>0</v>
      </c>
      <c r="N44" s="63">
        <f t="shared" si="80"/>
        <v>0</v>
      </c>
      <c r="O44" s="63">
        <f t="shared" si="80"/>
        <v>0</v>
      </c>
      <c r="P44" s="63">
        <f t="shared" si="80"/>
        <v>0</v>
      </c>
      <c r="Q44" s="63">
        <f t="shared" si="80"/>
        <v>0</v>
      </c>
      <c r="R44" s="63">
        <f t="shared" si="80"/>
        <v>0</v>
      </c>
      <c r="S44" s="63">
        <f t="shared" si="80"/>
        <v>0</v>
      </c>
      <c r="T44" s="63">
        <f t="shared" si="80"/>
        <v>0</v>
      </c>
      <c r="U44" s="63">
        <f t="shared" si="80"/>
        <v>0</v>
      </c>
      <c r="V44" s="63">
        <f t="shared" si="81"/>
        <v>0</v>
      </c>
      <c r="W44" s="63">
        <f t="shared" si="81"/>
        <v>0</v>
      </c>
      <c r="X44" s="63">
        <f t="shared" si="81"/>
        <v>0</v>
      </c>
      <c r="Y44" s="63">
        <f t="shared" si="81"/>
        <v>0</v>
      </c>
      <c r="Z44" s="63">
        <f t="shared" si="81"/>
        <v>0</v>
      </c>
      <c r="AA44" s="63">
        <f t="shared" si="81"/>
        <v>0</v>
      </c>
      <c r="AB44" s="63">
        <f t="shared" si="81"/>
        <v>0</v>
      </c>
      <c r="AC44" s="63">
        <f t="shared" si="81"/>
        <v>0</v>
      </c>
      <c r="AD44" s="63">
        <f t="shared" si="81"/>
        <v>0</v>
      </c>
      <c r="AE44" s="63">
        <f t="shared" si="81"/>
        <v>0</v>
      </c>
      <c r="AF44" s="63">
        <f t="shared" si="82"/>
        <v>0</v>
      </c>
      <c r="AG44" s="63">
        <f t="shared" si="82"/>
        <v>0</v>
      </c>
      <c r="AH44" s="63">
        <f t="shared" si="82"/>
        <v>0</v>
      </c>
      <c r="AI44" s="63">
        <f t="shared" si="82"/>
        <v>0</v>
      </c>
      <c r="AJ44" s="63">
        <f t="shared" si="82"/>
        <v>0</v>
      </c>
      <c r="AK44" s="63">
        <f t="shared" si="82"/>
        <v>0</v>
      </c>
      <c r="AL44" s="63">
        <f t="shared" si="82"/>
        <v>0</v>
      </c>
      <c r="AM44" s="63">
        <f t="shared" si="82"/>
        <v>0</v>
      </c>
      <c r="AN44" s="63">
        <f t="shared" si="82"/>
        <v>0</v>
      </c>
      <c r="AO44" s="63">
        <f t="shared" si="82"/>
        <v>0</v>
      </c>
      <c r="AP44" s="63">
        <f t="shared" si="83"/>
        <v>0</v>
      </c>
      <c r="AQ44" s="63">
        <f t="shared" si="83"/>
        <v>0</v>
      </c>
      <c r="AR44" s="63">
        <f t="shared" si="83"/>
        <v>0</v>
      </c>
      <c r="AS44" s="63">
        <f t="shared" si="83"/>
        <v>0</v>
      </c>
      <c r="AT44" s="63">
        <f t="shared" si="83"/>
        <v>0</v>
      </c>
      <c r="AU44" s="63">
        <f t="shared" si="83"/>
        <v>0</v>
      </c>
      <c r="AV44" s="63">
        <f t="shared" si="83"/>
        <v>0</v>
      </c>
      <c r="AW44" s="63">
        <f t="shared" si="83"/>
        <v>0</v>
      </c>
      <c r="AX44" s="63">
        <f t="shared" si="83"/>
        <v>0</v>
      </c>
      <c r="AY44" s="63">
        <f t="shared" si="83"/>
        <v>0</v>
      </c>
      <c r="AZ44" s="63">
        <f t="shared" si="84"/>
        <v>0</v>
      </c>
      <c r="BA44" s="63">
        <f t="shared" si="84"/>
        <v>0</v>
      </c>
      <c r="BB44" s="63">
        <f t="shared" si="84"/>
        <v>0</v>
      </c>
      <c r="BC44" s="63">
        <f t="shared" si="84"/>
        <v>0</v>
      </c>
      <c r="BD44" s="63">
        <f t="shared" si="84"/>
        <v>0</v>
      </c>
      <c r="BE44" s="63">
        <f t="shared" si="84"/>
        <v>0</v>
      </c>
      <c r="BF44" s="63">
        <f t="shared" si="84"/>
        <v>0</v>
      </c>
      <c r="BG44" s="63">
        <f t="shared" si="84"/>
        <v>0</v>
      </c>
      <c r="BH44" s="63">
        <f t="shared" si="84"/>
        <v>0</v>
      </c>
      <c r="BI44" s="63">
        <f t="shared" si="84"/>
        <v>0</v>
      </c>
      <c r="BJ44" s="63">
        <f t="shared" si="85"/>
        <v>0</v>
      </c>
      <c r="BK44" s="63">
        <f t="shared" si="85"/>
        <v>0</v>
      </c>
      <c r="BL44" s="63">
        <f t="shared" si="85"/>
        <v>0</v>
      </c>
      <c r="BM44" s="63">
        <f t="shared" si="85"/>
        <v>0</v>
      </c>
      <c r="BN44" s="63">
        <f t="shared" si="85"/>
        <v>0</v>
      </c>
      <c r="BO44" s="63">
        <f t="shared" si="85"/>
        <v>0</v>
      </c>
      <c r="BP44" s="63">
        <f t="shared" si="85"/>
        <v>0</v>
      </c>
      <c r="BQ44" s="63">
        <f t="shared" si="85"/>
        <v>0</v>
      </c>
      <c r="BR44" s="63">
        <f t="shared" si="85"/>
        <v>0</v>
      </c>
      <c r="BS44" s="63">
        <f t="shared" si="85"/>
        <v>0</v>
      </c>
      <c r="BT44" s="63">
        <f t="shared" si="86"/>
        <v>0</v>
      </c>
      <c r="BU44" s="63">
        <f t="shared" si="86"/>
        <v>0</v>
      </c>
      <c r="BV44" s="63">
        <f t="shared" si="86"/>
        <v>0</v>
      </c>
      <c r="BW44" s="63">
        <f t="shared" si="86"/>
        <v>0</v>
      </c>
      <c r="BX44" s="63">
        <f t="shared" si="86"/>
        <v>0</v>
      </c>
      <c r="BY44" s="63">
        <f t="shared" si="86"/>
        <v>0</v>
      </c>
      <c r="BZ44" s="63">
        <f t="shared" si="86"/>
        <v>0</v>
      </c>
      <c r="CA44" s="63">
        <f t="shared" si="86"/>
        <v>0</v>
      </c>
      <c r="CB44" s="63">
        <f t="shared" si="86"/>
        <v>0</v>
      </c>
      <c r="CC44" s="63">
        <f t="shared" si="86"/>
        <v>0</v>
      </c>
      <c r="CD44" s="63">
        <f t="shared" si="87"/>
        <v>0</v>
      </c>
      <c r="CE44" s="63">
        <f t="shared" si="87"/>
        <v>0</v>
      </c>
      <c r="CF44" s="63">
        <f t="shared" si="87"/>
        <v>0</v>
      </c>
      <c r="CG44" s="63">
        <f t="shared" si="87"/>
        <v>0</v>
      </c>
      <c r="CH44" s="63">
        <f t="shared" si="87"/>
        <v>0</v>
      </c>
      <c r="CI44" s="63">
        <f t="shared" si="87"/>
        <v>0</v>
      </c>
      <c r="CJ44" s="63">
        <f t="shared" si="87"/>
        <v>0</v>
      </c>
      <c r="CK44" s="63">
        <f t="shared" si="87"/>
        <v>0</v>
      </c>
      <c r="CL44" s="63">
        <f t="shared" si="87"/>
        <v>0</v>
      </c>
      <c r="CM44" s="63">
        <f t="shared" si="87"/>
        <v>0</v>
      </c>
      <c r="CN44" s="63">
        <f t="shared" si="88"/>
        <v>0</v>
      </c>
      <c r="CO44" s="63">
        <f t="shared" si="88"/>
        <v>0</v>
      </c>
      <c r="CP44" s="63">
        <f t="shared" si="88"/>
        <v>0</v>
      </c>
      <c r="CQ44" s="63">
        <f t="shared" si="88"/>
        <v>0</v>
      </c>
      <c r="CR44" s="63">
        <f t="shared" si="88"/>
        <v>0</v>
      </c>
      <c r="CS44" s="63">
        <f t="shared" si="88"/>
        <v>0</v>
      </c>
      <c r="CT44" s="63">
        <f t="shared" si="88"/>
        <v>0</v>
      </c>
      <c r="CU44" s="63">
        <f t="shared" si="88"/>
        <v>0</v>
      </c>
      <c r="CV44" s="63">
        <f t="shared" si="88"/>
        <v>0</v>
      </c>
      <c r="CW44" s="63">
        <f t="shared" si="88"/>
        <v>0</v>
      </c>
      <c r="CX44" s="63">
        <f t="shared" si="89"/>
        <v>0</v>
      </c>
      <c r="CY44" s="63">
        <f t="shared" si="89"/>
        <v>0</v>
      </c>
      <c r="CZ44" s="63">
        <f t="shared" si="89"/>
        <v>0</v>
      </c>
      <c r="DA44" s="63">
        <f t="shared" si="89"/>
        <v>0</v>
      </c>
      <c r="DB44" s="63">
        <f t="shared" si="89"/>
        <v>0</v>
      </c>
      <c r="DC44" s="63">
        <f t="shared" si="89"/>
        <v>0</v>
      </c>
      <c r="DD44" s="63">
        <f t="shared" si="89"/>
        <v>0</v>
      </c>
      <c r="DE44" s="63">
        <f t="shared" si="89"/>
        <v>0</v>
      </c>
      <c r="DF44" s="63">
        <f t="shared" si="89"/>
        <v>0</v>
      </c>
      <c r="DG44" s="63">
        <f t="shared" si="89"/>
        <v>0</v>
      </c>
      <c r="DH44" s="63">
        <f t="shared" si="89"/>
        <v>0</v>
      </c>
      <c r="DI44" s="63">
        <f t="shared" si="89"/>
        <v>0</v>
      </c>
      <c r="DJ44" s="63">
        <f t="shared" si="89"/>
        <v>0</v>
      </c>
      <c r="DK44" s="63">
        <f t="shared" si="89"/>
        <v>0</v>
      </c>
      <c r="DL44" s="63">
        <f t="shared" si="89"/>
        <v>0</v>
      </c>
      <c r="DM44" s="63">
        <f t="shared" si="89"/>
        <v>0</v>
      </c>
      <c r="DN44" s="63">
        <f t="shared" si="89"/>
        <v>0</v>
      </c>
      <c r="DO44" s="63">
        <f t="shared" si="89"/>
        <v>0</v>
      </c>
      <c r="DP44" s="63">
        <f t="shared" si="89"/>
        <v>0</v>
      </c>
      <c r="DQ44" s="63">
        <f t="shared" si="89"/>
        <v>0</v>
      </c>
      <c r="DR44" s="63">
        <f t="shared" si="89"/>
        <v>0</v>
      </c>
      <c r="DS44" s="63">
        <f t="shared" si="89"/>
        <v>0</v>
      </c>
      <c r="DT44" s="63">
        <f t="shared" si="89"/>
        <v>0</v>
      </c>
      <c r="DU44" s="63">
        <f t="shared" si="89"/>
        <v>0</v>
      </c>
      <c r="DV44" s="63">
        <f t="shared" si="89"/>
        <v>0</v>
      </c>
      <c r="DW44" s="63">
        <f t="shared" si="89"/>
        <v>0</v>
      </c>
      <c r="DX44" s="63">
        <f t="shared" si="89"/>
        <v>0</v>
      </c>
      <c r="DY44" s="63">
        <f t="shared" si="89"/>
        <v>0</v>
      </c>
      <c r="DZ44" s="63">
        <f t="shared" si="89"/>
        <v>0</v>
      </c>
      <c r="EA44" s="63">
        <f t="shared" si="89"/>
        <v>0</v>
      </c>
      <c r="EB44" s="63">
        <f t="shared" si="89"/>
        <v>0</v>
      </c>
      <c r="EC44" s="63">
        <f t="shared" si="89"/>
        <v>0</v>
      </c>
      <c r="ED44" s="63">
        <f t="shared" si="89"/>
        <v>0</v>
      </c>
      <c r="EE44" s="63">
        <f t="shared" si="89"/>
        <v>0</v>
      </c>
      <c r="EF44" s="63">
        <f t="shared" si="89"/>
        <v>0</v>
      </c>
      <c r="EG44" s="63">
        <f t="shared" si="89"/>
        <v>0</v>
      </c>
      <c r="EH44" s="63">
        <f t="shared" si="89"/>
        <v>0</v>
      </c>
      <c r="EI44" s="63">
        <f t="shared" si="89"/>
        <v>0</v>
      </c>
      <c r="EJ44" s="63">
        <f t="shared" si="89"/>
        <v>0</v>
      </c>
      <c r="EK44" s="63">
        <f t="shared" si="89"/>
        <v>0</v>
      </c>
      <c r="EL44" s="63">
        <f t="shared" si="89"/>
        <v>0</v>
      </c>
      <c r="EM44" s="63">
        <f t="shared" si="89"/>
        <v>0</v>
      </c>
      <c r="EN44" s="63">
        <f t="shared" si="89"/>
        <v>0</v>
      </c>
      <c r="EO44" s="63">
        <f t="shared" si="89"/>
        <v>0</v>
      </c>
    </row>
    <row r="45" spans="2:145" x14ac:dyDescent="0.45">
      <c r="B45" s="58" t="s">
        <v>75</v>
      </c>
      <c r="G45" s="137">
        <f>+Assumptions!$I$138</f>
        <v>0.02</v>
      </c>
      <c r="H45" s="100"/>
      <c r="I45" s="88">
        <v>0</v>
      </c>
      <c r="J45" s="63">
        <f>+$F$19*I45</f>
        <v>0</v>
      </c>
      <c r="L45" s="63">
        <f t="shared" si="80"/>
        <v>0</v>
      </c>
      <c r="M45" s="63">
        <f t="shared" si="80"/>
        <v>0</v>
      </c>
      <c r="N45" s="63">
        <f t="shared" si="80"/>
        <v>0</v>
      </c>
      <c r="O45" s="63">
        <f t="shared" si="80"/>
        <v>0</v>
      </c>
      <c r="P45" s="63">
        <f t="shared" si="80"/>
        <v>0</v>
      </c>
      <c r="Q45" s="63">
        <f t="shared" si="80"/>
        <v>0</v>
      </c>
      <c r="R45" s="63">
        <f t="shared" si="80"/>
        <v>0</v>
      </c>
      <c r="S45" s="63">
        <f t="shared" si="80"/>
        <v>0</v>
      </c>
      <c r="T45" s="63">
        <f t="shared" si="80"/>
        <v>0</v>
      </c>
      <c r="U45" s="63">
        <f t="shared" si="80"/>
        <v>0</v>
      </c>
      <c r="V45" s="63">
        <f t="shared" si="81"/>
        <v>0</v>
      </c>
      <c r="W45" s="63">
        <f t="shared" si="81"/>
        <v>0</v>
      </c>
      <c r="X45" s="63">
        <f t="shared" si="81"/>
        <v>0</v>
      </c>
      <c r="Y45" s="63">
        <f t="shared" si="81"/>
        <v>0</v>
      </c>
      <c r="Z45" s="63">
        <f t="shared" si="81"/>
        <v>0</v>
      </c>
      <c r="AA45" s="63">
        <f t="shared" si="81"/>
        <v>0</v>
      </c>
      <c r="AB45" s="63">
        <f t="shared" si="81"/>
        <v>0</v>
      </c>
      <c r="AC45" s="63">
        <f t="shared" si="81"/>
        <v>0</v>
      </c>
      <c r="AD45" s="63">
        <f t="shared" si="81"/>
        <v>0</v>
      </c>
      <c r="AE45" s="63">
        <f t="shared" si="81"/>
        <v>0</v>
      </c>
      <c r="AF45" s="63">
        <f t="shared" si="82"/>
        <v>0</v>
      </c>
      <c r="AG45" s="63">
        <f t="shared" si="82"/>
        <v>0</v>
      </c>
      <c r="AH45" s="63">
        <f t="shared" si="82"/>
        <v>0</v>
      </c>
      <c r="AI45" s="63">
        <f t="shared" si="82"/>
        <v>0</v>
      </c>
      <c r="AJ45" s="63">
        <f t="shared" si="82"/>
        <v>0</v>
      </c>
      <c r="AK45" s="63">
        <f t="shared" si="82"/>
        <v>0</v>
      </c>
      <c r="AL45" s="63">
        <f t="shared" si="82"/>
        <v>0</v>
      </c>
      <c r="AM45" s="63">
        <f t="shared" si="82"/>
        <v>0</v>
      </c>
      <c r="AN45" s="63">
        <f t="shared" si="82"/>
        <v>0</v>
      </c>
      <c r="AO45" s="63">
        <f t="shared" si="82"/>
        <v>0</v>
      </c>
      <c r="AP45" s="63">
        <f t="shared" si="83"/>
        <v>0</v>
      </c>
      <c r="AQ45" s="63">
        <f t="shared" si="83"/>
        <v>0</v>
      </c>
      <c r="AR45" s="63">
        <f t="shared" si="83"/>
        <v>0</v>
      </c>
      <c r="AS45" s="63">
        <f t="shared" si="83"/>
        <v>0</v>
      </c>
      <c r="AT45" s="63">
        <f t="shared" si="83"/>
        <v>0</v>
      </c>
      <c r="AU45" s="63">
        <f t="shared" si="83"/>
        <v>0</v>
      </c>
      <c r="AV45" s="63">
        <f t="shared" si="83"/>
        <v>0</v>
      </c>
      <c r="AW45" s="63">
        <f t="shared" si="83"/>
        <v>0</v>
      </c>
      <c r="AX45" s="63">
        <f t="shared" si="83"/>
        <v>0</v>
      </c>
      <c r="AY45" s="63">
        <f t="shared" si="83"/>
        <v>0</v>
      </c>
      <c r="AZ45" s="63">
        <f t="shared" si="84"/>
        <v>0</v>
      </c>
      <c r="BA45" s="63">
        <f t="shared" si="84"/>
        <v>0</v>
      </c>
      <c r="BB45" s="63">
        <f t="shared" si="84"/>
        <v>0</v>
      </c>
      <c r="BC45" s="63">
        <f t="shared" si="84"/>
        <v>0</v>
      </c>
      <c r="BD45" s="63">
        <f t="shared" si="84"/>
        <v>0</v>
      </c>
      <c r="BE45" s="63">
        <f t="shared" si="84"/>
        <v>0</v>
      </c>
      <c r="BF45" s="63">
        <f t="shared" si="84"/>
        <v>0</v>
      </c>
      <c r="BG45" s="63">
        <f t="shared" si="84"/>
        <v>0</v>
      </c>
      <c r="BH45" s="63">
        <f t="shared" si="84"/>
        <v>0</v>
      </c>
      <c r="BI45" s="63">
        <f t="shared" si="84"/>
        <v>0</v>
      </c>
      <c r="BJ45" s="63">
        <f t="shared" si="85"/>
        <v>0</v>
      </c>
      <c r="BK45" s="63">
        <f t="shared" si="85"/>
        <v>0</v>
      </c>
      <c r="BL45" s="63">
        <f t="shared" si="85"/>
        <v>0</v>
      </c>
      <c r="BM45" s="63">
        <f t="shared" si="85"/>
        <v>0</v>
      </c>
      <c r="BN45" s="63">
        <f t="shared" si="85"/>
        <v>0</v>
      </c>
      <c r="BO45" s="63">
        <f t="shared" si="85"/>
        <v>0</v>
      </c>
      <c r="BP45" s="63">
        <f t="shared" si="85"/>
        <v>0</v>
      </c>
      <c r="BQ45" s="63">
        <f t="shared" si="85"/>
        <v>0</v>
      </c>
      <c r="BR45" s="63">
        <f t="shared" si="85"/>
        <v>0</v>
      </c>
      <c r="BS45" s="63">
        <f t="shared" si="85"/>
        <v>0</v>
      </c>
      <c r="BT45" s="63">
        <f t="shared" si="86"/>
        <v>0</v>
      </c>
      <c r="BU45" s="63">
        <f t="shared" si="86"/>
        <v>0</v>
      </c>
      <c r="BV45" s="63">
        <f t="shared" si="86"/>
        <v>0</v>
      </c>
      <c r="BW45" s="63">
        <f t="shared" si="86"/>
        <v>0</v>
      </c>
      <c r="BX45" s="63">
        <f t="shared" si="86"/>
        <v>0</v>
      </c>
      <c r="BY45" s="63">
        <f t="shared" si="86"/>
        <v>0</v>
      </c>
      <c r="BZ45" s="63">
        <f t="shared" si="86"/>
        <v>0</v>
      </c>
      <c r="CA45" s="63">
        <f t="shared" si="86"/>
        <v>0</v>
      </c>
      <c r="CB45" s="63">
        <f t="shared" si="86"/>
        <v>0</v>
      </c>
      <c r="CC45" s="63">
        <f t="shared" si="86"/>
        <v>0</v>
      </c>
      <c r="CD45" s="63">
        <f t="shared" si="87"/>
        <v>0</v>
      </c>
      <c r="CE45" s="63">
        <f t="shared" si="87"/>
        <v>0</v>
      </c>
      <c r="CF45" s="63">
        <f t="shared" si="87"/>
        <v>0</v>
      </c>
      <c r="CG45" s="63">
        <f t="shared" si="87"/>
        <v>0</v>
      </c>
      <c r="CH45" s="63">
        <f t="shared" si="87"/>
        <v>0</v>
      </c>
      <c r="CI45" s="63">
        <f t="shared" si="87"/>
        <v>0</v>
      </c>
      <c r="CJ45" s="63">
        <f t="shared" si="87"/>
        <v>0</v>
      </c>
      <c r="CK45" s="63">
        <f t="shared" si="87"/>
        <v>0</v>
      </c>
      <c r="CL45" s="63">
        <f t="shared" si="87"/>
        <v>0</v>
      </c>
      <c r="CM45" s="63">
        <f t="shared" si="87"/>
        <v>0</v>
      </c>
      <c r="CN45" s="63">
        <f t="shared" si="88"/>
        <v>0</v>
      </c>
      <c r="CO45" s="63">
        <f t="shared" si="88"/>
        <v>0</v>
      </c>
      <c r="CP45" s="63">
        <f t="shared" si="88"/>
        <v>0</v>
      </c>
      <c r="CQ45" s="63">
        <f t="shared" si="88"/>
        <v>0</v>
      </c>
      <c r="CR45" s="63">
        <f t="shared" si="88"/>
        <v>0</v>
      </c>
      <c r="CS45" s="63">
        <f t="shared" si="88"/>
        <v>0</v>
      </c>
      <c r="CT45" s="63">
        <f t="shared" si="88"/>
        <v>0</v>
      </c>
      <c r="CU45" s="63">
        <f t="shared" si="88"/>
        <v>0</v>
      </c>
      <c r="CV45" s="63">
        <f t="shared" si="88"/>
        <v>0</v>
      </c>
      <c r="CW45" s="63">
        <f t="shared" si="88"/>
        <v>0</v>
      </c>
      <c r="CX45" s="63">
        <f t="shared" si="89"/>
        <v>0</v>
      </c>
      <c r="CY45" s="63">
        <f t="shared" si="89"/>
        <v>0</v>
      </c>
      <c r="CZ45" s="63">
        <f t="shared" si="89"/>
        <v>0</v>
      </c>
      <c r="DA45" s="63">
        <f t="shared" si="89"/>
        <v>0</v>
      </c>
      <c r="DB45" s="63">
        <f t="shared" si="89"/>
        <v>0</v>
      </c>
      <c r="DC45" s="63">
        <f t="shared" si="89"/>
        <v>0</v>
      </c>
      <c r="DD45" s="63">
        <f t="shared" si="89"/>
        <v>0</v>
      </c>
      <c r="DE45" s="63">
        <f t="shared" si="89"/>
        <v>0</v>
      </c>
      <c r="DF45" s="63">
        <f t="shared" si="89"/>
        <v>0</v>
      </c>
      <c r="DG45" s="63">
        <f t="shared" si="89"/>
        <v>0</v>
      </c>
      <c r="DH45" s="63">
        <f t="shared" si="89"/>
        <v>0</v>
      </c>
      <c r="DI45" s="63">
        <f t="shared" si="89"/>
        <v>0</v>
      </c>
      <c r="DJ45" s="63">
        <f t="shared" si="89"/>
        <v>0</v>
      </c>
      <c r="DK45" s="63">
        <f t="shared" si="89"/>
        <v>0</v>
      </c>
      <c r="DL45" s="63">
        <f t="shared" si="89"/>
        <v>0</v>
      </c>
      <c r="DM45" s="63">
        <f t="shared" si="89"/>
        <v>0</v>
      </c>
      <c r="DN45" s="63">
        <f t="shared" si="89"/>
        <v>0</v>
      </c>
      <c r="DO45" s="63">
        <f t="shared" si="89"/>
        <v>0</v>
      </c>
      <c r="DP45" s="63">
        <f t="shared" si="89"/>
        <v>0</v>
      </c>
      <c r="DQ45" s="63">
        <f t="shared" si="89"/>
        <v>0</v>
      </c>
      <c r="DR45" s="63">
        <f t="shared" si="89"/>
        <v>0</v>
      </c>
      <c r="DS45" s="63">
        <f t="shared" si="89"/>
        <v>0</v>
      </c>
      <c r="DT45" s="63">
        <f t="shared" si="89"/>
        <v>0</v>
      </c>
      <c r="DU45" s="63">
        <f t="shared" si="89"/>
        <v>0</v>
      </c>
      <c r="DV45" s="63">
        <f t="shared" si="89"/>
        <v>0</v>
      </c>
      <c r="DW45" s="63">
        <f t="shared" si="89"/>
        <v>0</v>
      </c>
      <c r="DX45" s="63">
        <f t="shared" si="89"/>
        <v>0</v>
      </c>
      <c r="DY45" s="63">
        <f t="shared" si="89"/>
        <v>0</v>
      </c>
      <c r="DZ45" s="63">
        <f t="shared" si="89"/>
        <v>0</v>
      </c>
      <c r="EA45" s="63">
        <f t="shared" si="89"/>
        <v>0</v>
      </c>
      <c r="EB45" s="63">
        <f t="shared" si="89"/>
        <v>0</v>
      </c>
      <c r="EC45" s="63">
        <f t="shared" si="89"/>
        <v>0</v>
      </c>
      <c r="ED45" s="63">
        <f t="shared" si="89"/>
        <v>0</v>
      </c>
      <c r="EE45" s="63">
        <f t="shared" si="89"/>
        <v>0</v>
      </c>
      <c r="EF45" s="63">
        <f t="shared" si="89"/>
        <v>0</v>
      </c>
      <c r="EG45" s="63">
        <f t="shared" si="89"/>
        <v>0</v>
      </c>
      <c r="EH45" s="63">
        <f t="shared" si="89"/>
        <v>0</v>
      </c>
      <c r="EI45" s="63">
        <f t="shared" si="89"/>
        <v>0</v>
      </c>
      <c r="EJ45" s="63">
        <f t="shared" si="89"/>
        <v>0</v>
      </c>
      <c r="EK45" s="63">
        <f t="shared" si="89"/>
        <v>0</v>
      </c>
      <c r="EL45" s="63">
        <f t="shared" si="89"/>
        <v>0</v>
      </c>
      <c r="EM45" s="63">
        <f t="shared" si="89"/>
        <v>0</v>
      </c>
      <c r="EN45" s="63">
        <f t="shared" si="89"/>
        <v>0</v>
      </c>
      <c r="EO45" s="63">
        <f t="shared" si="89"/>
        <v>0</v>
      </c>
    </row>
    <row r="46" spans="2:145" x14ac:dyDescent="0.45">
      <c r="B46" s="58" t="s">
        <v>21</v>
      </c>
      <c r="G46" s="137">
        <f>+Assumptions!$I$138</f>
        <v>0.02</v>
      </c>
      <c r="H46" s="100"/>
      <c r="I46" s="88">
        <v>0</v>
      </c>
      <c r="J46" s="63">
        <f>+$F$19*I46</f>
        <v>0</v>
      </c>
      <c r="L46" s="63">
        <f t="shared" ref="L46:AQ46" si="90">IFERROR($J46/12*L$20*(1+$G46)^(ROUNDUP(L$5/12,0)-1),0)</f>
        <v>0</v>
      </c>
      <c r="M46" s="63">
        <f t="shared" si="90"/>
        <v>0</v>
      </c>
      <c r="N46" s="63">
        <f t="shared" si="90"/>
        <v>0</v>
      </c>
      <c r="O46" s="63">
        <f t="shared" si="90"/>
        <v>0</v>
      </c>
      <c r="P46" s="63">
        <f t="shared" si="90"/>
        <v>0</v>
      </c>
      <c r="Q46" s="63">
        <f t="shared" si="90"/>
        <v>0</v>
      </c>
      <c r="R46" s="63">
        <f t="shared" si="90"/>
        <v>0</v>
      </c>
      <c r="S46" s="63">
        <f t="shared" si="90"/>
        <v>0</v>
      </c>
      <c r="T46" s="63">
        <f t="shared" si="90"/>
        <v>0</v>
      </c>
      <c r="U46" s="63">
        <f t="shared" si="90"/>
        <v>0</v>
      </c>
      <c r="V46" s="63">
        <f t="shared" si="90"/>
        <v>0</v>
      </c>
      <c r="W46" s="63">
        <f t="shared" si="90"/>
        <v>0</v>
      </c>
      <c r="X46" s="63">
        <f t="shared" si="90"/>
        <v>0</v>
      </c>
      <c r="Y46" s="63">
        <f t="shared" si="90"/>
        <v>0</v>
      </c>
      <c r="Z46" s="63">
        <f t="shared" si="90"/>
        <v>0</v>
      </c>
      <c r="AA46" s="63">
        <f t="shared" si="90"/>
        <v>0</v>
      </c>
      <c r="AB46" s="63">
        <f t="shared" si="90"/>
        <v>0</v>
      </c>
      <c r="AC46" s="63">
        <f t="shared" si="90"/>
        <v>0</v>
      </c>
      <c r="AD46" s="63">
        <f t="shared" si="90"/>
        <v>0</v>
      </c>
      <c r="AE46" s="63">
        <f t="shared" si="90"/>
        <v>0</v>
      </c>
      <c r="AF46" s="63">
        <f t="shared" si="90"/>
        <v>0</v>
      </c>
      <c r="AG46" s="63">
        <f t="shared" si="90"/>
        <v>0</v>
      </c>
      <c r="AH46" s="63">
        <f t="shared" si="90"/>
        <v>0</v>
      </c>
      <c r="AI46" s="63">
        <f t="shared" si="90"/>
        <v>0</v>
      </c>
      <c r="AJ46" s="63">
        <f t="shared" si="90"/>
        <v>0</v>
      </c>
      <c r="AK46" s="63">
        <f t="shared" si="90"/>
        <v>0</v>
      </c>
      <c r="AL46" s="63">
        <f t="shared" si="90"/>
        <v>0</v>
      </c>
      <c r="AM46" s="63">
        <f t="shared" si="90"/>
        <v>0</v>
      </c>
      <c r="AN46" s="63">
        <f t="shared" si="90"/>
        <v>0</v>
      </c>
      <c r="AO46" s="63">
        <f t="shared" si="90"/>
        <v>0</v>
      </c>
      <c r="AP46" s="63">
        <f t="shared" si="90"/>
        <v>0</v>
      </c>
      <c r="AQ46" s="63">
        <f t="shared" si="90"/>
        <v>0</v>
      </c>
      <c r="AR46" s="63">
        <f t="shared" ref="AR46:BW46" si="91">IFERROR($J46/12*AR$20*(1+$G46)^(ROUNDUP(AR$5/12,0)-1),0)</f>
        <v>0</v>
      </c>
      <c r="AS46" s="63">
        <f t="shared" si="91"/>
        <v>0</v>
      </c>
      <c r="AT46" s="63">
        <f t="shared" si="91"/>
        <v>0</v>
      </c>
      <c r="AU46" s="63">
        <f t="shared" si="91"/>
        <v>0</v>
      </c>
      <c r="AV46" s="63">
        <f t="shared" si="91"/>
        <v>0</v>
      </c>
      <c r="AW46" s="63">
        <f t="shared" si="91"/>
        <v>0</v>
      </c>
      <c r="AX46" s="63">
        <f t="shared" si="91"/>
        <v>0</v>
      </c>
      <c r="AY46" s="63">
        <f t="shared" si="91"/>
        <v>0</v>
      </c>
      <c r="AZ46" s="63">
        <f t="shared" si="91"/>
        <v>0</v>
      </c>
      <c r="BA46" s="63">
        <f t="shared" si="91"/>
        <v>0</v>
      </c>
      <c r="BB46" s="63">
        <f t="shared" si="91"/>
        <v>0</v>
      </c>
      <c r="BC46" s="63">
        <f t="shared" si="91"/>
        <v>0</v>
      </c>
      <c r="BD46" s="63">
        <f t="shared" si="91"/>
        <v>0</v>
      </c>
      <c r="BE46" s="63">
        <f t="shared" si="91"/>
        <v>0</v>
      </c>
      <c r="BF46" s="63">
        <f t="shared" si="91"/>
        <v>0</v>
      </c>
      <c r="BG46" s="63">
        <f t="shared" si="91"/>
        <v>0</v>
      </c>
      <c r="BH46" s="63">
        <f t="shared" si="91"/>
        <v>0</v>
      </c>
      <c r="BI46" s="63">
        <f t="shared" si="91"/>
        <v>0</v>
      </c>
      <c r="BJ46" s="63">
        <f t="shared" si="91"/>
        <v>0</v>
      </c>
      <c r="BK46" s="63">
        <f t="shared" si="91"/>
        <v>0</v>
      </c>
      <c r="BL46" s="63">
        <f t="shared" si="91"/>
        <v>0</v>
      </c>
      <c r="BM46" s="63">
        <f t="shared" si="91"/>
        <v>0</v>
      </c>
      <c r="BN46" s="63">
        <f t="shared" si="91"/>
        <v>0</v>
      </c>
      <c r="BO46" s="63">
        <f t="shared" si="91"/>
        <v>0</v>
      </c>
      <c r="BP46" s="63">
        <f t="shared" si="91"/>
        <v>0</v>
      </c>
      <c r="BQ46" s="63">
        <f t="shared" si="91"/>
        <v>0</v>
      </c>
      <c r="BR46" s="63">
        <f t="shared" si="91"/>
        <v>0</v>
      </c>
      <c r="BS46" s="63">
        <f t="shared" si="91"/>
        <v>0</v>
      </c>
      <c r="BT46" s="63">
        <f t="shared" si="91"/>
        <v>0</v>
      </c>
      <c r="BU46" s="63">
        <f t="shared" si="91"/>
        <v>0</v>
      </c>
      <c r="BV46" s="63">
        <f t="shared" si="91"/>
        <v>0</v>
      </c>
      <c r="BW46" s="63">
        <f t="shared" si="91"/>
        <v>0</v>
      </c>
      <c r="BX46" s="63">
        <f>IFERROR($J46/12*BX$20*(1+$G46)^(ROUNDUP(BX$5/12,0)-1),0)</f>
        <v>0</v>
      </c>
      <c r="BY46" s="63">
        <f t="shared" ref="BY46:EO46" si="92">IFERROR($J46/12*BY$20*(1+$G46)^(ROUNDUP(BY$5/12,0)-1),0)</f>
        <v>0</v>
      </c>
      <c r="BZ46" s="63">
        <f t="shared" si="92"/>
        <v>0</v>
      </c>
      <c r="CA46" s="63">
        <f t="shared" si="92"/>
        <v>0</v>
      </c>
      <c r="CB46" s="63">
        <f t="shared" si="92"/>
        <v>0</v>
      </c>
      <c r="CC46" s="63">
        <f t="shared" si="92"/>
        <v>0</v>
      </c>
      <c r="CD46" s="63">
        <f t="shared" si="92"/>
        <v>0</v>
      </c>
      <c r="CE46" s="63">
        <f t="shared" si="92"/>
        <v>0</v>
      </c>
      <c r="CF46" s="63">
        <f t="shared" si="92"/>
        <v>0</v>
      </c>
      <c r="CG46" s="63">
        <f t="shared" si="92"/>
        <v>0</v>
      </c>
      <c r="CH46" s="63">
        <f t="shared" si="92"/>
        <v>0</v>
      </c>
      <c r="CI46" s="63">
        <f t="shared" si="92"/>
        <v>0</v>
      </c>
      <c r="CJ46" s="63">
        <f t="shared" si="92"/>
        <v>0</v>
      </c>
      <c r="CK46" s="63">
        <f t="shared" si="92"/>
        <v>0</v>
      </c>
      <c r="CL46" s="63">
        <f t="shared" si="92"/>
        <v>0</v>
      </c>
      <c r="CM46" s="63">
        <f t="shared" si="92"/>
        <v>0</v>
      </c>
      <c r="CN46" s="63">
        <f t="shared" si="92"/>
        <v>0</v>
      </c>
      <c r="CO46" s="63">
        <f t="shared" si="92"/>
        <v>0</v>
      </c>
      <c r="CP46" s="63">
        <f t="shared" si="92"/>
        <v>0</v>
      </c>
      <c r="CQ46" s="63">
        <f t="shared" si="92"/>
        <v>0</v>
      </c>
      <c r="CR46" s="63">
        <f t="shared" si="92"/>
        <v>0</v>
      </c>
      <c r="CS46" s="63">
        <f t="shared" si="92"/>
        <v>0</v>
      </c>
      <c r="CT46" s="63">
        <f t="shared" si="92"/>
        <v>0</v>
      </c>
      <c r="CU46" s="63">
        <f t="shared" si="92"/>
        <v>0</v>
      </c>
      <c r="CV46" s="63">
        <f t="shared" si="92"/>
        <v>0</v>
      </c>
      <c r="CW46" s="63">
        <f t="shared" si="92"/>
        <v>0</v>
      </c>
      <c r="CX46" s="63">
        <f t="shared" si="92"/>
        <v>0</v>
      </c>
      <c r="CY46" s="63">
        <f t="shared" si="92"/>
        <v>0</v>
      </c>
      <c r="CZ46" s="63">
        <f t="shared" si="92"/>
        <v>0</v>
      </c>
      <c r="DA46" s="63">
        <f t="shared" si="92"/>
        <v>0</v>
      </c>
      <c r="DB46" s="63">
        <f t="shared" si="92"/>
        <v>0</v>
      </c>
      <c r="DC46" s="63">
        <f t="shared" si="92"/>
        <v>0</v>
      </c>
      <c r="DD46" s="63">
        <f t="shared" si="92"/>
        <v>0</v>
      </c>
      <c r="DE46" s="63">
        <f t="shared" si="92"/>
        <v>0</v>
      </c>
      <c r="DF46" s="63">
        <f t="shared" si="92"/>
        <v>0</v>
      </c>
      <c r="DG46" s="63">
        <f t="shared" si="92"/>
        <v>0</v>
      </c>
      <c r="DH46" s="63">
        <f t="shared" si="92"/>
        <v>0</v>
      </c>
      <c r="DI46" s="63">
        <f t="shared" si="92"/>
        <v>0</v>
      </c>
      <c r="DJ46" s="63">
        <f t="shared" si="92"/>
        <v>0</v>
      </c>
      <c r="DK46" s="63">
        <f t="shared" si="92"/>
        <v>0</v>
      </c>
      <c r="DL46" s="63">
        <f t="shared" si="92"/>
        <v>0</v>
      </c>
      <c r="DM46" s="63">
        <f t="shared" si="92"/>
        <v>0</v>
      </c>
      <c r="DN46" s="63">
        <f t="shared" si="92"/>
        <v>0</v>
      </c>
      <c r="DO46" s="63">
        <f t="shared" si="92"/>
        <v>0</v>
      </c>
      <c r="DP46" s="63">
        <f t="shared" si="92"/>
        <v>0</v>
      </c>
      <c r="DQ46" s="63">
        <f t="shared" si="92"/>
        <v>0</v>
      </c>
      <c r="DR46" s="63">
        <f t="shared" si="92"/>
        <v>0</v>
      </c>
      <c r="DS46" s="63">
        <f t="shared" si="92"/>
        <v>0</v>
      </c>
      <c r="DT46" s="63">
        <f t="shared" si="92"/>
        <v>0</v>
      </c>
      <c r="DU46" s="63">
        <f t="shared" si="92"/>
        <v>0</v>
      </c>
      <c r="DV46" s="63">
        <f t="shared" si="92"/>
        <v>0</v>
      </c>
      <c r="DW46" s="63">
        <f t="shared" si="92"/>
        <v>0</v>
      </c>
      <c r="DX46" s="63">
        <f t="shared" si="92"/>
        <v>0</v>
      </c>
      <c r="DY46" s="63">
        <f t="shared" si="92"/>
        <v>0</v>
      </c>
      <c r="DZ46" s="63">
        <f t="shared" si="92"/>
        <v>0</v>
      </c>
      <c r="EA46" s="63">
        <f t="shared" si="92"/>
        <v>0</v>
      </c>
      <c r="EB46" s="63">
        <f t="shared" si="92"/>
        <v>0</v>
      </c>
      <c r="EC46" s="63">
        <f t="shared" si="92"/>
        <v>0</v>
      </c>
      <c r="ED46" s="63">
        <f t="shared" si="92"/>
        <v>0</v>
      </c>
      <c r="EE46" s="63">
        <f t="shared" si="92"/>
        <v>0</v>
      </c>
      <c r="EF46" s="63">
        <f t="shared" si="92"/>
        <v>0</v>
      </c>
      <c r="EG46" s="63">
        <f t="shared" si="92"/>
        <v>0</v>
      </c>
      <c r="EH46" s="63">
        <f t="shared" si="92"/>
        <v>0</v>
      </c>
      <c r="EI46" s="63">
        <f t="shared" si="92"/>
        <v>0</v>
      </c>
      <c r="EJ46" s="63">
        <f t="shared" si="92"/>
        <v>0</v>
      </c>
      <c r="EK46" s="63">
        <f t="shared" si="92"/>
        <v>0</v>
      </c>
      <c r="EL46" s="63">
        <f t="shared" si="92"/>
        <v>0</v>
      </c>
      <c r="EM46" s="63">
        <f t="shared" si="92"/>
        <v>0</v>
      </c>
      <c r="EN46" s="63">
        <f t="shared" si="92"/>
        <v>0</v>
      </c>
      <c r="EO46" s="63">
        <f t="shared" si="92"/>
        <v>0</v>
      </c>
    </row>
    <row r="47" spans="2:145" x14ac:dyDescent="0.45">
      <c r="B47" s="67" t="s">
        <v>107</v>
      </c>
      <c r="C47" s="67"/>
      <c r="D47" s="67"/>
      <c r="E47" s="67"/>
      <c r="F47" s="67"/>
      <c r="G47" s="125"/>
      <c r="H47" s="97"/>
      <c r="I47" s="93">
        <f>IFERROR(J47/F19,0)</f>
        <v>0</v>
      </c>
      <c r="J47" s="68">
        <f>SUM(J43:J46)</f>
        <v>0</v>
      </c>
      <c r="L47" s="68">
        <f>SUM(L43:L46)</f>
        <v>0</v>
      </c>
      <c r="M47" s="68">
        <f t="shared" ref="M47:AF47" si="93">SUM(M43:M46)</f>
        <v>0</v>
      </c>
      <c r="N47" s="68">
        <f t="shared" si="93"/>
        <v>0</v>
      </c>
      <c r="O47" s="68">
        <f t="shared" si="93"/>
        <v>0</v>
      </c>
      <c r="P47" s="68">
        <f t="shared" si="93"/>
        <v>0</v>
      </c>
      <c r="Q47" s="68">
        <f t="shared" si="93"/>
        <v>0</v>
      </c>
      <c r="R47" s="68">
        <f t="shared" si="93"/>
        <v>0</v>
      </c>
      <c r="S47" s="68">
        <f t="shared" si="93"/>
        <v>0</v>
      </c>
      <c r="T47" s="68">
        <f t="shared" si="93"/>
        <v>0</v>
      </c>
      <c r="U47" s="68">
        <f t="shared" si="93"/>
        <v>0</v>
      </c>
      <c r="V47" s="68">
        <f t="shared" si="93"/>
        <v>0</v>
      </c>
      <c r="W47" s="68">
        <f t="shared" si="93"/>
        <v>0</v>
      </c>
      <c r="X47" s="68">
        <f t="shared" si="93"/>
        <v>0</v>
      </c>
      <c r="Y47" s="68">
        <f t="shared" si="93"/>
        <v>0</v>
      </c>
      <c r="Z47" s="68">
        <f t="shared" si="93"/>
        <v>0</v>
      </c>
      <c r="AA47" s="68">
        <f t="shared" si="93"/>
        <v>0</v>
      </c>
      <c r="AB47" s="68">
        <f t="shared" si="93"/>
        <v>0</v>
      </c>
      <c r="AC47" s="68">
        <f t="shared" si="93"/>
        <v>0</v>
      </c>
      <c r="AD47" s="68">
        <f t="shared" si="93"/>
        <v>0</v>
      </c>
      <c r="AE47" s="68">
        <f t="shared" si="93"/>
        <v>0</v>
      </c>
      <c r="AF47" s="68">
        <f t="shared" si="93"/>
        <v>0</v>
      </c>
      <c r="AG47" s="68">
        <f t="shared" ref="AG47:BL47" si="94">SUM(AG43:AG46)</f>
        <v>0</v>
      </c>
      <c r="AH47" s="68">
        <f t="shared" si="94"/>
        <v>0</v>
      </c>
      <c r="AI47" s="68">
        <f t="shared" si="94"/>
        <v>0</v>
      </c>
      <c r="AJ47" s="68">
        <f t="shared" si="94"/>
        <v>0</v>
      </c>
      <c r="AK47" s="68">
        <f t="shared" si="94"/>
        <v>0</v>
      </c>
      <c r="AL47" s="68">
        <f t="shared" si="94"/>
        <v>0</v>
      </c>
      <c r="AM47" s="68">
        <f t="shared" si="94"/>
        <v>0</v>
      </c>
      <c r="AN47" s="68">
        <f t="shared" si="94"/>
        <v>0</v>
      </c>
      <c r="AO47" s="68">
        <f t="shared" si="94"/>
        <v>0</v>
      </c>
      <c r="AP47" s="68">
        <f t="shared" si="94"/>
        <v>0</v>
      </c>
      <c r="AQ47" s="68">
        <f t="shared" si="94"/>
        <v>0</v>
      </c>
      <c r="AR47" s="68">
        <f t="shared" si="94"/>
        <v>0</v>
      </c>
      <c r="AS47" s="68">
        <f t="shared" si="94"/>
        <v>0</v>
      </c>
      <c r="AT47" s="68">
        <f t="shared" si="94"/>
        <v>0</v>
      </c>
      <c r="AU47" s="68">
        <f t="shared" si="94"/>
        <v>0</v>
      </c>
      <c r="AV47" s="68">
        <f t="shared" si="94"/>
        <v>0</v>
      </c>
      <c r="AW47" s="68">
        <f t="shared" si="94"/>
        <v>0</v>
      </c>
      <c r="AX47" s="68">
        <f t="shared" si="94"/>
        <v>0</v>
      </c>
      <c r="AY47" s="68">
        <f t="shared" si="94"/>
        <v>0</v>
      </c>
      <c r="AZ47" s="68">
        <f t="shared" si="94"/>
        <v>0</v>
      </c>
      <c r="BA47" s="68">
        <f t="shared" si="94"/>
        <v>0</v>
      </c>
      <c r="BB47" s="68">
        <f t="shared" si="94"/>
        <v>0</v>
      </c>
      <c r="BC47" s="68">
        <f t="shared" si="94"/>
        <v>0</v>
      </c>
      <c r="BD47" s="68">
        <f t="shared" si="94"/>
        <v>0</v>
      </c>
      <c r="BE47" s="68">
        <f t="shared" si="94"/>
        <v>0</v>
      </c>
      <c r="BF47" s="68">
        <f t="shared" si="94"/>
        <v>0</v>
      </c>
      <c r="BG47" s="68">
        <f t="shared" si="94"/>
        <v>0</v>
      </c>
      <c r="BH47" s="68">
        <f t="shared" si="94"/>
        <v>0</v>
      </c>
      <c r="BI47" s="68">
        <f t="shared" si="94"/>
        <v>0</v>
      </c>
      <c r="BJ47" s="68">
        <f t="shared" si="94"/>
        <v>0</v>
      </c>
      <c r="BK47" s="68">
        <f t="shared" si="94"/>
        <v>0</v>
      </c>
      <c r="BL47" s="68">
        <f t="shared" si="94"/>
        <v>0</v>
      </c>
      <c r="BM47" s="68">
        <f t="shared" ref="BM47:CP47" si="95">SUM(BM43:BM46)</f>
        <v>0</v>
      </c>
      <c r="BN47" s="68">
        <f t="shared" si="95"/>
        <v>0</v>
      </c>
      <c r="BO47" s="68">
        <f t="shared" si="95"/>
        <v>0</v>
      </c>
      <c r="BP47" s="68">
        <f t="shared" si="95"/>
        <v>0</v>
      </c>
      <c r="BQ47" s="68">
        <f t="shared" si="95"/>
        <v>0</v>
      </c>
      <c r="BR47" s="68">
        <f t="shared" si="95"/>
        <v>0</v>
      </c>
      <c r="BS47" s="68">
        <f t="shared" si="95"/>
        <v>0</v>
      </c>
      <c r="BT47" s="68">
        <f t="shared" si="95"/>
        <v>0</v>
      </c>
      <c r="BU47" s="68">
        <f t="shared" si="95"/>
        <v>0</v>
      </c>
      <c r="BV47" s="68">
        <f t="shared" si="95"/>
        <v>0</v>
      </c>
      <c r="BW47" s="68">
        <f t="shared" si="95"/>
        <v>0</v>
      </c>
      <c r="BX47" s="68">
        <f t="shared" si="95"/>
        <v>0</v>
      </c>
      <c r="BY47" s="68">
        <f t="shared" si="95"/>
        <v>0</v>
      </c>
      <c r="BZ47" s="68">
        <f t="shared" si="95"/>
        <v>0</v>
      </c>
      <c r="CA47" s="68">
        <f t="shared" si="95"/>
        <v>0</v>
      </c>
      <c r="CB47" s="68">
        <f t="shared" si="95"/>
        <v>0</v>
      </c>
      <c r="CC47" s="68">
        <f t="shared" si="95"/>
        <v>0</v>
      </c>
      <c r="CD47" s="68">
        <f t="shared" si="95"/>
        <v>0</v>
      </c>
      <c r="CE47" s="68">
        <f t="shared" si="95"/>
        <v>0</v>
      </c>
      <c r="CF47" s="68">
        <f t="shared" si="95"/>
        <v>0</v>
      </c>
      <c r="CG47" s="68">
        <f t="shared" si="95"/>
        <v>0</v>
      </c>
      <c r="CH47" s="68">
        <f t="shared" si="95"/>
        <v>0</v>
      </c>
      <c r="CI47" s="68">
        <f t="shared" si="95"/>
        <v>0</v>
      </c>
      <c r="CJ47" s="68">
        <f t="shared" si="95"/>
        <v>0</v>
      </c>
      <c r="CK47" s="68">
        <f t="shared" si="95"/>
        <v>0</v>
      </c>
      <c r="CL47" s="68">
        <f t="shared" si="95"/>
        <v>0</v>
      </c>
      <c r="CM47" s="68">
        <f t="shared" si="95"/>
        <v>0</v>
      </c>
      <c r="CN47" s="68">
        <f t="shared" si="95"/>
        <v>0</v>
      </c>
      <c r="CO47" s="68">
        <f t="shared" si="95"/>
        <v>0</v>
      </c>
      <c r="CP47" s="68">
        <f t="shared" si="95"/>
        <v>0</v>
      </c>
      <c r="CQ47" s="68">
        <f t="shared" ref="CQ47:DD47" si="96">SUM(CQ43:CQ46)</f>
        <v>0</v>
      </c>
      <c r="CR47" s="68">
        <f t="shared" si="96"/>
        <v>0</v>
      </c>
      <c r="CS47" s="68">
        <f t="shared" si="96"/>
        <v>0</v>
      </c>
      <c r="CT47" s="68">
        <f t="shared" si="96"/>
        <v>0</v>
      </c>
      <c r="CU47" s="68">
        <f t="shared" si="96"/>
        <v>0</v>
      </c>
      <c r="CV47" s="68">
        <f t="shared" si="96"/>
        <v>0</v>
      </c>
      <c r="CW47" s="68">
        <f t="shared" si="96"/>
        <v>0</v>
      </c>
      <c r="CX47" s="68">
        <f t="shared" si="96"/>
        <v>0</v>
      </c>
      <c r="CY47" s="68">
        <f t="shared" si="96"/>
        <v>0</v>
      </c>
      <c r="CZ47" s="68">
        <f t="shared" si="96"/>
        <v>0</v>
      </c>
      <c r="DA47" s="68">
        <f t="shared" si="96"/>
        <v>0</v>
      </c>
      <c r="DB47" s="68">
        <f t="shared" si="96"/>
        <v>0</v>
      </c>
      <c r="DC47" s="68">
        <f t="shared" si="96"/>
        <v>0</v>
      </c>
      <c r="DD47" s="68">
        <f t="shared" si="96"/>
        <v>0</v>
      </c>
      <c r="DE47" s="68">
        <f t="shared" ref="DE47:EO47" si="97">SUM(DE43:DE46)</f>
        <v>0</v>
      </c>
      <c r="DF47" s="68">
        <f t="shared" si="97"/>
        <v>0</v>
      </c>
      <c r="DG47" s="68">
        <f t="shared" si="97"/>
        <v>0</v>
      </c>
      <c r="DH47" s="68">
        <f t="shared" si="97"/>
        <v>0</v>
      </c>
      <c r="DI47" s="68">
        <f t="shared" si="97"/>
        <v>0</v>
      </c>
      <c r="DJ47" s="68">
        <f t="shared" si="97"/>
        <v>0</v>
      </c>
      <c r="DK47" s="68">
        <f t="shared" si="97"/>
        <v>0</v>
      </c>
      <c r="DL47" s="68">
        <f t="shared" si="97"/>
        <v>0</v>
      </c>
      <c r="DM47" s="68">
        <f t="shared" si="97"/>
        <v>0</v>
      </c>
      <c r="DN47" s="68">
        <f t="shared" si="97"/>
        <v>0</v>
      </c>
      <c r="DO47" s="68">
        <f t="shared" si="97"/>
        <v>0</v>
      </c>
      <c r="DP47" s="68">
        <f t="shared" si="97"/>
        <v>0</v>
      </c>
      <c r="DQ47" s="68">
        <f t="shared" si="97"/>
        <v>0</v>
      </c>
      <c r="DR47" s="68">
        <f t="shared" si="97"/>
        <v>0</v>
      </c>
      <c r="DS47" s="68">
        <f t="shared" si="97"/>
        <v>0</v>
      </c>
      <c r="DT47" s="68">
        <f t="shared" si="97"/>
        <v>0</v>
      </c>
      <c r="DU47" s="68">
        <f t="shared" si="97"/>
        <v>0</v>
      </c>
      <c r="DV47" s="68">
        <f t="shared" si="97"/>
        <v>0</v>
      </c>
      <c r="DW47" s="68">
        <f t="shared" si="97"/>
        <v>0</v>
      </c>
      <c r="DX47" s="68">
        <f t="shared" si="97"/>
        <v>0</v>
      </c>
      <c r="DY47" s="68">
        <f t="shared" si="97"/>
        <v>0</v>
      </c>
      <c r="DZ47" s="68">
        <f t="shared" si="97"/>
        <v>0</v>
      </c>
      <c r="EA47" s="68">
        <f t="shared" si="97"/>
        <v>0</v>
      </c>
      <c r="EB47" s="68">
        <f t="shared" si="97"/>
        <v>0</v>
      </c>
      <c r="EC47" s="68">
        <f t="shared" si="97"/>
        <v>0</v>
      </c>
      <c r="ED47" s="68">
        <f t="shared" si="97"/>
        <v>0</v>
      </c>
      <c r="EE47" s="68">
        <f t="shared" si="97"/>
        <v>0</v>
      </c>
      <c r="EF47" s="68">
        <f t="shared" si="97"/>
        <v>0</v>
      </c>
      <c r="EG47" s="68">
        <f t="shared" si="97"/>
        <v>0</v>
      </c>
      <c r="EH47" s="68">
        <f t="shared" si="97"/>
        <v>0</v>
      </c>
      <c r="EI47" s="68">
        <f t="shared" si="97"/>
        <v>0</v>
      </c>
      <c r="EJ47" s="68">
        <f t="shared" si="97"/>
        <v>0</v>
      </c>
      <c r="EK47" s="68">
        <f t="shared" si="97"/>
        <v>0</v>
      </c>
      <c r="EL47" s="68">
        <f t="shared" si="97"/>
        <v>0</v>
      </c>
      <c r="EM47" s="68">
        <f t="shared" si="97"/>
        <v>0</v>
      </c>
      <c r="EN47" s="68">
        <f t="shared" si="97"/>
        <v>0</v>
      </c>
      <c r="EO47" s="68">
        <f t="shared" si="97"/>
        <v>0</v>
      </c>
    </row>
    <row r="48" spans="2:145" x14ac:dyDescent="0.45"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</row>
    <row r="49" spans="2:145" s="79" customFormat="1" x14ac:dyDescent="0.45">
      <c r="B49" s="118" t="s">
        <v>113</v>
      </c>
      <c r="C49" s="118"/>
      <c r="D49" s="118"/>
      <c r="E49" s="118"/>
      <c r="F49" s="118"/>
      <c r="G49" s="118"/>
      <c r="H49" s="118"/>
      <c r="I49" s="119">
        <f>IFERROR(J49/$F$19,0)</f>
        <v>0</v>
      </c>
      <c r="J49" s="120">
        <f>+SUM(J19,J36)-SUM(J39,J47)</f>
        <v>0</v>
      </c>
      <c r="L49" s="127">
        <f>+L40-L47</f>
        <v>0</v>
      </c>
      <c r="M49" s="127">
        <f t="shared" ref="M49:BX49" si="98">+M40-M47</f>
        <v>0</v>
      </c>
      <c r="N49" s="127">
        <f t="shared" si="98"/>
        <v>0</v>
      </c>
      <c r="O49" s="127">
        <f t="shared" si="98"/>
        <v>0</v>
      </c>
      <c r="P49" s="127">
        <f t="shared" si="98"/>
        <v>0</v>
      </c>
      <c r="Q49" s="127">
        <f t="shared" si="98"/>
        <v>0</v>
      </c>
      <c r="R49" s="127">
        <f t="shared" si="98"/>
        <v>0</v>
      </c>
      <c r="S49" s="127">
        <f t="shared" si="98"/>
        <v>0</v>
      </c>
      <c r="T49" s="127">
        <f t="shared" si="98"/>
        <v>0</v>
      </c>
      <c r="U49" s="127">
        <f t="shared" si="98"/>
        <v>0</v>
      </c>
      <c r="V49" s="127">
        <f t="shared" si="98"/>
        <v>0</v>
      </c>
      <c r="W49" s="127">
        <f t="shared" si="98"/>
        <v>0</v>
      </c>
      <c r="X49" s="127">
        <f t="shared" si="98"/>
        <v>0</v>
      </c>
      <c r="Y49" s="127">
        <f t="shared" si="98"/>
        <v>0</v>
      </c>
      <c r="Z49" s="127">
        <f t="shared" si="98"/>
        <v>0</v>
      </c>
      <c r="AA49" s="127">
        <f t="shared" si="98"/>
        <v>0</v>
      </c>
      <c r="AB49" s="127">
        <f t="shared" si="98"/>
        <v>0</v>
      </c>
      <c r="AC49" s="127">
        <f t="shared" si="98"/>
        <v>0</v>
      </c>
      <c r="AD49" s="127">
        <f t="shared" si="98"/>
        <v>0</v>
      </c>
      <c r="AE49" s="127">
        <f t="shared" si="98"/>
        <v>0</v>
      </c>
      <c r="AF49" s="127">
        <f t="shared" si="98"/>
        <v>0</v>
      </c>
      <c r="AG49" s="127">
        <f t="shared" si="98"/>
        <v>0</v>
      </c>
      <c r="AH49" s="127">
        <f t="shared" si="98"/>
        <v>0</v>
      </c>
      <c r="AI49" s="127">
        <f t="shared" si="98"/>
        <v>0</v>
      </c>
      <c r="AJ49" s="127">
        <f t="shared" si="98"/>
        <v>0</v>
      </c>
      <c r="AK49" s="127">
        <f t="shared" si="98"/>
        <v>0</v>
      </c>
      <c r="AL49" s="127">
        <f t="shared" si="98"/>
        <v>0</v>
      </c>
      <c r="AM49" s="127">
        <f t="shared" si="98"/>
        <v>0</v>
      </c>
      <c r="AN49" s="127">
        <f t="shared" si="98"/>
        <v>0</v>
      </c>
      <c r="AO49" s="127">
        <f t="shared" si="98"/>
        <v>0</v>
      </c>
      <c r="AP49" s="127">
        <f t="shared" si="98"/>
        <v>0</v>
      </c>
      <c r="AQ49" s="127">
        <f t="shared" si="98"/>
        <v>0</v>
      </c>
      <c r="AR49" s="127">
        <f t="shared" si="98"/>
        <v>0</v>
      </c>
      <c r="AS49" s="127">
        <f t="shared" si="98"/>
        <v>0</v>
      </c>
      <c r="AT49" s="127">
        <f t="shared" si="98"/>
        <v>0</v>
      </c>
      <c r="AU49" s="127">
        <f t="shared" si="98"/>
        <v>0</v>
      </c>
      <c r="AV49" s="127">
        <f t="shared" si="98"/>
        <v>0</v>
      </c>
      <c r="AW49" s="127">
        <f t="shared" si="98"/>
        <v>0</v>
      </c>
      <c r="AX49" s="127">
        <f t="shared" si="98"/>
        <v>0</v>
      </c>
      <c r="AY49" s="127">
        <f t="shared" si="98"/>
        <v>0</v>
      </c>
      <c r="AZ49" s="127">
        <f t="shared" si="98"/>
        <v>0</v>
      </c>
      <c r="BA49" s="127">
        <f t="shared" si="98"/>
        <v>0</v>
      </c>
      <c r="BB49" s="127">
        <f t="shared" si="98"/>
        <v>0</v>
      </c>
      <c r="BC49" s="127">
        <f t="shared" si="98"/>
        <v>0</v>
      </c>
      <c r="BD49" s="127">
        <f t="shared" si="98"/>
        <v>0</v>
      </c>
      <c r="BE49" s="127">
        <f t="shared" si="98"/>
        <v>0</v>
      </c>
      <c r="BF49" s="127">
        <f t="shared" si="98"/>
        <v>0</v>
      </c>
      <c r="BG49" s="127">
        <f t="shared" si="98"/>
        <v>0</v>
      </c>
      <c r="BH49" s="127">
        <f t="shared" si="98"/>
        <v>0</v>
      </c>
      <c r="BI49" s="127">
        <f t="shared" si="98"/>
        <v>0</v>
      </c>
      <c r="BJ49" s="127">
        <f t="shared" si="98"/>
        <v>0</v>
      </c>
      <c r="BK49" s="127">
        <f t="shared" si="98"/>
        <v>0</v>
      </c>
      <c r="BL49" s="127">
        <f t="shared" si="98"/>
        <v>0</v>
      </c>
      <c r="BM49" s="127">
        <f t="shared" si="98"/>
        <v>0</v>
      </c>
      <c r="BN49" s="127">
        <f t="shared" si="98"/>
        <v>0</v>
      </c>
      <c r="BO49" s="127">
        <f t="shared" si="98"/>
        <v>0</v>
      </c>
      <c r="BP49" s="127">
        <f t="shared" si="98"/>
        <v>0</v>
      </c>
      <c r="BQ49" s="127">
        <f t="shared" si="98"/>
        <v>0</v>
      </c>
      <c r="BR49" s="127">
        <f t="shared" si="98"/>
        <v>0</v>
      </c>
      <c r="BS49" s="127">
        <f t="shared" si="98"/>
        <v>0</v>
      </c>
      <c r="BT49" s="127">
        <f t="shared" si="98"/>
        <v>0</v>
      </c>
      <c r="BU49" s="127">
        <f t="shared" si="98"/>
        <v>0</v>
      </c>
      <c r="BV49" s="127">
        <f t="shared" si="98"/>
        <v>0</v>
      </c>
      <c r="BW49" s="127">
        <f t="shared" si="98"/>
        <v>0</v>
      </c>
      <c r="BX49" s="127">
        <f t="shared" si="98"/>
        <v>0</v>
      </c>
      <c r="BY49" s="127">
        <f t="shared" ref="BY49:CQ49" si="99">+BY40-BY47</f>
        <v>0</v>
      </c>
      <c r="BZ49" s="127">
        <f t="shared" si="99"/>
        <v>0</v>
      </c>
      <c r="CA49" s="127">
        <f t="shared" si="99"/>
        <v>0</v>
      </c>
      <c r="CB49" s="127">
        <f t="shared" si="99"/>
        <v>0</v>
      </c>
      <c r="CC49" s="127">
        <f t="shared" si="99"/>
        <v>0</v>
      </c>
      <c r="CD49" s="127">
        <f t="shared" si="99"/>
        <v>0</v>
      </c>
      <c r="CE49" s="127">
        <f t="shared" si="99"/>
        <v>0</v>
      </c>
      <c r="CF49" s="127">
        <f t="shared" si="99"/>
        <v>0</v>
      </c>
      <c r="CG49" s="127">
        <f t="shared" si="99"/>
        <v>0</v>
      </c>
      <c r="CH49" s="127">
        <f t="shared" si="99"/>
        <v>0</v>
      </c>
      <c r="CI49" s="127">
        <f t="shared" si="99"/>
        <v>0</v>
      </c>
      <c r="CJ49" s="127">
        <f t="shared" si="99"/>
        <v>0</v>
      </c>
      <c r="CK49" s="127">
        <f t="shared" si="99"/>
        <v>0</v>
      </c>
      <c r="CL49" s="127">
        <f t="shared" si="99"/>
        <v>0</v>
      </c>
      <c r="CM49" s="127">
        <f t="shared" si="99"/>
        <v>0</v>
      </c>
      <c r="CN49" s="127">
        <f t="shared" si="99"/>
        <v>0</v>
      </c>
      <c r="CO49" s="127">
        <f t="shared" si="99"/>
        <v>0</v>
      </c>
      <c r="CP49" s="127">
        <f t="shared" si="99"/>
        <v>0</v>
      </c>
      <c r="CQ49" s="127">
        <f t="shared" si="99"/>
        <v>0</v>
      </c>
      <c r="CR49" s="127">
        <f t="shared" ref="CR49:DD49" si="100">+CR40-CR47</f>
        <v>0</v>
      </c>
      <c r="CS49" s="127">
        <f t="shared" si="100"/>
        <v>0</v>
      </c>
      <c r="CT49" s="127">
        <f t="shared" si="100"/>
        <v>0</v>
      </c>
      <c r="CU49" s="127">
        <f t="shared" si="100"/>
        <v>0</v>
      </c>
      <c r="CV49" s="127">
        <f t="shared" si="100"/>
        <v>0</v>
      </c>
      <c r="CW49" s="127">
        <f t="shared" si="100"/>
        <v>0</v>
      </c>
      <c r="CX49" s="127">
        <f t="shared" si="100"/>
        <v>0</v>
      </c>
      <c r="CY49" s="127">
        <f t="shared" si="100"/>
        <v>0</v>
      </c>
      <c r="CZ49" s="127">
        <f t="shared" si="100"/>
        <v>0</v>
      </c>
      <c r="DA49" s="127">
        <f t="shared" si="100"/>
        <v>0</v>
      </c>
      <c r="DB49" s="127">
        <f t="shared" si="100"/>
        <v>0</v>
      </c>
      <c r="DC49" s="127">
        <f t="shared" si="100"/>
        <v>0</v>
      </c>
      <c r="DD49" s="127">
        <f t="shared" si="100"/>
        <v>0</v>
      </c>
      <c r="DE49" s="127">
        <f t="shared" ref="DE49:EO49" si="101">+DE40-DE47</f>
        <v>0</v>
      </c>
      <c r="DF49" s="127">
        <f t="shared" si="101"/>
        <v>0</v>
      </c>
      <c r="DG49" s="127">
        <f t="shared" si="101"/>
        <v>0</v>
      </c>
      <c r="DH49" s="127">
        <f t="shared" si="101"/>
        <v>0</v>
      </c>
      <c r="DI49" s="127">
        <f t="shared" si="101"/>
        <v>0</v>
      </c>
      <c r="DJ49" s="127">
        <f t="shared" si="101"/>
        <v>0</v>
      </c>
      <c r="DK49" s="127">
        <f t="shared" si="101"/>
        <v>0</v>
      </c>
      <c r="DL49" s="127">
        <f t="shared" si="101"/>
        <v>0</v>
      </c>
      <c r="DM49" s="127">
        <f t="shared" si="101"/>
        <v>0</v>
      </c>
      <c r="DN49" s="127">
        <f t="shared" si="101"/>
        <v>0</v>
      </c>
      <c r="DO49" s="127">
        <f t="shared" si="101"/>
        <v>0</v>
      </c>
      <c r="DP49" s="127">
        <f t="shared" si="101"/>
        <v>0</v>
      </c>
      <c r="DQ49" s="127">
        <f t="shared" si="101"/>
        <v>0</v>
      </c>
      <c r="DR49" s="127">
        <f t="shared" si="101"/>
        <v>0</v>
      </c>
      <c r="DS49" s="127">
        <f t="shared" si="101"/>
        <v>0</v>
      </c>
      <c r="DT49" s="127">
        <f t="shared" si="101"/>
        <v>0</v>
      </c>
      <c r="DU49" s="127">
        <f t="shared" si="101"/>
        <v>0</v>
      </c>
      <c r="DV49" s="127">
        <f t="shared" si="101"/>
        <v>0</v>
      </c>
      <c r="DW49" s="127">
        <f t="shared" si="101"/>
        <v>0</v>
      </c>
      <c r="DX49" s="127">
        <f t="shared" si="101"/>
        <v>0</v>
      </c>
      <c r="DY49" s="127">
        <f t="shared" si="101"/>
        <v>0</v>
      </c>
      <c r="DZ49" s="127">
        <f t="shared" si="101"/>
        <v>0</v>
      </c>
      <c r="EA49" s="127">
        <f t="shared" si="101"/>
        <v>0</v>
      </c>
      <c r="EB49" s="127">
        <f t="shared" si="101"/>
        <v>0</v>
      </c>
      <c r="EC49" s="127">
        <f t="shared" si="101"/>
        <v>0</v>
      </c>
      <c r="ED49" s="127">
        <f t="shared" si="101"/>
        <v>0</v>
      </c>
      <c r="EE49" s="127">
        <f t="shared" si="101"/>
        <v>0</v>
      </c>
      <c r="EF49" s="127">
        <f t="shared" si="101"/>
        <v>0</v>
      </c>
      <c r="EG49" s="127">
        <f t="shared" si="101"/>
        <v>0</v>
      </c>
      <c r="EH49" s="127">
        <f t="shared" si="101"/>
        <v>0</v>
      </c>
      <c r="EI49" s="127">
        <f t="shared" si="101"/>
        <v>0</v>
      </c>
      <c r="EJ49" s="127">
        <f t="shared" si="101"/>
        <v>0</v>
      </c>
      <c r="EK49" s="127">
        <f t="shared" si="101"/>
        <v>0</v>
      </c>
      <c r="EL49" s="127">
        <f t="shared" si="101"/>
        <v>0</v>
      </c>
      <c r="EM49" s="127">
        <f t="shared" si="101"/>
        <v>0</v>
      </c>
      <c r="EN49" s="127">
        <f t="shared" si="101"/>
        <v>0</v>
      </c>
      <c r="EO49" s="127">
        <f t="shared" si="101"/>
        <v>0</v>
      </c>
    </row>
    <row r="50" spans="2:145" x14ac:dyDescent="0.45"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</row>
    <row r="51" spans="2:145" x14ac:dyDescent="0.45">
      <c r="B51" s="59" t="s">
        <v>44</v>
      </c>
      <c r="C51" s="59"/>
      <c r="D51" s="59" t="s">
        <v>119</v>
      </c>
      <c r="E51" s="59" t="s">
        <v>120</v>
      </c>
      <c r="G51" s="59"/>
      <c r="H51" s="59"/>
      <c r="I51" s="86" t="s">
        <v>119</v>
      </c>
      <c r="J51" s="86" t="s">
        <v>120</v>
      </c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</row>
    <row r="52" spans="2:145" x14ac:dyDescent="0.45">
      <c r="B52" s="58" t="s">
        <v>117</v>
      </c>
      <c r="D52" s="110">
        <f>1-E52</f>
        <v>0.30000000000000004</v>
      </c>
      <c r="E52" s="105">
        <v>0.7</v>
      </c>
      <c r="G52" s="58" t="s">
        <v>114</v>
      </c>
      <c r="I52" s="103">
        <f>+$F$19*D52*D54</f>
        <v>0</v>
      </c>
      <c r="J52" s="103">
        <f>+$F$19*E52*E54</f>
        <v>0</v>
      </c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</row>
    <row r="53" spans="2:145" x14ac:dyDescent="0.45">
      <c r="B53" s="58" t="s">
        <v>118</v>
      </c>
      <c r="D53" s="111">
        <v>25</v>
      </c>
      <c r="E53" s="111">
        <v>15</v>
      </c>
      <c r="G53" s="58" t="s">
        <v>122</v>
      </c>
      <c r="I53" s="103">
        <f>+D52*$F$19*D53*D56*D55</f>
        <v>0</v>
      </c>
      <c r="J53" s="103">
        <f>+E52*$F$19*E53*E56*E55</f>
        <v>0</v>
      </c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</row>
    <row r="54" spans="2:145" x14ac:dyDescent="0.45">
      <c r="B54" s="58" t="s">
        <v>121</v>
      </c>
      <c r="D54" s="111">
        <v>20</v>
      </c>
      <c r="E54" s="111">
        <v>5</v>
      </c>
      <c r="G54" s="89" t="s">
        <v>124</v>
      </c>
      <c r="H54" s="89"/>
      <c r="I54" s="112">
        <f>SUM(I52:I53)</f>
        <v>0</v>
      </c>
      <c r="J54" s="112">
        <f>SUM(J52:J53)</f>
        <v>0</v>
      </c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</row>
    <row r="55" spans="2:145" x14ac:dyDescent="0.45">
      <c r="B55" s="58" t="s">
        <v>122</v>
      </c>
      <c r="D55" s="105">
        <v>7.0000000000000007E-2</v>
      </c>
      <c r="E55" s="105">
        <v>0.04</v>
      </c>
      <c r="G55" s="58" t="s">
        <v>125</v>
      </c>
      <c r="I55" s="103">
        <f>+I54/D56</f>
        <v>0</v>
      </c>
      <c r="J55" s="103">
        <f>+J54/E56</f>
        <v>0</v>
      </c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</row>
    <row r="56" spans="2:145" x14ac:dyDescent="0.45">
      <c r="B56" s="59" t="s">
        <v>123</v>
      </c>
      <c r="C56" s="59"/>
      <c r="D56" s="114">
        <v>7</v>
      </c>
      <c r="E56" s="114">
        <v>5</v>
      </c>
      <c r="I56" s="103"/>
      <c r="J56" s="10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</row>
    <row r="57" spans="2:145" x14ac:dyDescent="0.45">
      <c r="G57" s="79" t="s">
        <v>126</v>
      </c>
      <c r="H57" s="79"/>
      <c r="I57" s="115">
        <f>IFERROR(J57/F19,0)</f>
        <v>0</v>
      </c>
      <c r="J57" s="113">
        <f>+J55+I55</f>
        <v>0</v>
      </c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</row>
    <row r="58" spans="2:145" x14ac:dyDescent="0.45">
      <c r="I58" s="103"/>
      <c r="J58" s="10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</row>
    <row r="59" spans="2:145" x14ac:dyDescent="0.45"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</row>
    <row r="60" spans="2:145" x14ac:dyDescent="0.45"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</row>
    <row r="61" spans="2:145" x14ac:dyDescent="0.45"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</row>
    <row r="62" spans="2:145" x14ac:dyDescent="0.45"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</row>
    <row r="63" spans="2:145" x14ac:dyDescent="0.45"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</row>
    <row r="64" spans="2:145" x14ac:dyDescent="0.45"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0EB6-AE63-40DF-A9E2-D16A9CD88FB0}">
  <sheetPr>
    <tabColor theme="1" tint="0.499984740745262"/>
  </sheetPr>
  <dimension ref="B4:EL36"/>
  <sheetViews>
    <sheetView showGridLines="0" topLeftCell="B1" zoomScale="115" zoomScaleNormal="115" workbookViewId="0">
      <selection activeCell="E12" sqref="E12"/>
    </sheetView>
  </sheetViews>
  <sheetFormatPr defaultColWidth="9.1328125" defaultRowHeight="12.75" x14ac:dyDescent="0.45"/>
  <cols>
    <col min="1" max="1" width="9.1328125" style="1"/>
    <col min="2" max="2" width="18.796875" style="1" customWidth="1"/>
    <col min="3" max="4" width="9.1328125" style="1"/>
    <col min="5" max="5" width="10.46484375" style="6" bestFit="1" customWidth="1"/>
    <col min="6" max="6" width="3.796875" style="6" customWidth="1"/>
    <col min="7" max="8" width="9.1328125" style="12"/>
    <col min="9" max="9" width="3.796875" style="1" customWidth="1"/>
    <col min="10" max="10" width="11" style="1" bestFit="1" customWidth="1"/>
    <col min="11" max="14" width="9.1328125" style="1"/>
    <col min="15" max="15" width="9.86328125" style="1" bestFit="1" customWidth="1"/>
    <col min="16" max="109" width="9.1328125" style="1"/>
    <col min="110" max="110" width="9.53125" style="1" bestFit="1" customWidth="1"/>
    <col min="111" max="142" width="9.53125" style="1" customWidth="1"/>
    <col min="143" max="16384" width="9.1328125" style="1"/>
  </cols>
  <sheetData>
    <row r="4" spans="2:142" x14ac:dyDescent="0.45">
      <c r="B4" s="8" t="str">
        <f>+Assumptions!B12</f>
        <v>Closing Costs</v>
      </c>
      <c r="G4" s="12" t="s">
        <v>7</v>
      </c>
      <c r="H4" s="12" t="s">
        <v>8</v>
      </c>
      <c r="I4" s="20"/>
      <c r="J4" s="20">
        <f>+Model!G4</f>
        <v>0</v>
      </c>
      <c r="K4" s="20">
        <f>+Model!H4</f>
        <v>1</v>
      </c>
      <c r="L4" s="20">
        <f>+Model!I4</f>
        <v>2</v>
      </c>
      <c r="M4" s="20">
        <f>+Model!J4</f>
        <v>3</v>
      </c>
      <c r="N4" s="20">
        <f>+Model!K4</f>
        <v>4</v>
      </c>
      <c r="O4" s="20">
        <f>+Model!L4</f>
        <v>5</v>
      </c>
      <c r="P4" s="20">
        <f>+Model!M4</f>
        <v>6</v>
      </c>
      <c r="Q4" s="20">
        <f>+Model!N4</f>
        <v>7</v>
      </c>
      <c r="R4" s="20">
        <f>+Model!O4</f>
        <v>8</v>
      </c>
      <c r="S4" s="20">
        <f>+Model!P4</f>
        <v>9</v>
      </c>
      <c r="T4" s="20">
        <f>+Model!Q4</f>
        <v>10</v>
      </c>
      <c r="U4" s="20">
        <f>+Model!R4</f>
        <v>11</v>
      </c>
      <c r="V4" s="20">
        <f>+Model!S4</f>
        <v>12</v>
      </c>
      <c r="W4" s="20">
        <f>+Model!T4</f>
        <v>13</v>
      </c>
      <c r="X4" s="20">
        <f>+Model!U4</f>
        <v>14</v>
      </c>
      <c r="Y4" s="20">
        <f>+Model!V4</f>
        <v>15</v>
      </c>
      <c r="Z4" s="20">
        <f>+Model!W4</f>
        <v>16</v>
      </c>
      <c r="AA4" s="20">
        <f>+Model!X4</f>
        <v>17</v>
      </c>
      <c r="AB4" s="20">
        <f>+Model!Y4</f>
        <v>18</v>
      </c>
      <c r="AC4" s="20">
        <f>+Model!Z4</f>
        <v>19</v>
      </c>
      <c r="AD4" s="20">
        <f>+Model!AA4</f>
        <v>20</v>
      </c>
      <c r="AE4" s="20">
        <f>+Model!AB4</f>
        <v>21</v>
      </c>
      <c r="AF4" s="20">
        <f>+Model!AC4</f>
        <v>22</v>
      </c>
      <c r="AG4" s="20">
        <f>+Model!AD4</f>
        <v>23</v>
      </c>
      <c r="AH4" s="20">
        <f>+Model!AE4</f>
        <v>24</v>
      </c>
      <c r="AI4" s="20">
        <f>+Model!AF4</f>
        <v>25</v>
      </c>
      <c r="AJ4" s="20">
        <f>+Model!AG4</f>
        <v>26</v>
      </c>
      <c r="AK4" s="20">
        <f>+Model!AH4</f>
        <v>27</v>
      </c>
      <c r="AL4" s="20">
        <f>+Model!AI4</f>
        <v>28</v>
      </c>
      <c r="AM4" s="20">
        <f>+Model!AJ4</f>
        <v>29</v>
      </c>
      <c r="AN4" s="20">
        <f>+Model!AK4</f>
        <v>30</v>
      </c>
      <c r="AO4" s="20">
        <f>+Model!AL4</f>
        <v>31</v>
      </c>
      <c r="AP4" s="20">
        <f>+Model!AM4</f>
        <v>32</v>
      </c>
      <c r="AQ4" s="20">
        <f>+Model!AN4</f>
        <v>33</v>
      </c>
      <c r="AR4" s="20">
        <f>+Model!AO4</f>
        <v>34</v>
      </c>
      <c r="AS4" s="20">
        <f>+Model!AP4</f>
        <v>35</v>
      </c>
      <c r="AT4" s="20">
        <f>+Model!AQ4</f>
        <v>36</v>
      </c>
      <c r="AU4" s="20">
        <f>+Model!AR4</f>
        <v>37</v>
      </c>
      <c r="AV4" s="20">
        <f>+Model!AS4</f>
        <v>38</v>
      </c>
      <c r="AW4" s="20">
        <f>+Model!AT4</f>
        <v>39</v>
      </c>
      <c r="AX4" s="20">
        <f>+Model!AU4</f>
        <v>40</v>
      </c>
      <c r="AY4" s="20">
        <f>+Model!AV4</f>
        <v>41</v>
      </c>
      <c r="AZ4" s="20">
        <f>+Model!AW4</f>
        <v>42</v>
      </c>
      <c r="BA4" s="20">
        <f>+Model!AX4</f>
        <v>43</v>
      </c>
      <c r="BB4" s="20">
        <f>+Model!AY4</f>
        <v>44</v>
      </c>
      <c r="BC4" s="20">
        <f>+Model!AZ4</f>
        <v>45</v>
      </c>
      <c r="BD4" s="20">
        <f>+Model!BA4</f>
        <v>46</v>
      </c>
      <c r="BE4" s="20">
        <f>+Model!BB4</f>
        <v>47</v>
      </c>
      <c r="BF4" s="20">
        <f>+Model!BC4</f>
        <v>48</v>
      </c>
      <c r="BG4" s="20">
        <f>+Model!BD4</f>
        <v>49</v>
      </c>
      <c r="BH4" s="20">
        <f>+Model!BE4</f>
        <v>50</v>
      </c>
      <c r="BI4" s="20">
        <f>+Model!BF4</f>
        <v>51</v>
      </c>
      <c r="BJ4" s="20">
        <f>+Model!BG4</f>
        <v>52</v>
      </c>
      <c r="BK4" s="20">
        <f>+Model!BH4</f>
        <v>53</v>
      </c>
      <c r="BL4" s="20">
        <f>+Model!BI4</f>
        <v>54</v>
      </c>
      <c r="BM4" s="20">
        <f>+Model!BJ4</f>
        <v>55</v>
      </c>
      <c r="BN4" s="20">
        <f>+Model!BK4</f>
        <v>56</v>
      </c>
      <c r="BO4" s="20">
        <f>+Model!BL4</f>
        <v>57</v>
      </c>
      <c r="BP4" s="20">
        <f>+Model!BM4</f>
        <v>58</v>
      </c>
      <c r="BQ4" s="20">
        <f>+Model!BN4</f>
        <v>59</v>
      </c>
      <c r="BR4" s="20">
        <f>+Model!BO4</f>
        <v>60</v>
      </c>
      <c r="BS4" s="20">
        <f>+Model!BP4</f>
        <v>61</v>
      </c>
      <c r="BT4" s="20">
        <f>+Model!BQ4</f>
        <v>62</v>
      </c>
      <c r="BU4" s="20">
        <f>+Model!BR4</f>
        <v>63</v>
      </c>
      <c r="BV4" s="20">
        <f>+Model!BS4</f>
        <v>64</v>
      </c>
      <c r="BW4" s="20">
        <f>+Model!BT4</f>
        <v>65</v>
      </c>
      <c r="BX4" s="20">
        <f>+Model!BU4</f>
        <v>66</v>
      </c>
      <c r="BY4" s="20">
        <f>+Model!BV4</f>
        <v>67</v>
      </c>
      <c r="BZ4" s="20">
        <f>+Model!BW4</f>
        <v>68</v>
      </c>
      <c r="CA4" s="20">
        <f>+Model!BX4</f>
        <v>69</v>
      </c>
      <c r="CB4" s="20">
        <f>+Model!BY4</f>
        <v>70</v>
      </c>
      <c r="CC4" s="20">
        <f>+Model!BZ4</f>
        <v>71</v>
      </c>
      <c r="CD4" s="20">
        <f>+Model!CA4</f>
        <v>72</v>
      </c>
      <c r="CE4" s="20">
        <f>+Model!CB4</f>
        <v>73</v>
      </c>
      <c r="CF4" s="20">
        <f>+Model!CC4</f>
        <v>74</v>
      </c>
      <c r="CG4" s="20">
        <f>+Model!CD4</f>
        <v>75</v>
      </c>
      <c r="CH4" s="20">
        <f>+Model!CE4</f>
        <v>76</v>
      </c>
      <c r="CI4" s="20">
        <f>+Model!CF4</f>
        <v>77</v>
      </c>
      <c r="CJ4" s="20">
        <f>+Model!CG4</f>
        <v>78</v>
      </c>
      <c r="CK4" s="20">
        <f>+Model!CH4</f>
        <v>79</v>
      </c>
      <c r="CL4" s="20">
        <f>+Model!CI4</f>
        <v>80</v>
      </c>
      <c r="CM4" s="20">
        <f>+Model!CJ4</f>
        <v>81</v>
      </c>
      <c r="CN4" s="20">
        <f>+Model!CK4</f>
        <v>82</v>
      </c>
      <c r="CO4" s="20">
        <f>+Model!CL4</f>
        <v>83</v>
      </c>
      <c r="CP4" s="20">
        <f>+Model!CM4</f>
        <v>84</v>
      </c>
      <c r="CQ4" s="20">
        <f>+Model!CN4</f>
        <v>85</v>
      </c>
      <c r="CR4" s="20">
        <f>+Model!CO4</f>
        <v>86</v>
      </c>
      <c r="CS4" s="20">
        <f>+Model!CP4</f>
        <v>87</v>
      </c>
      <c r="CT4" s="20">
        <f>+Model!CQ4</f>
        <v>88</v>
      </c>
      <c r="CU4" s="20">
        <f>+Model!CR4</f>
        <v>89</v>
      </c>
      <c r="CV4" s="20">
        <f>+Model!CS4</f>
        <v>90</v>
      </c>
      <c r="CW4" s="20">
        <f>+Model!CT4</f>
        <v>91</v>
      </c>
      <c r="CX4" s="20">
        <f>+Model!CU4</f>
        <v>92</v>
      </c>
      <c r="CY4" s="20">
        <f>+Model!CV4</f>
        <v>93</v>
      </c>
      <c r="CZ4" s="20">
        <f>+Model!CW4</f>
        <v>94</v>
      </c>
      <c r="DA4" s="20">
        <f>+Model!CX4</f>
        <v>95</v>
      </c>
      <c r="DB4" s="20">
        <f>+Model!CY4</f>
        <v>96</v>
      </c>
      <c r="DC4" s="20">
        <f>+Model!CZ4</f>
        <v>97</v>
      </c>
      <c r="DD4" s="20">
        <f>+Model!DA4</f>
        <v>98</v>
      </c>
      <c r="DE4" s="20">
        <f>+Model!DB4</f>
        <v>99</v>
      </c>
      <c r="DF4" s="20">
        <f>+Model!DC4</f>
        <v>100</v>
      </c>
      <c r="DG4" s="20">
        <f>+Model!DD4</f>
        <v>101</v>
      </c>
      <c r="DH4" s="20">
        <f>+Model!DE4</f>
        <v>102</v>
      </c>
      <c r="DI4" s="20">
        <f>+Model!DF4</f>
        <v>103</v>
      </c>
      <c r="DJ4" s="20">
        <f>+Model!DG4</f>
        <v>104</v>
      </c>
      <c r="DK4" s="20">
        <f>+Model!DH4</f>
        <v>105</v>
      </c>
      <c r="DL4" s="20">
        <f>+Model!DI4</f>
        <v>106</v>
      </c>
      <c r="DM4" s="20">
        <f>+Model!DJ4</f>
        <v>107</v>
      </c>
      <c r="DN4" s="20">
        <f>+Model!DK4</f>
        <v>108</v>
      </c>
      <c r="DO4" s="20">
        <f>+Model!DL4</f>
        <v>109</v>
      </c>
      <c r="DP4" s="20">
        <f>+Model!DM4</f>
        <v>110</v>
      </c>
      <c r="DQ4" s="20">
        <f>+Model!DN4</f>
        <v>111</v>
      </c>
      <c r="DR4" s="20">
        <f>+Model!DO4</f>
        <v>112</v>
      </c>
      <c r="DS4" s="20">
        <f>+Model!DP4</f>
        <v>113</v>
      </c>
      <c r="DT4" s="20">
        <f>+Model!DQ4</f>
        <v>114</v>
      </c>
      <c r="DU4" s="20">
        <f>+Model!DR4</f>
        <v>115</v>
      </c>
      <c r="DV4" s="20">
        <f>+Model!DS4</f>
        <v>116</v>
      </c>
      <c r="DW4" s="20">
        <f>+Model!DT4</f>
        <v>117</v>
      </c>
      <c r="DX4" s="20">
        <f>+Model!DU4</f>
        <v>118</v>
      </c>
      <c r="DY4" s="20">
        <f>+Model!DV4</f>
        <v>119</v>
      </c>
      <c r="DZ4" s="20">
        <f>+Model!DW4</f>
        <v>120</v>
      </c>
      <c r="EA4" s="20">
        <f>+Model!DX4</f>
        <v>121</v>
      </c>
      <c r="EB4" s="20">
        <f>+Model!DY4</f>
        <v>122</v>
      </c>
      <c r="EC4" s="20">
        <f>+Model!DZ4</f>
        <v>123</v>
      </c>
      <c r="ED4" s="20">
        <f>+Model!EA4</f>
        <v>124</v>
      </c>
      <c r="EE4" s="20">
        <f>+Model!EB4</f>
        <v>125</v>
      </c>
      <c r="EF4" s="20">
        <f>+Model!EC4</f>
        <v>126</v>
      </c>
      <c r="EG4" s="20">
        <f>+Model!ED4</f>
        <v>127</v>
      </c>
      <c r="EH4" s="20">
        <f>+Model!EE4</f>
        <v>128</v>
      </c>
      <c r="EI4" s="20">
        <f>+Model!EF4</f>
        <v>129</v>
      </c>
      <c r="EJ4" s="20">
        <f>+Model!EG4</f>
        <v>130</v>
      </c>
      <c r="EK4" s="20">
        <f>+Model!EH4</f>
        <v>131</v>
      </c>
      <c r="EL4" s="20">
        <f>+Model!EI4</f>
        <v>132</v>
      </c>
    </row>
    <row r="5" spans="2:142" x14ac:dyDescent="0.45">
      <c r="B5" s="1" t="s">
        <v>145</v>
      </c>
      <c r="D5" s="162">
        <v>0.02</v>
      </c>
      <c r="E5" s="19">
        <f>+Assumptions!$G$22*D5</f>
        <v>298000</v>
      </c>
      <c r="F5" s="9"/>
      <c r="G5" s="13">
        <v>0</v>
      </c>
      <c r="H5" s="13">
        <v>0</v>
      </c>
      <c r="I5" s="21"/>
      <c r="J5" s="21">
        <f t="shared" ref="J5:J9" si="0">IF(AND($G5=J$4,$H5=J$4),$E5,IF($G5&gt;J$4,0,IF($H5&lt;J$4,0,$E5/($H5-$G5+1))))</f>
        <v>298000</v>
      </c>
      <c r="K5" s="21">
        <f t="shared" ref="K5:Z17" si="1">IF(AND($G5=K$4,$H5=K$4),$E5,IF($G5&gt;K$4,0,IF($H5&lt;K$4,0,$E5/($H5-$G5+1))))</f>
        <v>0</v>
      </c>
      <c r="L5" s="21">
        <f t="shared" si="1"/>
        <v>0</v>
      </c>
      <c r="M5" s="21">
        <f t="shared" si="1"/>
        <v>0</v>
      </c>
      <c r="N5" s="21">
        <f t="shared" si="1"/>
        <v>0</v>
      </c>
      <c r="O5" s="21">
        <f t="shared" si="1"/>
        <v>0</v>
      </c>
      <c r="P5" s="21">
        <f t="shared" si="1"/>
        <v>0</v>
      </c>
      <c r="Q5" s="21">
        <f t="shared" si="1"/>
        <v>0</v>
      </c>
      <c r="R5" s="21">
        <f t="shared" si="1"/>
        <v>0</v>
      </c>
      <c r="S5" s="21">
        <f t="shared" si="1"/>
        <v>0</v>
      </c>
      <c r="T5" s="21">
        <f t="shared" si="1"/>
        <v>0</v>
      </c>
      <c r="U5" s="21">
        <f t="shared" si="1"/>
        <v>0</v>
      </c>
      <c r="V5" s="21">
        <f t="shared" si="1"/>
        <v>0</v>
      </c>
      <c r="W5" s="21">
        <f t="shared" si="1"/>
        <v>0</v>
      </c>
      <c r="X5" s="21">
        <f t="shared" si="1"/>
        <v>0</v>
      </c>
      <c r="Y5" s="21">
        <f t="shared" si="1"/>
        <v>0</v>
      </c>
      <c r="Z5" s="21">
        <f t="shared" si="1"/>
        <v>0</v>
      </c>
      <c r="AA5" s="21">
        <f t="shared" ref="AA5:AZ17" si="2">IF(AND($G5=AA$4,$H5=AA$4),$E5,IF($G5&gt;AA$4,0,IF($H5&lt;AA$4,0,$E5/($H5-$G5+1))))</f>
        <v>0</v>
      </c>
      <c r="AB5" s="21">
        <f t="shared" si="2"/>
        <v>0</v>
      </c>
      <c r="AC5" s="21">
        <f t="shared" si="2"/>
        <v>0</v>
      </c>
      <c r="AD5" s="21">
        <f t="shared" si="2"/>
        <v>0</v>
      </c>
      <c r="AE5" s="21">
        <f t="shared" si="2"/>
        <v>0</v>
      </c>
      <c r="AF5" s="21">
        <f t="shared" si="2"/>
        <v>0</v>
      </c>
      <c r="AG5" s="21">
        <f t="shared" si="2"/>
        <v>0</v>
      </c>
      <c r="AH5" s="21">
        <f t="shared" si="2"/>
        <v>0</v>
      </c>
      <c r="AI5" s="21">
        <f t="shared" si="2"/>
        <v>0</v>
      </c>
      <c r="AJ5" s="21">
        <f t="shared" si="2"/>
        <v>0</v>
      </c>
      <c r="AK5" s="21">
        <f t="shared" si="2"/>
        <v>0</v>
      </c>
      <c r="AL5" s="21">
        <f t="shared" si="2"/>
        <v>0</v>
      </c>
      <c r="AM5" s="21">
        <f t="shared" si="2"/>
        <v>0</v>
      </c>
      <c r="AN5" s="21">
        <f t="shared" si="2"/>
        <v>0</v>
      </c>
      <c r="AO5" s="21">
        <f t="shared" si="2"/>
        <v>0</v>
      </c>
      <c r="AP5" s="21">
        <f t="shared" si="2"/>
        <v>0</v>
      </c>
      <c r="AQ5" s="21">
        <f t="shared" si="2"/>
        <v>0</v>
      </c>
      <c r="AR5" s="21">
        <f t="shared" si="2"/>
        <v>0</v>
      </c>
      <c r="AS5" s="21">
        <f t="shared" si="2"/>
        <v>0</v>
      </c>
      <c r="AT5" s="21">
        <f t="shared" si="2"/>
        <v>0</v>
      </c>
      <c r="AU5" s="21">
        <f t="shared" si="2"/>
        <v>0</v>
      </c>
      <c r="AV5" s="21">
        <f t="shared" si="2"/>
        <v>0</v>
      </c>
      <c r="AW5" s="21">
        <f t="shared" si="2"/>
        <v>0</v>
      </c>
      <c r="AX5" s="21">
        <f t="shared" si="2"/>
        <v>0</v>
      </c>
      <c r="AY5" s="21">
        <f t="shared" si="2"/>
        <v>0</v>
      </c>
      <c r="AZ5" s="21">
        <f t="shared" si="2"/>
        <v>0</v>
      </c>
      <c r="BA5" s="21">
        <f t="shared" ref="BA5:BJ6" si="3">IF(AND($G5=BA$4,$H5=BA$4),$E5,IF($G5&gt;BA$4,0,IF($H5&lt;BA$4,0,$E5/($H5-$G5+1))))</f>
        <v>0</v>
      </c>
      <c r="BB5" s="21">
        <f t="shared" si="3"/>
        <v>0</v>
      </c>
      <c r="BC5" s="21">
        <f t="shared" si="3"/>
        <v>0</v>
      </c>
      <c r="BD5" s="21">
        <f t="shared" si="3"/>
        <v>0</v>
      </c>
      <c r="BE5" s="21">
        <f t="shared" si="3"/>
        <v>0</v>
      </c>
      <c r="BF5" s="21">
        <f t="shared" si="3"/>
        <v>0</v>
      </c>
      <c r="BG5" s="21">
        <f t="shared" si="3"/>
        <v>0</v>
      </c>
      <c r="BH5" s="21">
        <f t="shared" si="3"/>
        <v>0</v>
      </c>
      <c r="BI5" s="21">
        <f t="shared" si="3"/>
        <v>0</v>
      </c>
      <c r="BJ5" s="21">
        <f t="shared" si="3"/>
        <v>0</v>
      </c>
      <c r="BK5" s="21">
        <f t="shared" ref="BK5:BT6" si="4">IF(AND($G5=BK$4,$H5=BK$4),$E5,IF($G5&gt;BK$4,0,IF($H5&lt;BK$4,0,$E5/($H5-$G5+1))))</f>
        <v>0</v>
      </c>
      <c r="BL5" s="21">
        <f t="shared" si="4"/>
        <v>0</v>
      </c>
      <c r="BM5" s="21">
        <f t="shared" si="4"/>
        <v>0</v>
      </c>
      <c r="BN5" s="21">
        <f t="shared" si="4"/>
        <v>0</v>
      </c>
      <c r="BO5" s="21">
        <f t="shared" si="4"/>
        <v>0</v>
      </c>
      <c r="BP5" s="21">
        <f t="shared" si="4"/>
        <v>0</v>
      </c>
      <c r="BQ5" s="21">
        <f t="shared" si="4"/>
        <v>0</v>
      </c>
      <c r="BR5" s="21">
        <f t="shared" si="4"/>
        <v>0</v>
      </c>
      <c r="BS5" s="21">
        <f t="shared" si="4"/>
        <v>0</v>
      </c>
      <c r="BT5" s="21">
        <f t="shared" si="4"/>
        <v>0</v>
      </c>
      <c r="BU5" s="21">
        <f t="shared" ref="BU5:CD6" si="5">IF(AND($G5=BU$4,$H5=BU$4),$E5,IF($G5&gt;BU$4,0,IF($H5&lt;BU$4,0,$E5/($H5-$G5+1))))</f>
        <v>0</v>
      </c>
      <c r="BV5" s="21">
        <f t="shared" si="5"/>
        <v>0</v>
      </c>
      <c r="BW5" s="21">
        <f t="shared" si="5"/>
        <v>0</v>
      </c>
      <c r="BX5" s="21">
        <f t="shared" si="5"/>
        <v>0</v>
      </c>
      <c r="BY5" s="21">
        <f t="shared" si="5"/>
        <v>0</v>
      </c>
      <c r="BZ5" s="21">
        <f t="shared" si="5"/>
        <v>0</v>
      </c>
      <c r="CA5" s="21">
        <f t="shared" si="5"/>
        <v>0</v>
      </c>
      <c r="CB5" s="21">
        <f t="shared" si="5"/>
        <v>0</v>
      </c>
      <c r="CC5" s="21">
        <f t="shared" si="5"/>
        <v>0</v>
      </c>
      <c r="CD5" s="21">
        <f t="shared" si="5"/>
        <v>0</v>
      </c>
      <c r="CE5" s="21">
        <f t="shared" ref="CE5:CP6" si="6">IF(AND($G5=CE$4,$H5=CE$4),$E5,IF($G5&gt;CE$4,0,IF($H5&lt;CE$4,0,$E5/($H5-$G5+1))))</f>
        <v>0</v>
      </c>
      <c r="CF5" s="21">
        <f t="shared" si="6"/>
        <v>0</v>
      </c>
      <c r="CG5" s="21">
        <f t="shared" si="6"/>
        <v>0</v>
      </c>
      <c r="CH5" s="21">
        <f t="shared" si="6"/>
        <v>0</v>
      </c>
      <c r="CI5" s="21">
        <f t="shared" si="6"/>
        <v>0</v>
      </c>
      <c r="CJ5" s="21">
        <f t="shared" si="6"/>
        <v>0</v>
      </c>
      <c r="CK5" s="21">
        <f t="shared" si="6"/>
        <v>0</v>
      </c>
      <c r="CL5" s="21">
        <f t="shared" si="6"/>
        <v>0</v>
      </c>
      <c r="CM5" s="21">
        <f t="shared" si="6"/>
        <v>0</v>
      </c>
      <c r="CN5" s="21">
        <f t="shared" si="6"/>
        <v>0</v>
      </c>
      <c r="CO5" s="21">
        <f t="shared" si="6"/>
        <v>0</v>
      </c>
      <c r="CP5" s="21">
        <f t="shared" si="6"/>
        <v>0</v>
      </c>
      <c r="CQ5" s="21">
        <f t="shared" ref="CD5:DG11" si="7">IF(AND($G5=CQ$4,$H5=CQ$4),$E5,IF($G5&gt;CQ$4,0,IF($H5&lt;CQ$4,0,$E5/($H5-$G5+1))))</f>
        <v>0</v>
      </c>
      <c r="CR5" s="21">
        <f t="shared" si="7"/>
        <v>0</v>
      </c>
      <c r="CS5" s="21">
        <f t="shared" si="7"/>
        <v>0</v>
      </c>
      <c r="CT5" s="21">
        <f t="shared" si="7"/>
        <v>0</v>
      </c>
      <c r="CU5" s="21">
        <f t="shared" si="7"/>
        <v>0</v>
      </c>
      <c r="CV5" s="21">
        <f t="shared" si="7"/>
        <v>0</v>
      </c>
      <c r="CW5" s="21">
        <f t="shared" si="7"/>
        <v>0</v>
      </c>
      <c r="CX5" s="21">
        <f t="shared" si="7"/>
        <v>0</v>
      </c>
      <c r="CY5" s="21">
        <f t="shared" si="7"/>
        <v>0</v>
      </c>
      <c r="CZ5" s="21">
        <f t="shared" si="7"/>
        <v>0</v>
      </c>
      <c r="DA5" s="21">
        <f t="shared" si="7"/>
        <v>0</v>
      </c>
      <c r="DB5" s="21">
        <f t="shared" si="7"/>
        <v>0</v>
      </c>
      <c r="DC5" s="21">
        <f t="shared" si="7"/>
        <v>0</v>
      </c>
      <c r="DD5" s="21">
        <f t="shared" si="7"/>
        <v>0</v>
      </c>
      <c r="DE5" s="21">
        <f t="shared" si="7"/>
        <v>0</v>
      </c>
      <c r="DF5" s="21">
        <f t="shared" si="7"/>
        <v>0</v>
      </c>
      <c r="DG5" s="21">
        <f t="shared" si="7"/>
        <v>0</v>
      </c>
      <c r="DH5" s="21">
        <f t="shared" ref="DG5:EL14" si="8">IF(AND($G5=DH$4,$H5=DH$4),$E5,IF($G5&gt;DH$4,0,IF($H5&lt;DH$4,0,$E5/($H5-$G5+1))))</f>
        <v>0</v>
      </c>
      <c r="DI5" s="21">
        <f t="shared" si="8"/>
        <v>0</v>
      </c>
      <c r="DJ5" s="21">
        <f t="shared" si="8"/>
        <v>0</v>
      </c>
      <c r="DK5" s="21">
        <f t="shared" si="8"/>
        <v>0</v>
      </c>
      <c r="DL5" s="21">
        <f t="shared" si="8"/>
        <v>0</v>
      </c>
      <c r="DM5" s="21">
        <f t="shared" si="8"/>
        <v>0</v>
      </c>
      <c r="DN5" s="21">
        <f t="shared" si="8"/>
        <v>0</v>
      </c>
      <c r="DO5" s="21">
        <f t="shared" si="8"/>
        <v>0</v>
      </c>
      <c r="DP5" s="21">
        <f t="shared" si="8"/>
        <v>0</v>
      </c>
      <c r="DQ5" s="21">
        <f t="shared" si="8"/>
        <v>0</v>
      </c>
      <c r="DR5" s="21">
        <f t="shared" si="8"/>
        <v>0</v>
      </c>
      <c r="DS5" s="21">
        <f t="shared" si="8"/>
        <v>0</v>
      </c>
      <c r="DT5" s="21">
        <f t="shared" si="8"/>
        <v>0</v>
      </c>
      <c r="DU5" s="21">
        <f t="shared" si="8"/>
        <v>0</v>
      </c>
      <c r="DV5" s="21">
        <f t="shared" si="8"/>
        <v>0</v>
      </c>
      <c r="DW5" s="21">
        <f t="shared" si="8"/>
        <v>0</v>
      </c>
      <c r="DX5" s="21">
        <f t="shared" si="8"/>
        <v>0</v>
      </c>
      <c r="DY5" s="21">
        <f t="shared" si="8"/>
        <v>0</v>
      </c>
      <c r="DZ5" s="21">
        <f t="shared" si="8"/>
        <v>0</v>
      </c>
      <c r="EA5" s="21">
        <f t="shared" si="8"/>
        <v>0</v>
      </c>
      <c r="EB5" s="21">
        <f t="shared" si="8"/>
        <v>0</v>
      </c>
      <c r="EC5" s="21">
        <f t="shared" si="8"/>
        <v>0</v>
      </c>
      <c r="ED5" s="21">
        <f t="shared" si="8"/>
        <v>0</v>
      </c>
      <c r="EE5" s="21">
        <f t="shared" si="8"/>
        <v>0</v>
      </c>
      <c r="EF5" s="21">
        <f t="shared" si="8"/>
        <v>0</v>
      </c>
      <c r="EG5" s="21">
        <f t="shared" si="8"/>
        <v>0</v>
      </c>
      <c r="EH5" s="21">
        <f t="shared" si="8"/>
        <v>0</v>
      </c>
      <c r="EI5" s="21">
        <f t="shared" si="8"/>
        <v>0</v>
      </c>
      <c r="EJ5" s="21">
        <f t="shared" si="8"/>
        <v>0</v>
      </c>
      <c r="EK5" s="21">
        <f t="shared" si="8"/>
        <v>0</v>
      </c>
      <c r="EL5" s="21">
        <f t="shared" si="8"/>
        <v>0</v>
      </c>
    </row>
    <row r="6" spans="2:142" x14ac:dyDescent="0.45">
      <c r="B6" s="1" t="s">
        <v>290</v>
      </c>
      <c r="D6" s="163">
        <f>+Assumptions!L28</f>
        <v>0.01</v>
      </c>
      <c r="E6" s="19">
        <f>+D6*Assumptions!G31</f>
        <v>98704.903707595513</v>
      </c>
      <c r="G6" s="22">
        <f>+Assumptions!$G$28</f>
        <v>0</v>
      </c>
      <c r="H6" s="22">
        <f>+Assumptions!$G$28</f>
        <v>0</v>
      </c>
      <c r="I6" s="21"/>
      <c r="J6" s="21">
        <f t="shared" si="0"/>
        <v>98704.903707595513</v>
      </c>
      <c r="K6" s="21">
        <f t="shared" ref="K6:AP6" si="9">IF(AND($G6=K$4,$H6=K$4),$E6,IF($G6&gt;K$4,0,IF($H6&lt;K$4,0,$E6/($H6-$G6+1))))</f>
        <v>0</v>
      </c>
      <c r="L6" s="21">
        <f t="shared" si="9"/>
        <v>0</v>
      </c>
      <c r="M6" s="21">
        <f t="shared" si="9"/>
        <v>0</v>
      </c>
      <c r="N6" s="21">
        <f t="shared" si="9"/>
        <v>0</v>
      </c>
      <c r="O6" s="21">
        <f t="shared" si="9"/>
        <v>0</v>
      </c>
      <c r="P6" s="21">
        <f t="shared" si="9"/>
        <v>0</v>
      </c>
      <c r="Q6" s="21">
        <f t="shared" si="9"/>
        <v>0</v>
      </c>
      <c r="R6" s="21">
        <f t="shared" si="9"/>
        <v>0</v>
      </c>
      <c r="S6" s="21">
        <f t="shared" si="9"/>
        <v>0</v>
      </c>
      <c r="T6" s="21">
        <f t="shared" si="9"/>
        <v>0</v>
      </c>
      <c r="U6" s="21">
        <f t="shared" si="9"/>
        <v>0</v>
      </c>
      <c r="V6" s="21">
        <f t="shared" si="9"/>
        <v>0</v>
      </c>
      <c r="W6" s="21">
        <f t="shared" si="9"/>
        <v>0</v>
      </c>
      <c r="X6" s="21">
        <f t="shared" si="9"/>
        <v>0</v>
      </c>
      <c r="Y6" s="21">
        <f t="shared" si="9"/>
        <v>0</v>
      </c>
      <c r="Z6" s="21">
        <f t="shared" si="9"/>
        <v>0</v>
      </c>
      <c r="AA6" s="21">
        <f t="shared" si="9"/>
        <v>0</v>
      </c>
      <c r="AB6" s="21">
        <f t="shared" si="9"/>
        <v>0</v>
      </c>
      <c r="AC6" s="21">
        <f t="shared" si="9"/>
        <v>0</v>
      </c>
      <c r="AD6" s="21">
        <f t="shared" si="9"/>
        <v>0</v>
      </c>
      <c r="AE6" s="21">
        <f t="shared" si="9"/>
        <v>0</v>
      </c>
      <c r="AF6" s="21">
        <f t="shared" si="9"/>
        <v>0</v>
      </c>
      <c r="AG6" s="21">
        <f t="shared" si="9"/>
        <v>0</v>
      </c>
      <c r="AH6" s="21">
        <f t="shared" si="9"/>
        <v>0</v>
      </c>
      <c r="AI6" s="21">
        <f t="shared" si="9"/>
        <v>0</v>
      </c>
      <c r="AJ6" s="21">
        <f t="shared" si="9"/>
        <v>0</v>
      </c>
      <c r="AK6" s="21">
        <f t="shared" si="9"/>
        <v>0</v>
      </c>
      <c r="AL6" s="21">
        <f t="shared" si="9"/>
        <v>0</v>
      </c>
      <c r="AM6" s="21">
        <f t="shared" si="9"/>
        <v>0</v>
      </c>
      <c r="AN6" s="21">
        <f t="shared" si="9"/>
        <v>0</v>
      </c>
      <c r="AO6" s="21">
        <f t="shared" si="9"/>
        <v>0</v>
      </c>
      <c r="AP6" s="21">
        <f t="shared" si="9"/>
        <v>0</v>
      </c>
      <c r="AQ6" s="21">
        <f t="shared" si="2"/>
        <v>0</v>
      </c>
      <c r="AR6" s="21">
        <f t="shared" si="2"/>
        <v>0</v>
      </c>
      <c r="AS6" s="21">
        <f t="shared" si="2"/>
        <v>0</v>
      </c>
      <c r="AT6" s="21">
        <f t="shared" si="2"/>
        <v>0</v>
      </c>
      <c r="AU6" s="21">
        <f t="shared" si="2"/>
        <v>0</v>
      </c>
      <c r="AV6" s="21">
        <f t="shared" si="2"/>
        <v>0</v>
      </c>
      <c r="AW6" s="21">
        <f t="shared" si="2"/>
        <v>0</v>
      </c>
      <c r="AX6" s="21">
        <f t="shared" si="2"/>
        <v>0</v>
      </c>
      <c r="AY6" s="21">
        <f t="shared" si="2"/>
        <v>0</v>
      </c>
      <c r="AZ6" s="21">
        <f t="shared" si="2"/>
        <v>0</v>
      </c>
      <c r="BA6" s="21">
        <f t="shared" si="3"/>
        <v>0</v>
      </c>
      <c r="BB6" s="21">
        <f t="shared" si="3"/>
        <v>0</v>
      </c>
      <c r="BC6" s="21">
        <f t="shared" si="3"/>
        <v>0</v>
      </c>
      <c r="BD6" s="21">
        <f t="shared" si="3"/>
        <v>0</v>
      </c>
      <c r="BE6" s="21">
        <f t="shared" si="3"/>
        <v>0</v>
      </c>
      <c r="BF6" s="21">
        <f t="shared" si="3"/>
        <v>0</v>
      </c>
      <c r="BG6" s="21">
        <f t="shared" si="3"/>
        <v>0</v>
      </c>
      <c r="BH6" s="21">
        <f t="shared" si="3"/>
        <v>0</v>
      </c>
      <c r="BI6" s="21">
        <f t="shared" si="3"/>
        <v>0</v>
      </c>
      <c r="BJ6" s="21">
        <f t="shared" si="3"/>
        <v>0</v>
      </c>
      <c r="BK6" s="21">
        <f t="shared" si="4"/>
        <v>0</v>
      </c>
      <c r="BL6" s="21">
        <f t="shared" si="4"/>
        <v>0</v>
      </c>
      <c r="BM6" s="21">
        <f t="shared" si="4"/>
        <v>0</v>
      </c>
      <c r="BN6" s="21">
        <f t="shared" si="4"/>
        <v>0</v>
      </c>
      <c r="BO6" s="21">
        <f t="shared" si="4"/>
        <v>0</v>
      </c>
      <c r="BP6" s="21">
        <f t="shared" si="4"/>
        <v>0</v>
      </c>
      <c r="BQ6" s="21">
        <f t="shared" si="4"/>
        <v>0</v>
      </c>
      <c r="BR6" s="21">
        <f t="shared" si="4"/>
        <v>0</v>
      </c>
      <c r="BS6" s="21">
        <f t="shared" si="4"/>
        <v>0</v>
      </c>
      <c r="BT6" s="21">
        <f t="shared" si="4"/>
        <v>0</v>
      </c>
      <c r="BU6" s="21">
        <f t="shared" si="5"/>
        <v>0</v>
      </c>
      <c r="BV6" s="21">
        <f t="shared" si="5"/>
        <v>0</v>
      </c>
      <c r="BW6" s="21">
        <f t="shared" si="5"/>
        <v>0</v>
      </c>
      <c r="BX6" s="21">
        <f t="shared" si="5"/>
        <v>0</v>
      </c>
      <c r="BY6" s="21">
        <f t="shared" si="5"/>
        <v>0</v>
      </c>
      <c r="BZ6" s="21">
        <f t="shared" si="5"/>
        <v>0</v>
      </c>
      <c r="CA6" s="21">
        <f t="shared" si="5"/>
        <v>0</v>
      </c>
      <c r="CB6" s="21">
        <f t="shared" si="5"/>
        <v>0</v>
      </c>
      <c r="CC6" s="21">
        <f t="shared" si="5"/>
        <v>0</v>
      </c>
      <c r="CD6" s="21">
        <f t="shared" si="5"/>
        <v>0</v>
      </c>
      <c r="CE6" s="21">
        <f t="shared" si="6"/>
        <v>0</v>
      </c>
      <c r="CF6" s="21">
        <f t="shared" si="6"/>
        <v>0</v>
      </c>
      <c r="CG6" s="21">
        <f t="shared" si="6"/>
        <v>0</v>
      </c>
      <c r="CH6" s="21">
        <f t="shared" si="6"/>
        <v>0</v>
      </c>
      <c r="CI6" s="21">
        <f t="shared" si="6"/>
        <v>0</v>
      </c>
      <c r="CJ6" s="21">
        <f t="shared" si="6"/>
        <v>0</v>
      </c>
      <c r="CK6" s="21">
        <f t="shared" si="6"/>
        <v>0</v>
      </c>
      <c r="CL6" s="21">
        <f t="shared" si="6"/>
        <v>0</v>
      </c>
      <c r="CM6" s="21">
        <f t="shared" si="6"/>
        <v>0</v>
      </c>
      <c r="CN6" s="21">
        <f t="shared" si="6"/>
        <v>0</v>
      </c>
      <c r="CO6" s="21">
        <f t="shared" si="6"/>
        <v>0</v>
      </c>
      <c r="CP6" s="21">
        <f t="shared" si="6"/>
        <v>0</v>
      </c>
      <c r="CQ6" s="21">
        <f t="shared" si="7"/>
        <v>0</v>
      </c>
      <c r="CR6" s="21">
        <f t="shared" si="7"/>
        <v>0</v>
      </c>
      <c r="CS6" s="21">
        <f t="shared" si="7"/>
        <v>0</v>
      </c>
      <c r="CT6" s="21">
        <f t="shared" si="7"/>
        <v>0</v>
      </c>
      <c r="CU6" s="21">
        <f t="shared" si="7"/>
        <v>0</v>
      </c>
      <c r="CV6" s="21">
        <f t="shared" si="7"/>
        <v>0</v>
      </c>
      <c r="CW6" s="21">
        <f t="shared" si="7"/>
        <v>0</v>
      </c>
      <c r="CX6" s="21">
        <f t="shared" si="7"/>
        <v>0</v>
      </c>
      <c r="CY6" s="21">
        <f t="shared" si="7"/>
        <v>0</v>
      </c>
      <c r="CZ6" s="21">
        <f t="shared" si="7"/>
        <v>0</v>
      </c>
      <c r="DA6" s="21">
        <f t="shared" si="7"/>
        <v>0</v>
      </c>
      <c r="DB6" s="21">
        <f t="shared" si="7"/>
        <v>0</v>
      </c>
      <c r="DC6" s="21">
        <f t="shared" si="7"/>
        <v>0</v>
      </c>
      <c r="DD6" s="21">
        <f t="shared" si="7"/>
        <v>0</v>
      </c>
      <c r="DE6" s="21">
        <f t="shared" si="7"/>
        <v>0</v>
      </c>
      <c r="DF6" s="21">
        <f t="shared" si="7"/>
        <v>0</v>
      </c>
      <c r="DG6" s="21">
        <f t="shared" si="7"/>
        <v>0</v>
      </c>
      <c r="DH6" s="21">
        <f t="shared" si="8"/>
        <v>0</v>
      </c>
      <c r="DI6" s="21">
        <f t="shared" si="8"/>
        <v>0</v>
      </c>
      <c r="DJ6" s="21">
        <f t="shared" si="8"/>
        <v>0</v>
      </c>
      <c r="DK6" s="21">
        <f t="shared" si="8"/>
        <v>0</v>
      </c>
      <c r="DL6" s="21">
        <f t="shared" si="8"/>
        <v>0</v>
      </c>
      <c r="DM6" s="21">
        <f t="shared" si="8"/>
        <v>0</v>
      </c>
      <c r="DN6" s="21">
        <f t="shared" si="8"/>
        <v>0</v>
      </c>
      <c r="DO6" s="21">
        <f t="shared" si="8"/>
        <v>0</v>
      </c>
      <c r="DP6" s="21">
        <f t="shared" si="8"/>
        <v>0</v>
      </c>
      <c r="DQ6" s="21">
        <f t="shared" si="8"/>
        <v>0</v>
      </c>
      <c r="DR6" s="21">
        <f t="shared" si="8"/>
        <v>0</v>
      </c>
      <c r="DS6" s="21">
        <f t="shared" si="8"/>
        <v>0</v>
      </c>
      <c r="DT6" s="21">
        <f t="shared" si="8"/>
        <v>0</v>
      </c>
      <c r="DU6" s="21">
        <f t="shared" si="8"/>
        <v>0</v>
      </c>
      <c r="DV6" s="21">
        <f t="shared" si="8"/>
        <v>0</v>
      </c>
      <c r="DW6" s="21">
        <f t="shared" si="8"/>
        <v>0</v>
      </c>
      <c r="DX6" s="21">
        <f t="shared" si="8"/>
        <v>0</v>
      </c>
      <c r="DY6" s="21">
        <f t="shared" si="8"/>
        <v>0</v>
      </c>
      <c r="DZ6" s="21">
        <f t="shared" si="8"/>
        <v>0</v>
      </c>
      <c r="EA6" s="21">
        <f t="shared" si="8"/>
        <v>0</v>
      </c>
      <c r="EB6" s="21">
        <f t="shared" si="8"/>
        <v>0</v>
      </c>
      <c r="EC6" s="21">
        <f t="shared" si="8"/>
        <v>0</v>
      </c>
      <c r="ED6" s="21">
        <f t="shared" si="8"/>
        <v>0</v>
      </c>
      <c r="EE6" s="21">
        <f t="shared" si="8"/>
        <v>0</v>
      </c>
      <c r="EF6" s="21">
        <f t="shared" si="8"/>
        <v>0</v>
      </c>
      <c r="EG6" s="21">
        <f t="shared" si="8"/>
        <v>0</v>
      </c>
      <c r="EH6" s="21">
        <f t="shared" si="8"/>
        <v>0</v>
      </c>
      <c r="EI6" s="21">
        <f t="shared" si="8"/>
        <v>0</v>
      </c>
      <c r="EJ6" s="21">
        <f t="shared" si="8"/>
        <v>0</v>
      </c>
      <c r="EK6" s="21">
        <f t="shared" si="8"/>
        <v>0</v>
      </c>
      <c r="EL6" s="21">
        <f t="shared" si="8"/>
        <v>0</v>
      </c>
    </row>
    <row r="7" spans="2:142" x14ac:dyDescent="0.45">
      <c r="B7" s="1" t="s">
        <v>219</v>
      </c>
      <c r="D7" s="162">
        <v>3.5000000000000001E-3</v>
      </c>
      <c r="E7" s="19">
        <f>+Assumptions!$G$22*D7</f>
        <v>52150</v>
      </c>
      <c r="F7" s="9"/>
      <c r="G7" s="13">
        <v>0</v>
      </c>
      <c r="H7" s="13">
        <v>0</v>
      </c>
      <c r="I7" s="21"/>
      <c r="J7" s="21">
        <f t="shared" si="0"/>
        <v>52150</v>
      </c>
      <c r="K7" s="21">
        <f t="shared" si="1"/>
        <v>0</v>
      </c>
      <c r="L7" s="21">
        <f t="shared" si="1"/>
        <v>0</v>
      </c>
      <c r="M7" s="21">
        <f t="shared" si="1"/>
        <v>0</v>
      </c>
      <c r="N7" s="21">
        <f t="shared" si="1"/>
        <v>0</v>
      </c>
      <c r="O7" s="21">
        <f t="shared" si="1"/>
        <v>0</v>
      </c>
      <c r="P7" s="21">
        <f t="shared" si="1"/>
        <v>0</v>
      </c>
      <c r="Q7" s="21">
        <f t="shared" si="1"/>
        <v>0</v>
      </c>
      <c r="R7" s="21">
        <f t="shared" si="1"/>
        <v>0</v>
      </c>
      <c r="S7" s="21">
        <f t="shared" si="1"/>
        <v>0</v>
      </c>
      <c r="T7" s="21">
        <f t="shared" si="1"/>
        <v>0</v>
      </c>
      <c r="U7" s="21">
        <f t="shared" si="1"/>
        <v>0</v>
      </c>
      <c r="V7" s="21">
        <f t="shared" si="1"/>
        <v>0</v>
      </c>
      <c r="W7" s="21">
        <f t="shared" si="1"/>
        <v>0</v>
      </c>
      <c r="X7" s="21">
        <f t="shared" si="1"/>
        <v>0</v>
      </c>
      <c r="Y7" s="21">
        <f t="shared" si="1"/>
        <v>0</v>
      </c>
      <c r="Z7" s="21">
        <f t="shared" si="1"/>
        <v>0</v>
      </c>
      <c r="AA7" s="21">
        <f t="shared" ref="AA7:AZ7" si="10">IF(AND($G7=AA$4,$H7=AA$4),$E7,IF($G7&gt;AA$4,0,IF($H7&lt;AA$4,0,$E7/($H7-$G7+1))))</f>
        <v>0</v>
      </c>
      <c r="AB7" s="21">
        <f t="shared" si="10"/>
        <v>0</v>
      </c>
      <c r="AC7" s="21">
        <f t="shared" si="10"/>
        <v>0</v>
      </c>
      <c r="AD7" s="21">
        <f t="shared" si="10"/>
        <v>0</v>
      </c>
      <c r="AE7" s="21">
        <f t="shared" si="10"/>
        <v>0</v>
      </c>
      <c r="AF7" s="21">
        <f t="shared" si="10"/>
        <v>0</v>
      </c>
      <c r="AG7" s="21">
        <f t="shared" si="10"/>
        <v>0</v>
      </c>
      <c r="AH7" s="21">
        <f t="shared" si="10"/>
        <v>0</v>
      </c>
      <c r="AI7" s="21">
        <f t="shared" si="10"/>
        <v>0</v>
      </c>
      <c r="AJ7" s="21">
        <f t="shared" si="10"/>
        <v>0</v>
      </c>
      <c r="AK7" s="21">
        <f t="shared" si="10"/>
        <v>0</v>
      </c>
      <c r="AL7" s="21">
        <f t="shared" si="10"/>
        <v>0</v>
      </c>
      <c r="AM7" s="21">
        <f t="shared" si="10"/>
        <v>0</v>
      </c>
      <c r="AN7" s="21">
        <f t="shared" si="10"/>
        <v>0</v>
      </c>
      <c r="AO7" s="21">
        <f t="shared" si="10"/>
        <v>0</v>
      </c>
      <c r="AP7" s="21">
        <f t="shared" si="10"/>
        <v>0</v>
      </c>
      <c r="AQ7" s="21">
        <f t="shared" si="10"/>
        <v>0</v>
      </c>
      <c r="AR7" s="21">
        <f t="shared" si="10"/>
        <v>0</v>
      </c>
      <c r="AS7" s="21">
        <f t="shared" si="10"/>
        <v>0</v>
      </c>
      <c r="AT7" s="21">
        <f t="shared" si="10"/>
        <v>0</v>
      </c>
      <c r="AU7" s="21">
        <f t="shared" si="10"/>
        <v>0</v>
      </c>
      <c r="AV7" s="21">
        <f t="shared" si="10"/>
        <v>0</v>
      </c>
      <c r="AW7" s="21">
        <f t="shared" si="10"/>
        <v>0</v>
      </c>
      <c r="AX7" s="21">
        <f t="shared" si="10"/>
        <v>0</v>
      </c>
      <c r="AY7" s="21">
        <f t="shared" si="10"/>
        <v>0</v>
      </c>
      <c r="AZ7" s="21">
        <f t="shared" si="10"/>
        <v>0</v>
      </c>
      <c r="BA7" s="21">
        <f t="shared" ref="BA7:BE7" si="11">IF(AND($G7=BA$4,$H7=BA$4),$E7,IF($G7&gt;BA$4,0,IF($H7&lt;BA$4,0,$E7/($H7-$G7+1))))</f>
        <v>0</v>
      </c>
      <c r="BB7" s="21">
        <f t="shared" si="11"/>
        <v>0</v>
      </c>
      <c r="BC7" s="21">
        <f t="shared" si="11"/>
        <v>0</v>
      </c>
      <c r="BD7" s="21">
        <f t="shared" si="11"/>
        <v>0</v>
      </c>
      <c r="BE7" s="21">
        <f t="shared" si="11"/>
        <v>0</v>
      </c>
      <c r="BF7" s="21">
        <f t="shared" ref="BF7:CP7" si="12">IF(AND($G7=BF$4,$H7=BF$4),$E7,IF($G7&gt;BF$4,0,IF($H7&lt;BF$4,0,$E7/($H7-$G7+1))))</f>
        <v>0</v>
      </c>
      <c r="BG7" s="21">
        <f t="shared" si="12"/>
        <v>0</v>
      </c>
      <c r="BH7" s="21">
        <f t="shared" si="12"/>
        <v>0</v>
      </c>
      <c r="BI7" s="21">
        <f t="shared" si="12"/>
        <v>0</v>
      </c>
      <c r="BJ7" s="21">
        <f t="shared" si="12"/>
        <v>0</v>
      </c>
      <c r="BK7" s="21">
        <f t="shared" si="12"/>
        <v>0</v>
      </c>
      <c r="BL7" s="21">
        <f t="shared" si="12"/>
        <v>0</v>
      </c>
      <c r="BM7" s="21">
        <f t="shared" si="12"/>
        <v>0</v>
      </c>
      <c r="BN7" s="21">
        <f t="shared" si="12"/>
        <v>0</v>
      </c>
      <c r="BO7" s="21">
        <f t="shared" si="12"/>
        <v>0</v>
      </c>
      <c r="BP7" s="21">
        <f t="shared" si="12"/>
        <v>0</v>
      </c>
      <c r="BQ7" s="21">
        <f t="shared" si="12"/>
        <v>0</v>
      </c>
      <c r="BR7" s="21">
        <f t="shared" si="12"/>
        <v>0</v>
      </c>
      <c r="BS7" s="21">
        <f t="shared" si="12"/>
        <v>0</v>
      </c>
      <c r="BT7" s="21">
        <f t="shared" si="12"/>
        <v>0</v>
      </c>
      <c r="BU7" s="21">
        <f t="shared" si="12"/>
        <v>0</v>
      </c>
      <c r="BV7" s="21">
        <f t="shared" si="12"/>
        <v>0</v>
      </c>
      <c r="BW7" s="21">
        <f t="shared" si="12"/>
        <v>0</v>
      </c>
      <c r="BX7" s="21">
        <f t="shared" si="12"/>
        <v>0</v>
      </c>
      <c r="BY7" s="21">
        <f t="shared" si="12"/>
        <v>0</v>
      </c>
      <c r="BZ7" s="21">
        <f t="shared" si="12"/>
        <v>0</v>
      </c>
      <c r="CA7" s="21">
        <f t="shared" si="12"/>
        <v>0</v>
      </c>
      <c r="CB7" s="21">
        <f t="shared" si="12"/>
        <v>0</v>
      </c>
      <c r="CC7" s="21">
        <f t="shared" si="12"/>
        <v>0</v>
      </c>
      <c r="CD7" s="21">
        <f t="shared" si="12"/>
        <v>0</v>
      </c>
      <c r="CE7" s="21">
        <f t="shared" si="12"/>
        <v>0</v>
      </c>
      <c r="CF7" s="21">
        <f t="shared" si="12"/>
        <v>0</v>
      </c>
      <c r="CG7" s="21">
        <f t="shared" si="12"/>
        <v>0</v>
      </c>
      <c r="CH7" s="21">
        <f t="shared" si="12"/>
        <v>0</v>
      </c>
      <c r="CI7" s="21">
        <f t="shared" si="12"/>
        <v>0</v>
      </c>
      <c r="CJ7" s="21">
        <f t="shared" si="12"/>
        <v>0</v>
      </c>
      <c r="CK7" s="21">
        <f t="shared" si="12"/>
        <v>0</v>
      </c>
      <c r="CL7" s="21">
        <f t="shared" si="12"/>
        <v>0</v>
      </c>
      <c r="CM7" s="21">
        <f t="shared" si="12"/>
        <v>0</v>
      </c>
      <c r="CN7" s="21">
        <f t="shared" si="12"/>
        <v>0</v>
      </c>
      <c r="CO7" s="21">
        <f t="shared" si="12"/>
        <v>0</v>
      </c>
      <c r="CP7" s="21">
        <f t="shared" si="12"/>
        <v>0</v>
      </c>
      <c r="CQ7" s="21">
        <f t="shared" si="7"/>
        <v>0</v>
      </c>
      <c r="CR7" s="21">
        <f t="shared" si="7"/>
        <v>0</v>
      </c>
      <c r="CS7" s="21">
        <f t="shared" si="7"/>
        <v>0</v>
      </c>
      <c r="CT7" s="21">
        <f t="shared" si="7"/>
        <v>0</v>
      </c>
      <c r="CU7" s="21">
        <f t="shared" si="7"/>
        <v>0</v>
      </c>
      <c r="CV7" s="21">
        <f t="shared" si="7"/>
        <v>0</v>
      </c>
      <c r="CW7" s="21">
        <f t="shared" si="7"/>
        <v>0</v>
      </c>
      <c r="CX7" s="21">
        <f t="shared" si="7"/>
        <v>0</v>
      </c>
      <c r="CY7" s="21">
        <f t="shared" si="7"/>
        <v>0</v>
      </c>
      <c r="CZ7" s="21">
        <f t="shared" si="7"/>
        <v>0</v>
      </c>
      <c r="DA7" s="21">
        <f t="shared" si="7"/>
        <v>0</v>
      </c>
      <c r="DB7" s="21">
        <f t="shared" si="7"/>
        <v>0</v>
      </c>
      <c r="DC7" s="21">
        <f t="shared" si="7"/>
        <v>0</v>
      </c>
      <c r="DD7" s="21">
        <f t="shared" si="7"/>
        <v>0</v>
      </c>
      <c r="DE7" s="21">
        <f t="shared" si="7"/>
        <v>0</v>
      </c>
      <c r="DF7" s="21">
        <f t="shared" si="7"/>
        <v>0</v>
      </c>
      <c r="DG7" s="21">
        <f t="shared" si="7"/>
        <v>0</v>
      </c>
      <c r="DH7" s="21">
        <f t="shared" si="8"/>
        <v>0</v>
      </c>
      <c r="DI7" s="21">
        <f t="shared" si="8"/>
        <v>0</v>
      </c>
      <c r="DJ7" s="21">
        <f t="shared" si="8"/>
        <v>0</v>
      </c>
      <c r="DK7" s="21">
        <f t="shared" si="8"/>
        <v>0</v>
      </c>
      <c r="DL7" s="21">
        <f t="shared" si="8"/>
        <v>0</v>
      </c>
      <c r="DM7" s="21">
        <f t="shared" si="8"/>
        <v>0</v>
      </c>
      <c r="DN7" s="21">
        <f t="shared" si="8"/>
        <v>0</v>
      </c>
      <c r="DO7" s="21">
        <f t="shared" si="8"/>
        <v>0</v>
      </c>
      <c r="DP7" s="21">
        <f t="shared" si="8"/>
        <v>0</v>
      </c>
      <c r="DQ7" s="21">
        <f t="shared" si="8"/>
        <v>0</v>
      </c>
      <c r="DR7" s="21">
        <f t="shared" si="8"/>
        <v>0</v>
      </c>
      <c r="DS7" s="21">
        <f t="shared" si="8"/>
        <v>0</v>
      </c>
      <c r="DT7" s="21">
        <f t="shared" si="8"/>
        <v>0</v>
      </c>
      <c r="DU7" s="21">
        <f t="shared" si="8"/>
        <v>0</v>
      </c>
      <c r="DV7" s="21">
        <f t="shared" si="8"/>
        <v>0</v>
      </c>
      <c r="DW7" s="21">
        <f t="shared" si="8"/>
        <v>0</v>
      </c>
      <c r="DX7" s="21">
        <f t="shared" si="8"/>
        <v>0</v>
      </c>
      <c r="DY7" s="21">
        <f t="shared" si="8"/>
        <v>0</v>
      </c>
      <c r="DZ7" s="21">
        <f t="shared" si="8"/>
        <v>0</v>
      </c>
      <c r="EA7" s="21">
        <f t="shared" si="8"/>
        <v>0</v>
      </c>
      <c r="EB7" s="21">
        <f t="shared" si="8"/>
        <v>0</v>
      </c>
      <c r="EC7" s="21">
        <f t="shared" si="8"/>
        <v>0</v>
      </c>
      <c r="ED7" s="21">
        <f t="shared" si="8"/>
        <v>0</v>
      </c>
      <c r="EE7" s="21">
        <f t="shared" si="8"/>
        <v>0</v>
      </c>
      <c r="EF7" s="21">
        <f t="shared" si="8"/>
        <v>0</v>
      </c>
      <c r="EG7" s="21">
        <f t="shared" si="8"/>
        <v>0</v>
      </c>
      <c r="EH7" s="21">
        <f t="shared" si="8"/>
        <v>0</v>
      </c>
      <c r="EI7" s="21">
        <f t="shared" si="8"/>
        <v>0</v>
      </c>
      <c r="EJ7" s="21">
        <f t="shared" si="8"/>
        <v>0</v>
      </c>
      <c r="EK7" s="21">
        <f t="shared" si="8"/>
        <v>0</v>
      </c>
      <c r="EL7" s="21">
        <f t="shared" si="8"/>
        <v>0</v>
      </c>
    </row>
    <row r="8" spans="2:142" x14ac:dyDescent="0.45">
      <c r="B8" s="1" t="s">
        <v>146</v>
      </c>
      <c r="E8" s="9">
        <v>5000</v>
      </c>
      <c r="G8" s="13">
        <v>0</v>
      </c>
      <c r="H8" s="13">
        <v>0</v>
      </c>
      <c r="I8" s="21"/>
      <c r="J8" s="21">
        <f t="shared" si="0"/>
        <v>5000</v>
      </c>
      <c r="K8" s="21">
        <f t="shared" ref="K8:T9" si="13">IF(AND($G8=K$4,$H8=K$4),$E8,IF($G8&gt;K$4,0,IF($H8&lt;K$4,0,$E8/($H8-$G8+1))))</f>
        <v>0</v>
      </c>
      <c r="L8" s="21">
        <f t="shared" si="13"/>
        <v>0</v>
      </c>
      <c r="M8" s="21">
        <f t="shared" si="13"/>
        <v>0</v>
      </c>
      <c r="N8" s="21">
        <f t="shared" si="13"/>
        <v>0</v>
      </c>
      <c r="O8" s="21">
        <f t="shared" si="13"/>
        <v>0</v>
      </c>
      <c r="P8" s="21">
        <f t="shared" si="13"/>
        <v>0</v>
      </c>
      <c r="Q8" s="21">
        <f t="shared" si="13"/>
        <v>0</v>
      </c>
      <c r="R8" s="21">
        <f t="shared" si="13"/>
        <v>0</v>
      </c>
      <c r="S8" s="21">
        <f t="shared" si="13"/>
        <v>0</v>
      </c>
      <c r="T8" s="21">
        <f t="shared" si="13"/>
        <v>0</v>
      </c>
      <c r="U8" s="21">
        <f t="shared" si="1"/>
        <v>0</v>
      </c>
      <c r="V8" s="21">
        <f t="shared" si="1"/>
        <v>0</v>
      </c>
      <c r="W8" s="21">
        <f t="shared" si="1"/>
        <v>0</v>
      </c>
      <c r="X8" s="21">
        <f t="shared" si="1"/>
        <v>0</v>
      </c>
      <c r="Y8" s="21">
        <f t="shared" si="1"/>
        <v>0</v>
      </c>
      <c r="Z8" s="21">
        <f t="shared" si="1"/>
        <v>0</v>
      </c>
      <c r="AA8" s="21">
        <f t="shared" ref="AA8:AJ9" si="14">IF(AND($G8=AA$4,$H8=AA$4),$E8,IF($G8&gt;AA$4,0,IF($H8&lt;AA$4,0,$E8/($H8-$G8+1))))</f>
        <v>0</v>
      </c>
      <c r="AB8" s="21">
        <f t="shared" si="14"/>
        <v>0</v>
      </c>
      <c r="AC8" s="21">
        <f t="shared" si="14"/>
        <v>0</v>
      </c>
      <c r="AD8" s="21">
        <f t="shared" si="14"/>
        <v>0</v>
      </c>
      <c r="AE8" s="21">
        <f t="shared" si="14"/>
        <v>0</v>
      </c>
      <c r="AF8" s="21">
        <f t="shared" si="14"/>
        <v>0</v>
      </c>
      <c r="AG8" s="21">
        <f t="shared" si="14"/>
        <v>0</v>
      </c>
      <c r="AH8" s="21">
        <f t="shared" si="14"/>
        <v>0</v>
      </c>
      <c r="AI8" s="21">
        <f t="shared" si="14"/>
        <v>0</v>
      </c>
      <c r="AJ8" s="21">
        <f t="shared" si="14"/>
        <v>0</v>
      </c>
      <c r="AK8" s="21">
        <f t="shared" ref="AK8:AT9" si="15">IF(AND($G8=AK$4,$H8=AK$4),$E8,IF($G8&gt;AK$4,0,IF($H8&lt;AK$4,0,$E8/($H8-$G8+1))))</f>
        <v>0</v>
      </c>
      <c r="AL8" s="21">
        <f t="shared" si="15"/>
        <v>0</v>
      </c>
      <c r="AM8" s="21">
        <f t="shared" si="15"/>
        <v>0</v>
      </c>
      <c r="AN8" s="21">
        <f t="shared" si="15"/>
        <v>0</v>
      </c>
      <c r="AO8" s="21">
        <f t="shared" si="15"/>
        <v>0</v>
      </c>
      <c r="AP8" s="21">
        <f t="shared" si="15"/>
        <v>0</v>
      </c>
      <c r="AQ8" s="21">
        <f t="shared" si="15"/>
        <v>0</v>
      </c>
      <c r="AR8" s="21">
        <f t="shared" si="15"/>
        <v>0</v>
      </c>
      <c r="AS8" s="21">
        <f t="shared" si="15"/>
        <v>0</v>
      </c>
      <c r="AT8" s="21">
        <f t="shared" si="15"/>
        <v>0</v>
      </c>
      <c r="AU8" s="21">
        <f t="shared" ref="AU8:BD9" si="16">IF(AND($G8=AU$4,$H8=AU$4),$E8,IF($G8&gt;AU$4,0,IF($H8&lt;AU$4,0,$E8/($H8-$G8+1))))</f>
        <v>0</v>
      </c>
      <c r="AV8" s="21">
        <f t="shared" si="16"/>
        <v>0</v>
      </c>
      <c r="AW8" s="21">
        <f t="shared" si="16"/>
        <v>0</v>
      </c>
      <c r="AX8" s="21">
        <f t="shared" si="16"/>
        <v>0</v>
      </c>
      <c r="AY8" s="21">
        <f t="shared" si="16"/>
        <v>0</v>
      </c>
      <c r="AZ8" s="21">
        <f t="shared" si="16"/>
        <v>0</v>
      </c>
      <c r="BA8" s="21">
        <f t="shared" si="16"/>
        <v>0</v>
      </c>
      <c r="BB8" s="21">
        <f t="shared" si="16"/>
        <v>0</v>
      </c>
      <c r="BC8" s="21">
        <f t="shared" si="16"/>
        <v>0</v>
      </c>
      <c r="BD8" s="21">
        <f t="shared" si="16"/>
        <v>0</v>
      </c>
      <c r="BE8" s="21">
        <f t="shared" ref="BE8:BN9" si="17">IF(AND($G8=BE$4,$H8=BE$4),$E8,IF($G8&gt;BE$4,0,IF($H8&lt;BE$4,0,$E8/($H8-$G8+1))))</f>
        <v>0</v>
      </c>
      <c r="BF8" s="21">
        <f t="shared" si="17"/>
        <v>0</v>
      </c>
      <c r="BG8" s="21">
        <f t="shared" si="17"/>
        <v>0</v>
      </c>
      <c r="BH8" s="21">
        <f t="shared" si="17"/>
        <v>0</v>
      </c>
      <c r="BI8" s="21">
        <f t="shared" si="17"/>
        <v>0</v>
      </c>
      <c r="BJ8" s="21">
        <f t="shared" si="17"/>
        <v>0</v>
      </c>
      <c r="BK8" s="21">
        <f t="shared" si="17"/>
        <v>0</v>
      </c>
      <c r="BL8" s="21">
        <f t="shared" si="17"/>
        <v>0</v>
      </c>
      <c r="BM8" s="21">
        <f t="shared" si="17"/>
        <v>0</v>
      </c>
      <c r="BN8" s="21">
        <f t="shared" si="17"/>
        <v>0</v>
      </c>
      <c r="BO8" s="21">
        <f t="shared" ref="BO8:BX9" si="18">IF(AND($G8=BO$4,$H8=BO$4),$E8,IF($G8&gt;BO$4,0,IF($H8&lt;BO$4,0,$E8/($H8-$G8+1))))</f>
        <v>0</v>
      </c>
      <c r="BP8" s="21">
        <f t="shared" si="18"/>
        <v>0</v>
      </c>
      <c r="BQ8" s="21">
        <f t="shared" si="18"/>
        <v>0</v>
      </c>
      <c r="BR8" s="21">
        <f t="shared" si="18"/>
        <v>0</v>
      </c>
      <c r="BS8" s="21">
        <f t="shared" si="18"/>
        <v>0</v>
      </c>
      <c r="BT8" s="21">
        <f t="shared" si="18"/>
        <v>0</v>
      </c>
      <c r="BU8" s="21">
        <f t="shared" si="18"/>
        <v>0</v>
      </c>
      <c r="BV8" s="21">
        <f t="shared" si="18"/>
        <v>0</v>
      </c>
      <c r="BW8" s="21">
        <f t="shared" si="18"/>
        <v>0</v>
      </c>
      <c r="BX8" s="21">
        <f t="shared" si="18"/>
        <v>0</v>
      </c>
      <c r="BY8" s="21">
        <f t="shared" ref="BY8:CH9" si="19">IF(AND($G8=BY$4,$H8=BY$4),$E8,IF($G8&gt;BY$4,0,IF($H8&lt;BY$4,0,$E8/($H8-$G8+1))))</f>
        <v>0</v>
      </c>
      <c r="BZ8" s="21">
        <f t="shared" si="19"/>
        <v>0</v>
      </c>
      <c r="CA8" s="21">
        <f t="shared" si="19"/>
        <v>0</v>
      </c>
      <c r="CB8" s="21">
        <f t="shared" si="19"/>
        <v>0</v>
      </c>
      <c r="CC8" s="21">
        <f t="shared" si="19"/>
        <v>0</v>
      </c>
      <c r="CD8" s="21">
        <f t="shared" si="19"/>
        <v>0</v>
      </c>
      <c r="CE8" s="21">
        <f t="shared" si="19"/>
        <v>0</v>
      </c>
      <c r="CF8" s="21">
        <f t="shared" si="19"/>
        <v>0</v>
      </c>
      <c r="CG8" s="21">
        <f t="shared" si="19"/>
        <v>0</v>
      </c>
      <c r="CH8" s="21">
        <f t="shared" si="19"/>
        <v>0</v>
      </c>
      <c r="CI8" s="21">
        <f t="shared" ref="CI8:CP9" si="20">IF(AND($G8=CI$4,$H8=CI$4),$E8,IF($G8&gt;CI$4,0,IF($H8&lt;CI$4,0,$E8/($H8-$G8+1))))</f>
        <v>0</v>
      </c>
      <c r="CJ8" s="21">
        <f t="shared" si="20"/>
        <v>0</v>
      </c>
      <c r="CK8" s="21">
        <f t="shared" si="20"/>
        <v>0</v>
      </c>
      <c r="CL8" s="21">
        <f t="shared" si="20"/>
        <v>0</v>
      </c>
      <c r="CM8" s="21">
        <f t="shared" si="20"/>
        <v>0</v>
      </c>
      <c r="CN8" s="21">
        <f t="shared" si="20"/>
        <v>0</v>
      </c>
      <c r="CO8" s="21">
        <f t="shared" si="20"/>
        <v>0</v>
      </c>
      <c r="CP8" s="21">
        <f t="shared" si="20"/>
        <v>0</v>
      </c>
      <c r="CQ8" s="21">
        <f t="shared" si="7"/>
        <v>0</v>
      </c>
      <c r="CR8" s="21">
        <f t="shared" si="7"/>
        <v>0</v>
      </c>
      <c r="CS8" s="21">
        <f t="shared" si="7"/>
        <v>0</v>
      </c>
      <c r="CT8" s="21">
        <f t="shared" si="7"/>
        <v>0</v>
      </c>
      <c r="CU8" s="21">
        <f t="shared" si="7"/>
        <v>0</v>
      </c>
      <c r="CV8" s="21">
        <f t="shared" si="7"/>
        <v>0</v>
      </c>
      <c r="CW8" s="21">
        <f t="shared" si="7"/>
        <v>0</v>
      </c>
      <c r="CX8" s="21">
        <f t="shared" si="7"/>
        <v>0</v>
      </c>
      <c r="CY8" s="21">
        <f t="shared" si="7"/>
        <v>0</v>
      </c>
      <c r="CZ8" s="21">
        <f t="shared" si="7"/>
        <v>0</v>
      </c>
      <c r="DA8" s="21">
        <f t="shared" si="7"/>
        <v>0</v>
      </c>
      <c r="DB8" s="21">
        <f t="shared" si="7"/>
        <v>0</v>
      </c>
      <c r="DC8" s="21">
        <f t="shared" si="7"/>
        <v>0</v>
      </c>
      <c r="DD8" s="21">
        <f t="shared" si="7"/>
        <v>0</v>
      </c>
      <c r="DE8" s="21">
        <f t="shared" si="7"/>
        <v>0</v>
      </c>
      <c r="DF8" s="21">
        <f t="shared" si="7"/>
        <v>0</v>
      </c>
      <c r="DG8" s="21">
        <f t="shared" si="7"/>
        <v>0</v>
      </c>
      <c r="DH8" s="21">
        <f t="shared" si="8"/>
        <v>0</v>
      </c>
      <c r="DI8" s="21">
        <f t="shared" si="8"/>
        <v>0</v>
      </c>
      <c r="DJ8" s="21">
        <f t="shared" si="8"/>
        <v>0</v>
      </c>
      <c r="DK8" s="21">
        <f t="shared" si="8"/>
        <v>0</v>
      </c>
      <c r="DL8" s="21">
        <f t="shared" si="8"/>
        <v>0</v>
      </c>
      <c r="DM8" s="21">
        <f t="shared" si="8"/>
        <v>0</v>
      </c>
      <c r="DN8" s="21">
        <f t="shared" si="8"/>
        <v>0</v>
      </c>
      <c r="DO8" s="21">
        <f t="shared" si="8"/>
        <v>0</v>
      </c>
      <c r="DP8" s="21">
        <f t="shared" si="8"/>
        <v>0</v>
      </c>
      <c r="DQ8" s="21">
        <f t="shared" si="8"/>
        <v>0</v>
      </c>
      <c r="DR8" s="21">
        <f t="shared" si="8"/>
        <v>0</v>
      </c>
      <c r="DS8" s="21">
        <f t="shared" si="8"/>
        <v>0</v>
      </c>
      <c r="DT8" s="21">
        <f t="shared" si="8"/>
        <v>0</v>
      </c>
      <c r="DU8" s="21">
        <f t="shared" si="8"/>
        <v>0</v>
      </c>
      <c r="DV8" s="21">
        <f t="shared" si="8"/>
        <v>0</v>
      </c>
      <c r="DW8" s="21">
        <f t="shared" si="8"/>
        <v>0</v>
      </c>
      <c r="DX8" s="21">
        <f t="shared" si="8"/>
        <v>0</v>
      </c>
      <c r="DY8" s="21">
        <f t="shared" si="8"/>
        <v>0</v>
      </c>
      <c r="DZ8" s="21">
        <f t="shared" si="8"/>
        <v>0</v>
      </c>
      <c r="EA8" s="21">
        <f t="shared" si="8"/>
        <v>0</v>
      </c>
      <c r="EB8" s="21">
        <f t="shared" si="8"/>
        <v>0</v>
      </c>
      <c r="EC8" s="21">
        <f t="shared" si="8"/>
        <v>0</v>
      </c>
      <c r="ED8" s="21">
        <f t="shared" si="8"/>
        <v>0</v>
      </c>
      <c r="EE8" s="21">
        <f t="shared" si="8"/>
        <v>0</v>
      </c>
      <c r="EF8" s="21">
        <f t="shared" si="8"/>
        <v>0</v>
      </c>
      <c r="EG8" s="21">
        <f t="shared" si="8"/>
        <v>0</v>
      </c>
      <c r="EH8" s="21">
        <f t="shared" si="8"/>
        <v>0</v>
      </c>
      <c r="EI8" s="21">
        <f t="shared" si="8"/>
        <v>0</v>
      </c>
      <c r="EJ8" s="21">
        <f t="shared" si="8"/>
        <v>0</v>
      </c>
      <c r="EK8" s="21">
        <f t="shared" si="8"/>
        <v>0</v>
      </c>
      <c r="EL8" s="21">
        <f t="shared" si="8"/>
        <v>0</v>
      </c>
    </row>
    <row r="9" spans="2:142" x14ac:dyDescent="0.45">
      <c r="B9" s="1" t="s">
        <v>221</v>
      </c>
      <c r="E9" s="9">
        <v>3000</v>
      </c>
      <c r="G9" s="13">
        <v>0</v>
      </c>
      <c r="H9" s="13">
        <v>0</v>
      </c>
      <c r="I9" s="21"/>
      <c r="J9" s="21">
        <f t="shared" si="0"/>
        <v>3000</v>
      </c>
      <c r="K9" s="21">
        <f t="shared" si="13"/>
        <v>0</v>
      </c>
      <c r="L9" s="21">
        <f t="shared" si="13"/>
        <v>0</v>
      </c>
      <c r="M9" s="21">
        <f t="shared" si="13"/>
        <v>0</v>
      </c>
      <c r="N9" s="21">
        <f t="shared" si="13"/>
        <v>0</v>
      </c>
      <c r="O9" s="21">
        <f t="shared" si="13"/>
        <v>0</v>
      </c>
      <c r="P9" s="21">
        <f t="shared" si="13"/>
        <v>0</v>
      </c>
      <c r="Q9" s="21">
        <f t="shared" si="13"/>
        <v>0</v>
      </c>
      <c r="R9" s="21">
        <f t="shared" si="13"/>
        <v>0</v>
      </c>
      <c r="S9" s="21">
        <f t="shared" si="13"/>
        <v>0</v>
      </c>
      <c r="T9" s="21">
        <f t="shared" si="13"/>
        <v>0</v>
      </c>
      <c r="U9" s="21">
        <f t="shared" si="1"/>
        <v>0</v>
      </c>
      <c r="V9" s="21">
        <f t="shared" si="1"/>
        <v>0</v>
      </c>
      <c r="W9" s="21">
        <f t="shared" si="1"/>
        <v>0</v>
      </c>
      <c r="X9" s="21">
        <f t="shared" si="1"/>
        <v>0</v>
      </c>
      <c r="Y9" s="21">
        <f t="shared" si="1"/>
        <v>0</v>
      </c>
      <c r="Z9" s="21">
        <f t="shared" si="1"/>
        <v>0</v>
      </c>
      <c r="AA9" s="21">
        <f t="shared" si="14"/>
        <v>0</v>
      </c>
      <c r="AB9" s="21">
        <f t="shared" si="14"/>
        <v>0</v>
      </c>
      <c r="AC9" s="21">
        <f t="shared" si="14"/>
        <v>0</v>
      </c>
      <c r="AD9" s="21">
        <f t="shared" si="14"/>
        <v>0</v>
      </c>
      <c r="AE9" s="21">
        <f t="shared" si="14"/>
        <v>0</v>
      </c>
      <c r="AF9" s="21">
        <f t="shared" si="14"/>
        <v>0</v>
      </c>
      <c r="AG9" s="21">
        <f t="shared" si="14"/>
        <v>0</v>
      </c>
      <c r="AH9" s="21">
        <f t="shared" si="14"/>
        <v>0</v>
      </c>
      <c r="AI9" s="21">
        <f t="shared" si="14"/>
        <v>0</v>
      </c>
      <c r="AJ9" s="21">
        <f t="shared" si="14"/>
        <v>0</v>
      </c>
      <c r="AK9" s="21">
        <f t="shared" si="15"/>
        <v>0</v>
      </c>
      <c r="AL9" s="21">
        <f t="shared" si="15"/>
        <v>0</v>
      </c>
      <c r="AM9" s="21">
        <f t="shared" si="15"/>
        <v>0</v>
      </c>
      <c r="AN9" s="21">
        <f t="shared" si="15"/>
        <v>0</v>
      </c>
      <c r="AO9" s="21">
        <f t="shared" si="15"/>
        <v>0</v>
      </c>
      <c r="AP9" s="21">
        <f t="shared" si="15"/>
        <v>0</v>
      </c>
      <c r="AQ9" s="21">
        <f t="shared" si="15"/>
        <v>0</v>
      </c>
      <c r="AR9" s="21">
        <f t="shared" si="15"/>
        <v>0</v>
      </c>
      <c r="AS9" s="21">
        <f t="shared" si="15"/>
        <v>0</v>
      </c>
      <c r="AT9" s="21">
        <f t="shared" si="15"/>
        <v>0</v>
      </c>
      <c r="AU9" s="21">
        <f t="shared" si="16"/>
        <v>0</v>
      </c>
      <c r="AV9" s="21">
        <f t="shared" si="16"/>
        <v>0</v>
      </c>
      <c r="AW9" s="21">
        <f t="shared" si="16"/>
        <v>0</v>
      </c>
      <c r="AX9" s="21">
        <f t="shared" si="16"/>
        <v>0</v>
      </c>
      <c r="AY9" s="21">
        <f t="shared" si="16"/>
        <v>0</v>
      </c>
      <c r="AZ9" s="21">
        <f t="shared" si="16"/>
        <v>0</v>
      </c>
      <c r="BA9" s="21">
        <f t="shared" si="16"/>
        <v>0</v>
      </c>
      <c r="BB9" s="21">
        <f t="shared" si="16"/>
        <v>0</v>
      </c>
      <c r="BC9" s="21">
        <f t="shared" si="16"/>
        <v>0</v>
      </c>
      <c r="BD9" s="21">
        <f t="shared" si="16"/>
        <v>0</v>
      </c>
      <c r="BE9" s="21">
        <f t="shared" si="17"/>
        <v>0</v>
      </c>
      <c r="BF9" s="21">
        <f t="shared" si="17"/>
        <v>0</v>
      </c>
      <c r="BG9" s="21">
        <f t="shared" si="17"/>
        <v>0</v>
      </c>
      <c r="BH9" s="21">
        <f t="shared" si="17"/>
        <v>0</v>
      </c>
      <c r="BI9" s="21">
        <f t="shared" si="17"/>
        <v>0</v>
      </c>
      <c r="BJ9" s="21">
        <f t="shared" si="17"/>
        <v>0</v>
      </c>
      <c r="BK9" s="21">
        <f t="shared" si="17"/>
        <v>0</v>
      </c>
      <c r="BL9" s="21">
        <f t="shared" si="17"/>
        <v>0</v>
      </c>
      <c r="BM9" s="21">
        <f t="shared" si="17"/>
        <v>0</v>
      </c>
      <c r="BN9" s="21">
        <f t="shared" si="17"/>
        <v>0</v>
      </c>
      <c r="BO9" s="21">
        <f t="shared" si="18"/>
        <v>0</v>
      </c>
      <c r="BP9" s="21">
        <f t="shared" si="18"/>
        <v>0</v>
      </c>
      <c r="BQ9" s="21">
        <f t="shared" si="18"/>
        <v>0</v>
      </c>
      <c r="BR9" s="21">
        <f t="shared" si="18"/>
        <v>0</v>
      </c>
      <c r="BS9" s="21">
        <f t="shared" si="18"/>
        <v>0</v>
      </c>
      <c r="BT9" s="21">
        <f t="shared" si="18"/>
        <v>0</v>
      </c>
      <c r="BU9" s="21">
        <f t="shared" si="18"/>
        <v>0</v>
      </c>
      <c r="BV9" s="21">
        <f t="shared" si="18"/>
        <v>0</v>
      </c>
      <c r="BW9" s="21">
        <f t="shared" si="18"/>
        <v>0</v>
      </c>
      <c r="BX9" s="21">
        <f t="shared" si="18"/>
        <v>0</v>
      </c>
      <c r="BY9" s="21">
        <f t="shared" si="19"/>
        <v>0</v>
      </c>
      <c r="BZ9" s="21">
        <f t="shared" si="19"/>
        <v>0</v>
      </c>
      <c r="CA9" s="21">
        <f t="shared" si="19"/>
        <v>0</v>
      </c>
      <c r="CB9" s="21">
        <f t="shared" si="19"/>
        <v>0</v>
      </c>
      <c r="CC9" s="21">
        <f t="shared" si="19"/>
        <v>0</v>
      </c>
      <c r="CD9" s="21">
        <f t="shared" si="19"/>
        <v>0</v>
      </c>
      <c r="CE9" s="21">
        <f t="shared" si="19"/>
        <v>0</v>
      </c>
      <c r="CF9" s="21">
        <f t="shared" si="19"/>
        <v>0</v>
      </c>
      <c r="CG9" s="21">
        <f t="shared" si="19"/>
        <v>0</v>
      </c>
      <c r="CH9" s="21">
        <f t="shared" si="19"/>
        <v>0</v>
      </c>
      <c r="CI9" s="21">
        <f t="shared" si="20"/>
        <v>0</v>
      </c>
      <c r="CJ9" s="21">
        <f t="shared" si="20"/>
        <v>0</v>
      </c>
      <c r="CK9" s="21">
        <f t="shared" si="20"/>
        <v>0</v>
      </c>
      <c r="CL9" s="21">
        <f t="shared" si="20"/>
        <v>0</v>
      </c>
      <c r="CM9" s="21">
        <f t="shared" si="20"/>
        <v>0</v>
      </c>
      <c r="CN9" s="21">
        <f t="shared" si="20"/>
        <v>0</v>
      </c>
      <c r="CO9" s="21">
        <f t="shared" si="20"/>
        <v>0</v>
      </c>
      <c r="CP9" s="21">
        <f t="shared" si="20"/>
        <v>0</v>
      </c>
      <c r="CQ9" s="21">
        <f t="shared" si="7"/>
        <v>0</v>
      </c>
      <c r="CR9" s="21">
        <f t="shared" si="7"/>
        <v>0</v>
      </c>
      <c r="CS9" s="21">
        <f t="shared" si="7"/>
        <v>0</v>
      </c>
      <c r="CT9" s="21">
        <f t="shared" si="7"/>
        <v>0</v>
      </c>
      <c r="CU9" s="21">
        <f t="shared" si="7"/>
        <v>0</v>
      </c>
      <c r="CV9" s="21">
        <f t="shared" si="7"/>
        <v>0</v>
      </c>
      <c r="CW9" s="21">
        <f t="shared" si="7"/>
        <v>0</v>
      </c>
      <c r="CX9" s="21">
        <f t="shared" si="7"/>
        <v>0</v>
      </c>
      <c r="CY9" s="21">
        <f t="shared" si="7"/>
        <v>0</v>
      </c>
      <c r="CZ9" s="21">
        <f t="shared" si="7"/>
        <v>0</v>
      </c>
      <c r="DA9" s="21">
        <f t="shared" si="7"/>
        <v>0</v>
      </c>
      <c r="DB9" s="21">
        <f t="shared" si="7"/>
        <v>0</v>
      </c>
      <c r="DC9" s="21">
        <f t="shared" si="7"/>
        <v>0</v>
      </c>
      <c r="DD9" s="21">
        <f t="shared" si="7"/>
        <v>0</v>
      </c>
      <c r="DE9" s="21">
        <f t="shared" si="7"/>
        <v>0</v>
      </c>
      <c r="DF9" s="21">
        <f t="shared" si="7"/>
        <v>0</v>
      </c>
      <c r="DG9" s="21">
        <f t="shared" si="7"/>
        <v>0</v>
      </c>
      <c r="DH9" s="21">
        <f t="shared" si="8"/>
        <v>0</v>
      </c>
      <c r="DI9" s="21">
        <f t="shared" si="8"/>
        <v>0</v>
      </c>
      <c r="DJ9" s="21">
        <f t="shared" si="8"/>
        <v>0</v>
      </c>
      <c r="DK9" s="21">
        <f t="shared" si="8"/>
        <v>0</v>
      </c>
      <c r="DL9" s="21">
        <f t="shared" si="8"/>
        <v>0</v>
      </c>
      <c r="DM9" s="21">
        <f t="shared" si="8"/>
        <v>0</v>
      </c>
      <c r="DN9" s="21">
        <f t="shared" si="8"/>
        <v>0</v>
      </c>
      <c r="DO9" s="21">
        <f t="shared" si="8"/>
        <v>0</v>
      </c>
      <c r="DP9" s="21">
        <f t="shared" si="8"/>
        <v>0</v>
      </c>
      <c r="DQ9" s="21">
        <f t="shared" si="8"/>
        <v>0</v>
      </c>
      <c r="DR9" s="21">
        <f t="shared" si="8"/>
        <v>0</v>
      </c>
      <c r="DS9" s="21">
        <f t="shared" si="8"/>
        <v>0</v>
      </c>
      <c r="DT9" s="21">
        <f t="shared" si="8"/>
        <v>0</v>
      </c>
      <c r="DU9" s="21">
        <f t="shared" si="8"/>
        <v>0</v>
      </c>
      <c r="DV9" s="21">
        <f t="shared" si="8"/>
        <v>0</v>
      </c>
      <c r="DW9" s="21">
        <f t="shared" si="8"/>
        <v>0</v>
      </c>
      <c r="DX9" s="21">
        <f t="shared" si="8"/>
        <v>0</v>
      </c>
      <c r="DY9" s="21">
        <f t="shared" si="8"/>
        <v>0</v>
      </c>
      <c r="DZ9" s="21">
        <f t="shared" si="8"/>
        <v>0</v>
      </c>
      <c r="EA9" s="21">
        <f t="shared" si="8"/>
        <v>0</v>
      </c>
      <c r="EB9" s="21">
        <f t="shared" si="8"/>
        <v>0</v>
      </c>
      <c r="EC9" s="21">
        <f t="shared" si="8"/>
        <v>0</v>
      </c>
      <c r="ED9" s="21">
        <f t="shared" si="8"/>
        <v>0</v>
      </c>
      <c r="EE9" s="21">
        <f t="shared" si="8"/>
        <v>0</v>
      </c>
      <c r="EF9" s="21">
        <f t="shared" si="8"/>
        <v>0</v>
      </c>
      <c r="EG9" s="21">
        <f t="shared" si="8"/>
        <v>0</v>
      </c>
      <c r="EH9" s="21">
        <f t="shared" si="8"/>
        <v>0</v>
      </c>
      <c r="EI9" s="21">
        <f t="shared" si="8"/>
        <v>0</v>
      </c>
      <c r="EJ9" s="21">
        <f t="shared" si="8"/>
        <v>0</v>
      </c>
      <c r="EK9" s="21">
        <f t="shared" si="8"/>
        <v>0</v>
      </c>
      <c r="EL9" s="21">
        <f t="shared" si="8"/>
        <v>0</v>
      </c>
    </row>
    <row r="10" spans="2:142" x14ac:dyDescent="0.45">
      <c r="B10" s="1" t="s">
        <v>372</v>
      </c>
      <c r="E10" s="19">
        <v>5000</v>
      </c>
      <c r="F10" s="9"/>
      <c r="G10" s="13">
        <v>0</v>
      </c>
      <c r="H10" s="13">
        <v>0</v>
      </c>
      <c r="I10" s="21"/>
      <c r="J10" s="21">
        <f t="shared" ref="J10:J17" si="21">IF(AND($G10=J$4,$H10=J$4),$E10,IF($G10&gt;J$4,0,IF($H10&lt;J$4,0,$E10/($H10-$G10+1))))</f>
        <v>5000</v>
      </c>
      <c r="K10" s="21">
        <f t="shared" si="1"/>
        <v>0</v>
      </c>
      <c r="L10" s="21">
        <f t="shared" si="1"/>
        <v>0</v>
      </c>
      <c r="M10" s="21">
        <f t="shared" si="1"/>
        <v>0</v>
      </c>
      <c r="N10" s="21">
        <f t="shared" si="1"/>
        <v>0</v>
      </c>
      <c r="O10" s="21">
        <f t="shared" si="1"/>
        <v>0</v>
      </c>
      <c r="P10" s="21">
        <f t="shared" si="1"/>
        <v>0</v>
      </c>
      <c r="Q10" s="21">
        <f t="shared" si="1"/>
        <v>0</v>
      </c>
      <c r="R10" s="21">
        <f t="shared" si="1"/>
        <v>0</v>
      </c>
      <c r="S10" s="21">
        <f t="shared" si="1"/>
        <v>0</v>
      </c>
      <c r="T10" s="21">
        <f t="shared" si="1"/>
        <v>0</v>
      </c>
      <c r="U10" s="21">
        <f t="shared" si="1"/>
        <v>0</v>
      </c>
      <c r="V10" s="21">
        <f t="shared" si="1"/>
        <v>0</v>
      </c>
      <c r="W10" s="21">
        <f t="shared" si="1"/>
        <v>0</v>
      </c>
      <c r="X10" s="21">
        <f t="shared" si="1"/>
        <v>0</v>
      </c>
      <c r="Y10" s="21">
        <f t="shared" si="1"/>
        <v>0</v>
      </c>
      <c r="Z10" s="21">
        <f t="shared" si="1"/>
        <v>0</v>
      </c>
      <c r="AA10" s="21">
        <f t="shared" si="2"/>
        <v>0</v>
      </c>
      <c r="AB10" s="21">
        <f t="shared" si="2"/>
        <v>0</v>
      </c>
      <c r="AC10" s="21">
        <f t="shared" si="2"/>
        <v>0</v>
      </c>
      <c r="AD10" s="21">
        <f t="shared" si="2"/>
        <v>0</v>
      </c>
      <c r="AE10" s="21">
        <f t="shared" si="2"/>
        <v>0</v>
      </c>
      <c r="AF10" s="21">
        <f t="shared" si="2"/>
        <v>0</v>
      </c>
      <c r="AG10" s="21">
        <f t="shared" si="2"/>
        <v>0</v>
      </c>
      <c r="AH10" s="21">
        <f t="shared" si="2"/>
        <v>0</v>
      </c>
      <c r="AI10" s="21">
        <f t="shared" si="2"/>
        <v>0</v>
      </c>
      <c r="AJ10" s="21">
        <f t="shared" si="2"/>
        <v>0</v>
      </c>
      <c r="AK10" s="21">
        <f t="shared" si="2"/>
        <v>0</v>
      </c>
      <c r="AL10" s="21">
        <f t="shared" si="2"/>
        <v>0</v>
      </c>
      <c r="AM10" s="21">
        <f t="shared" si="2"/>
        <v>0</v>
      </c>
      <c r="AN10" s="21">
        <f t="shared" si="2"/>
        <v>0</v>
      </c>
      <c r="AO10" s="21">
        <f t="shared" si="2"/>
        <v>0</v>
      </c>
      <c r="AP10" s="21">
        <f t="shared" si="2"/>
        <v>0</v>
      </c>
      <c r="AQ10" s="21">
        <f t="shared" si="2"/>
        <v>0</v>
      </c>
      <c r="AR10" s="21">
        <f t="shared" si="2"/>
        <v>0</v>
      </c>
      <c r="AS10" s="21">
        <f t="shared" si="2"/>
        <v>0</v>
      </c>
      <c r="AT10" s="21">
        <f t="shared" si="2"/>
        <v>0</v>
      </c>
      <c r="AU10" s="21">
        <f t="shared" si="2"/>
        <v>0</v>
      </c>
      <c r="AV10" s="21">
        <f t="shared" si="2"/>
        <v>0</v>
      </c>
      <c r="AW10" s="21">
        <f t="shared" si="2"/>
        <v>0</v>
      </c>
      <c r="AX10" s="21">
        <f t="shared" si="2"/>
        <v>0</v>
      </c>
      <c r="AY10" s="21">
        <f t="shared" si="2"/>
        <v>0</v>
      </c>
      <c r="AZ10" s="21">
        <f t="shared" si="2"/>
        <v>0</v>
      </c>
      <c r="BA10" s="21">
        <f t="shared" ref="BA10:CC10" si="22">IF(AND($G10=BA$4,$H10=BA$4),$E10,IF($G10&gt;BA$4,0,IF($H10&lt;BA$4,0,$E10/($H10-$G10+1))))</f>
        <v>0</v>
      </c>
      <c r="BB10" s="21">
        <f t="shared" si="22"/>
        <v>0</v>
      </c>
      <c r="BC10" s="21">
        <f t="shared" si="22"/>
        <v>0</v>
      </c>
      <c r="BD10" s="21">
        <f t="shared" si="22"/>
        <v>0</v>
      </c>
      <c r="BE10" s="21">
        <f t="shared" si="22"/>
        <v>0</v>
      </c>
      <c r="BF10" s="21">
        <f t="shared" si="22"/>
        <v>0</v>
      </c>
      <c r="BG10" s="21">
        <f t="shared" si="22"/>
        <v>0</v>
      </c>
      <c r="BH10" s="21">
        <f t="shared" si="22"/>
        <v>0</v>
      </c>
      <c r="BI10" s="21">
        <f t="shared" si="22"/>
        <v>0</v>
      </c>
      <c r="BJ10" s="21">
        <f t="shared" si="22"/>
        <v>0</v>
      </c>
      <c r="BK10" s="21">
        <f t="shared" si="22"/>
        <v>0</v>
      </c>
      <c r="BL10" s="21">
        <f t="shared" si="22"/>
        <v>0</v>
      </c>
      <c r="BM10" s="21">
        <f t="shared" si="22"/>
        <v>0</v>
      </c>
      <c r="BN10" s="21">
        <f t="shared" si="22"/>
        <v>0</v>
      </c>
      <c r="BO10" s="21">
        <f t="shared" si="22"/>
        <v>0</v>
      </c>
      <c r="BP10" s="21">
        <f t="shared" si="22"/>
        <v>0</v>
      </c>
      <c r="BQ10" s="21">
        <f t="shared" si="22"/>
        <v>0</v>
      </c>
      <c r="BR10" s="21">
        <f t="shared" si="22"/>
        <v>0</v>
      </c>
      <c r="BS10" s="21">
        <f t="shared" si="22"/>
        <v>0</v>
      </c>
      <c r="BT10" s="21">
        <f t="shared" si="22"/>
        <v>0</v>
      </c>
      <c r="BU10" s="21">
        <f t="shared" si="22"/>
        <v>0</v>
      </c>
      <c r="BV10" s="21">
        <f t="shared" si="22"/>
        <v>0</v>
      </c>
      <c r="BW10" s="21">
        <f t="shared" si="22"/>
        <v>0</v>
      </c>
      <c r="BX10" s="21">
        <f t="shared" si="22"/>
        <v>0</v>
      </c>
      <c r="BY10" s="21">
        <f t="shared" si="22"/>
        <v>0</v>
      </c>
      <c r="BZ10" s="21">
        <f t="shared" si="22"/>
        <v>0</v>
      </c>
      <c r="CA10" s="21">
        <f t="shared" si="22"/>
        <v>0</v>
      </c>
      <c r="CB10" s="21">
        <f t="shared" si="22"/>
        <v>0</v>
      </c>
      <c r="CC10" s="21">
        <f t="shared" si="22"/>
        <v>0</v>
      </c>
      <c r="CD10" s="21">
        <f t="shared" si="7"/>
        <v>0</v>
      </c>
      <c r="CE10" s="21">
        <f t="shared" si="7"/>
        <v>0</v>
      </c>
      <c r="CF10" s="21">
        <f t="shared" si="7"/>
        <v>0</v>
      </c>
      <c r="CG10" s="21">
        <f t="shared" si="7"/>
        <v>0</v>
      </c>
      <c r="CH10" s="21">
        <f t="shared" si="7"/>
        <v>0</v>
      </c>
      <c r="CI10" s="21">
        <f t="shared" si="7"/>
        <v>0</v>
      </c>
      <c r="CJ10" s="21">
        <f t="shared" si="7"/>
        <v>0</v>
      </c>
      <c r="CK10" s="21">
        <f t="shared" si="7"/>
        <v>0</v>
      </c>
      <c r="CL10" s="21">
        <f t="shared" si="7"/>
        <v>0</v>
      </c>
      <c r="CM10" s="21">
        <f t="shared" si="7"/>
        <v>0</v>
      </c>
      <c r="CN10" s="21">
        <f t="shared" si="7"/>
        <v>0</v>
      </c>
      <c r="CO10" s="21">
        <f t="shared" si="7"/>
        <v>0</v>
      </c>
      <c r="CP10" s="21">
        <f t="shared" si="7"/>
        <v>0</v>
      </c>
      <c r="CQ10" s="21">
        <f t="shared" si="7"/>
        <v>0</v>
      </c>
      <c r="CR10" s="21">
        <f t="shared" si="7"/>
        <v>0</v>
      </c>
      <c r="CS10" s="21">
        <f t="shared" si="7"/>
        <v>0</v>
      </c>
      <c r="CT10" s="21">
        <f t="shared" si="7"/>
        <v>0</v>
      </c>
      <c r="CU10" s="21">
        <f t="shared" si="7"/>
        <v>0</v>
      </c>
      <c r="CV10" s="21">
        <f t="shared" si="7"/>
        <v>0</v>
      </c>
      <c r="CW10" s="21">
        <f t="shared" si="7"/>
        <v>0</v>
      </c>
      <c r="CX10" s="21">
        <f t="shared" si="7"/>
        <v>0</v>
      </c>
      <c r="CY10" s="21">
        <f t="shared" si="7"/>
        <v>0</v>
      </c>
      <c r="CZ10" s="21">
        <f t="shared" si="7"/>
        <v>0</v>
      </c>
      <c r="DA10" s="21">
        <f t="shared" si="7"/>
        <v>0</v>
      </c>
      <c r="DB10" s="21">
        <f t="shared" si="7"/>
        <v>0</v>
      </c>
      <c r="DC10" s="21">
        <f t="shared" si="7"/>
        <v>0</v>
      </c>
      <c r="DD10" s="21">
        <f t="shared" si="7"/>
        <v>0</v>
      </c>
      <c r="DE10" s="21">
        <f t="shared" si="7"/>
        <v>0</v>
      </c>
      <c r="DF10" s="21">
        <f t="shared" si="7"/>
        <v>0</v>
      </c>
      <c r="DG10" s="21">
        <f t="shared" si="8"/>
        <v>0</v>
      </c>
      <c r="DH10" s="21">
        <f t="shared" si="8"/>
        <v>0</v>
      </c>
      <c r="DI10" s="21">
        <f t="shared" si="8"/>
        <v>0</v>
      </c>
      <c r="DJ10" s="21">
        <f t="shared" si="8"/>
        <v>0</v>
      </c>
      <c r="DK10" s="21">
        <f t="shared" si="8"/>
        <v>0</v>
      </c>
      <c r="DL10" s="21">
        <f t="shared" si="8"/>
        <v>0</v>
      </c>
      <c r="DM10" s="21">
        <f t="shared" si="8"/>
        <v>0</v>
      </c>
      <c r="DN10" s="21">
        <f t="shared" si="8"/>
        <v>0</v>
      </c>
      <c r="DO10" s="21">
        <f t="shared" si="8"/>
        <v>0</v>
      </c>
      <c r="DP10" s="21">
        <f t="shared" si="8"/>
        <v>0</v>
      </c>
      <c r="DQ10" s="21">
        <f t="shared" si="8"/>
        <v>0</v>
      </c>
      <c r="DR10" s="21">
        <f t="shared" si="8"/>
        <v>0</v>
      </c>
      <c r="DS10" s="21">
        <f t="shared" si="8"/>
        <v>0</v>
      </c>
      <c r="DT10" s="21">
        <f t="shared" si="8"/>
        <v>0</v>
      </c>
      <c r="DU10" s="21">
        <f t="shared" si="8"/>
        <v>0</v>
      </c>
      <c r="DV10" s="21">
        <f t="shared" si="8"/>
        <v>0</v>
      </c>
      <c r="DW10" s="21">
        <f t="shared" si="8"/>
        <v>0</v>
      </c>
      <c r="DX10" s="21">
        <f t="shared" si="8"/>
        <v>0</v>
      </c>
      <c r="DY10" s="21">
        <f t="shared" si="8"/>
        <v>0</v>
      </c>
      <c r="DZ10" s="21">
        <f t="shared" si="8"/>
        <v>0</v>
      </c>
      <c r="EA10" s="21">
        <f t="shared" si="8"/>
        <v>0</v>
      </c>
      <c r="EB10" s="21">
        <f t="shared" si="8"/>
        <v>0</v>
      </c>
      <c r="EC10" s="21">
        <f t="shared" si="8"/>
        <v>0</v>
      </c>
      <c r="ED10" s="21">
        <f t="shared" si="8"/>
        <v>0</v>
      </c>
      <c r="EE10" s="21">
        <f t="shared" si="8"/>
        <v>0</v>
      </c>
      <c r="EF10" s="21">
        <f t="shared" si="8"/>
        <v>0</v>
      </c>
      <c r="EG10" s="21">
        <f t="shared" si="8"/>
        <v>0</v>
      </c>
      <c r="EH10" s="21">
        <f t="shared" si="8"/>
        <v>0</v>
      </c>
      <c r="EI10" s="21">
        <f t="shared" si="8"/>
        <v>0</v>
      </c>
      <c r="EJ10" s="21">
        <f t="shared" si="8"/>
        <v>0</v>
      </c>
      <c r="EK10" s="21">
        <f t="shared" si="8"/>
        <v>0</v>
      </c>
      <c r="EL10" s="21">
        <f t="shared" si="8"/>
        <v>0</v>
      </c>
    </row>
    <row r="11" spans="2:142" x14ac:dyDescent="0.45">
      <c r="B11" s="1" t="s">
        <v>152</v>
      </c>
      <c r="E11" s="9">
        <v>5000</v>
      </c>
      <c r="F11" s="9"/>
      <c r="G11" s="13">
        <v>0</v>
      </c>
      <c r="H11" s="13">
        <v>0</v>
      </c>
      <c r="I11" s="21"/>
      <c r="J11" s="21">
        <f t="shared" si="21"/>
        <v>5000</v>
      </c>
      <c r="K11" s="21">
        <f t="shared" si="1"/>
        <v>0</v>
      </c>
      <c r="L11" s="21">
        <f t="shared" si="1"/>
        <v>0</v>
      </c>
      <c r="M11" s="21">
        <f t="shared" si="1"/>
        <v>0</v>
      </c>
      <c r="N11" s="21">
        <f t="shared" si="1"/>
        <v>0</v>
      </c>
      <c r="O11" s="21">
        <f t="shared" si="1"/>
        <v>0</v>
      </c>
      <c r="P11" s="21">
        <f t="shared" si="1"/>
        <v>0</v>
      </c>
      <c r="Q11" s="21">
        <f t="shared" si="1"/>
        <v>0</v>
      </c>
      <c r="R11" s="21">
        <f t="shared" si="1"/>
        <v>0</v>
      </c>
      <c r="S11" s="21">
        <f t="shared" si="1"/>
        <v>0</v>
      </c>
      <c r="T11" s="21">
        <f t="shared" si="1"/>
        <v>0</v>
      </c>
      <c r="U11" s="21">
        <f t="shared" si="1"/>
        <v>0</v>
      </c>
      <c r="V11" s="21">
        <f t="shared" si="1"/>
        <v>0</v>
      </c>
      <c r="W11" s="21">
        <f t="shared" si="1"/>
        <v>0</v>
      </c>
      <c r="X11" s="21">
        <f t="shared" si="1"/>
        <v>0</v>
      </c>
      <c r="Y11" s="21">
        <f t="shared" si="1"/>
        <v>0</v>
      </c>
      <c r="Z11" s="21">
        <f t="shared" si="1"/>
        <v>0</v>
      </c>
      <c r="AA11" s="21">
        <f t="shared" ref="AA11:CC11" si="23">IF(AND($G11=AA$4,$H11=AA$4),$E11,IF($G11&gt;AA$4,0,IF($H11&lt;AA$4,0,$E11/($H11-$G11+1))))</f>
        <v>0</v>
      </c>
      <c r="AB11" s="21">
        <f t="shared" si="23"/>
        <v>0</v>
      </c>
      <c r="AC11" s="21">
        <f t="shared" si="23"/>
        <v>0</v>
      </c>
      <c r="AD11" s="21">
        <f t="shared" si="23"/>
        <v>0</v>
      </c>
      <c r="AE11" s="21">
        <f t="shared" si="23"/>
        <v>0</v>
      </c>
      <c r="AF11" s="21">
        <f t="shared" si="23"/>
        <v>0</v>
      </c>
      <c r="AG11" s="21">
        <f t="shared" si="23"/>
        <v>0</v>
      </c>
      <c r="AH11" s="21">
        <f t="shared" si="23"/>
        <v>0</v>
      </c>
      <c r="AI11" s="21">
        <f t="shared" si="23"/>
        <v>0</v>
      </c>
      <c r="AJ11" s="21">
        <f t="shared" si="23"/>
        <v>0</v>
      </c>
      <c r="AK11" s="21">
        <f t="shared" si="23"/>
        <v>0</v>
      </c>
      <c r="AL11" s="21">
        <f t="shared" si="23"/>
        <v>0</v>
      </c>
      <c r="AM11" s="21">
        <f t="shared" si="23"/>
        <v>0</v>
      </c>
      <c r="AN11" s="21">
        <f t="shared" si="23"/>
        <v>0</v>
      </c>
      <c r="AO11" s="21">
        <f t="shared" si="23"/>
        <v>0</v>
      </c>
      <c r="AP11" s="21">
        <f t="shared" si="23"/>
        <v>0</v>
      </c>
      <c r="AQ11" s="21">
        <f t="shared" si="23"/>
        <v>0</v>
      </c>
      <c r="AR11" s="21">
        <f t="shared" si="23"/>
        <v>0</v>
      </c>
      <c r="AS11" s="21">
        <f t="shared" si="23"/>
        <v>0</v>
      </c>
      <c r="AT11" s="21">
        <f t="shared" si="23"/>
        <v>0</v>
      </c>
      <c r="AU11" s="21">
        <f t="shared" si="23"/>
        <v>0</v>
      </c>
      <c r="AV11" s="21">
        <f t="shared" si="23"/>
        <v>0</v>
      </c>
      <c r="AW11" s="21">
        <f t="shared" si="23"/>
        <v>0</v>
      </c>
      <c r="AX11" s="21">
        <f t="shared" si="23"/>
        <v>0</v>
      </c>
      <c r="AY11" s="21">
        <f t="shared" si="23"/>
        <v>0</v>
      </c>
      <c r="AZ11" s="21">
        <f t="shared" si="23"/>
        <v>0</v>
      </c>
      <c r="BA11" s="21">
        <f t="shared" si="23"/>
        <v>0</v>
      </c>
      <c r="BB11" s="21">
        <f t="shared" si="23"/>
        <v>0</v>
      </c>
      <c r="BC11" s="21">
        <f t="shared" si="23"/>
        <v>0</v>
      </c>
      <c r="BD11" s="21">
        <f t="shared" si="23"/>
        <v>0</v>
      </c>
      <c r="BE11" s="21">
        <f t="shared" si="23"/>
        <v>0</v>
      </c>
      <c r="BF11" s="21">
        <f t="shared" si="23"/>
        <v>0</v>
      </c>
      <c r="BG11" s="21">
        <f t="shared" si="23"/>
        <v>0</v>
      </c>
      <c r="BH11" s="21">
        <f t="shared" si="23"/>
        <v>0</v>
      </c>
      <c r="BI11" s="21">
        <f t="shared" si="23"/>
        <v>0</v>
      </c>
      <c r="BJ11" s="21">
        <f t="shared" si="23"/>
        <v>0</v>
      </c>
      <c r="BK11" s="21">
        <f t="shared" si="23"/>
        <v>0</v>
      </c>
      <c r="BL11" s="21">
        <f t="shared" si="23"/>
        <v>0</v>
      </c>
      <c r="BM11" s="21">
        <f t="shared" si="23"/>
        <v>0</v>
      </c>
      <c r="BN11" s="21">
        <f t="shared" si="23"/>
        <v>0</v>
      </c>
      <c r="BO11" s="21">
        <f t="shared" si="23"/>
        <v>0</v>
      </c>
      <c r="BP11" s="21">
        <f t="shared" si="23"/>
        <v>0</v>
      </c>
      <c r="BQ11" s="21">
        <f t="shared" si="23"/>
        <v>0</v>
      </c>
      <c r="BR11" s="21">
        <f t="shared" si="23"/>
        <v>0</v>
      </c>
      <c r="BS11" s="21">
        <f t="shared" si="23"/>
        <v>0</v>
      </c>
      <c r="BT11" s="21">
        <f t="shared" si="23"/>
        <v>0</v>
      </c>
      <c r="BU11" s="21">
        <f t="shared" si="23"/>
        <v>0</v>
      </c>
      <c r="BV11" s="21">
        <f t="shared" si="23"/>
        <v>0</v>
      </c>
      <c r="BW11" s="21">
        <f t="shared" si="23"/>
        <v>0</v>
      </c>
      <c r="BX11" s="21">
        <f t="shared" si="23"/>
        <v>0</v>
      </c>
      <c r="BY11" s="21">
        <f t="shared" si="23"/>
        <v>0</v>
      </c>
      <c r="BZ11" s="21">
        <f t="shared" si="23"/>
        <v>0</v>
      </c>
      <c r="CA11" s="21">
        <f t="shared" si="23"/>
        <v>0</v>
      </c>
      <c r="CB11" s="21">
        <f t="shared" si="23"/>
        <v>0</v>
      </c>
      <c r="CC11" s="21">
        <f t="shared" si="23"/>
        <v>0</v>
      </c>
      <c r="CD11" s="21">
        <f t="shared" si="7"/>
        <v>0</v>
      </c>
      <c r="CE11" s="21">
        <f t="shared" si="7"/>
        <v>0</v>
      </c>
      <c r="CF11" s="21">
        <f t="shared" si="7"/>
        <v>0</v>
      </c>
      <c r="CG11" s="21">
        <f t="shared" si="7"/>
        <v>0</v>
      </c>
      <c r="CH11" s="21">
        <f t="shared" si="7"/>
        <v>0</v>
      </c>
      <c r="CI11" s="21">
        <f t="shared" si="7"/>
        <v>0</v>
      </c>
      <c r="CJ11" s="21">
        <f t="shared" si="7"/>
        <v>0</v>
      </c>
      <c r="CK11" s="21">
        <f t="shared" si="7"/>
        <v>0</v>
      </c>
      <c r="CL11" s="21">
        <f t="shared" si="7"/>
        <v>0</v>
      </c>
      <c r="CM11" s="21">
        <f t="shared" si="7"/>
        <v>0</v>
      </c>
      <c r="CN11" s="21">
        <f t="shared" si="7"/>
        <v>0</v>
      </c>
      <c r="CO11" s="21">
        <f t="shared" si="7"/>
        <v>0</v>
      </c>
      <c r="CP11" s="21">
        <f t="shared" si="7"/>
        <v>0</v>
      </c>
      <c r="CQ11" s="21">
        <f t="shared" si="7"/>
        <v>0</v>
      </c>
      <c r="CR11" s="21">
        <f t="shared" si="7"/>
        <v>0</v>
      </c>
      <c r="CS11" s="21">
        <f t="shared" si="7"/>
        <v>0</v>
      </c>
      <c r="CT11" s="21">
        <f t="shared" si="7"/>
        <v>0</v>
      </c>
      <c r="CU11" s="21">
        <f t="shared" si="7"/>
        <v>0</v>
      </c>
      <c r="CV11" s="21">
        <f t="shared" si="7"/>
        <v>0</v>
      </c>
      <c r="CW11" s="21">
        <f t="shared" si="7"/>
        <v>0</v>
      </c>
      <c r="CX11" s="21">
        <f t="shared" si="7"/>
        <v>0</v>
      </c>
      <c r="CY11" s="21">
        <f t="shared" si="7"/>
        <v>0</v>
      </c>
      <c r="CZ11" s="21">
        <f t="shared" si="7"/>
        <v>0</v>
      </c>
      <c r="DA11" s="21">
        <f t="shared" si="7"/>
        <v>0</v>
      </c>
      <c r="DB11" s="21">
        <f t="shared" si="7"/>
        <v>0</v>
      </c>
      <c r="DC11" s="21">
        <f t="shared" si="7"/>
        <v>0</v>
      </c>
      <c r="DD11" s="21">
        <f t="shared" si="7"/>
        <v>0</v>
      </c>
      <c r="DE11" s="21">
        <f t="shared" si="7"/>
        <v>0</v>
      </c>
      <c r="DF11" s="21">
        <f t="shared" si="7"/>
        <v>0</v>
      </c>
      <c r="DG11" s="21">
        <f t="shared" si="8"/>
        <v>0</v>
      </c>
      <c r="DH11" s="21">
        <f t="shared" si="8"/>
        <v>0</v>
      </c>
      <c r="DI11" s="21">
        <f t="shared" si="8"/>
        <v>0</v>
      </c>
      <c r="DJ11" s="21">
        <f t="shared" si="8"/>
        <v>0</v>
      </c>
      <c r="DK11" s="21">
        <f t="shared" si="8"/>
        <v>0</v>
      </c>
      <c r="DL11" s="21">
        <f t="shared" si="8"/>
        <v>0</v>
      </c>
      <c r="DM11" s="21">
        <f t="shared" si="8"/>
        <v>0</v>
      </c>
      <c r="DN11" s="21">
        <f t="shared" si="8"/>
        <v>0</v>
      </c>
      <c r="DO11" s="21">
        <f t="shared" si="8"/>
        <v>0</v>
      </c>
      <c r="DP11" s="21">
        <f t="shared" si="8"/>
        <v>0</v>
      </c>
      <c r="DQ11" s="21">
        <f t="shared" si="8"/>
        <v>0</v>
      </c>
      <c r="DR11" s="21">
        <f t="shared" si="8"/>
        <v>0</v>
      </c>
      <c r="DS11" s="21">
        <f t="shared" si="8"/>
        <v>0</v>
      </c>
      <c r="DT11" s="21">
        <f t="shared" si="8"/>
        <v>0</v>
      </c>
      <c r="DU11" s="21">
        <f t="shared" si="8"/>
        <v>0</v>
      </c>
      <c r="DV11" s="21">
        <f t="shared" si="8"/>
        <v>0</v>
      </c>
      <c r="DW11" s="21">
        <f t="shared" si="8"/>
        <v>0</v>
      </c>
      <c r="DX11" s="21">
        <f t="shared" si="8"/>
        <v>0</v>
      </c>
      <c r="DY11" s="21">
        <f t="shared" si="8"/>
        <v>0</v>
      </c>
      <c r="DZ11" s="21">
        <f t="shared" si="8"/>
        <v>0</v>
      </c>
      <c r="EA11" s="21">
        <f t="shared" si="8"/>
        <v>0</v>
      </c>
      <c r="EB11" s="21">
        <f t="shared" si="8"/>
        <v>0</v>
      </c>
      <c r="EC11" s="21">
        <f t="shared" si="8"/>
        <v>0</v>
      </c>
      <c r="ED11" s="21">
        <f t="shared" si="8"/>
        <v>0</v>
      </c>
      <c r="EE11" s="21">
        <f t="shared" si="8"/>
        <v>0</v>
      </c>
      <c r="EF11" s="21">
        <f t="shared" si="8"/>
        <v>0</v>
      </c>
      <c r="EG11" s="21">
        <f t="shared" si="8"/>
        <v>0</v>
      </c>
      <c r="EH11" s="21">
        <f t="shared" si="8"/>
        <v>0</v>
      </c>
      <c r="EI11" s="21">
        <f t="shared" si="8"/>
        <v>0</v>
      </c>
      <c r="EJ11" s="21">
        <f t="shared" si="8"/>
        <v>0</v>
      </c>
      <c r="EK11" s="21">
        <f t="shared" si="8"/>
        <v>0</v>
      </c>
      <c r="EL11" s="21">
        <f t="shared" si="8"/>
        <v>0</v>
      </c>
    </row>
    <row r="12" spans="2:142" x14ac:dyDescent="0.45">
      <c r="B12" s="1" t="s">
        <v>222</v>
      </c>
      <c r="D12" s="163"/>
      <c r="E12" s="9">
        <v>750</v>
      </c>
      <c r="G12" s="13">
        <v>0</v>
      </c>
      <c r="H12" s="13">
        <v>0</v>
      </c>
      <c r="I12" s="21"/>
      <c r="J12" s="21">
        <f t="shared" si="21"/>
        <v>750</v>
      </c>
      <c r="K12" s="21">
        <f t="shared" si="1"/>
        <v>0</v>
      </c>
      <c r="L12" s="21">
        <f t="shared" si="1"/>
        <v>0</v>
      </c>
      <c r="M12" s="21">
        <f t="shared" si="1"/>
        <v>0</v>
      </c>
      <c r="N12" s="21">
        <f t="shared" si="1"/>
        <v>0</v>
      </c>
      <c r="O12" s="21">
        <f t="shared" si="1"/>
        <v>0</v>
      </c>
      <c r="P12" s="21">
        <f t="shared" si="1"/>
        <v>0</v>
      </c>
      <c r="Q12" s="21">
        <f t="shared" si="1"/>
        <v>0</v>
      </c>
      <c r="R12" s="21">
        <f t="shared" si="1"/>
        <v>0</v>
      </c>
      <c r="S12" s="21">
        <f t="shared" si="1"/>
        <v>0</v>
      </c>
      <c r="T12" s="21">
        <f t="shared" si="1"/>
        <v>0</v>
      </c>
      <c r="U12" s="21">
        <f t="shared" si="1"/>
        <v>0</v>
      </c>
      <c r="V12" s="21">
        <f t="shared" si="1"/>
        <v>0</v>
      </c>
      <c r="W12" s="21">
        <f t="shared" si="1"/>
        <v>0</v>
      </c>
      <c r="X12" s="21">
        <f t="shared" si="1"/>
        <v>0</v>
      </c>
      <c r="Y12" s="21">
        <f t="shared" si="1"/>
        <v>0</v>
      </c>
      <c r="Z12" s="21">
        <f t="shared" si="1"/>
        <v>0</v>
      </c>
      <c r="AA12" s="21">
        <f t="shared" si="2"/>
        <v>0</v>
      </c>
      <c r="AB12" s="21">
        <f t="shared" si="2"/>
        <v>0</v>
      </c>
      <c r="AC12" s="21">
        <f t="shared" si="2"/>
        <v>0</v>
      </c>
      <c r="AD12" s="21">
        <f t="shared" si="2"/>
        <v>0</v>
      </c>
      <c r="AE12" s="21">
        <f t="shared" si="2"/>
        <v>0</v>
      </c>
      <c r="AF12" s="21">
        <f t="shared" si="2"/>
        <v>0</v>
      </c>
      <c r="AG12" s="21">
        <f t="shared" si="2"/>
        <v>0</v>
      </c>
      <c r="AH12" s="21">
        <f t="shared" si="2"/>
        <v>0</v>
      </c>
      <c r="AI12" s="21">
        <f t="shared" si="2"/>
        <v>0</v>
      </c>
      <c r="AJ12" s="21">
        <f t="shared" si="2"/>
        <v>0</v>
      </c>
      <c r="AK12" s="21">
        <f t="shared" si="2"/>
        <v>0</v>
      </c>
      <c r="AL12" s="21">
        <f t="shared" si="2"/>
        <v>0</v>
      </c>
      <c r="AM12" s="21">
        <f t="shared" si="2"/>
        <v>0</v>
      </c>
      <c r="AN12" s="21">
        <f t="shared" si="2"/>
        <v>0</v>
      </c>
      <c r="AO12" s="21">
        <f t="shared" si="2"/>
        <v>0</v>
      </c>
      <c r="AP12" s="21">
        <f t="shared" si="2"/>
        <v>0</v>
      </c>
      <c r="AQ12" s="21">
        <f t="shared" si="2"/>
        <v>0</v>
      </c>
      <c r="AR12" s="21">
        <f t="shared" si="2"/>
        <v>0</v>
      </c>
      <c r="AS12" s="21">
        <f t="shared" si="2"/>
        <v>0</v>
      </c>
      <c r="AT12" s="21">
        <f t="shared" si="2"/>
        <v>0</v>
      </c>
      <c r="AU12" s="21">
        <f t="shared" si="2"/>
        <v>0</v>
      </c>
      <c r="AV12" s="21">
        <f t="shared" si="2"/>
        <v>0</v>
      </c>
      <c r="AW12" s="21">
        <f t="shared" si="2"/>
        <v>0</v>
      </c>
      <c r="AX12" s="21">
        <f t="shared" si="2"/>
        <v>0</v>
      </c>
      <c r="AY12" s="21">
        <f t="shared" si="2"/>
        <v>0</v>
      </c>
      <c r="AZ12" s="21">
        <f t="shared" si="2"/>
        <v>0</v>
      </c>
      <c r="BA12" s="21">
        <f t="shared" ref="BA12:BC17" si="24">IF(AND($G12=BA$4,$H12=BA$4),$E12,IF($G12&gt;BA$4,0,IF($H12&lt;BA$4,0,$E12/($H12-$G12+1))))</f>
        <v>0</v>
      </c>
      <c r="BB12" s="21">
        <f t="shared" si="24"/>
        <v>0</v>
      </c>
      <c r="BC12" s="21">
        <f t="shared" si="24"/>
        <v>0</v>
      </c>
      <c r="BD12" s="21">
        <f t="shared" ref="BD12:BW17" si="25">IF(AND($G12=BD$4,$H12=BD$4),$E12,IF($G12&gt;BD$4,0,IF($H12&lt;BD$4,0,$E12/($H12-$G12+1))))</f>
        <v>0</v>
      </c>
      <c r="BE12" s="21">
        <f t="shared" si="25"/>
        <v>0</v>
      </c>
      <c r="BF12" s="21">
        <f t="shared" si="25"/>
        <v>0</v>
      </c>
      <c r="BG12" s="21">
        <f t="shared" si="25"/>
        <v>0</v>
      </c>
      <c r="BH12" s="21">
        <f t="shared" si="25"/>
        <v>0</v>
      </c>
      <c r="BI12" s="21">
        <f t="shared" si="25"/>
        <v>0</v>
      </c>
      <c r="BJ12" s="21">
        <f t="shared" si="25"/>
        <v>0</v>
      </c>
      <c r="BK12" s="21">
        <f t="shared" si="25"/>
        <v>0</v>
      </c>
      <c r="BL12" s="21">
        <f t="shared" si="25"/>
        <v>0</v>
      </c>
      <c r="BM12" s="21">
        <f t="shared" si="25"/>
        <v>0</v>
      </c>
      <c r="BN12" s="21">
        <f t="shared" si="25"/>
        <v>0</v>
      </c>
      <c r="BO12" s="21">
        <f t="shared" si="25"/>
        <v>0</v>
      </c>
      <c r="BP12" s="21">
        <f t="shared" si="25"/>
        <v>0</v>
      </c>
      <c r="BQ12" s="21">
        <f t="shared" si="25"/>
        <v>0</v>
      </c>
      <c r="BR12" s="21">
        <f t="shared" si="25"/>
        <v>0</v>
      </c>
      <c r="BS12" s="21">
        <f t="shared" si="25"/>
        <v>0</v>
      </c>
      <c r="BT12" s="21">
        <f t="shared" si="25"/>
        <v>0</v>
      </c>
      <c r="BU12" s="21">
        <f t="shared" si="25"/>
        <v>0</v>
      </c>
      <c r="BV12" s="21">
        <f t="shared" si="25"/>
        <v>0</v>
      </c>
      <c r="BW12" s="21">
        <f t="shared" si="25"/>
        <v>0</v>
      </c>
      <c r="BX12" s="21">
        <f t="shared" ref="BX12:DY16" si="26">IF(AND($G12=BX$4,$H12=BX$4),$E12,IF($G12&gt;BX$4,0,IF($H12&lt;BX$4,0,$E12/($H12-$G12+1))))</f>
        <v>0</v>
      </c>
      <c r="BY12" s="21">
        <f t="shared" si="26"/>
        <v>0</v>
      </c>
      <c r="BZ12" s="21">
        <f t="shared" si="26"/>
        <v>0</v>
      </c>
      <c r="CA12" s="21">
        <f t="shared" si="26"/>
        <v>0</v>
      </c>
      <c r="CB12" s="21">
        <f t="shared" si="26"/>
        <v>0</v>
      </c>
      <c r="CC12" s="21">
        <f t="shared" si="26"/>
        <v>0</v>
      </c>
      <c r="CD12" s="21">
        <f t="shared" si="26"/>
        <v>0</v>
      </c>
      <c r="CE12" s="21">
        <f t="shared" si="26"/>
        <v>0</v>
      </c>
      <c r="CF12" s="21">
        <f t="shared" si="26"/>
        <v>0</v>
      </c>
      <c r="CG12" s="21">
        <f t="shared" si="26"/>
        <v>0</v>
      </c>
      <c r="CH12" s="21">
        <f t="shared" si="26"/>
        <v>0</v>
      </c>
      <c r="CI12" s="21">
        <f t="shared" si="26"/>
        <v>0</v>
      </c>
      <c r="CJ12" s="21">
        <f t="shared" si="26"/>
        <v>0</v>
      </c>
      <c r="CK12" s="21">
        <f t="shared" si="26"/>
        <v>0</v>
      </c>
      <c r="CL12" s="21">
        <f t="shared" si="26"/>
        <v>0</v>
      </c>
      <c r="CM12" s="21">
        <f t="shared" si="26"/>
        <v>0</v>
      </c>
      <c r="CN12" s="21">
        <f t="shared" si="26"/>
        <v>0</v>
      </c>
      <c r="CO12" s="21">
        <f t="shared" si="26"/>
        <v>0</v>
      </c>
      <c r="CP12" s="21">
        <f t="shared" si="26"/>
        <v>0</v>
      </c>
      <c r="CQ12" s="21">
        <f t="shared" si="26"/>
        <v>0</v>
      </c>
      <c r="CR12" s="21">
        <f t="shared" si="26"/>
        <v>0</v>
      </c>
      <c r="CS12" s="21">
        <f t="shared" si="26"/>
        <v>0</v>
      </c>
      <c r="CT12" s="21">
        <f t="shared" si="26"/>
        <v>0</v>
      </c>
      <c r="CU12" s="21">
        <f t="shared" si="26"/>
        <v>0</v>
      </c>
      <c r="CV12" s="21">
        <f t="shared" si="26"/>
        <v>0</v>
      </c>
      <c r="CW12" s="21">
        <f t="shared" si="26"/>
        <v>0</v>
      </c>
      <c r="CX12" s="21">
        <f t="shared" si="26"/>
        <v>0</v>
      </c>
      <c r="CY12" s="21">
        <f t="shared" si="26"/>
        <v>0</v>
      </c>
      <c r="CZ12" s="21">
        <f t="shared" si="26"/>
        <v>0</v>
      </c>
      <c r="DA12" s="21">
        <f t="shared" si="26"/>
        <v>0</v>
      </c>
      <c r="DB12" s="21">
        <f t="shared" si="26"/>
        <v>0</v>
      </c>
      <c r="DC12" s="21">
        <f t="shared" si="26"/>
        <v>0</v>
      </c>
      <c r="DD12" s="21">
        <f t="shared" si="26"/>
        <v>0</v>
      </c>
      <c r="DE12" s="21">
        <f t="shared" si="26"/>
        <v>0</v>
      </c>
      <c r="DF12" s="21">
        <f t="shared" si="26"/>
        <v>0</v>
      </c>
      <c r="DG12" s="21">
        <f t="shared" si="26"/>
        <v>0</v>
      </c>
      <c r="DH12" s="21">
        <f t="shared" si="26"/>
        <v>0</v>
      </c>
      <c r="DI12" s="21">
        <f t="shared" si="26"/>
        <v>0</v>
      </c>
      <c r="DJ12" s="21">
        <f t="shared" si="26"/>
        <v>0</v>
      </c>
      <c r="DK12" s="21">
        <f t="shared" si="26"/>
        <v>0</v>
      </c>
      <c r="DL12" s="21">
        <f t="shared" si="26"/>
        <v>0</v>
      </c>
      <c r="DM12" s="21">
        <f t="shared" si="26"/>
        <v>0</v>
      </c>
      <c r="DN12" s="21">
        <f t="shared" si="26"/>
        <v>0</v>
      </c>
      <c r="DO12" s="21">
        <f t="shared" si="26"/>
        <v>0</v>
      </c>
      <c r="DP12" s="21">
        <f t="shared" si="26"/>
        <v>0</v>
      </c>
      <c r="DQ12" s="21">
        <f t="shared" si="26"/>
        <v>0</v>
      </c>
      <c r="DR12" s="21">
        <f t="shared" si="26"/>
        <v>0</v>
      </c>
      <c r="DS12" s="21">
        <f t="shared" si="26"/>
        <v>0</v>
      </c>
      <c r="DT12" s="21">
        <f t="shared" si="26"/>
        <v>0</v>
      </c>
      <c r="DU12" s="21">
        <f t="shared" si="26"/>
        <v>0</v>
      </c>
      <c r="DV12" s="21">
        <f t="shared" si="26"/>
        <v>0</v>
      </c>
      <c r="DW12" s="21">
        <f t="shared" si="26"/>
        <v>0</v>
      </c>
      <c r="DX12" s="21">
        <f t="shared" si="26"/>
        <v>0</v>
      </c>
      <c r="DY12" s="21">
        <f t="shared" si="26"/>
        <v>0</v>
      </c>
      <c r="DZ12" s="21">
        <f t="shared" si="8"/>
        <v>0</v>
      </c>
      <c r="EA12" s="21">
        <f t="shared" si="8"/>
        <v>0</v>
      </c>
      <c r="EB12" s="21">
        <f t="shared" si="8"/>
        <v>0</v>
      </c>
      <c r="EC12" s="21">
        <f t="shared" si="8"/>
        <v>0</v>
      </c>
      <c r="ED12" s="21">
        <f t="shared" si="8"/>
        <v>0</v>
      </c>
      <c r="EE12" s="21">
        <f t="shared" si="8"/>
        <v>0</v>
      </c>
      <c r="EF12" s="21">
        <f t="shared" si="8"/>
        <v>0</v>
      </c>
      <c r="EG12" s="21">
        <f t="shared" si="8"/>
        <v>0</v>
      </c>
      <c r="EH12" s="21">
        <f t="shared" si="8"/>
        <v>0</v>
      </c>
      <c r="EI12" s="21">
        <f t="shared" si="8"/>
        <v>0</v>
      </c>
      <c r="EJ12" s="21">
        <f t="shared" si="8"/>
        <v>0</v>
      </c>
      <c r="EK12" s="21">
        <f t="shared" si="8"/>
        <v>0</v>
      </c>
      <c r="EL12" s="21">
        <f t="shared" si="8"/>
        <v>0</v>
      </c>
    </row>
    <row r="13" spans="2:142" x14ac:dyDescent="0.45">
      <c r="B13" s="1" t="s">
        <v>223</v>
      </c>
      <c r="D13" s="163"/>
      <c r="E13" s="9">
        <v>1995</v>
      </c>
      <c r="G13" s="13">
        <v>0</v>
      </c>
      <c r="H13" s="13">
        <v>0</v>
      </c>
      <c r="I13" s="21"/>
      <c r="J13" s="21">
        <f t="shared" si="21"/>
        <v>1995</v>
      </c>
      <c r="K13" s="21">
        <f t="shared" si="1"/>
        <v>0</v>
      </c>
      <c r="L13" s="21">
        <f t="shared" si="1"/>
        <v>0</v>
      </c>
      <c r="M13" s="21">
        <f t="shared" si="1"/>
        <v>0</v>
      </c>
      <c r="N13" s="21">
        <f t="shared" si="1"/>
        <v>0</v>
      </c>
      <c r="O13" s="21">
        <f t="shared" si="1"/>
        <v>0</v>
      </c>
      <c r="P13" s="21">
        <f t="shared" si="1"/>
        <v>0</v>
      </c>
      <c r="Q13" s="21">
        <f t="shared" si="1"/>
        <v>0</v>
      </c>
      <c r="R13" s="21">
        <f t="shared" si="1"/>
        <v>0</v>
      </c>
      <c r="S13" s="21">
        <f t="shared" si="1"/>
        <v>0</v>
      </c>
      <c r="T13" s="21">
        <f t="shared" si="1"/>
        <v>0</v>
      </c>
      <c r="U13" s="21">
        <f t="shared" si="1"/>
        <v>0</v>
      </c>
      <c r="V13" s="21">
        <f t="shared" si="1"/>
        <v>0</v>
      </c>
      <c r="W13" s="21">
        <f t="shared" si="1"/>
        <v>0</v>
      </c>
      <c r="X13" s="21">
        <f t="shared" si="1"/>
        <v>0</v>
      </c>
      <c r="Y13" s="21">
        <f t="shared" si="1"/>
        <v>0</v>
      </c>
      <c r="Z13" s="21">
        <f t="shared" si="1"/>
        <v>0</v>
      </c>
      <c r="AA13" s="21">
        <f t="shared" si="2"/>
        <v>0</v>
      </c>
      <c r="AB13" s="21">
        <f t="shared" si="2"/>
        <v>0</v>
      </c>
      <c r="AC13" s="21">
        <f t="shared" si="2"/>
        <v>0</v>
      </c>
      <c r="AD13" s="21">
        <f t="shared" si="2"/>
        <v>0</v>
      </c>
      <c r="AE13" s="21">
        <f t="shared" si="2"/>
        <v>0</v>
      </c>
      <c r="AF13" s="21">
        <f t="shared" si="2"/>
        <v>0</v>
      </c>
      <c r="AG13" s="21">
        <f t="shared" si="2"/>
        <v>0</v>
      </c>
      <c r="AH13" s="21">
        <f t="shared" si="2"/>
        <v>0</v>
      </c>
      <c r="AI13" s="21">
        <f t="shared" si="2"/>
        <v>0</v>
      </c>
      <c r="AJ13" s="21">
        <f t="shared" si="2"/>
        <v>0</v>
      </c>
      <c r="AK13" s="21">
        <f t="shared" si="2"/>
        <v>0</v>
      </c>
      <c r="AL13" s="21">
        <f t="shared" si="2"/>
        <v>0</v>
      </c>
      <c r="AM13" s="21">
        <f t="shared" si="2"/>
        <v>0</v>
      </c>
      <c r="AN13" s="21">
        <f t="shared" si="2"/>
        <v>0</v>
      </c>
      <c r="AO13" s="21">
        <f t="shared" si="2"/>
        <v>0</v>
      </c>
      <c r="AP13" s="21">
        <f t="shared" si="2"/>
        <v>0</v>
      </c>
      <c r="AQ13" s="21">
        <f t="shared" si="2"/>
        <v>0</v>
      </c>
      <c r="AR13" s="21">
        <f t="shared" si="2"/>
        <v>0</v>
      </c>
      <c r="AS13" s="21">
        <f t="shared" si="2"/>
        <v>0</v>
      </c>
      <c r="AT13" s="21">
        <f t="shared" si="2"/>
        <v>0</v>
      </c>
      <c r="AU13" s="21">
        <f t="shared" si="2"/>
        <v>0</v>
      </c>
      <c r="AV13" s="21">
        <f t="shared" si="2"/>
        <v>0</v>
      </c>
      <c r="AW13" s="21">
        <f t="shared" si="2"/>
        <v>0</v>
      </c>
      <c r="AX13" s="21">
        <f t="shared" si="2"/>
        <v>0</v>
      </c>
      <c r="AY13" s="21">
        <f t="shared" si="2"/>
        <v>0</v>
      </c>
      <c r="AZ13" s="21">
        <f t="shared" si="2"/>
        <v>0</v>
      </c>
      <c r="BA13" s="21">
        <f t="shared" si="24"/>
        <v>0</v>
      </c>
      <c r="BB13" s="21">
        <f t="shared" si="24"/>
        <v>0</v>
      </c>
      <c r="BC13" s="21">
        <f t="shared" si="24"/>
        <v>0</v>
      </c>
      <c r="BD13" s="21">
        <f t="shared" si="25"/>
        <v>0</v>
      </c>
      <c r="BE13" s="21">
        <f t="shared" si="25"/>
        <v>0</v>
      </c>
      <c r="BF13" s="21">
        <f t="shared" si="25"/>
        <v>0</v>
      </c>
      <c r="BG13" s="21">
        <f t="shared" si="25"/>
        <v>0</v>
      </c>
      <c r="BH13" s="21">
        <f t="shared" si="25"/>
        <v>0</v>
      </c>
      <c r="BI13" s="21">
        <f t="shared" si="25"/>
        <v>0</v>
      </c>
      <c r="BJ13" s="21">
        <f t="shared" si="25"/>
        <v>0</v>
      </c>
      <c r="BK13" s="21">
        <f t="shared" si="25"/>
        <v>0</v>
      </c>
      <c r="BL13" s="21">
        <f t="shared" si="25"/>
        <v>0</v>
      </c>
      <c r="BM13" s="21">
        <f t="shared" si="25"/>
        <v>0</v>
      </c>
      <c r="BN13" s="21">
        <f t="shared" si="25"/>
        <v>0</v>
      </c>
      <c r="BO13" s="21">
        <f t="shared" si="25"/>
        <v>0</v>
      </c>
      <c r="BP13" s="21">
        <f t="shared" si="25"/>
        <v>0</v>
      </c>
      <c r="BQ13" s="21">
        <f t="shared" si="25"/>
        <v>0</v>
      </c>
      <c r="BR13" s="21">
        <f t="shared" si="25"/>
        <v>0</v>
      </c>
      <c r="BS13" s="21">
        <f t="shared" si="25"/>
        <v>0</v>
      </c>
      <c r="BT13" s="21">
        <f t="shared" si="25"/>
        <v>0</v>
      </c>
      <c r="BU13" s="21">
        <f t="shared" si="25"/>
        <v>0</v>
      </c>
      <c r="BV13" s="21">
        <f t="shared" si="25"/>
        <v>0</v>
      </c>
      <c r="BW13" s="21">
        <f t="shared" si="25"/>
        <v>0</v>
      </c>
      <c r="BX13" s="21">
        <f t="shared" si="26"/>
        <v>0</v>
      </c>
      <c r="BY13" s="21">
        <f t="shared" si="26"/>
        <v>0</v>
      </c>
      <c r="BZ13" s="21">
        <f t="shared" si="26"/>
        <v>0</v>
      </c>
      <c r="CA13" s="21">
        <f t="shared" si="26"/>
        <v>0</v>
      </c>
      <c r="CB13" s="21">
        <f t="shared" si="26"/>
        <v>0</v>
      </c>
      <c r="CC13" s="21">
        <f t="shared" si="26"/>
        <v>0</v>
      </c>
      <c r="CD13" s="21">
        <f t="shared" si="26"/>
        <v>0</v>
      </c>
      <c r="CE13" s="21">
        <f t="shared" si="26"/>
        <v>0</v>
      </c>
      <c r="CF13" s="21">
        <f t="shared" si="26"/>
        <v>0</v>
      </c>
      <c r="CG13" s="21">
        <f t="shared" si="26"/>
        <v>0</v>
      </c>
      <c r="CH13" s="21">
        <f t="shared" si="26"/>
        <v>0</v>
      </c>
      <c r="CI13" s="21">
        <f t="shared" si="26"/>
        <v>0</v>
      </c>
      <c r="CJ13" s="21">
        <f t="shared" si="26"/>
        <v>0</v>
      </c>
      <c r="CK13" s="21">
        <f t="shared" si="26"/>
        <v>0</v>
      </c>
      <c r="CL13" s="21">
        <f t="shared" si="26"/>
        <v>0</v>
      </c>
      <c r="CM13" s="21">
        <f t="shared" si="26"/>
        <v>0</v>
      </c>
      <c r="CN13" s="21">
        <f t="shared" si="26"/>
        <v>0</v>
      </c>
      <c r="CO13" s="21">
        <f t="shared" si="26"/>
        <v>0</v>
      </c>
      <c r="CP13" s="21">
        <f t="shared" si="26"/>
        <v>0</v>
      </c>
      <c r="CQ13" s="21">
        <f t="shared" si="26"/>
        <v>0</v>
      </c>
      <c r="CR13" s="21">
        <f t="shared" si="26"/>
        <v>0</v>
      </c>
      <c r="CS13" s="21">
        <f t="shared" si="26"/>
        <v>0</v>
      </c>
      <c r="CT13" s="21">
        <f t="shared" si="26"/>
        <v>0</v>
      </c>
      <c r="CU13" s="21">
        <f t="shared" si="26"/>
        <v>0</v>
      </c>
      <c r="CV13" s="21">
        <f t="shared" si="26"/>
        <v>0</v>
      </c>
      <c r="CW13" s="21">
        <f t="shared" si="26"/>
        <v>0</v>
      </c>
      <c r="CX13" s="21">
        <f t="shared" si="26"/>
        <v>0</v>
      </c>
      <c r="CY13" s="21">
        <f t="shared" si="26"/>
        <v>0</v>
      </c>
      <c r="CZ13" s="21">
        <f t="shared" si="26"/>
        <v>0</v>
      </c>
      <c r="DA13" s="21">
        <f t="shared" si="26"/>
        <v>0</v>
      </c>
      <c r="DB13" s="21">
        <f t="shared" si="26"/>
        <v>0</v>
      </c>
      <c r="DC13" s="21">
        <f t="shared" si="26"/>
        <v>0</v>
      </c>
      <c r="DD13" s="21">
        <f t="shared" si="26"/>
        <v>0</v>
      </c>
      <c r="DE13" s="21">
        <f t="shared" si="26"/>
        <v>0</v>
      </c>
      <c r="DF13" s="21">
        <f t="shared" si="26"/>
        <v>0</v>
      </c>
      <c r="DG13" s="21">
        <f t="shared" si="26"/>
        <v>0</v>
      </c>
      <c r="DH13" s="21">
        <f t="shared" si="26"/>
        <v>0</v>
      </c>
      <c r="DI13" s="21">
        <f t="shared" si="26"/>
        <v>0</v>
      </c>
      <c r="DJ13" s="21">
        <f t="shared" si="26"/>
        <v>0</v>
      </c>
      <c r="DK13" s="21">
        <f t="shared" si="26"/>
        <v>0</v>
      </c>
      <c r="DL13" s="21">
        <f t="shared" si="26"/>
        <v>0</v>
      </c>
      <c r="DM13" s="21">
        <f t="shared" si="26"/>
        <v>0</v>
      </c>
      <c r="DN13" s="21">
        <f t="shared" si="26"/>
        <v>0</v>
      </c>
      <c r="DO13" s="21">
        <f t="shared" si="26"/>
        <v>0</v>
      </c>
      <c r="DP13" s="21">
        <f t="shared" si="26"/>
        <v>0</v>
      </c>
      <c r="DQ13" s="21">
        <f t="shared" si="26"/>
        <v>0</v>
      </c>
      <c r="DR13" s="21">
        <f t="shared" si="26"/>
        <v>0</v>
      </c>
      <c r="DS13" s="21">
        <f t="shared" si="26"/>
        <v>0</v>
      </c>
      <c r="DT13" s="21">
        <f t="shared" si="26"/>
        <v>0</v>
      </c>
      <c r="DU13" s="21">
        <f t="shared" si="26"/>
        <v>0</v>
      </c>
      <c r="DV13" s="21">
        <f t="shared" si="26"/>
        <v>0</v>
      </c>
      <c r="DW13" s="21">
        <f t="shared" si="26"/>
        <v>0</v>
      </c>
      <c r="DX13" s="21">
        <f t="shared" si="26"/>
        <v>0</v>
      </c>
      <c r="DY13" s="21">
        <f t="shared" si="26"/>
        <v>0</v>
      </c>
      <c r="DZ13" s="21">
        <f t="shared" si="8"/>
        <v>0</v>
      </c>
      <c r="EA13" s="21">
        <f t="shared" si="8"/>
        <v>0</v>
      </c>
      <c r="EB13" s="21">
        <f t="shared" si="8"/>
        <v>0</v>
      </c>
      <c r="EC13" s="21">
        <f t="shared" si="8"/>
        <v>0</v>
      </c>
      <c r="ED13" s="21">
        <f t="shared" si="8"/>
        <v>0</v>
      </c>
      <c r="EE13" s="21">
        <f t="shared" si="8"/>
        <v>0</v>
      </c>
      <c r="EF13" s="21">
        <f t="shared" si="8"/>
        <v>0</v>
      </c>
      <c r="EG13" s="21">
        <f t="shared" si="8"/>
        <v>0</v>
      </c>
      <c r="EH13" s="21">
        <f t="shared" si="8"/>
        <v>0</v>
      </c>
      <c r="EI13" s="21">
        <f t="shared" si="8"/>
        <v>0</v>
      </c>
      <c r="EJ13" s="21">
        <f t="shared" si="8"/>
        <v>0</v>
      </c>
      <c r="EK13" s="21">
        <f t="shared" si="8"/>
        <v>0</v>
      </c>
      <c r="EL13" s="21">
        <f t="shared" si="8"/>
        <v>0</v>
      </c>
    </row>
    <row r="14" spans="2:142" x14ac:dyDescent="0.45">
      <c r="B14" s="1" t="s">
        <v>224</v>
      </c>
      <c r="D14" s="163"/>
      <c r="E14" s="9">
        <v>500</v>
      </c>
      <c r="G14" s="13">
        <v>0</v>
      </c>
      <c r="H14" s="13">
        <v>0</v>
      </c>
      <c r="I14" s="21"/>
      <c r="J14" s="21">
        <f t="shared" si="21"/>
        <v>500</v>
      </c>
      <c r="K14" s="21">
        <f t="shared" si="1"/>
        <v>0</v>
      </c>
      <c r="L14" s="21">
        <f t="shared" si="1"/>
        <v>0</v>
      </c>
      <c r="M14" s="21">
        <f t="shared" si="1"/>
        <v>0</v>
      </c>
      <c r="N14" s="21">
        <f t="shared" si="1"/>
        <v>0</v>
      </c>
      <c r="O14" s="21">
        <f t="shared" si="1"/>
        <v>0</v>
      </c>
      <c r="P14" s="21">
        <f t="shared" si="1"/>
        <v>0</v>
      </c>
      <c r="Q14" s="21">
        <f t="shared" si="1"/>
        <v>0</v>
      </c>
      <c r="R14" s="21">
        <f t="shared" si="1"/>
        <v>0</v>
      </c>
      <c r="S14" s="21">
        <f t="shared" si="1"/>
        <v>0</v>
      </c>
      <c r="T14" s="21">
        <f t="shared" si="1"/>
        <v>0</v>
      </c>
      <c r="U14" s="21">
        <f t="shared" si="1"/>
        <v>0</v>
      </c>
      <c r="V14" s="21">
        <f t="shared" si="1"/>
        <v>0</v>
      </c>
      <c r="W14" s="21">
        <f t="shared" si="1"/>
        <v>0</v>
      </c>
      <c r="X14" s="21">
        <f t="shared" si="1"/>
        <v>0</v>
      </c>
      <c r="Y14" s="21">
        <f t="shared" si="1"/>
        <v>0</v>
      </c>
      <c r="Z14" s="21">
        <f t="shared" si="1"/>
        <v>0</v>
      </c>
      <c r="AA14" s="21">
        <f t="shared" si="2"/>
        <v>0</v>
      </c>
      <c r="AB14" s="21">
        <f t="shared" si="2"/>
        <v>0</v>
      </c>
      <c r="AC14" s="21">
        <f t="shared" si="2"/>
        <v>0</v>
      </c>
      <c r="AD14" s="21">
        <f t="shared" si="2"/>
        <v>0</v>
      </c>
      <c r="AE14" s="21">
        <f t="shared" si="2"/>
        <v>0</v>
      </c>
      <c r="AF14" s="21">
        <f t="shared" si="2"/>
        <v>0</v>
      </c>
      <c r="AG14" s="21">
        <f t="shared" si="2"/>
        <v>0</v>
      </c>
      <c r="AH14" s="21">
        <f t="shared" si="2"/>
        <v>0</v>
      </c>
      <c r="AI14" s="21">
        <f t="shared" si="2"/>
        <v>0</v>
      </c>
      <c r="AJ14" s="21">
        <f t="shared" si="2"/>
        <v>0</v>
      </c>
      <c r="AK14" s="21">
        <f t="shared" si="2"/>
        <v>0</v>
      </c>
      <c r="AL14" s="21">
        <f t="shared" si="2"/>
        <v>0</v>
      </c>
      <c r="AM14" s="21">
        <f t="shared" si="2"/>
        <v>0</v>
      </c>
      <c r="AN14" s="21">
        <f t="shared" si="2"/>
        <v>0</v>
      </c>
      <c r="AO14" s="21">
        <f t="shared" si="2"/>
        <v>0</v>
      </c>
      <c r="AP14" s="21">
        <f t="shared" si="2"/>
        <v>0</v>
      </c>
      <c r="AQ14" s="21">
        <f t="shared" si="2"/>
        <v>0</v>
      </c>
      <c r="AR14" s="21">
        <f t="shared" si="2"/>
        <v>0</v>
      </c>
      <c r="AS14" s="21">
        <f t="shared" si="2"/>
        <v>0</v>
      </c>
      <c r="AT14" s="21">
        <f t="shared" si="2"/>
        <v>0</v>
      </c>
      <c r="AU14" s="21">
        <f t="shared" si="2"/>
        <v>0</v>
      </c>
      <c r="AV14" s="21">
        <f t="shared" si="2"/>
        <v>0</v>
      </c>
      <c r="AW14" s="21">
        <f t="shared" si="2"/>
        <v>0</v>
      </c>
      <c r="AX14" s="21">
        <f t="shared" si="2"/>
        <v>0</v>
      </c>
      <c r="AY14" s="21">
        <f t="shared" si="2"/>
        <v>0</v>
      </c>
      <c r="AZ14" s="21">
        <f t="shared" si="2"/>
        <v>0</v>
      </c>
      <c r="BA14" s="21">
        <f t="shared" si="24"/>
        <v>0</v>
      </c>
      <c r="BB14" s="21">
        <f t="shared" si="24"/>
        <v>0</v>
      </c>
      <c r="BC14" s="21">
        <f t="shared" si="24"/>
        <v>0</v>
      </c>
      <c r="BD14" s="21">
        <f t="shared" si="25"/>
        <v>0</v>
      </c>
      <c r="BE14" s="21">
        <f t="shared" si="25"/>
        <v>0</v>
      </c>
      <c r="BF14" s="21">
        <f t="shared" si="25"/>
        <v>0</v>
      </c>
      <c r="BG14" s="21">
        <f t="shared" si="25"/>
        <v>0</v>
      </c>
      <c r="BH14" s="21">
        <f t="shared" si="25"/>
        <v>0</v>
      </c>
      <c r="BI14" s="21">
        <f t="shared" si="25"/>
        <v>0</v>
      </c>
      <c r="BJ14" s="21">
        <f t="shared" si="25"/>
        <v>0</v>
      </c>
      <c r="BK14" s="21">
        <f t="shared" si="25"/>
        <v>0</v>
      </c>
      <c r="BL14" s="21">
        <f t="shared" si="25"/>
        <v>0</v>
      </c>
      <c r="BM14" s="21">
        <f t="shared" si="25"/>
        <v>0</v>
      </c>
      <c r="BN14" s="21">
        <f t="shared" si="25"/>
        <v>0</v>
      </c>
      <c r="BO14" s="21">
        <f t="shared" si="25"/>
        <v>0</v>
      </c>
      <c r="BP14" s="21">
        <f t="shared" si="25"/>
        <v>0</v>
      </c>
      <c r="BQ14" s="21">
        <f t="shared" si="25"/>
        <v>0</v>
      </c>
      <c r="BR14" s="21">
        <f t="shared" si="25"/>
        <v>0</v>
      </c>
      <c r="BS14" s="21">
        <f t="shared" si="25"/>
        <v>0</v>
      </c>
      <c r="BT14" s="21">
        <f t="shared" si="25"/>
        <v>0</v>
      </c>
      <c r="BU14" s="21">
        <f t="shared" si="25"/>
        <v>0</v>
      </c>
      <c r="BV14" s="21">
        <f t="shared" si="25"/>
        <v>0</v>
      </c>
      <c r="BW14" s="21">
        <f t="shared" si="25"/>
        <v>0</v>
      </c>
      <c r="BX14" s="21">
        <f t="shared" si="26"/>
        <v>0</v>
      </c>
      <c r="BY14" s="21">
        <f t="shared" si="26"/>
        <v>0</v>
      </c>
      <c r="BZ14" s="21">
        <f t="shared" si="26"/>
        <v>0</v>
      </c>
      <c r="CA14" s="21">
        <f t="shared" si="26"/>
        <v>0</v>
      </c>
      <c r="CB14" s="21">
        <f t="shared" si="26"/>
        <v>0</v>
      </c>
      <c r="CC14" s="21">
        <f t="shared" si="26"/>
        <v>0</v>
      </c>
      <c r="CD14" s="21">
        <f t="shared" si="26"/>
        <v>0</v>
      </c>
      <c r="CE14" s="21">
        <f t="shared" si="26"/>
        <v>0</v>
      </c>
      <c r="CF14" s="21">
        <f t="shared" si="26"/>
        <v>0</v>
      </c>
      <c r="CG14" s="21">
        <f t="shared" si="26"/>
        <v>0</v>
      </c>
      <c r="CH14" s="21">
        <f t="shared" si="26"/>
        <v>0</v>
      </c>
      <c r="CI14" s="21">
        <f t="shared" si="26"/>
        <v>0</v>
      </c>
      <c r="CJ14" s="21">
        <f t="shared" si="26"/>
        <v>0</v>
      </c>
      <c r="CK14" s="21">
        <f t="shared" si="26"/>
        <v>0</v>
      </c>
      <c r="CL14" s="21">
        <f t="shared" si="26"/>
        <v>0</v>
      </c>
      <c r="CM14" s="21">
        <f t="shared" si="26"/>
        <v>0</v>
      </c>
      <c r="CN14" s="21">
        <f t="shared" si="26"/>
        <v>0</v>
      </c>
      <c r="CO14" s="21">
        <f t="shared" si="26"/>
        <v>0</v>
      </c>
      <c r="CP14" s="21">
        <f t="shared" si="26"/>
        <v>0</v>
      </c>
      <c r="CQ14" s="21">
        <f t="shared" si="26"/>
        <v>0</v>
      </c>
      <c r="CR14" s="21">
        <f t="shared" si="26"/>
        <v>0</v>
      </c>
      <c r="CS14" s="21">
        <f t="shared" si="26"/>
        <v>0</v>
      </c>
      <c r="CT14" s="21">
        <f t="shared" si="26"/>
        <v>0</v>
      </c>
      <c r="CU14" s="21">
        <f t="shared" si="26"/>
        <v>0</v>
      </c>
      <c r="CV14" s="21">
        <f t="shared" si="26"/>
        <v>0</v>
      </c>
      <c r="CW14" s="21">
        <f t="shared" si="26"/>
        <v>0</v>
      </c>
      <c r="CX14" s="21">
        <f t="shared" si="26"/>
        <v>0</v>
      </c>
      <c r="CY14" s="21">
        <f t="shared" si="26"/>
        <v>0</v>
      </c>
      <c r="CZ14" s="21">
        <f t="shared" si="26"/>
        <v>0</v>
      </c>
      <c r="DA14" s="21">
        <f t="shared" si="26"/>
        <v>0</v>
      </c>
      <c r="DB14" s="21">
        <f t="shared" si="26"/>
        <v>0</v>
      </c>
      <c r="DC14" s="21">
        <f t="shared" si="26"/>
        <v>0</v>
      </c>
      <c r="DD14" s="21">
        <f t="shared" si="26"/>
        <v>0</v>
      </c>
      <c r="DE14" s="21">
        <f t="shared" si="26"/>
        <v>0</v>
      </c>
      <c r="DF14" s="21">
        <f t="shared" si="26"/>
        <v>0</v>
      </c>
      <c r="DG14" s="21">
        <f t="shared" si="26"/>
        <v>0</v>
      </c>
      <c r="DH14" s="21">
        <f t="shared" si="26"/>
        <v>0</v>
      </c>
      <c r="DI14" s="21">
        <f t="shared" si="26"/>
        <v>0</v>
      </c>
      <c r="DJ14" s="21">
        <f t="shared" si="26"/>
        <v>0</v>
      </c>
      <c r="DK14" s="21">
        <f t="shared" si="26"/>
        <v>0</v>
      </c>
      <c r="DL14" s="21">
        <f t="shared" si="26"/>
        <v>0</v>
      </c>
      <c r="DM14" s="21">
        <f t="shared" si="26"/>
        <v>0</v>
      </c>
      <c r="DN14" s="21">
        <f t="shared" si="26"/>
        <v>0</v>
      </c>
      <c r="DO14" s="21">
        <f t="shared" si="26"/>
        <v>0</v>
      </c>
      <c r="DP14" s="21">
        <f t="shared" si="26"/>
        <v>0</v>
      </c>
      <c r="DQ14" s="21">
        <f t="shared" si="26"/>
        <v>0</v>
      </c>
      <c r="DR14" s="21">
        <f t="shared" si="26"/>
        <v>0</v>
      </c>
      <c r="DS14" s="21">
        <f t="shared" si="26"/>
        <v>0</v>
      </c>
      <c r="DT14" s="21">
        <f t="shared" si="26"/>
        <v>0</v>
      </c>
      <c r="DU14" s="21">
        <f t="shared" si="26"/>
        <v>0</v>
      </c>
      <c r="DV14" s="21">
        <f t="shared" si="26"/>
        <v>0</v>
      </c>
      <c r="DW14" s="21">
        <f t="shared" si="26"/>
        <v>0</v>
      </c>
      <c r="DX14" s="21">
        <f t="shared" si="26"/>
        <v>0</v>
      </c>
      <c r="DY14" s="21">
        <f t="shared" si="26"/>
        <v>0</v>
      </c>
      <c r="DZ14" s="21">
        <f t="shared" si="8"/>
        <v>0</v>
      </c>
      <c r="EA14" s="21">
        <f t="shared" si="8"/>
        <v>0</v>
      </c>
      <c r="EB14" s="21">
        <f t="shared" si="8"/>
        <v>0</v>
      </c>
      <c r="EC14" s="21">
        <f t="shared" ref="DZ14:EL15" si="27">IF(AND($G14=EC$4,$H14=EC$4),$E14,IF($G14&gt;EC$4,0,IF($H14&lt;EC$4,0,$E14/($H14-$G14+1))))</f>
        <v>0</v>
      </c>
      <c r="ED14" s="21">
        <f t="shared" si="27"/>
        <v>0</v>
      </c>
      <c r="EE14" s="21">
        <f t="shared" si="27"/>
        <v>0</v>
      </c>
      <c r="EF14" s="21">
        <f t="shared" si="27"/>
        <v>0</v>
      </c>
      <c r="EG14" s="21">
        <f t="shared" si="27"/>
        <v>0</v>
      </c>
      <c r="EH14" s="21">
        <f t="shared" si="27"/>
        <v>0</v>
      </c>
      <c r="EI14" s="21">
        <f t="shared" si="27"/>
        <v>0</v>
      </c>
      <c r="EJ14" s="21">
        <f t="shared" si="27"/>
        <v>0</v>
      </c>
      <c r="EK14" s="21">
        <f t="shared" si="27"/>
        <v>0</v>
      </c>
      <c r="EL14" s="21">
        <f t="shared" si="27"/>
        <v>0</v>
      </c>
    </row>
    <row r="15" spans="2:142" x14ac:dyDescent="0.45">
      <c r="B15" s="1" t="s">
        <v>225</v>
      </c>
      <c r="D15" s="162"/>
      <c r="E15" s="199">
        <f>+Assumptions!J152</f>
        <v>70980</v>
      </c>
      <c r="G15" s="13">
        <v>0</v>
      </c>
      <c r="H15" s="13">
        <v>0</v>
      </c>
      <c r="I15" s="21"/>
      <c r="J15" s="21">
        <f t="shared" si="21"/>
        <v>70980</v>
      </c>
      <c r="K15" s="21">
        <f t="shared" si="1"/>
        <v>0</v>
      </c>
      <c r="L15" s="21">
        <f t="shared" si="1"/>
        <v>0</v>
      </c>
      <c r="M15" s="21">
        <f t="shared" si="1"/>
        <v>0</v>
      </c>
      <c r="N15" s="21">
        <f t="shared" si="1"/>
        <v>0</v>
      </c>
      <c r="O15" s="21">
        <f t="shared" si="1"/>
        <v>0</v>
      </c>
      <c r="P15" s="21">
        <f t="shared" si="1"/>
        <v>0</v>
      </c>
      <c r="Q15" s="21">
        <f t="shared" si="1"/>
        <v>0</v>
      </c>
      <c r="R15" s="21">
        <f t="shared" si="1"/>
        <v>0</v>
      </c>
      <c r="S15" s="21">
        <f t="shared" si="1"/>
        <v>0</v>
      </c>
      <c r="T15" s="21">
        <f t="shared" si="1"/>
        <v>0</v>
      </c>
      <c r="U15" s="21">
        <f t="shared" si="1"/>
        <v>0</v>
      </c>
      <c r="V15" s="21">
        <f t="shared" si="1"/>
        <v>0</v>
      </c>
      <c r="W15" s="21">
        <f t="shared" si="1"/>
        <v>0</v>
      </c>
      <c r="X15" s="21">
        <f t="shared" si="1"/>
        <v>0</v>
      </c>
      <c r="Y15" s="21">
        <f t="shared" si="1"/>
        <v>0</v>
      </c>
      <c r="Z15" s="21">
        <f t="shared" si="1"/>
        <v>0</v>
      </c>
      <c r="AA15" s="21">
        <f t="shared" si="2"/>
        <v>0</v>
      </c>
      <c r="AB15" s="21">
        <f t="shared" si="2"/>
        <v>0</v>
      </c>
      <c r="AC15" s="21">
        <f t="shared" si="2"/>
        <v>0</v>
      </c>
      <c r="AD15" s="21">
        <f t="shared" si="2"/>
        <v>0</v>
      </c>
      <c r="AE15" s="21">
        <f t="shared" si="2"/>
        <v>0</v>
      </c>
      <c r="AF15" s="21">
        <f t="shared" si="2"/>
        <v>0</v>
      </c>
      <c r="AG15" s="21">
        <f t="shared" si="2"/>
        <v>0</v>
      </c>
      <c r="AH15" s="21">
        <f t="shared" si="2"/>
        <v>0</v>
      </c>
      <c r="AI15" s="21">
        <f t="shared" si="2"/>
        <v>0</v>
      </c>
      <c r="AJ15" s="21">
        <f t="shared" si="2"/>
        <v>0</v>
      </c>
      <c r="AK15" s="21">
        <f t="shared" si="2"/>
        <v>0</v>
      </c>
      <c r="AL15" s="21">
        <f t="shared" si="2"/>
        <v>0</v>
      </c>
      <c r="AM15" s="21">
        <f t="shared" si="2"/>
        <v>0</v>
      </c>
      <c r="AN15" s="21">
        <f t="shared" si="2"/>
        <v>0</v>
      </c>
      <c r="AO15" s="21">
        <f t="shared" si="2"/>
        <v>0</v>
      </c>
      <c r="AP15" s="21">
        <f t="shared" si="2"/>
        <v>0</v>
      </c>
      <c r="AQ15" s="21">
        <f t="shared" si="2"/>
        <v>0</v>
      </c>
      <c r="AR15" s="21">
        <f t="shared" si="2"/>
        <v>0</v>
      </c>
      <c r="AS15" s="21">
        <f t="shared" si="2"/>
        <v>0</v>
      </c>
      <c r="AT15" s="21">
        <f t="shared" si="2"/>
        <v>0</v>
      </c>
      <c r="AU15" s="21">
        <f t="shared" si="2"/>
        <v>0</v>
      </c>
      <c r="AV15" s="21">
        <f t="shared" si="2"/>
        <v>0</v>
      </c>
      <c r="AW15" s="21">
        <f t="shared" si="2"/>
        <v>0</v>
      </c>
      <c r="AX15" s="21">
        <f t="shared" si="2"/>
        <v>0</v>
      </c>
      <c r="AY15" s="21">
        <f t="shared" si="2"/>
        <v>0</v>
      </c>
      <c r="AZ15" s="21">
        <f t="shared" si="2"/>
        <v>0</v>
      </c>
      <c r="BA15" s="21">
        <f t="shared" si="24"/>
        <v>0</v>
      </c>
      <c r="BB15" s="21">
        <f t="shared" si="24"/>
        <v>0</v>
      </c>
      <c r="BC15" s="21">
        <f t="shared" si="24"/>
        <v>0</v>
      </c>
      <c r="BD15" s="21">
        <f t="shared" si="25"/>
        <v>0</v>
      </c>
      <c r="BE15" s="21">
        <f t="shared" si="25"/>
        <v>0</v>
      </c>
      <c r="BF15" s="21">
        <f t="shared" si="25"/>
        <v>0</v>
      </c>
      <c r="BG15" s="21">
        <f t="shared" si="25"/>
        <v>0</v>
      </c>
      <c r="BH15" s="21">
        <f t="shared" si="25"/>
        <v>0</v>
      </c>
      <c r="BI15" s="21">
        <f t="shared" si="25"/>
        <v>0</v>
      </c>
      <c r="BJ15" s="21">
        <f t="shared" si="25"/>
        <v>0</v>
      </c>
      <c r="BK15" s="21">
        <f t="shared" si="25"/>
        <v>0</v>
      </c>
      <c r="BL15" s="21">
        <f t="shared" si="25"/>
        <v>0</v>
      </c>
      <c r="BM15" s="21">
        <f t="shared" si="25"/>
        <v>0</v>
      </c>
      <c r="BN15" s="21">
        <f t="shared" si="25"/>
        <v>0</v>
      </c>
      <c r="BO15" s="21">
        <f t="shared" si="25"/>
        <v>0</v>
      </c>
      <c r="BP15" s="21">
        <f t="shared" si="25"/>
        <v>0</v>
      </c>
      <c r="BQ15" s="21">
        <f t="shared" si="25"/>
        <v>0</v>
      </c>
      <c r="BR15" s="21">
        <f t="shared" si="25"/>
        <v>0</v>
      </c>
      <c r="BS15" s="21">
        <f t="shared" si="25"/>
        <v>0</v>
      </c>
      <c r="BT15" s="21">
        <f t="shared" si="25"/>
        <v>0</v>
      </c>
      <c r="BU15" s="21">
        <f t="shared" si="25"/>
        <v>0</v>
      </c>
      <c r="BV15" s="21">
        <f t="shared" si="25"/>
        <v>0</v>
      </c>
      <c r="BW15" s="21">
        <f t="shared" si="25"/>
        <v>0</v>
      </c>
      <c r="BX15" s="21">
        <f t="shared" si="26"/>
        <v>0</v>
      </c>
      <c r="BY15" s="21">
        <f t="shared" si="26"/>
        <v>0</v>
      </c>
      <c r="BZ15" s="21">
        <f t="shared" si="26"/>
        <v>0</v>
      </c>
      <c r="CA15" s="21">
        <f t="shared" si="26"/>
        <v>0</v>
      </c>
      <c r="CB15" s="21">
        <f t="shared" si="26"/>
        <v>0</v>
      </c>
      <c r="CC15" s="21">
        <f t="shared" si="26"/>
        <v>0</v>
      </c>
      <c r="CD15" s="21">
        <f t="shared" si="26"/>
        <v>0</v>
      </c>
      <c r="CE15" s="21">
        <f t="shared" si="26"/>
        <v>0</v>
      </c>
      <c r="CF15" s="21">
        <f t="shared" si="26"/>
        <v>0</v>
      </c>
      <c r="CG15" s="21">
        <f t="shared" si="26"/>
        <v>0</v>
      </c>
      <c r="CH15" s="21">
        <f t="shared" si="26"/>
        <v>0</v>
      </c>
      <c r="CI15" s="21">
        <f t="shared" si="26"/>
        <v>0</v>
      </c>
      <c r="CJ15" s="21">
        <f t="shared" si="26"/>
        <v>0</v>
      </c>
      <c r="CK15" s="21">
        <f t="shared" si="26"/>
        <v>0</v>
      </c>
      <c r="CL15" s="21">
        <f t="shared" si="26"/>
        <v>0</v>
      </c>
      <c r="CM15" s="21">
        <f t="shared" si="26"/>
        <v>0</v>
      </c>
      <c r="CN15" s="21">
        <f t="shared" si="26"/>
        <v>0</v>
      </c>
      <c r="CO15" s="21">
        <f t="shared" si="26"/>
        <v>0</v>
      </c>
      <c r="CP15" s="21">
        <f t="shared" si="26"/>
        <v>0</v>
      </c>
      <c r="CQ15" s="21">
        <f t="shared" si="26"/>
        <v>0</v>
      </c>
      <c r="CR15" s="21">
        <f t="shared" si="26"/>
        <v>0</v>
      </c>
      <c r="CS15" s="21">
        <f t="shared" si="26"/>
        <v>0</v>
      </c>
      <c r="CT15" s="21">
        <f t="shared" si="26"/>
        <v>0</v>
      </c>
      <c r="CU15" s="21">
        <f t="shared" si="26"/>
        <v>0</v>
      </c>
      <c r="CV15" s="21">
        <f t="shared" si="26"/>
        <v>0</v>
      </c>
      <c r="CW15" s="21">
        <f t="shared" si="26"/>
        <v>0</v>
      </c>
      <c r="CX15" s="21">
        <f t="shared" si="26"/>
        <v>0</v>
      </c>
      <c r="CY15" s="21">
        <f t="shared" si="26"/>
        <v>0</v>
      </c>
      <c r="CZ15" s="21">
        <f t="shared" si="26"/>
        <v>0</v>
      </c>
      <c r="DA15" s="21">
        <f t="shared" si="26"/>
        <v>0</v>
      </c>
      <c r="DB15" s="21">
        <f t="shared" si="26"/>
        <v>0</v>
      </c>
      <c r="DC15" s="21">
        <f t="shared" si="26"/>
        <v>0</v>
      </c>
      <c r="DD15" s="21">
        <f t="shared" si="26"/>
        <v>0</v>
      </c>
      <c r="DE15" s="21">
        <f t="shared" si="26"/>
        <v>0</v>
      </c>
      <c r="DF15" s="21">
        <f t="shared" si="26"/>
        <v>0</v>
      </c>
      <c r="DG15" s="21">
        <f t="shared" si="26"/>
        <v>0</v>
      </c>
      <c r="DH15" s="21">
        <f t="shared" si="26"/>
        <v>0</v>
      </c>
      <c r="DI15" s="21">
        <f t="shared" si="26"/>
        <v>0</v>
      </c>
      <c r="DJ15" s="21">
        <f t="shared" si="26"/>
        <v>0</v>
      </c>
      <c r="DK15" s="21">
        <f t="shared" si="26"/>
        <v>0</v>
      </c>
      <c r="DL15" s="21">
        <f t="shared" si="26"/>
        <v>0</v>
      </c>
      <c r="DM15" s="21">
        <f t="shared" si="26"/>
        <v>0</v>
      </c>
      <c r="DN15" s="21">
        <f t="shared" si="26"/>
        <v>0</v>
      </c>
      <c r="DO15" s="21">
        <f t="shared" si="26"/>
        <v>0</v>
      </c>
      <c r="DP15" s="21">
        <f t="shared" si="26"/>
        <v>0</v>
      </c>
      <c r="DQ15" s="21">
        <f t="shared" si="26"/>
        <v>0</v>
      </c>
      <c r="DR15" s="21">
        <f t="shared" si="26"/>
        <v>0</v>
      </c>
      <c r="DS15" s="21">
        <f t="shared" si="26"/>
        <v>0</v>
      </c>
      <c r="DT15" s="21">
        <f t="shared" si="26"/>
        <v>0</v>
      </c>
      <c r="DU15" s="21">
        <f t="shared" si="26"/>
        <v>0</v>
      </c>
      <c r="DV15" s="21">
        <f t="shared" si="26"/>
        <v>0</v>
      </c>
      <c r="DW15" s="21">
        <f t="shared" si="26"/>
        <v>0</v>
      </c>
      <c r="DX15" s="21">
        <f t="shared" si="26"/>
        <v>0</v>
      </c>
      <c r="DY15" s="21">
        <f t="shared" si="26"/>
        <v>0</v>
      </c>
      <c r="DZ15" s="21">
        <f t="shared" si="27"/>
        <v>0</v>
      </c>
      <c r="EA15" s="21">
        <f t="shared" si="27"/>
        <v>0</v>
      </c>
      <c r="EB15" s="21">
        <f t="shared" si="27"/>
        <v>0</v>
      </c>
      <c r="EC15" s="21">
        <f t="shared" si="27"/>
        <v>0</v>
      </c>
      <c r="ED15" s="21">
        <f t="shared" si="27"/>
        <v>0</v>
      </c>
      <c r="EE15" s="21">
        <f t="shared" si="27"/>
        <v>0</v>
      </c>
      <c r="EF15" s="21">
        <f t="shared" si="27"/>
        <v>0</v>
      </c>
      <c r="EG15" s="21">
        <f t="shared" si="27"/>
        <v>0</v>
      </c>
      <c r="EH15" s="21">
        <f t="shared" si="27"/>
        <v>0</v>
      </c>
      <c r="EI15" s="21">
        <f t="shared" si="27"/>
        <v>0</v>
      </c>
      <c r="EJ15" s="21">
        <f t="shared" si="27"/>
        <v>0</v>
      </c>
      <c r="EK15" s="21">
        <f t="shared" si="27"/>
        <v>0</v>
      </c>
      <c r="EL15" s="21">
        <f t="shared" si="27"/>
        <v>0</v>
      </c>
    </row>
    <row r="16" spans="2:142" x14ac:dyDescent="0.45">
      <c r="B16" s="1" t="s">
        <v>226</v>
      </c>
      <c r="D16" s="162"/>
      <c r="E16" s="199">
        <f>+Assumptions!J151/4</f>
        <v>74406.500000000015</v>
      </c>
      <c r="G16" s="13">
        <v>0</v>
      </c>
      <c r="H16" s="13">
        <v>0</v>
      </c>
      <c r="I16" s="21"/>
      <c r="J16" s="21">
        <f t="shared" si="21"/>
        <v>74406.500000000015</v>
      </c>
      <c r="K16" s="21">
        <f t="shared" si="1"/>
        <v>0</v>
      </c>
      <c r="L16" s="21">
        <f t="shared" si="1"/>
        <v>0</v>
      </c>
      <c r="M16" s="21">
        <f t="shared" si="1"/>
        <v>0</v>
      </c>
      <c r="N16" s="21">
        <f t="shared" si="1"/>
        <v>0</v>
      </c>
      <c r="O16" s="21">
        <f t="shared" si="1"/>
        <v>0</v>
      </c>
      <c r="P16" s="21">
        <f t="shared" si="1"/>
        <v>0</v>
      </c>
      <c r="Q16" s="21">
        <f t="shared" si="1"/>
        <v>0</v>
      </c>
      <c r="R16" s="21">
        <f t="shared" si="1"/>
        <v>0</v>
      </c>
      <c r="S16" s="21">
        <f t="shared" si="1"/>
        <v>0</v>
      </c>
      <c r="T16" s="21">
        <f t="shared" si="1"/>
        <v>0</v>
      </c>
      <c r="U16" s="21">
        <f t="shared" si="1"/>
        <v>0</v>
      </c>
      <c r="V16" s="21">
        <f t="shared" si="1"/>
        <v>0</v>
      </c>
      <c r="W16" s="21">
        <f t="shared" si="1"/>
        <v>0</v>
      </c>
      <c r="X16" s="21">
        <f t="shared" si="1"/>
        <v>0</v>
      </c>
      <c r="Y16" s="21">
        <f t="shared" si="1"/>
        <v>0</v>
      </c>
      <c r="Z16" s="21">
        <f t="shared" si="1"/>
        <v>0</v>
      </c>
      <c r="AA16" s="21">
        <f t="shared" si="2"/>
        <v>0</v>
      </c>
      <c r="AB16" s="21">
        <f t="shared" si="2"/>
        <v>0</v>
      </c>
      <c r="AC16" s="21">
        <f t="shared" si="2"/>
        <v>0</v>
      </c>
      <c r="AD16" s="21">
        <f t="shared" si="2"/>
        <v>0</v>
      </c>
      <c r="AE16" s="21">
        <f t="shared" si="2"/>
        <v>0</v>
      </c>
      <c r="AF16" s="21">
        <f t="shared" si="2"/>
        <v>0</v>
      </c>
      <c r="AG16" s="21">
        <f t="shared" si="2"/>
        <v>0</v>
      </c>
      <c r="AH16" s="21">
        <f t="shared" si="2"/>
        <v>0</v>
      </c>
      <c r="AI16" s="21">
        <f t="shared" si="2"/>
        <v>0</v>
      </c>
      <c r="AJ16" s="21">
        <f t="shared" si="2"/>
        <v>0</v>
      </c>
      <c r="AK16" s="21">
        <f t="shared" si="2"/>
        <v>0</v>
      </c>
      <c r="AL16" s="21">
        <f t="shared" si="2"/>
        <v>0</v>
      </c>
      <c r="AM16" s="21">
        <f t="shared" si="2"/>
        <v>0</v>
      </c>
      <c r="AN16" s="21">
        <f t="shared" si="2"/>
        <v>0</v>
      </c>
      <c r="AO16" s="21">
        <f t="shared" si="2"/>
        <v>0</v>
      </c>
      <c r="AP16" s="21">
        <f t="shared" si="2"/>
        <v>0</v>
      </c>
      <c r="AQ16" s="21">
        <f t="shared" si="2"/>
        <v>0</v>
      </c>
      <c r="AR16" s="21">
        <f t="shared" si="2"/>
        <v>0</v>
      </c>
      <c r="AS16" s="21">
        <f t="shared" si="2"/>
        <v>0</v>
      </c>
      <c r="AT16" s="21">
        <f t="shared" si="2"/>
        <v>0</v>
      </c>
      <c r="AU16" s="21">
        <f t="shared" si="2"/>
        <v>0</v>
      </c>
      <c r="AV16" s="21">
        <f t="shared" si="2"/>
        <v>0</v>
      </c>
      <c r="AW16" s="21">
        <f t="shared" si="2"/>
        <v>0</v>
      </c>
      <c r="AX16" s="21">
        <f t="shared" si="2"/>
        <v>0</v>
      </c>
      <c r="AY16" s="21">
        <f t="shared" si="2"/>
        <v>0</v>
      </c>
      <c r="AZ16" s="21">
        <f t="shared" si="2"/>
        <v>0</v>
      </c>
      <c r="BA16" s="21">
        <f t="shared" si="24"/>
        <v>0</v>
      </c>
      <c r="BB16" s="21">
        <f t="shared" si="24"/>
        <v>0</v>
      </c>
      <c r="BC16" s="21">
        <f t="shared" si="24"/>
        <v>0</v>
      </c>
      <c r="BD16" s="21">
        <f t="shared" si="25"/>
        <v>0</v>
      </c>
      <c r="BE16" s="21">
        <f t="shared" si="25"/>
        <v>0</v>
      </c>
      <c r="BF16" s="21">
        <f t="shared" si="25"/>
        <v>0</v>
      </c>
      <c r="BG16" s="21">
        <f t="shared" si="25"/>
        <v>0</v>
      </c>
      <c r="BH16" s="21">
        <f t="shared" si="25"/>
        <v>0</v>
      </c>
      <c r="BI16" s="21">
        <f t="shared" si="25"/>
        <v>0</v>
      </c>
      <c r="BJ16" s="21">
        <f t="shared" si="25"/>
        <v>0</v>
      </c>
      <c r="BK16" s="21">
        <f t="shared" si="25"/>
        <v>0</v>
      </c>
      <c r="BL16" s="21">
        <f t="shared" si="25"/>
        <v>0</v>
      </c>
      <c r="BM16" s="21">
        <f t="shared" si="25"/>
        <v>0</v>
      </c>
      <c r="BN16" s="21">
        <f t="shared" si="25"/>
        <v>0</v>
      </c>
      <c r="BO16" s="21">
        <f t="shared" si="25"/>
        <v>0</v>
      </c>
      <c r="BP16" s="21">
        <f t="shared" si="25"/>
        <v>0</v>
      </c>
      <c r="BQ16" s="21">
        <f t="shared" si="25"/>
        <v>0</v>
      </c>
      <c r="BR16" s="21">
        <f t="shared" si="25"/>
        <v>0</v>
      </c>
      <c r="BS16" s="21">
        <f t="shared" si="25"/>
        <v>0</v>
      </c>
      <c r="BT16" s="21">
        <f t="shared" si="25"/>
        <v>0</v>
      </c>
      <c r="BU16" s="21">
        <f t="shared" si="25"/>
        <v>0</v>
      </c>
      <c r="BV16" s="21">
        <f t="shared" si="25"/>
        <v>0</v>
      </c>
      <c r="BW16" s="21">
        <f t="shared" si="25"/>
        <v>0</v>
      </c>
      <c r="BX16" s="21">
        <f t="shared" si="26"/>
        <v>0</v>
      </c>
      <c r="BY16" s="21">
        <f t="shared" si="26"/>
        <v>0</v>
      </c>
      <c r="BZ16" s="21">
        <f t="shared" si="26"/>
        <v>0</v>
      </c>
      <c r="CA16" s="21">
        <f t="shared" si="26"/>
        <v>0</v>
      </c>
      <c r="CB16" s="21">
        <f t="shared" si="26"/>
        <v>0</v>
      </c>
      <c r="CC16" s="21">
        <f t="shared" si="26"/>
        <v>0</v>
      </c>
      <c r="CD16" s="21">
        <f t="shared" si="26"/>
        <v>0</v>
      </c>
      <c r="CE16" s="21">
        <f t="shared" si="26"/>
        <v>0</v>
      </c>
      <c r="CF16" s="21">
        <f t="shared" si="26"/>
        <v>0</v>
      </c>
      <c r="CG16" s="21">
        <f t="shared" si="26"/>
        <v>0</v>
      </c>
      <c r="CH16" s="21">
        <f t="shared" si="26"/>
        <v>0</v>
      </c>
      <c r="CI16" s="21">
        <f t="shared" si="26"/>
        <v>0</v>
      </c>
      <c r="CJ16" s="21">
        <f t="shared" si="26"/>
        <v>0</v>
      </c>
      <c r="CK16" s="21">
        <f t="shared" si="26"/>
        <v>0</v>
      </c>
      <c r="CL16" s="21">
        <f t="shared" si="26"/>
        <v>0</v>
      </c>
      <c r="CM16" s="21">
        <f t="shared" si="26"/>
        <v>0</v>
      </c>
      <c r="CN16" s="21">
        <f t="shared" si="26"/>
        <v>0</v>
      </c>
      <c r="CO16" s="21">
        <f t="shared" si="26"/>
        <v>0</v>
      </c>
      <c r="CP16" s="21">
        <f t="shared" si="26"/>
        <v>0</v>
      </c>
      <c r="CQ16" s="21">
        <f t="shared" si="26"/>
        <v>0</v>
      </c>
      <c r="CR16" s="21">
        <f t="shared" si="26"/>
        <v>0</v>
      </c>
      <c r="CS16" s="21">
        <f t="shared" si="26"/>
        <v>0</v>
      </c>
      <c r="CT16" s="21">
        <f t="shared" si="26"/>
        <v>0</v>
      </c>
      <c r="CU16" s="21">
        <f t="shared" si="26"/>
        <v>0</v>
      </c>
      <c r="CV16" s="21">
        <f t="shared" si="26"/>
        <v>0</v>
      </c>
      <c r="CW16" s="21">
        <f t="shared" si="26"/>
        <v>0</v>
      </c>
      <c r="CX16" s="21">
        <f t="shared" si="26"/>
        <v>0</v>
      </c>
      <c r="CY16" s="21">
        <f t="shared" si="26"/>
        <v>0</v>
      </c>
      <c r="CZ16" s="21">
        <f t="shared" si="26"/>
        <v>0</v>
      </c>
      <c r="DA16" s="21">
        <f t="shared" si="26"/>
        <v>0</v>
      </c>
      <c r="DB16" s="21">
        <f t="shared" si="26"/>
        <v>0</v>
      </c>
      <c r="DC16" s="21">
        <f t="shared" si="26"/>
        <v>0</v>
      </c>
      <c r="DD16" s="21">
        <f t="shared" si="26"/>
        <v>0</v>
      </c>
      <c r="DE16" s="21">
        <f t="shared" si="26"/>
        <v>0</v>
      </c>
      <c r="DF16" s="21">
        <f t="shared" si="26"/>
        <v>0</v>
      </c>
      <c r="DG16" s="21">
        <f t="shared" ref="DG16:DV16" si="28">IF(AND($G16=DG$4,$H16=DG$4),$E16,IF($G16&gt;DG$4,0,IF($H16&lt;DG$4,0,$E16/($H16-$G16+1))))</f>
        <v>0</v>
      </c>
      <c r="DH16" s="21">
        <f t="shared" si="28"/>
        <v>0</v>
      </c>
      <c r="DI16" s="21">
        <f t="shared" si="28"/>
        <v>0</v>
      </c>
      <c r="DJ16" s="21">
        <f t="shared" si="28"/>
        <v>0</v>
      </c>
      <c r="DK16" s="21">
        <f t="shared" si="28"/>
        <v>0</v>
      </c>
      <c r="DL16" s="21">
        <f t="shared" si="28"/>
        <v>0</v>
      </c>
      <c r="DM16" s="21">
        <f t="shared" si="28"/>
        <v>0</v>
      </c>
      <c r="DN16" s="21">
        <f t="shared" si="28"/>
        <v>0</v>
      </c>
      <c r="DO16" s="21">
        <f t="shared" si="28"/>
        <v>0</v>
      </c>
      <c r="DP16" s="21">
        <f t="shared" si="28"/>
        <v>0</v>
      </c>
      <c r="DQ16" s="21">
        <f t="shared" si="28"/>
        <v>0</v>
      </c>
      <c r="DR16" s="21">
        <f t="shared" si="28"/>
        <v>0</v>
      </c>
      <c r="DS16" s="21">
        <f t="shared" si="28"/>
        <v>0</v>
      </c>
      <c r="DT16" s="21">
        <f t="shared" si="28"/>
        <v>0</v>
      </c>
      <c r="DU16" s="21">
        <f t="shared" si="28"/>
        <v>0</v>
      </c>
      <c r="DV16" s="21">
        <f t="shared" si="28"/>
        <v>0</v>
      </c>
      <c r="DW16" s="21">
        <f t="shared" ref="DW16:EL16" si="29">IF(AND($G16=DW$4,$H16=DW$4),$E16,IF($G16&gt;DW$4,0,IF($H16&lt;DW$4,0,$E16/($H16-$G16+1))))</f>
        <v>0</v>
      </c>
      <c r="DX16" s="21">
        <f t="shared" si="29"/>
        <v>0</v>
      </c>
      <c r="DY16" s="21">
        <f t="shared" si="29"/>
        <v>0</v>
      </c>
      <c r="DZ16" s="21">
        <f t="shared" si="29"/>
        <v>0</v>
      </c>
      <c r="EA16" s="21">
        <f t="shared" si="29"/>
        <v>0</v>
      </c>
      <c r="EB16" s="21">
        <f t="shared" si="29"/>
        <v>0</v>
      </c>
      <c r="EC16" s="21">
        <f t="shared" si="29"/>
        <v>0</v>
      </c>
      <c r="ED16" s="21">
        <f t="shared" si="29"/>
        <v>0</v>
      </c>
      <c r="EE16" s="21">
        <f t="shared" si="29"/>
        <v>0</v>
      </c>
      <c r="EF16" s="21">
        <f t="shared" si="29"/>
        <v>0</v>
      </c>
      <c r="EG16" s="21">
        <f t="shared" si="29"/>
        <v>0</v>
      </c>
      <c r="EH16" s="21">
        <f t="shared" si="29"/>
        <v>0</v>
      </c>
      <c r="EI16" s="21">
        <f t="shared" si="29"/>
        <v>0</v>
      </c>
      <c r="EJ16" s="21">
        <f t="shared" si="29"/>
        <v>0</v>
      </c>
      <c r="EK16" s="21">
        <f t="shared" si="29"/>
        <v>0</v>
      </c>
      <c r="EL16" s="21">
        <f t="shared" si="29"/>
        <v>0</v>
      </c>
    </row>
    <row r="17" spans="2:142" x14ac:dyDescent="0.45">
      <c r="B17" s="1" t="s">
        <v>6</v>
      </c>
      <c r="D17" s="14">
        <v>0.05</v>
      </c>
      <c r="E17" s="6">
        <f>+D17*SUM(E5:E16)</f>
        <v>30774.32018537978</v>
      </c>
      <c r="G17" s="22">
        <f>+H17</f>
        <v>0</v>
      </c>
      <c r="H17" s="22">
        <f>MAX(H5:H14)</f>
        <v>0</v>
      </c>
      <c r="I17" s="21"/>
      <c r="J17" s="21">
        <f t="shared" si="21"/>
        <v>30774.32018537978</v>
      </c>
      <c r="K17" s="21">
        <f t="shared" si="1"/>
        <v>0</v>
      </c>
      <c r="L17" s="21">
        <f t="shared" si="1"/>
        <v>0</v>
      </c>
      <c r="M17" s="21">
        <f t="shared" si="1"/>
        <v>0</v>
      </c>
      <c r="N17" s="21">
        <f t="shared" si="1"/>
        <v>0</v>
      </c>
      <c r="O17" s="21">
        <f t="shared" si="1"/>
        <v>0</v>
      </c>
      <c r="P17" s="21">
        <f t="shared" si="1"/>
        <v>0</v>
      </c>
      <c r="Q17" s="21">
        <f t="shared" si="1"/>
        <v>0</v>
      </c>
      <c r="R17" s="21">
        <f t="shared" si="1"/>
        <v>0</v>
      </c>
      <c r="S17" s="21">
        <f t="shared" si="1"/>
        <v>0</v>
      </c>
      <c r="T17" s="21">
        <f t="shared" si="1"/>
        <v>0</v>
      </c>
      <c r="U17" s="21">
        <f t="shared" si="1"/>
        <v>0</v>
      </c>
      <c r="V17" s="21">
        <f t="shared" si="1"/>
        <v>0</v>
      </c>
      <c r="W17" s="21">
        <f t="shared" si="1"/>
        <v>0</v>
      </c>
      <c r="X17" s="21">
        <f t="shared" si="1"/>
        <v>0</v>
      </c>
      <c r="Y17" s="21">
        <f t="shared" si="1"/>
        <v>0</v>
      </c>
      <c r="Z17" s="21">
        <f t="shared" si="1"/>
        <v>0</v>
      </c>
      <c r="AA17" s="21">
        <f t="shared" si="2"/>
        <v>0</v>
      </c>
      <c r="AB17" s="21">
        <f t="shared" si="2"/>
        <v>0</v>
      </c>
      <c r="AC17" s="21">
        <f t="shared" si="2"/>
        <v>0</v>
      </c>
      <c r="AD17" s="21">
        <f t="shared" si="2"/>
        <v>0</v>
      </c>
      <c r="AE17" s="21">
        <f t="shared" si="2"/>
        <v>0</v>
      </c>
      <c r="AF17" s="21">
        <f t="shared" si="2"/>
        <v>0</v>
      </c>
      <c r="AG17" s="21">
        <f t="shared" si="2"/>
        <v>0</v>
      </c>
      <c r="AH17" s="21">
        <f t="shared" si="2"/>
        <v>0</v>
      </c>
      <c r="AI17" s="21">
        <f t="shared" si="2"/>
        <v>0</v>
      </c>
      <c r="AJ17" s="21">
        <f t="shared" si="2"/>
        <v>0</v>
      </c>
      <c r="AK17" s="21">
        <f t="shared" si="2"/>
        <v>0</v>
      </c>
      <c r="AL17" s="21">
        <f t="shared" si="2"/>
        <v>0</v>
      </c>
      <c r="AM17" s="21">
        <f t="shared" si="2"/>
        <v>0</v>
      </c>
      <c r="AN17" s="21">
        <f t="shared" si="2"/>
        <v>0</v>
      </c>
      <c r="AO17" s="21">
        <f t="shared" si="2"/>
        <v>0</v>
      </c>
      <c r="AP17" s="21">
        <f t="shared" si="2"/>
        <v>0</v>
      </c>
      <c r="AQ17" s="21">
        <f t="shared" si="2"/>
        <v>0</v>
      </c>
      <c r="AR17" s="21">
        <f t="shared" si="2"/>
        <v>0</v>
      </c>
      <c r="AS17" s="21">
        <f t="shared" si="2"/>
        <v>0</v>
      </c>
      <c r="AT17" s="21">
        <f t="shared" si="2"/>
        <v>0</v>
      </c>
      <c r="AU17" s="21">
        <f t="shared" si="2"/>
        <v>0</v>
      </c>
      <c r="AV17" s="21">
        <f t="shared" si="2"/>
        <v>0</v>
      </c>
      <c r="AW17" s="21">
        <f t="shared" si="2"/>
        <v>0</v>
      </c>
      <c r="AX17" s="21">
        <f t="shared" si="2"/>
        <v>0</v>
      </c>
      <c r="AY17" s="21">
        <f t="shared" si="2"/>
        <v>0</v>
      </c>
      <c r="AZ17" s="21">
        <f t="shared" si="2"/>
        <v>0</v>
      </c>
      <c r="BA17" s="21">
        <f t="shared" si="24"/>
        <v>0</v>
      </c>
      <c r="BB17" s="21">
        <f t="shared" si="24"/>
        <v>0</v>
      </c>
      <c r="BC17" s="21">
        <f t="shared" si="24"/>
        <v>0</v>
      </c>
      <c r="BD17" s="21">
        <f t="shared" si="25"/>
        <v>0</v>
      </c>
      <c r="BE17" s="21">
        <f t="shared" si="25"/>
        <v>0</v>
      </c>
      <c r="BF17" s="21">
        <f t="shared" si="25"/>
        <v>0</v>
      </c>
      <c r="BG17" s="21">
        <f t="shared" si="25"/>
        <v>0</v>
      </c>
      <c r="BH17" s="21">
        <f t="shared" si="25"/>
        <v>0</v>
      </c>
      <c r="BI17" s="21">
        <f t="shared" si="25"/>
        <v>0</v>
      </c>
      <c r="BJ17" s="21">
        <f t="shared" si="25"/>
        <v>0</v>
      </c>
      <c r="BK17" s="21">
        <f t="shared" si="25"/>
        <v>0</v>
      </c>
      <c r="BL17" s="21">
        <f t="shared" si="25"/>
        <v>0</v>
      </c>
      <c r="BM17" s="21">
        <f t="shared" si="25"/>
        <v>0</v>
      </c>
      <c r="BN17" s="21">
        <f t="shared" si="25"/>
        <v>0</v>
      </c>
      <c r="BO17" s="21">
        <f t="shared" si="25"/>
        <v>0</v>
      </c>
      <c r="BP17" s="21">
        <f t="shared" si="25"/>
        <v>0</v>
      </c>
      <c r="BQ17" s="21">
        <f t="shared" si="25"/>
        <v>0</v>
      </c>
      <c r="BR17" s="21">
        <f t="shared" si="25"/>
        <v>0</v>
      </c>
      <c r="BS17" s="21">
        <f t="shared" si="25"/>
        <v>0</v>
      </c>
      <c r="BT17" s="21">
        <f t="shared" si="25"/>
        <v>0</v>
      </c>
      <c r="BU17" s="21">
        <f t="shared" si="25"/>
        <v>0</v>
      </c>
      <c r="BV17" s="21">
        <f t="shared" si="25"/>
        <v>0</v>
      </c>
      <c r="BW17" s="21">
        <f t="shared" si="25"/>
        <v>0</v>
      </c>
      <c r="BX17" s="21">
        <f t="shared" ref="BX17:EL17" si="30">IF(AND($G17=BX$4,$H17=BX$4),$E17,IF($G17&gt;BX$4,0,IF($H17&lt;BX$4,0,$E17/($H17-$G17+1))))</f>
        <v>0</v>
      </c>
      <c r="BY17" s="21">
        <f t="shared" si="30"/>
        <v>0</v>
      </c>
      <c r="BZ17" s="21">
        <f t="shared" si="30"/>
        <v>0</v>
      </c>
      <c r="CA17" s="21">
        <f t="shared" si="30"/>
        <v>0</v>
      </c>
      <c r="CB17" s="21">
        <f t="shared" si="30"/>
        <v>0</v>
      </c>
      <c r="CC17" s="21">
        <f t="shared" si="30"/>
        <v>0</v>
      </c>
      <c r="CD17" s="21">
        <f t="shared" si="30"/>
        <v>0</v>
      </c>
      <c r="CE17" s="21">
        <f t="shared" si="30"/>
        <v>0</v>
      </c>
      <c r="CF17" s="21">
        <f t="shared" si="30"/>
        <v>0</v>
      </c>
      <c r="CG17" s="21">
        <f t="shared" si="30"/>
        <v>0</v>
      </c>
      <c r="CH17" s="21">
        <f t="shared" si="30"/>
        <v>0</v>
      </c>
      <c r="CI17" s="21">
        <f t="shared" si="30"/>
        <v>0</v>
      </c>
      <c r="CJ17" s="21">
        <f t="shared" si="30"/>
        <v>0</v>
      </c>
      <c r="CK17" s="21">
        <f t="shared" si="30"/>
        <v>0</v>
      </c>
      <c r="CL17" s="21">
        <f t="shared" si="30"/>
        <v>0</v>
      </c>
      <c r="CM17" s="21">
        <f t="shared" si="30"/>
        <v>0</v>
      </c>
      <c r="CN17" s="21">
        <f t="shared" si="30"/>
        <v>0</v>
      </c>
      <c r="CO17" s="21">
        <f t="shared" si="30"/>
        <v>0</v>
      </c>
      <c r="CP17" s="21">
        <f t="shared" si="30"/>
        <v>0</v>
      </c>
      <c r="CQ17" s="21">
        <f t="shared" si="30"/>
        <v>0</v>
      </c>
      <c r="CR17" s="21">
        <f t="shared" si="30"/>
        <v>0</v>
      </c>
      <c r="CS17" s="21">
        <f t="shared" si="30"/>
        <v>0</v>
      </c>
      <c r="CT17" s="21">
        <f t="shared" si="30"/>
        <v>0</v>
      </c>
      <c r="CU17" s="21">
        <f t="shared" si="30"/>
        <v>0</v>
      </c>
      <c r="CV17" s="21">
        <f t="shared" si="30"/>
        <v>0</v>
      </c>
      <c r="CW17" s="21">
        <f t="shared" si="30"/>
        <v>0</v>
      </c>
      <c r="CX17" s="21">
        <f t="shared" si="30"/>
        <v>0</v>
      </c>
      <c r="CY17" s="21">
        <f t="shared" si="30"/>
        <v>0</v>
      </c>
      <c r="CZ17" s="21">
        <f t="shared" si="30"/>
        <v>0</v>
      </c>
      <c r="DA17" s="21">
        <f t="shared" si="30"/>
        <v>0</v>
      </c>
      <c r="DB17" s="21">
        <f t="shared" si="30"/>
        <v>0</v>
      </c>
      <c r="DC17" s="21">
        <f t="shared" si="30"/>
        <v>0</v>
      </c>
      <c r="DD17" s="21">
        <f t="shared" si="30"/>
        <v>0</v>
      </c>
      <c r="DE17" s="21">
        <f t="shared" si="30"/>
        <v>0</v>
      </c>
      <c r="DF17" s="21">
        <f t="shared" si="30"/>
        <v>0</v>
      </c>
      <c r="DG17" s="21">
        <f t="shared" si="30"/>
        <v>0</v>
      </c>
      <c r="DH17" s="21">
        <f t="shared" si="30"/>
        <v>0</v>
      </c>
      <c r="DI17" s="21">
        <f t="shared" si="30"/>
        <v>0</v>
      </c>
      <c r="DJ17" s="21">
        <f t="shared" si="30"/>
        <v>0</v>
      </c>
      <c r="DK17" s="21">
        <f t="shared" si="30"/>
        <v>0</v>
      </c>
      <c r="DL17" s="21">
        <f t="shared" si="30"/>
        <v>0</v>
      </c>
      <c r="DM17" s="21">
        <f t="shared" si="30"/>
        <v>0</v>
      </c>
      <c r="DN17" s="21">
        <f t="shared" si="30"/>
        <v>0</v>
      </c>
      <c r="DO17" s="21">
        <f t="shared" si="30"/>
        <v>0</v>
      </c>
      <c r="DP17" s="21">
        <f t="shared" si="30"/>
        <v>0</v>
      </c>
      <c r="DQ17" s="21">
        <f t="shared" si="30"/>
        <v>0</v>
      </c>
      <c r="DR17" s="21">
        <f t="shared" si="30"/>
        <v>0</v>
      </c>
      <c r="DS17" s="21">
        <f t="shared" si="30"/>
        <v>0</v>
      </c>
      <c r="DT17" s="21">
        <f t="shared" si="30"/>
        <v>0</v>
      </c>
      <c r="DU17" s="21">
        <f t="shared" si="30"/>
        <v>0</v>
      </c>
      <c r="DV17" s="21">
        <f t="shared" si="30"/>
        <v>0</v>
      </c>
      <c r="DW17" s="21">
        <f t="shared" si="30"/>
        <v>0</v>
      </c>
      <c r="DX17" s="21">
        <f t="shared" si="30"/>
        <v>0</v>
      </c>
      <c r="DY17" s="21">
        <f t="shared" si="30"/>
        <v>0</v>
      </c>
      <c r="DZ17" s="21">
        <f t="shared" si="30"/>
        <v>0</v>
      </c>
      <c r="EA17" s="21">
        <f t="shared" si="30"/>
        <v>0</v>
      </c>
      <c r="EB17" s="21">
        <f t="shared" si="30"/>
        <v>0</v>
      </c>
      <c r="EC17" s="21">
        <f t="shared" si="30"/>
        <v>0</v>
      </c>
      <c r="ED17" s="21">
        <f t="shared" si="30"/>
        <v>0</v>
      </c>
      <c r="EE17" s="21">
        <f t="shared" si="30"/>
        <v>0</v>
      </c>
      <c r="EF17" s="21">
        <f t="shared" si="30"/>
        <v>0</v>
      </c>
      <c r="EG17" s="21">
        <f t="shared" si="30"/>
        <v>0</v>
      </c>
      <c r="EH17" s="21">
        <f t="shared" si="30"/>
        <v>0</v>
      </c>
      <c r="EI17" s="21">
        <f t="shared" si="30"/>
        <v>0</v>
      </c>
      <c r="EJ17" s="21">
        <f t="shared" si="30"/>
        <v>0</v>
      </c>
      <c r="EK17" s="21">
        <f t="shared" si="30"/>
        <v>0</v>
      </c>
      <c r="EL17" s="21">
        <f t="shared" si="30"/>
        <v>0</v>
      </c>
    </row>
    <row r="18" spans="2:142" x14ac:dyDescent="0.45">
      <c r="B18" s="4" t="s">
        <v>20</v>
      </c>
      <c r="C18" s="4"/>
      <c r="D18" s="4"/>
      <c r="E18" s="7">
        <f>SUM(E5:E17)</f>
        <v>646260.72389297537</v>
      </c>
      <c r="F18" s="11"/>
      <c r="I18" s="21"/>
      <c r="J18" s="23">
        <f>SUM(J5:J17)</f>
        <v>646260.72389297537</v>
      </c>
      <c r="K18" s="23">
        <f>SUM(K5:K17)</f>
        <v>0</v>
      </c>
      <c r="L18" s="23">
        <f>SUM(L5:L17)</f>
        <v>0</v>
      </c>
      <c r="M18" s="23">
        <f>SUM(M5:M17)</f>
        <v>0</v>
      </c>
      <c r="N18" s="23">
        <f>SUM(N5:N17)</f>
        <v>0</v>
      </c>
      <c r="O18" s="23">
        <f>SUM(O5:O17)</f>
        <v>0</v>
      </c>
      <c r="P18" s="23">
        <f>SUM(P5:P17)</f>
        <v>0</v>
      </c>
      <c r="Q18" s="23">
        <f>SUM(Q5:Q17)</f>
        <v>0</v>
      </c>
      <c r="R18" s="23">
        <f>SUM(R5:R17)</f>
        <v>0</v>
      </c>
      <c r="S18" s="23">
        <f>SUM(S5:S17)</f>
        <v>0</v>
      </c>
      <c r="T18" s="23">
        <f>SUM(T5:T17)</f>
        <v>0</v>
      </c>
      <c r="U18" s="23">
        <f>SUM(U5:U17)</f>
        <v>0</v>
      </c>
      <c r="V18" s="23">
        <f>SUM(V5:V17)</f>
        <v>0</v>
      </c>
      <c r="W18" s="23">
        <f>SUM(W5:W17)</f>
        <v>0</v>
      </c>
      <c r="X18" s="23">
        <f>SUM(X5:X17)</f>
        <v>0</v>
      </c>
      <c r="Y18" s="23">
        <f>SUM(Y5:Y17)</f>
        <v>0</v>
      </c>
      <c r="Z18" s="23">
        <f>SUM(Z5:Z17)</f>
        <v>0</v>
      </c>
      <c r="AA18" s="23">
        <f>SUM(AA5:AA17)</f>
        <v>0</v>
      </c>
      <c r="AB18" s="23">
        <f>SUM(AB5:AB17)</f>
        <v>0</v>
      </c>
      <c r="AC18" s="23">
        <f>SUM(AC5:AC17)</f>
        <v>0</v>
      </c>
      <c r="AD18" s="23">
        <f>SUM(AD5:AD17)</f>
        <v>0</v>
      </c>
      <c r="AE18" s="23">
        <f>SUM(AE5:AE17)</f>
        <v>0</v>
      </c>
      <c r="AF18" s="23">
        <f>SUM(AF5:AF17)</f>
        <v>0</v>
      </c>
      <c r="AG18" s="23">
        <f>SUM(AG5:AG17)</f>
        <v>0</v>
      </c>
      <c r="AH18" s="23">
        <f>SUM(AH5:AH17)</f>
        <v>0</v>
      </c>
      <c r="AI18" s="23">
        <f>SUM(AI5:AI17)</f>
        <v>0</v>
      </c>
      <c r="AJ18" s="23">
        <f>SUM(AJ5:AJ17)</f>
        <v>0</v>
      </c>
      <c r="AK18" s="23">
        <f>SUM(AK5:AK17)</f>
        <v>0</v>
      </c>
      <c r="AL18" s="23">
        <f>SUM(AL5:AL17)</f>
        <v>0</v>
      </c>
      <c r="AM18" s="23">
        <f>SUM(AM5:AM17)</f>
        <v>0</v>
      </c>
      <c r="AN18" s="23">
        <f>SUM(AN5:AN17)</f>
        <v>0</v>
      </c>
      <c r="AO18" s="23">
        <f>SUM(AO5:AO17)</f>
        <v>0</v>
      </c>
      <c r="AP18" s="23">
        <f>SUM(AP5:AP17)</f>
        <v>0</v>
      </c>
      <c r="AQ18" s="23">
        <f>SUM(AQ5:AQ17)</f>
        <v>0</v>
      </c>
      <c r="AR18" s="23">
        <f>SUM(AR5:AR17)</f>
        <v>0</v>
      </c>
      <c r="AS18" s="23">
        <f>SUM(AS5:AS17)</f>
        <v>0</v>
      </c>
      <c r="AT18" s="23">
        <f>SUM(AT5:AT17)</f>
        <v>0</v>
      </c>
      <c r="AU18" s="23">
        <f>SUM(AU5:AU17)</f>
        <v>0</v>
      </c>
      <c r="AV18" s="23">
        <f>SUM(AV5:AV17)</f>
        <v>0</v>
      </c>
      <c r="AW18" s="23">
        <f>SUM(AW5:AW17)</f>
        <v>0</v>
      </c>
      <c r="AX18" s="23">
        <f>SUM(AX5:AX17)</f>
        <v>0</v>
      </c>
      <c r="AY18" s="23">
        <f>SUM(AY5:AY17)</f>
        <v>0</v>
      </c>
      <c r="AZ18" s="23">
        <f>SUM(AZ5:AZ17)</f>
        <v>0</v>
      </c>
      <c r="BA18" s="23">
        <f>SUM(BA5:BA17)</f>
        <v>0</v>
      </c>
      <c r="BB18" s="23">
        <f>SUM(BB5:BB17)</f>
        <v>0</v>
      </c>
      <c r="BC18" s="23">
        <f>SUM(BC5:BC17)</f>
        <v>0</v>
      </c>
      <c r="BD18" s="23">
        <f>SUM(BD5:BD17)</f>
        <v>0</v>
      </c>
      <c r="BE18" s="23">
        <f>SUM(BE5:BE17)</f>
        <v>0</v>
      </c>
      <c r="BF18" s="23">
        <f>SUM(BF5:BF17)</f>
        <v>0</v>
      </c>
      <c r="BG18" s="23">
        <f>SUM(BG5:BG17)</f>
        <v>0</v>
      </c>
      <c r="BH18" s="23">
        <f>SUM(BH5:BH17)</f>
        <v>0</v>
      </c>
      <c r="BI18" s="23">
        <f>SUM(BI5:BI17)</f>
        <v>0</v>
      </c>
      <c r="BJ18" s="23">
        <f>SUM(BJ5:BJ17)</f>
        <v>0</v>
      </c>
      <c r="BK18" s="23">
        <f>SUM(BK5:BK17)</f>
        <v>0</v>
      </c>
      <c r="BL18" s="23">
        <f>SUM(BL5:BL17)</f>
        <v>0</v>
      </c>
      <c r="BM18" s="23">
        <f>SUM(BM5:BM17)</f>
        <v>0</v>
      </c>
      <c r="BN18" s="23">
        <f>SUM(BN5:BN17)</f>
        <v>0</v>
      </c>
      <c r="BO18" s="23">
        <f>SUM(BO5:BO17)</f>
        <v>0</v>
      </c>
      <c r="BP18" s="23">
        <f>SUM(BP5:BP17)</f>
        <v>0</v>
      </c>
      <c r="BQ18" s="23">
        <f>SUM(BQ5:BQ17)</f>
        <v>0</v>
      </c>
      <c r="BR18" s="23">
        <f>SUM(BR5:BR17)</f>
        <v>0</v>
      </c>
      <c r="BS18" s="23">
        <f>SUM(BS5:BS17)</f>
        <v>0</v>
      </c>
      <c r="BT18" s="23">
        <f>SUM(BT5:BT17)</f>
        <v>0</v>
      </c>
      <c r="BU18" s="23">
        <f>SUM(BU5:BU17)</f>
        <v>0</v>
      </c>
      <c r="BV18" s="23">
        <f>SUM(BV5:BV17)</f>
        <v>0</v>
      </c>
      <c r="BW18" s="23">
        <f>SUM(BW5:BW17)</f>
        <v>0</v>
      </c>
      <c r="BX18" s="23">
        <f>SUM(BX5:BX17)</f>
        <v>0</v>
      </c>
      <c r="BY18" s="23">
        <f>SUM(BY5:BY17)</f>
        <v>0</v>
      </c>
      <c r="BZ18" s="23">
        <f>SUM(BZ5:BZ17)</f>
        <v>0</v>
      </c>
      <c r="CA18" s="23">
        <f>SUM(CA5:CA17)</f>
        <v>0</v>
      </c>
      <c r="CB18" s="23">
        <f>SUM(CB5:CB17)</f>
        <v>0</v>
      </c>
      <c r="CC18" s="23">
        <f>SUM(CC5:CC17)</f>
        <v>0</v>
      </c>
      <c r="CD18" s="23">
        <f>SUM(CD5:CD17)</f>
        <v>0</v>
      </c>
      <c r="CE18" s="23">
        <f>SUM(CE5:CE17)</f>
        <v>0</v>
      </c>
      <c r="CF18" s="23">
        <f>SUM(CF5:CF17)</f>
        <v>0</v>
      </c>
      <c r="CG18" s="23">
        <f>SUM(CG5:CG17)</f>
        <v>0</v>
      </c>
      <c r="CH18" s="23">
        <f>SUM(CH5:CH17)</f>
        <v>0</v>
      </c>
      <c r="CI18" s="23">
        <f>SUM(CI5:CI17)</f>
        <v>0</v>
      </c>
      <c r="CJ18" s="23">
        <f>SUM(CJ5:CJ17)</f>
        <v>0</v>
      </c>
      <c r="CK18" s="23">
        <f>SUM(CK5:CK17)</f>
        <v>0</v>
      </c>
      <c r="CL18" s="23">
        <f>SUM(CL5:CL17)</f>
        <v>0</v>
      </c>
      <c r="CM18" s="23">
        <f>SUM(CM5:CM17)</f>
        <v>0</v>
      </c>
      <c r="CN18" s="23">
        <f>SUM(CN5:CN17)</f>
        <v>0</v>
      </c>
      <c r="CO18" s="23">
        <f>SUM(CO5:CO17)</f>
        <v>0</v>
      </c>
      <c r="CP18" s="23">
        <f>SUM(CP5:CP17)</f>
        <v>0</v>
      </c>
      <c r="CQ18" s="23">
        <f>SUM(CQ5:CQ17)</f>
        <v>0</v>
      </c>
      <c r="CR18" s="23">
        <f>SUM(CR5:CR17)</f>
        <v>0</v>
      </c>
      <c r="CS18" s="23">
        <f>SUM(CS5:CS17)</f>
        <v>0</v>
      </c>
      <c r="CT18" s="23">
        <f>SUM(CT5:CT17)</f>
        <v>0</v>
      </c>
      <c r="CU18" s="23">
        <f>SUM(CU5:CU17)</f>
        <v>0</v>
      </c>
      <c r="CV18" s="23">
        <f>SUM(CV5:CV17)</f>
        <v>0</v>
      </c>
      <c r="CW18" s="23">
        <f>SUM(CW5:CW17)</f>
        <v>0</v>
      </c>
      <c r="CX18" s="23">
        <f>SUM(CX5:CX17)</f>
        <v>0</v>
      </c>
      <c r="CY18" s="23">
        <f>SUM(CY5:CY17)</f>
        <v>0</v>
      </c>
      <c r="CZ18" s="23">
        <f>SUM(CZ5:CZ17)</f>
        <v>0</v>
      </c>
      <c r="DA18" s="23">
        <f>SUM(DA5:DA17)</f>
        <v>0</v>
      </c>
      <c r="DB18" s="23">
        <f>SUM(DB5:DB17)</f>
        <v>0</v>
      </c>
      <c r="DC18" s="23">
        <f>SUM(DC5:DC17)</f>
        <v>0</v>
      </c>
      <c r="DD18" s="23">
        <f>SUM(DD5:DD17)</f>
        <v>0</v>
      </c>
      <c r="DE18" s="23">
        <f>SUM(DE5:DE17)</f>
        <v>0</v>
      </c>
      <c r="DF18" s="23">
        <f>SUM(DF5:DF17)</f>
        <v>0</v>
      </c>
      <c r="DG18" s="23">
        <f>SUM(DG5:DG17)</f>
        <v>0</v>
      </c>
      <c r="DH18" s="23">
        <f>SUM(DH5:DH17)</f>
        <v>0</v>
      </c>
      <c r="DI18" s="23">
        <f>SUM(DI5:DI17)</f>
        <v>0</v>
      </c>
      <c r="DJ18" s="23">
        <f>SUM(DJ5:DJ17)</f>
        <v>0</v>
      </c>
      <c r="DK18" s="23">
        <f>SUM(DK5:DK17)</f>
        <v>0</v>
      </c>
      <c r="DL18" s="23">
        <f>SUM(DL5:DL17)</f>
        <v>0</v>
      </c>
      <c r="DM18" s="23">
        <f>SUM(DM5:DM17)</f>
        <v>0</v>
      </c>
      <c r="DN18" s="23">
        <f>SUM(DN5:DN17)</f>
        <v>0</v>
      </c>
      <c r="DO18" s="23">
        <f>SUM(DO5:DO17)</f>
        <v>0</v>
      </c>
      <c r="DP18" s="23">
        <f>SUM(DP5:DP17)</f>
        <v>0</v>
      </c>
      <c r="DQ18" s="23">
        <f>SUM(DQ5:DQ17)</f>
        <v>0</v>
      </c>
      <c r="DR18" s="23">
        <f>SUM(DR5:DR17)</f>
        <v>0</v>
      </c>
      <c r="DS18" s="23">
        <f>SUM(DS5:DS17)</f>
        <v>0</v>
      </c>
      <c r="DT18" s="23">
        <f>SUM(DT5:DT17)</f>
        <v>0</v>
      </c>
      <c r="DU18" s="23">
        <f>SUM(DU5:DU17)</f>
        <v>0</v>
      </c>
      <c r="DV18" s="23">
        <f>SUM(DV5:DV17)</f>
        <v>0</v>
      </c>
      <c r="DW18" s="23">
        <f>SUM(DW5:DW17)</f>
        <v>0</v>
      </c>
      <c r="DX18" s="23">
        <f>SUM(DX5:DX17)</f>
        <v>0</v>
      </c>
      <c r="DY18" s="23">
        <f>SUM(DY5:DY17)</f>
        <v>0</v>
      </c>
      <c r="DZ18" s="23">
        <f>SUM(DZ5:DZ17)</f>
        <v>0</v>
      </c>
      <c r="EA18" s="23">
        <f>SUM(EA5:EA17)</f>
        <v>0</v>
      </c>
      <c r="EB18" s="23">
        <f>SUM(EB5:EB17)</f>
        <v>0</v>
      </c>
      <c r="EC18" s="23">
        <f>SUM(EC5:EC17)</f>
        <v>0</v>
      </c>
      <c r="ED18" s="23">
        <f>SUM(ED5:ED17)</f>
        <v>0</v>
      </c>
      <c r="EE18" s="23">
        <f>SUM(EE5:EE17)</f>
        <v>0</v>
      </c>
      <c r="EF18" s="23">
        <f>SUM(EF5:EF17)</f>
        <v>0</v>
      </c>
      <c r="EG18" s="23">
        <f>SUM(EG5:EG17)</f>
        <v>0</v>
      </c>
      <c r="EH18" s="23">
        <f>SUM(EH5:EH17)</f>
        <v>0</v>
      </c>
      <c r="EI18" s="23">
        <f>SUM(EI5:EI17)</f>
        <v>0</v>
      </c>
      <c r="EJ18" s="23">
        <f>SUM(EJ5:EJ17)</f>
        <v>0</v>
      </c>
      <c r="EK18" s="23">
        <f>SUM(EK5:EK17)</f>
        <v>0</v>
      </c>
      <c r="EL18" s="23">
        <f>SUM(EL5:EL17)</f>
        <v>0</v>
      </c>
    </row>
    <row r="19" spans="2:142" x14ac:dyDescent="0.45"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</row>
    <row r="20" spans="2:142" x14ac:dyDescent="0.45"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</row>
    <row r="21" spans="2:142" x14ac:dyDescent="0.45">
      <c r="D21" s="414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</row>
    <row r="22" spans="2:142" x14ac:dyDescent="0.45">
      <c r="J22" s="21"/>
    </row>
    <row r="23" spans="2:142" x14ac:dyDescent="0.45">
      <c r="J23" s="21"/>
    </row>
    <row r="24" spans="2:142" x14ac:dyDescent="0.45">
      <c r="J24" s="21"/>
    </row>
    <row r="25" spans="2:142" x14ac:dyDescent="0.45">
      <c r="J25" s="21"/>
    </row>
    <row r="26" spans="2:142" x14ac:dyDescent="0.45">
      <c r="J26" s="21"/>
    </row>
    <row r="27" spans="2:142" x14ac:dyDescent="0.45">
      <c r="J27" s="21"/>
    </row>
    <row r="28" spans="2:142" x14ac:dyDescent="0.45">
      <c r="J28" s="21"/>
    </row>
    <row r="29" spans="2:142" x14ac:dyDescent="0.45">
      <c r="J29" s="21"/>
    </row>
    <row r="30" spans="2:142" x14ac:dyDescent="0.45">
      <c r="J30" s="21"/>
    </row>
    <row r="31" spans="2:142" x14ac:dyDescent="0.45">
      <c r="J31" s="21"/>
    </row>
    <row r="32" spans="2:142" x14ac:dyDescent="0.45">
      <c r="J32" s="21"/>
    </row>
    <row r="33" spans="10:10" x14ac:dyDescent="0.45">
      <c r="J33" s="21"/>
    </row>
    <row r="34" spans="10:10" x14ac:dyDescent="0.45">
      <c r="J34" s="21"/>
    </row>
    <row r="35" spans="10:10" x14ac:dyDescent="0.45">
      <c r="J35" s="21"/>
    </row>
    <row r="36" spans="10:10" x14ac:dyDescent="0.45">
      <c r="J36" s="21"/>
    </row>
  </sheetData>
  <pageMargins left="0.7" right="0.7" top="0.75" bottom="0.75" header="0.3" footer="0.3"/>
  <pageSetup orientation="portrait" r:id="rId1"/>
  <ignoredErrors>
    <ignoredError sqref="E6:E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FEEE-3EBB-44BF-B64D-3C55D6E3BAA1}">
  <sheetPr>
    <tabColor theme="1" tint="0.499984740745262"/>
  </sheetPr>
  <dimension ref="B4:EL15"/>
  <sheetViews>
    <sheetView showGridLines="0" zoomScale="115" zoomScaleNormal="115" workbookViewId="0">
      <selection activeCell="E5" sqref="E5"/>
    </sheetView>
  </sheetViews>
  <sheetFormatPr defaultColWidth="9.1328125" defaultRowHeight="12.75" x14ac:dyDescent="0.45"/>
  <cols>
    <col min="1" max="1" width="9.1328125" style="1"/>
    <col min="2" max="2" width="19.796875" style="1" bestFit="1" customWidth="1"/>
    <col min="3" max="3" width="9.19921875" style="1" bestFit="1" customWidth="1"/>
    <col min="4" max="4" width="11.1328125" style="1" bestFit="1" customWidth="1"/>
    <col min="5" max="5" width="9.46484375" style="6" bestFit="1" customWidth="1"/>
    <col min="6" max="6" width="3.796875" style="6" customWidth="1"/>
    <col min="7" max="8" width="9.1328125" style="12"/>
    <col min="9" max="9" width="3.796875" style="1" customWidth="1"/>
    <col min="10" max="109" width="9.1328125" style="1"/>
    <col min="110" max="142" width="9.53125" style="1" bestFit="1" customWidth="1"/>
    <col min="143" max="16384" width="9.1328125" style="1"/>
  </cols>
  <sheetData>
    <row r="4" spans="2:142" x14ac:dyDescent="0.45">
      <c r="B4" s="8" t="str">
        <f>Assumptions!$B$13</f>
        <v>Legal and Setup Costs</v>
      </c>
      <c r="G4" s="12" t="s">
        <v>7</v>
      </c>
      <c r="H4" s="12" t="s">
        <v>8</v>
      </c>
      <c r="I4" s="20"/>
      <c r="J4" s="20">
        <f>+Model!G4</f>
        <v>0</v>
      </c>
      <c r="K4" s="20">
        <f>+Model!H4</f>
        <v>1</v>
      </c>
      <c r="L4" s="20">
        <f>+Model!I4</f>
        <v>2</v>
      </c>
      <c r="M4" s="20">
        <f>+Model!J4</f>
        <v>3</v>
      </c>
      <c r="N4" s="20">
        <f>+Model!K4</f>
        <v>4</v>
      </c>
      <c r="O4" s="20">
        <f>+Model!L4</f>
        <v>5</v>
      </c>
      <c r="P4" s="20">
        <f>+Model!M4</f>
        <v>6</v>
      </c>
      <c r="Q4" s="20">
        <f>+Model!N4</f>
        <v>7</v>
      </c>
      <c r="R4" s="20">
        <f>+Model!O4</f>
        <v>8</v>
      </c>
      <c r="S4" s="20">
        <f>+Model!P4</f>
        <v>9</v>
      </c>
      <c r="T4" s="20">
        <f>+Model!Q4</f>
        <v>10</v>
      </c>
      <c r="U4" s="20">
        <f>+Model!R4</f>
        <v>11</v>
      </c>
      <c r="V4" s="20">
        <f>+Model!S4</f>
        <v>12</v>
      </c>
      <c r="W4" s="20">
        <f>+Model!T4</f>
        <v>13</v>
      </c>
      <c r="X4" s="20">
        <f>+Model!U4</f>
        <v>14</v>
      </c>
      <c r="Y4" s="20">
        <f>+Model!V4</f>
        <v>15</v>
      </c>
      <c r="Z4" s="20">
        <f>+Model!W4</f>
        <v>16</v>
      </c>
      <c r="AA4" s="20">
        <f>+Model!X4</f>
        <v>17</v>
      </c>
      <c r="AB4" s="20">
        <f>+Model!Y4</f>
        <v>18</v>
      </c>
      <c r="AC4" s="20">
        <f>+Model!Z4</f>
        <v>19</v>
      </c>
      <c r="AD4" s="20">
        <f>+Model!AA4</f>
        <v>20</v>
      </c>
      <c r="AE4" s="20">
        <f>+Model!AB4</f>
        <v>21</v>
      </c>
      <c r="AF4" s="20">
        <f>+Model!AC4</f>
        <v>22</v>
      </c>
      <c r="AG4" s="20">
        <f>+Model!AD4</f>
        <v>23</v>
      </c>
      <c r="AH4" s="20">
        <f>+Model!AE4</f>
        <v>24</v>
      </c>
      <c r="AI4" s="20">
        <f>+Model!AF4</f>
        <v>25</v>
      </c>
      <c r="AJ4" s="20">
        <f>+Model!AG4</f>
        <v>26</v>
      </c>
      <c r="AK4" s="20">
        <f>+Model!AH4</f>
        <v>27</v>
      </c>
      <c r="AL4" s="20">
        <f>+Model!AI4</f>
        <v>28</v>
      </c>
      <c r="AM4" s="20">
        <f>+Model!AJ4</f>
        <v>29</v>
      </c>
      <c r="AN4" s="20">
        <f>+Model!AK4</f>
        <v>30</v>
      </c>
      <c r="AO4" s="20">
        <f>+Model!AL4</f>
        <v>31</v>
      </c>
      <c r="AP4" s="20">
        <f>+Model!AM4</f>
        <v>32</v>
      </c>
      <c r="AQ4" s="20">
        <f>+Model!AN4</f>
        <v>33</v>
      </c>
      <c r="AR4" s="20">
        <f>+Model!AO4</f>
        <v>34</v>
      </c>
      <c r="AS4" s="20">
        <f>+Model!AP4</f>
        <v>35</v>
      </c>
      <c r="AT4" s="20">
        <f>+Model!AQ4</f>
        <v>36</v>
      </c>
      <c r="AU4" s="20">
        <f>+Model!AR4</f>
        <v>37</v>
      </c>
      <c r="AV4" s="20">
        <f>+Model!AS4</f>
        <v>38</v>
      </c>
      <c r="AW4" s="20">
        <f>+Model!AT4</f>
        <v>39</v>
      </c>
      <c r="AX4" s="20">
        <f>+Model!AU4</f>
        <v>40</v>
      </c>
      <c r="AY4" s="20">
        <f>+Model!AV4</f>
        <v>41</v>
      </c>
      <c r="AZ4" s="20">
        <f>+Model!AW4</f>
        <v>42</v>
      </c>
      <c r="BA4" s="20">
        <f>+Model!AX4</f>
        <v>43</v>
      </c>
      <c r="BB4" s="20">
        <f>+Model!AY4</f>
        <v>44</v>
      </c>
      <c r="BC4" s="20">
        <f>+Model!AZ4</f>
        <v>45</v>
      </c>
      <c r="BD4" s="20">
        <f>+Model!BA4</f>
        <v>46</v>
      </c>
      <c r="BE4" s="20">
        <f>+Model!BB4</f>
        <v>47</v>
      </c>
      <c r="BF4" s="20">
        <f>+Model!BC4</f>
        <v>48</v>
      </c>
      <c r="BG4" s="20">
        <f>+Model!BD4</f>
        <v>49</v>
      </c>
      <c r="BH4" s="20">
        <f>+Model!BE4</f>
        <v>50</v>
      </c>
      <c r="BI4" s="20">
        <f>+Model!BF4</f>
        <v>51</v>
      </c>
      <c r="BJ4" s="20">
        <f>+Model!BG4</f>
        <v>52</v>
      </c>
      <c r="BK4" s="20">
        <f>+Model!BH4</f>
        <v>53</v>
      </c>
      <c r="BL4" s="20">
        <f>+Model!BI4</f>
        <v>54</v>
      </c>
      <c r="BM4" s="20">
        <f>+Model!BJ4</f>
        <v>55</v>
      </c>
      <c r="BN4" s="20">
        <f>+Model!BK4</f>
        <v>56</v>
      </c>
      <c r="BO4" s="20">
        <f>+Model!BL4</f>
        <v>57</v>
      </c>
      <c r="BP4" s="20">
        <f>+Model!BM4</f>
        <v>58</v>
      </c>
      <c r="BQ4" s="20">
        <f>+Model!BN4</f>
        <v>59</v>
      </c>
      <c r="BR4" s="20">
        <f>+Model!BO4</f>
        <v>60</v>
      </c>
      <c r="BS4" s="20">
        <f>+Model!BP4</f>
        <v>61</v>
      </c>
      <c r="BT4" s="20">
        <f>+Model!BQ4</f>
        <v>62</v>
      </c>
      <c r="BU4" s="20">
        <f>+Model!BR4</f>
        <v>63</v>
      </c>
      <c r="BV4" s="20">
        <f>+Model!BS4</f>
        <v>64</v>
      </c>
      <c r="BW4" s="20">
        <f>+Model!BT4</f>
        <v>65</v>
      </c>
      <c r="BX4" s="20">
        <f>+Model!BU4</f>
        <v>66</v>
      </c>
      <c r="BY4" s="20">
        <f>+Model!BV4</f>
        <v>67</v>
      </c>
      <c r="BZ4" s="20">
        <f>+Model!BW4</f>
        <v>68</v>
      </c>
      <c r="CA4" s="20">
        <f>+Model!BX4</f>
        <v>69</v>
      </c>
      <c r="CB4" s="20">
        <f>+Model!BY4</f>
        <v>70</v>
      </c>
      <c r="CC4" s="20">
        <f>+Model!BZ4</f>
        <v>71</v>
      </c>
      <c r="CD4" s="20">
        <f>+Model!CA4</f>
        <v>72</v>
      </c>
      <c r="CE4" s="20">
        <f>+Model!CB4</f>
        <v>73</v>
      </c>
      <c r="CF4" s="20">
        <f>+Model!CC4</f>
        <v>74</v>
      </c>
      <c r="CG4" s="20">
        <f>+Model!CD4</f>
        <v>75</v>
      </c>
      <c r="CH4" s="20">
        <f>+Model!CE4</f>
        <v>76</v>
      </c>
      <c r="CI4" s="20">
        <f>+Model!CF4</f>
        <v>77</v>
      </c>
      <c r="CJ4" s="20">
        <f>+Model!CG4</f>
        <v>78</v>
      </c>
      <c r="CK4" s="20">
        <f>+Model!CH4</f>
        <v>79</v>
      </c>
      <c r="CL4" s="20">
        <f>+Model!CI4</f>
        <v>80</v>
      </c>
      <c r="CM4" s="20">
        <f>+Model!CJ4</f>
        <v>81</v>
      </c>
      <c r="CN4" s="20">
        <f>+Model!CK4</f>
        <v>82</v>
      </c>
      <c r="CO4" s="20">
        <f>+Model!CL4</f>
        <v>83</v>
      </c>
      <c r="CP4" s="20">
        <f>+Model!CM4</f>
        <v>84</v>
      </c>
      <c r="CQ4" s="20">
        <f>+Model!CN4</f>
        <v>85</v>
      </c>
      <c r="CR4" s="20">
        <f>+Model!CO4</f>
        <v>86</v>
      </c>
      <c r="CS4" s="20">
        <f>+Model!CP4</f>
        <v>87</v>
      </c>
      <c r="CT4" s="20">
        <f>+Model!CQ4</f>
        <v>88</v>
      </c>
      <c r="CU4" s="20">
        <f>+Model!CR4</f>
        <v>89</v>
      </c>
      <c r="CV4" s="20">
        <f>+Model!CS4</f>
        <v>90</v>
      </c>
      <c r="CW4" s="20">
        <f>+Model!CT4</f>
        <v>91</v>
      </c>
      <c r="CX4" s="20">
        <f>+Model!CU4</f>
        <v>92</v>
      </c>
      <c r="CY4" s="20">
        <f>+Model!CV4</f>
        <v>93</v>
      </c>
      <c r="CZ4" s="20">
        <f>+Model!CW4</f>
        <v>94</v>
      </c>
      <c r="DA4" s="20">
        <f>+Model!CX4</f>
        <v>95</v>
      </c>
      <c r="DB4" s="20">
        <f>+Model!CY4</f>
        <v>96</v>
      </c>
      <c r="DC4" s="20">
        <f>+Model!CZ4</f>
        <v>97</v>
      </c>
      <c r="DD4" s="20">
        <f>+Model!DA4</f>
        <v>98</v>
      </c>
      <c r="DE4" s="20">
        <f>+Model!DB4</f>
        <v>99</v>
      </c>
      <c r="DF4" s="20">
        <f>+Model!DC4</f>
        <v>100</v>
      </c>
      <c r="DG4" s="20">
        <f>+Model!DD4</f>
        <v>101</v>
      </c>
      <c r="DH4" s="20">
        <f>+Model!DE4</f>
        <v>102</v>
      </c>
      <c r="DI4" s="20">
        <f>+Model!DF4</f>
        <v>103</v>
      </c>
      <c r="DJ4" s="20">
        <f>+Model!DG4</f>
        <v>104</v>
      </c>
      <c r="DK4" s="20">
        <f>+Model!DH4</f>
        <v>105</v>
      </c>
      <c r="DL4" s="20">
        <f>+Model!DI4</f>
        <v>106</v>
      </c>
      <c r="DM4" s="20">
        <f>+Model!DJ4</f>
        <v>107</v>
      </c>
      <c r="DN4" s="20">
        <f>+Model!DK4</f>
        <v>108</v>
      </c>
      <c r="DO4" s="20">
        <f>+Model!DL4</f>
        <v>109</v>
      </c>
      <c r="DP4" s="20">
        <f>+Model!DM4</f>
        <v>110</v>
      </c>
      <c r="DQ4" s="20">
        <f>+Model!DN4</f>
        <v>111</v>
      </c>
      <c r="DR4" s="20">
        <f>+Model!DO4</f>
        <v>112</v>
      </c>
      <c r="DS4" s="20">
        <f>+Model!DP4</f>
        <v>113</v>
      </c>
      <c r="DT4" s="20">
        <f>+Model!DQ4</f>
        <v>114</v>
      </c>
      <c r="DU4" s="20">
        <f>+Model!DR4</f>
        <v>115</v>
      </c>
      <c r="DV4" s="20">
        <f>+Model!DS4</f>
        <v>116</v>
      </c>
      <c r="DW4" s="20">
        <f>+Model!DT4</f>
        <v>117</v>
      </c>
      <c r="DX4" s="20">
        <f>+Model!DU4</f>
        <v>118</v>
      </c>
      <c r="DY4" s="20">
        <f>+Model!DV4</f>
        <v>119</v>
      </c>
      <c r="DZ4" s="20">
        <f>+Model!DW4</f>
        <v>120</v>
      </c>
      <c r="EA4" s="20">
        <f>+Model!DX4</f>
        <v>121</v>
      </c>
      <c r="EB4" s="20">
        <f>+Model!DY4</f>
        <v>122</v>
      </c>
      <c r="EC4" s="20">
        <f>+Model!DZ4</f>
        <v>123</v>
      </c>
      <c r="ED4" s="20">
        <f>+Model!EA4</f>
        <v>124</v>
      </c>
      <c r="EE4" s="20">
        <f>+Model!EB4</f>
        <v>125</v>
      </c>
      <c r="EF4" s="20">
        <f>+Model!EC4</f>
        <v>126</v>
      </c>
      <c r="EG4" s="20">
        <f>+Model!ED4</f>
        <v>127</v>
      </c>
      <c r="EH4" s="20">
        <f>+Model!EE4</f>
        <v>128</v>
      </c>
      <c r="EI4" s="20">
        <f>+Model!EF4</f>
        <v>129</v>
      </c>
      <c r="EJ4" s="20">
        <f>+Model!EG4</f>
        <v>130</v>
      </c>
      <c r="EK4" s="20">
        <f>+Model!EH4</f>
        <v>131</v>
      </c>
      <c r="EL4" s="20">
        <f>+Model!EI4</f>
        <v>132</v>
      </c>
    </row>
    <row r="5" spans="2:142" x14ac:dyDescent="0.45">
      <c r="B5" s="1" t="s">
        <v>227</v>
      </c>
      <c r="E5" s="9">
        <v>15000</v>
      </c>
      <c r="F5" s="9"/>
      <c r="G5" s="13">
        <v>0</v>
      </c>
      <c r="H5" s="13">
        <v>0</v>
      </c>
      <c r="I5" s="21"/>
      <c r="J5" s="21">
        <f t="shared" ref="J5:S6" si="0">IF(AND($G5=J$4,$H5=J$4),$E5,IF($G5&gt;J$4,0,IF($H5&lt;J$4,0,$E5/($H5-$G5+1))))</f>
        <v>15000</v>
      </c>
      <c r="K5" s="21">
        <f t="shared" si="0"/>
        <v>0</v>
      </c>
      <c r="L5" s="21">
        <f t="shared" si="0"/>
        <v>0</v>
      </c>
      <c r="M5" s="21">
        <f t="shared" si="0"/>
        <v>0</v>
      </c>
      <c r="N5" s="21">
        <f t="shared" si="0"/>
        <v>0</v>
      </c>
      <c r="O5" s="21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ref="T5:AC6" si="1">IF(AND($G5=T$4,$H5=T$4),$E5,IF($G5&gt;T$4,0,IF($H5&lt;T$4,0,$E5/($H5-$G5+1))))</f>
        <v>0</v>
      </c>
      <c r="U5" s="21">
        <f t="shared" si="1"/>
        <v>0</v>
      </c>
      <c r="V5" s="21">
        <f t="shared" si="1"/>
        <v>0</v>
      </c>
      <c r="W5" s="21">
        <f t="shared" si="1"/>
        <v>0</v>
      </c>
      <c r="X5" s="21">
        <f t="shared" si="1"/>
        <v>0</v>
      </c>
      <c r="Y5" s="21">
        <f t="shared" si="1"/>
        <v>0</v>
      </c>
      <c r="Z5" s="21">
        <f t="shared" si="1"/>
        <v>0</v>
      </c>
      <c r="AA5" s="21">
        <f t="shared" si="1"/>
        <v>0</v>
      </c>
      <c r="AB5" s="21">
        <f t="shared" si="1"/>
        <v>0</v>
      </c>
      <c r="AC5" s="21">
        <f t="shared" si="1"/>
        <v>0</v>
      </c>
      <c r="AD5" s="21">
        <f t="shared" ref="AD5:AM6" si="2">IF(AND($G5=AD$4,$H5=AD$4),$E5,IF($G5&gt;AD$4,0,IF($H5&lt;AD$4,0,$E5/($H5-$G5+1))))</f>
        <v>0</v>
      </c>
      <c r="AE5" s="21">
        <f t="shared" si="2"/>
        <v>0</v>
      </c>
      <c r="AF5" s="21">
        <f t="shared" si="2"/>
        <v>0</v>
      </c>
      <c r="AG5" s="21">
        <f t="shared" si="2"/>
        <v>0</v>
      </c>
      <c r="AH5" s="21">
        <f t="shared" si="2"/>
        <v>0</v>
      </c>
      <c r="AI5" s="21">
        <f t="shared" si="2"/>
        <v>0</v>
      </c>
      <c r="AJ5" s="21">
        <f t="shared" si="2"/>
        <v>0</v>
      </c>
      <c r="AK5" s="21">
        <f t="shared" si="2"/>
        <v>0</v>
      </c>
      <c r="AL5" s="21">
        <f t="shared" si="2"/>
        <v>0</v>
      </c>
      <c r="AM5" s="21">
        <f t="shared" si="2"/>
        <v>0</v>
      </c>
      <c r="AN5" s="21">
        <f t="shared" ref="AN5:AW6" si="3">IF(AND($G5=AN$4,$H5=AN$4),$E5,IF($G5&gt;AN$4,0,IF($H5&lt;AN$4,0,$E5/($H5-$G5+1))))</f>
        <v>0</v>
      </c>
      <c r="AO5" s="21">
        <f t="shared" si="3"/>
        <v>0</v>
      </c>
      <c r="AP5" s="21">
        <f t="shared" si="3"/>
        <v>0</v>
      </c>
      <c r="AQ5" s="21">
        <f t="shared" si="3"/>
        <v>0</v>
      </c>
      <c r="AR5" s="21">
        <f t="shared" si="3"/>
        <v>0</v>
      </c>
      <c r="AS5" s="21">
        <f t="shared" si="3"/>
        <v>0</v>
      </c>
      <c r="AT5" s="21">
        <f t="shared" si="3"/>
        <v>0</v>
      </c>
      <c r="AU5" s="21">
        <f t="shared" si="3"/>
        <v>0</v>
      </c>
      <c r="AV5" s="21">
        <f t="shared" si="3"/>
        <v>0</v>
      </c>
      <c r="AW5" s="21">
        <f t="shared" si="3"/>
        <v>0</v>
      </c>
      <c r="AX5" s="21">
        <f t="shared" ref="AX5:BG6" si="4">IF(AND($G5=AX$4,$H5=AX$4),$E5,IF($G5&gt;AX$4,0,IF($H5&lt;AX$4,0,$E5/($H5-$G5+1))))</f>
        <v>0</v>
      </c>
      <c r="AY5" s="21">
        <f t="shared" si="4"/>
        <v>0</v>
      </c>
      <c r="AZ5" s="21">
        <f t="shared" si="4"/>
        <v>0</v>
      </c>
      <c r="BA5" s="21">
        <f t="shared" si="4"/>
        <v>0</v>
      </c>
      <c r="BB5" s="21">
        <f t="shared" si="4"/>
        <v>0</v>
      </c>
      <c r="BC5" s="21">
        <f t="shared" si="4"/>
        <v>0</v>
      </c>
      <c r="BD5" s="21">
        <f t="shared" si="4"/>
        <v>0</v>
      </c>
      <c r="BE5" s="21">
        <f t="shared" si="4"/>
        <v>0</v>
      </c>
      <c r="BF5" s="21">
        <f t="shared" si="4"/>
        <v>0</v>
      </c>
      <c r="BG5" s="21">
        <f t="shared" si="4"/>
        <v>0</v>
      </c>
      <c r="BH5" s="21">
        <f t="shared" ref="BH5:BQ6" si="5">IF(AND($G5=BH$4,$H5=BH$4),$E5,IF($G5&gt;BH$4,0,IF($H5&lt;BH$4,0,$E5/($H5-$G5+1))))</f>
        <v>0</v>
      </c>
      <c r="BI5" s="21">
        <f t="shared" si="5"/>
        <v>0</v>
      </c>
      <c r="BJ5" s="21">
        <f t="shared" si="5"/>
        <v>0</v>
      </c>
      <c r="BK5" s="21">
        <f t="shared" si="5"/>
        <v>0</v>
      </c>
      <c r="BL5" s="21">
        <f t="shared" si="5"/>
        <v>0</v>
      </c>
      <c r="BM5" s="21">
        <f t="shared" si="5"/>
        <v>0</v>
      </c>
      <c r="BN5" s="21">
        <f t="shared" si="5"/>
        <v>0</v>
      </c>
      <c r="BO5" s="21">
        <f t="shared" si="5"/>
        <v>0</v>
      </c>
      <c r="BP5" s="21">
        <f t="shared" si="5"/>
        <v>0</v>
      </c>
      <c r="BQ5" s="21">
        <f t="shared" si="5"/>
        <v>0</v>
      </c>
      <c r="BR5" s="21">
        <f t="shared" ref="BR5:CA6" si="6">IF(AND($G5=BR$4,$H5=BR$4),$E5,IF($G5&gt;BR$4,0,IF($H5&lt;BR$4,0,$E5/($H5-$G5+1))))</f>
        <v>0</v>
      </c>
      <c r="BS5" s="21">
        <f t="shared" si="6"/>
        <v>0</v>
      </c>
      <c r="BT5" s="21">
        <f t="shared" si="6"/>
        <v>0</v>
      </c>
      <c r="BU5" s="21">
        <f t="shared" si="6"/>
        <v>0</v>
      </c>
      <c r="BV5" s="21">
        <f t="shared" si="6"/>
        <v>0</v>
      </c>
      <c r="BW5" s="21">
        <f t="shared" si="6"/>
        <v>0</v>
      </c>
      <c r="BX5" s="21">
        <f t="shared" si="6"/>
        <v>0</v>
      </c>
      <c r="BY5" s="21">
        <f t="shared" si="6"/>
        <v>0</v>
      </c>
      <c r="BZ5" s="21">
        <f t="shared" si="6"/>
        <v>0</v>
      </c>
      <c r="CA5" s="21">
        <f t="shared" si="6"/>
        <v>0</v>
      </c>
      <c r="CB5" s="21">
        <f t="shared" ref="CB5:CK6" si="7">IF(AND($G5=CB$4,$H5=CB$4),$E5,IF($G5&gt;CB$4,0,IF($H5&lt;CB$4,0,$E5/($H5-$G5+1))))</f>
        <v>0</v>
      </c>
      <c r="CC5" s="21">
        <f t="shared" si="7"/>
        <v>0</v>
      </c>
      <c r="CD5" s="21">
        <f t="shared" si="7"/>
        <v>0</v>
      </c>
      <c r="CE5" s="21">
        <f t="shared" si="7"/>
        <v>0</v>
      </c>
      <c r="CF5" s="21">
        <f t="shared" si="7"/>
        <v>0</v>
      </c>
      <c r="CG5" s="21">
        <f t="shared" si="7"/>
        <v>0</v>
      </c>
      <c r="CH5" s="21">
        <f t="shared" si="7"/>
        <v>0</v>
      </c>
      <c r="CI5" s="21">
        <f t="shared" si="7"/>
        <v>0</v>
      </c>
      <c r="CJ5" s="21">
        <f t="shared" si="7"/>
        <v>0</v>
      </c>
      <c r="CK5" s="21">
        <f t="shared" si="7"/>
        <v>0</v>
      </c>
      <c r="CL5" s="21">
        <f t="shared" ref="CL5:CU6" si="8">IF(AND($G5=CL$4,$H5=CL$4),$E5,IF($G5&gt;CL$4,0,IF($H5&lt;CL$4,0,$E5/($H5-$G5+1))))</f>
        <v>0</v>
      </c>
      <c r="CM5" s="21">
        <f t="shared" si="8"/>
        <v>0</v>
      </c>
      <c r="CN5" s="21">
        <f t="shared" si="8"/>
        <v>0</v>
      </c>
      <c r="CO5" s="21">
        <f t="shared" si="8"/>
        <v>0</v>
      </c>
      <c r="CP5" s="21">
        <f t="shared" si="8"/>
        <v>0</v>
      </c>
      <c r="CQ5" s="21">
        <f t="shared" si="8"/>
        <v>0</v>
      </c>
      <c r="CR5" s="21">
        <f t="shared" si="8"/>
        <v>0</v>
      </c>
      <c r="CS5" s="21">
        <f t="shared" si="8"/>
        <v>0</v>
      </c>
      <c r="CT5" s="21">
        <f t="shared" si="8"/>
        <v>0</v>
      </c>
      <c r="CU5" s="21">
        <f t="shared" si="8"/>
        <v>0</v>
      </c>
      <c r="CV5" s="21">
        <f t="shared" ref="CV5:DE6" si="9">IF(AND($G5=CV$4,$H5=CV$4),$E5,IF($G5&gt;CV$4,0,IF($H5&lt;CV$4,0,$E5/($H5-$G5+1))))</f>
        <v>0</v>
      </c>
      <c r="CW5" s="21">
        <f t="shared" si="9"/>
        <v>0</v>
      </c>
      <c r="CX5" s="21">
        <f t="shared" si="9"/>
        <v>0</v>
      </c>
      <c r="CY5" s="21">
        <f t="shared" si="9"/>
        <v>0</v>
      </c>
      <c r="CZ5" s="21">
        <f t="shared" si="9"/>
        <v>0</v>
      </c>
      <c r="DA5" s="21">
        <f t="shared" si="9"/>
        <v>0</v>
      </c>
      <c r="DB5" s="21">
        <f t="shared" si="9"/>
        <v>0</v>
      </c>
      <c r="DC5" s="21">
        <f t="shared" si="9"/>
        <v>0</v>
      </c>
      <c r="DD5" s="21">
        <f t="shared" si="9"/>
        <v>0</v>
      </c>
      <c r="DE5" s="21">
        <f t="shared" si="9"/>
        <v>0</v>
      </c>
      <c r="DF5" s="21">
        <f t="shared" ref="DF5:DO6" si="10">IF(AND($G5=DF$4,$H5=DF$4),$E5,IF($G5&gt;DF$4,0,IF($H5&lt;DF$4,0,$E5/($H5-$G5+1))))</f>
        <v>0</v>
      </c>
      <c r="DG5" s="21">
        <f t="shared" si="10"/>
        <v>0</v>
      </c>
      <c r="DH5" s="21">
        <f t="shared" si="10"/>
        <v>0</v>
      </c>
      <c r="DI5" s="21">
        <f t="shared" si="10"/>
        <v>0</v>
      </c>
      <c r="DJ5" s="21">
        <f t="shared" si="10"/>
        <v>0</v>
      </c>
      <c r="DK5" s="21">
        <f t="shared" si="10"/>
        <v>0</v>
      </c>
      <c r="DL5" s="21">
        <f t="shared" si="10"/>
        <v>0</v>
      </c>
      <c r="DM5" s="21">
        <f t="shared" si="10"/>
        <v>0</v>
      </c>
      <c r="DN5" s="21">
        <f t="shared" si="10"/>
        <v>0</v>
      </c>
      <c r="DO5" s="21">
        <f t="shared" si="10"/>
        <v>0</v>
      </c>
      <c r="DP5" s="21">
        <f t="shared" ref="DP5:EL6" si="11">IF(AND($G5=DP$4,$H5=DP$4),$E5,IF($G5&gt;DP$4,0,IF($H5&lt;DP$4,0,$E5/($H5-$G5+1))))</f>
        <v>0</v>
      </c>
      <c r="DQ5" s="21">
        <f t="shared" si="11"/>
        <v>0</v>
      </c>
      <c r="DR5" s="21">
        <f t="shared" si="11"/>
        <v>0</v>
      </c>
      <c r="DS5" s="21">
        <f t="shared" si="11"/>
        <v>0</v>
      </c>
      <c r="DT5" s="21">
        <f t="shared" si="11"/>
        <v>0</v>
      </c>
      <c r="DU5" s="21">
        <f t="shared" si="11"/>
        <v>0</v>
      </c>
      <c r="DV5" s="21">
        <f t="shared" si="11"/>
        <v>0</v>
      </c>
      <c r="DW5" s="21">
        <f t="shared" si="11"/>
        <v>0</v>
      </c>
      <c r="DX5" s="21">
        <f t="shared" si="11"/>
        <v>0</v>
      </c>
      <c r="DY5" s="21">
        <f t="shared" si="11"/>
        <v>0</v>
      </c>
      <c r="DZ5" s="21">
        <f t="shared" si="11"/>
        <v>0</v>
      </c>
      <c r="EA5" s="21">
        <f t="shared" si="11"/>
        <v>0</v>
      </c>
      <c r="EB5" s="21">
        <f t="shared" si="11"/>
        <v>0</v>
      </c>
      <c r="EC5" s="21">
        <f t="shared" si="11"/>
        <v>0</v>
      </c>
      <c r="ED5" s="21">
        <f t="shared" si="11"/>
        <v>0</v>
      </c>
      <c r="EE5" s="21">
        <f t="shared" si="11"/>
        <v>0</v>
      </c>
      <c r="EF5" s="21">
        <f t="shared" si="11"/>
        <v>0</v>
      </c>
      <c r="EG5" s="21">
        <f t="shared" si="11"/>
        <v>0</v>
      </c>
      <c r="EH5" s="21">
        <f t="shared" si="11"/>
        <v>0</v>
      </c>
      <c r="EI5" s="21">
        <f t="shared" si="11"/>
        <v>0</v>
      </c>
      <c r="EJ5" s="21">
        <f t="shared" si="11"/>
        <v>0</v>
      </c>
      <c r="EK5" s="21">
        <f t="shared" si="11"/>
        <v>0</v>
      </c>
      <c r="EL5" s="21">
        <f t="shared" si="11"/>
        <v>0</v>
      </c>
    </row>
    <row r="6" spans="2:142" x14ac:dyDescent="0.45">
      <c r="B6" s="1" t="s">
        <v>228</v>
      </c>
      <c r="E6" s="9">
        <v>500</v>
      </c>
      <c r="G6" s="13">
        <v>0</v>
      </c>
      <c r="H6" s="13">
        <v>0</v>
      </c>
      <c r="I6" s="21"/>
      <c r="J6" s="21">
        <f t="shared" si="0"/>
        <v>500</v>
      </c>
      <c r="K6" s="21">
        <f t="shared" si="0"/>
        <v>0</v>
      </c>
      <c r="L6" s="21">
        <f t="shared" si="0"/>
        <v>0</v>
      </c>
      <c r="M6" s="21">
        <f t="shared" si="0"/>
        <v>0</v>
      </c>
      <c r="N6" s="21">
        <f t="shared" si="0"/>
        <v>0</v>
      </c>
      <c r="O6" s="21">
        <f t="shared" si="0"/>
        <v>0</v>
      </c>
      <c r="P6" s="21">
        <f t="shared" si="0"/>
        <v>0</v>
      </c>
      <c r="Q6" s="21">
        <f t="shared" si="0"/>
        <v>0</v>
      </c>
      <c r="R6" s="21">
        <f t="shared" si="0"/>
        <v>0</v>
      </c>
      <c r="S6" s="21">
        <f t="shared" si="0"/>
        <v>0</v>
      </c>
      <c r="T6" s="21">
        <f t="shared" si="1"/>
        <v>0</v>
      </c>
      <c r="U6" s="21">
        <f t="shared" si="1"/>
        <v>0</v>
      </c>
      <c r="V6" s="21">
        <f t="shared" si="1"/>
        <v>0</v>
      </c>
      <c r="W6" s="21">
        <f t="shared" si="1"/>
        <v>0</v>
      </c>
      <c r="X6" s="21">
        <f t="shared" si="1"/>
        <v>0</v>
      </c>
      <c r="Y6" s="21">
        <f t="shared" si="1"/>
        <v>0</v>
      </c>
      <c r="Z6" s="21">
        <f t="shared" si="1"/>
        <v>0</v>
      </c>
      <c r="AA6" s="21">
        <f t="shared" si="1"/>
        <v>0</v>
      </c>
      <c r="AB6" s="21">
        <f t="shared" si="1"/>
        <v>0</v>
      </c>
      <c r="AC6" s="21">
        <f t="shared" si="1"/>
        <v>0</v>
      </c>
      <c r="AD6" s="21">
        <f t="shared" si="2"/>
        <v>0</v>
      </c>
      <c r="AE6" s="21">
        <f t="shared" si="2"/>
        <v>0</v>
      </c>
      <c r="AF6" s="21">
        <f t="shared" si="2"/>
        <v>0</v>
      </c>
      <c r="AG6" s="21">
        <f t="shared" si="2"/>
        <v>0</v>
      </c>
      <c r="AH6" s="21">
        <f t="shared" si="2"/>
        <v>0</v>
      </c>
      <c r="AI6" s="21">
        <f t="shared" si="2"/>
        <v>0</v>
      </c>
      <c r="AJ6" s="21">
        <f t="shared" si="2"/>
        <v>0</v>
      </c>
      <c r="AK6" s="21">
        <f t="shared" si="2"/>
        <v>0</v>
      </c>
      <c r="AL6" s="21">
        <f t="shared" si="2"/>
        <v>0</v>
      </c>
      <c r="AM6" s="21">
        <f t="shared" si="2"/>
        <v>0</v>
      </c>
      <c r="AN6" s="21">
        <f t="shared" si="3"/>
        <v>0</v>
      </c>
      <c r="AO6" s="21">
        <f t="shared" si="3"/>
        <v>0</v>
      </c>
      <c r="AP6" s="21">
        <f t="shared" si="3"/>
        <v>0</v>
      </c>
      <c r="AQ6" s="21">
        <f t="shared" si="3"/>
        <v>0</v>
      </c>
      <c r="AR6" s="21">
        <f t="shared" si="3"/>
        <v>0</v>
      </c>
      <c r="AS6" s="21">
        <f t="shared" si="3"/>
        <v>0</v>
      </c>
      <c r="AT6" s="21">
        <f t="shared" si="3"/>
        <v>0</v>
      </c>
      <c r="AU6" s="21">
        <f t="shared" si="3"/>
        <v>0</v>
      </c>
      <c r="AV6" s="21">
        <f t="shared" si="3"/>
        <v>0</v>
      </c>
      <c r="AW6" s="21">
        <f t="shared" si="3"/>
        <v>0</v>
      </c>
      <c r="AX6" s="21">
        <f t="shared" si="4"/>
        <v>0</v>
      </c>
      <c r="AY6" s="21">
        <f t="shared" si="4"/>
        <v>0</v>
      </c>
      <c r="AZ6" s="21">
        <f t="shared" si="4"/>
        <v>0</v>
      </c>
      <c r="BA6" s="21">
        <f t="shared" si="4"/>
        <v>0</v>
      </c>
      <c r="BB6" s="21">
        <f t="shared" si="4"/>
        <v>0</v>
      </c>
      <c r="BC6" s="21">
        <f t="shared" si="4"/>
        <v>0</v>
      </c>
      <c r="BD6" s="21">
        <f t="shared" si="4"/>
        <v>0</v>
      </c>
      <c r="BE6" s="21">
        <f t="shared" si="4"/>
        <v>0</v>
      </c>
      <c r="BF6" s="21">
        <f t="shared" si="4"/>
        <v>0</v>
      </c>
      <c r="BG6" s="21">
        <f t="shared" si="4"/>
        <v>0</v>
      </c>
      <c r="BH6" s="21">
        <f t="shared" si="5"/>
        <v>0</v>
      </c>
      <c r="BI6" s="21">
        <f t="shared" si="5"/>
        <v>0</v>
      </c>
      <c r="BJ6" s="21">
        <f t="shared" si="5"/>
        <v>0</v>
      </c>
      <c r="BK6" s="21">
        <f t="shared" si="5"/>
        <v>0</v>
      </c>
      <c r="BL6" s="21">
        <f t="shared" si="5"/>
        <v>0</v>
      </c>
      <c r="BM6" s="21">
        <f t="shared" si="5"/>
        <v>0</v>
      </c>
      <c r="BN6" s="21">
        <f t="shared" si="5"/>
        <v>0</v>
      </c>
      <c r="BO6" s="21">
        <f t="shared" si="5"/>
        <v>0</v>
      </c>
      <c r="BP6" s="21">
        <f t="shared" si="5"/>
        <v>0</v>
      </c>
      <c r="BQ6" s="21">
        <f t="shared" si="5"/>
        <v>0</v>
      </c>
      <c r="BR6" s="21">
        <f t="shared" si="6"/>
        <v>0</v>
      </c>
      <c r="BS6" s="21">
        <f t="shared" si="6"/>
        <v>0</v>
      </c>
      <c r="BT6" s="21">
        <f t="shared" si="6"/>
        <v>0</v>
      </c>
      <c r="BU6" s="21">
        <f t="shared" si="6"/>
        <v>0</v>
      </c>
      <c r="BV6" s="21">
        <f t="shared" si="6"/>
        <v>0</v>
      </c>
      <c r="BW6" s="21">
        <f t="shared" si="6"/>
        <v>0</v>
      </c>
      <c r="BX6" s="21">
        <f t="shared" si="6"/>
        <v>0</v>
      </c>
      <c r="BY6" s="21">
        <f t="shared" si="6"/>
        <v>0</v>
      </c>
      <c r="BZ6" s="21">
        <f t="shared" si="6"/>
        <v>0</v>
      </c>
      <c r="CA6" s="21">
        <f t="shared" si="6"/>
        <v>0</v>
      </c>
      <c r="CB6" s="21">
        <f t="shared" si="7"/>
        <v>0</v>
      </c>
      <c r="CC6" s="21">
        <f t="shared" si="7"/>
        <v>0</v>
      </c>
      <c r="CD6" s="21">
        <f t="shared" si="7"/>
        <v>0</v>
      </c>
      <c r="CE6" s="21">
        <f t="shared" si="7"/>
        <v>0</v>
      </c>
      <c r="CF6" s="21">
        <f t="shared" si="7"/>
        <v>0</v>
      </c>
      <c r="CG6" s="21">
        <f t="shared" si="7"/>
        <v>0</v>
      </c>
      <c r="CH6" s="21">
        <f t="shared" si="7"/>
        <v>0</v>
      </c>
      <c r="CI6" s="21">
        <f t="shared" si="7"/>
        <v>0</v>
      </c>
      <c r="CJ6" s="21">
        <f t="shared" si="7"/>
        <v>0</v>
      </c>
      <c r="CK6" s="21">
        <f t="shared" si="7"/>
        <v>0</v>
      </c>
      <c r="CL6" s="21">
        <f t="shared" si="8"/>
        <v>0</v>
      </c>
      <c r="CM6" s="21">
        <f t="shared" si="8"/>
        <v>0</v>
      </c>
      <c r="CN6" s="21">
        <f t="shared" si="8"/>
        <v>0</v>
      </c>
      <c r="CO6" s="21">
        <f t="shared" si="8"/>
        <v>0</v>
      </c>
      <c r="CP6" s="21">
        <f t="shared" si="8"/>
        <v>0</v>
      </c>
      <c r="CQ6" s="21">
        <f t="shared" si="8"/>
        <v>0</v>
      </c>
      <c r="CR6" s="21">
        <f t="shared" si="8"/>
        <v>0</v>
      </c>
      <c r="CS6" s="21">
        <f t="shared" si="8"/>
        <v>0</v>
      </c>
      <c r="CT6" s="21">
        <f t="shared" si="8"/>
        <v>0</v>
      </c>
      <c r="CU6" s="21">
        <f t="shared" si="8"/>
        <v>0</v>
      </c>
      <c r="CV6" s="21">
        <f t="shared" si="9"/>
        <v>0</v>
      </c>
      <c r="CW6" s="21">
        <f t="shared" si="9"/>
        <v>0</v>
      </c>
      <c r="CX6" s="21">
        <f t="shared" si="9"/>
        <v>0</v>
      </c>
      <c r="CY6" s="21">
        <f t="shared" si="9"/>
        <v>0</v>
      </c>
      <c r="CZ6" s="21">
        <f t="shared" si="9"/>
        <v>0</v>
      </c>
      <c r="DA6" s="21">
        <f t="shared" si="9"/>
        <v>0</v>
      </c>
      <c r="DB6" s="21">
        <f t="shared" si="9"/>
        <v>0</v>
      </c>
      <c r="DC6" s="21">
        <f t="shared" si="9"/>
        <v>0</v>
      </c>
      <c r="DD6" s="21">
        <f t="shared" si="9"/>
        <v>0</v>
      </c>
      <c r="DE6" s="21">
        <f t="shared" si="9"/>
        <v>0</v>
      </c>
      <c r="DF6" s="21">
        <f t="shared" si="10"/>
        <v>0</v>
      </c>
      <c r="DG6" s="21">
        <f t="shared" si="10"/>
        <v>0</v>
      </c>
      <c r="DH6" s="21">
        <f t="shared" si="10"/>
        <v>0</v>
      </c>
      <c r="DI6" s="21">
        <f t="shared" si="10"/>
        <v>0</v>
      </c>
      <c r="DJ6" s="21">
        <f t="shared" si="10"/>
        <v>0</v>
      </c>
      <c r="DK6" s="21">
        <f t="shared" si="10"/>
        <v>0</v>
      </c>
      <c r="DL6" s="21">
        <f t="shared" si="10"/>
        <v>0</v>
      </c>
      <c r="DM6" s="21">
        <f t="shared" si="10"/>
        <v>0</v>
      </c>
      <c r="DN6" s="21">
        <f t="shared" si="10"/>
        <v>0</v>
      </c>
      <c r="DO6" s="21">
        <f t="shared" si="10"/>
        <v>0</v>
      </c>
      <c r="DP6" s="21">
        <f t="shared" si="11"/>
        <v>0</v>
      </c>
      <c r="DQ6" s="21">
        <f t="shared" si="11"/>
        <v>0</v>
      </c>
      <c r="DR6" s="21">
        <f t="shared" si="11"/>
        <v>0</v>
      </c>
      <c r="DS6" s="21">
        <f t="shared" si="11"/>
        <v>0</v>
      </c>
      <c r="DT6" s="21">
        <f t="shared" si="11"/>
        <v>0</v>
      </c>
      <c r="DU6" s="21">
        <f t="shared" si="11"/>
        <v>0</v>
      </c>
      <c r="DV6" s="21">
        <f t="shared" si="11"/>
        <v>0</v>
      </c>
      <c r="DW6" s="21">
        <f t="shared" si="11"/>
        <v>0</v>
      </c>
      <c r="DX6" s="21">
        <f t="shared" si="11"/>
        <v>0</v>
      </c>
      <c r="DY6" s="21">
        <f t="shared" si="11"/>
        <v>0</v>
      </c>
      <c r="DZ6" s="21">
        <f t="shared" si="11"/>
        <v>0</v>
      </c>
      <c r="EA6" s="21">
        <f t="shared" si="11"/>
        <v>0</v>
      </c>
      <c r="EB6" s="21">
        <f t="shared" si="11"/>
        <v>0</v>
      </c>
      <c r="EC6" s="21">
        <f t="shared" si="11"/>
        <v>0</v>
      </c>
      <c r="ED6" s="21">
        <f t="shared" si="11"/>
        <v>0</v>
      </c>
      <c r="EE6" s="21">
        <f t="shared" si="11"/>
        <v>0</v>
      </c>
      <c r="EF6" s="21">
        <f t="shared" si="11"/>
        <v>0</v>
      </c>
      <c r="EG6" s="21">
        <f t="shared" si="11"/>
        <v>0</v>
      </c>
      <c r="EH6" s="21">
        <f t="shared" si="11"/>
        <v>0</v>
      </c>
      <c r="EI6" s="21">
        <f t="shared" si="11"/>
        <v>0</v>
      </c>
      <c r="EJ6" s="21">
        <f t="shared" si="11"/>
        <v>0</v>
      </c>
      <c r="EK6" s="21">
        <f t="shared" si="11"/>
        <v>0</v>
      </c>
      <c r="EL6" s="21">
        <f t="shared" si="11"/>
        <v>0</v>
      </c>
    </row>
    <row r="7" spans="2:142" x14ac:dyDescent="0.45">
      <c r="B7" s="1" t="s">
        <v>311</v>
      </c>
      <c r="E7" s="9">
        <v>1000</v>
      </c>
      <c r="G7" s="13">
        <v>0</v>
      </c>
      <c r="H7" s="13">
        <v>0</v>
      </c>
      <c r="I7" s="21"/>
      <c r="J7" s="21">
        <f>IF(AND($G7=J$4,$H7=J$4),$E7,IF($G7&gt;J$4,0,IF($H7&lt;J$4,0,$E7/($H7-$G7+1))))</f>
        <v>1000</v>
      </c>
      <c r="K7" s="21">
        <f t="shared" ref="K7:T7" si="12">IF(AND($G7=K$4,$H7=K$4),$E7,IF($G7&gt;K$4,0,IF($H7&lt;K$4,0,$E7/($H7-$G7+1))))</f>
        <v>0</v>
      </c>
      <c r="L7" s="21">
        <f t="shared" si="12"/>
        <v>0</v>
      </c>
      <c r="M7" s="21">
        <f t="shared" si="12"/>
        <v>0</v>
      </c>
      <c r="N7" s="21">
        <f t="shared" si="12"/>
        <v>0</v>
      </c>
      <c r="O7" s="21">
        <f t="shared" si="12"/>
        <v>0</v>
      </c>
      <c r="P7" s="21">
        <f t="shared" si="12"/>
        <v>0</v>
      </c>
      <c r="Q7" s="21">
        <f t="shared" si="12"/>
        <v>0</v>
      </c>
      <c r="R7" s="21">
        <f t="shared" si="12"/>
        <v>0</v>
      </c>
      <c r="S7" s="21">
        <f t="shared" si="12"/>
        <v>0</v>
      </c>
      <c r="T7" s="21">
        <f t="shared" si="12"/>
        <v>0</v>
      </c>
      <c r="U7" s="21">
        <f t="shared" ref="K7:Z11" si="13">IF(AND($G7=U$4,$H7=U$4),$E7,IF($G7&gt;U$4,0,IF($H7&lt;U$4,0,$E7/($H7-$G7+1))))</f>
        <v>0</v>
      </c>
      <c r="V7" s="21">
        <f t="shared" si="13"/>
        <v>0</v>
      </c>
      <c r="W7" s="21">
        <f t="shared" si="13"/>
        <v>0</v>
      </c>
      <c r="X7" s="21">
        <f t="shared" si="13"/>
        <v>0</v>
      </c>
      <c r="Y7" s="21">
        <f t="shared" si="13"/>
        <v>0</v>
      </c>
      <c r="Z7" s="21">
        <f t="shared" si="13"/>
        <v>0</v>
      </c>
      <c r="AA7" s="21">
        <f t="shared" ref="O7:AN9" si="14">IF(AND($G7=AA$4,$H7=AA$4),$E7,IF($G7&gt;AA$4,0,IF($H7&lt;AA$4,0,$E7/($H7-$G7+1))))</f>
        <v>0</v>
      </c>
      <c r="AB7" s="21">
        <f t="shared" si="14"/>
        <v>0</v>
      </c>
      <c r="AC7" s="21">
        <f t="shared" si="14"/>
        <v>0</v>
      </c>
      <c r="AD7" s="21">
        <f t="shared" si="14"/>
        <v>0</v>
      </c>
      <c r="AE7" s="21">
        <f t="shared" si="14"/>
        <v>0</v>
      </c>
      <c r="AF7" s="21">
        <f t="shared" si="14"/>
        <v>0</v>
      </c>
      <c r="AG7" s="21">
        <f t="shared" si="14"/>
        <v>0</v>
      </c>
      <c r="AH7" s="21">
        <f t="shared" si="14"/>
        <v>0</v>
      </c>
      <c r="AI7" s="21">
        <f t="shared" si="14"/>
        <v>0</v>
      </c>
      <c r="AJ7" s="21">
        <f t="shared" si="14"/>
        <v>0</v>
      </c>
      <c r="AK7" s="21">
        <f t="shared" si="14"/>
        <v>0</v>
      </c>
      <c r="AL7" s="21">
        <f t="shared" si="14"/>
        <v>0</v>
      </c>
      <c r="AM7" s="21">
        <f t="shared" si="14"/>
        <v>0</v>
      </c>
      <c r="AN7" s="21">
        <f t="shared" si="14"/>
        <v>0</v>
      </c>
      <c r="AO7" s="21">
        <f t="shared" ref="AO7:BW9" si="15">IF(AND($G7=AO$4,$H7=AO$4),$E7,IF($G7&gt;AO$4,0,IF($H7&lt;AO$4,0,$E7/($H7-$G7+1))))</f>
        <v>0</v>
      </c>
      <c r="AP7" s="21">
        <f t="shared" si="15"/>
        <v>0</v>
      </c>
      <c r="AQ7" s="21">
        <f t="shared" si="15"/>
        <v>0</v>
      </c>
      <c r="AR7" s="21">
        <f t="shared" si="15"/>
        <v>0</v>
      </c>
      <c r="AS7" s="21">
        <f t="shared" si="15"/>
        <v>0</v>
      </c>
      <c r="AT7" s="21">
        <f t="shared" si="15"/>
        <v>0</v>
      </c>
      <c r="AU7" s="21">
        <f t="shared" si="15"/>
        <v>0</v>
      </c>
      <c r="AV7" s="21">
        <f t="shared" si="15"/>
        <v>0</v>
      </c>
      <c r="AW7" s="21">
        <f t="shared" si="15"/>
        <v>0</v>
      </c>
      <c r="AX7" s="21">
        <f t="shared" si="15"/>
        <v>0</v>
      </c>
      <c r="AY7" s="21">
        <f t="shared" si="15"/>
        <v>0</v>
      </c>
      <c r="AZ7" s="21">
        <f t="shared" si="15"/>
        <v>0</v>
      </c>
      <c r="BA7" s="21">
        <f t="shared" si="15"/>
        <v>0</v>
      </c>
      <c r="BB7" s="21">
        <f t="shared" si="15"/>
        <v>0</v>
      </c>
      <c r="BC7" s="21">
        <f t="shared" si="15"/>
        <v>0</v>
      </c>
      <c r="BD7" s="21">
        <f t="shared" si="15"/>
        <v>0</v>
      </c>
      <c r="BE7" s="21">
        <f t="shared" si="15"/>
        <v>0</v>
      </c>
      <c r="BF7" s="21">
        <f t="shared" si="15"/>
        <v>0</v>
      </c>
      <c r="BG7" s="21">
        <f t="shared" si="15"/>
        <v>0</v>
      </c>
      <c r="BH7" s="21">
        <f t="shared" si="15"/>
        <v>0</v>
      </c>
      <c r="BI7" s="21">
        <f t="shared" si="15"/>
        <v>0</v>
      </c>
      <c r="BJ7" s="21">
        <f t="shared" si="15"/>
        <v>0</v>
      </c>
      <c r="BK7" s="21">
        <f t="shared" si="15"/>
        <v>0</v>
      </c>
      <c r="BL7" s="21">
        <f t="shared" si="15"/>
        <v>0</v>
      </c>
      <c r="BM7" s="21">
        <f t="shared" si="15"/>
        <v>0</v>
      </c>
      <c r="BN7" s="21">
        <f t="shared" si="15"/>
        <v>0</v>
      </c>
      <c r="BO7" s="21">
        <f t="shared" si="15"/>
        <v>0</v>
      </c>
      <c r="BP7" s="21">
        <f t="shared" si="15"/>
        <v>0</v>
      </c>
      <c r="BQ7" s="21">
        <f t="shared" si="15"/>
        <v>0</v>
      </c>
      <c r="BR7" s="21">
        <f t="shared" si="15"/>
        <v>0</v>
      </c>
      <c r="BS7" s="21">
        <f t="shared" si="15"/>
        <v>0</v>
      </c>
      <c r="BT7" s="21">
        <f t="shared" si="15"/>
        <v>0</v>
      </c>
      <c r="BU7" s="21">
        <f t="shared" si="15"/>
        <v>0</v>
      </c>
      <c r="BV7" s="21">
        <f t="shared" si="15"/>
        <v>0</v>
      </c>
      <c r="BW7" s="21">
        <f t="shared" si="15"/>
        <v>0</v>
      </c>
      <c r="BX7" s="21">
        <f t="shared" ref="BX7:DW9" si="16">IF(AND($G7=BX$4,$H7=BX$4),$E7,IF($G7&gt;BX$4,0,IF($H7&lt;BX$4,0,$E7/($H7-$G7+1))))</f>
        <v>0</v>
      </c>
      <c r="BY7" s="21">
        <f t="shared" si="16"/>
        <v>0</v>
      </c>
      <c r="BZ7" s="21">
        <f t="shared" si="16"/>
        <v>0</v>
      </c>
      <c r="CA7" s="21">
        <f t="shared" si="16"/>
        <v>0</v>
      </c>
      <c r="CB7" s="21">
        <f t="shared" si="16"/>
        <v>0</v>
      </c>
      <c r="CC7" s="21">
        <f t="shared" si="16"/>
        <v>0</v>
      </c>
      <c r="CD7" s="21">
        <f t="shared" si="16"/>
        <v>0</v>
      </c>
      <c r="CE7" s="21">
        <f t="shared" si="16"/>
        <v>0</v>
      </c>
      <c r="CF7" s="21">
        <f t="shared" si="16"/>
        <v>0</v>
      </c>
      <c r="CG7" s="21">
        <f t="shared" si="16"/>
        <v>0</v>
      </c>
      <c r="CH7" s="21">
        <f t="shared" si="16"/>
        <v>0</v>
      </c>
      <c r="CI7" s="21">
        <f t="shared" si="16"/>
        <v>0</v>
      </c>
      <c r="CJ7" s="21">
        <f t="shared" si="16"/>
        <v>0</v>
      </c>
      <c r="CK7" s="21">
        <f t="shared" si="16"/>
        <v>0</v>
      </c>
      <c r="CL7" s="21">
        <f t="shared" si="16"/>
        <v>0</v>
      </c>
      <c r="CM7" s="21">
        <f t="shared" si="16"/>
        <v>0</v>
      </c>
      <c r="CN7" s="21">
        <f t="shared" si="16"/>
        <v>0</v>
      </c>
      <c r="CO7" s="21">
        <f t="shared" si="16"/>
        <v>0</v>
      </c>
      <c r="CP7" s="21">
        <f t="shared" si="16"/>
        <v>0</v>
      </c>
      <c r="CQ7" s="21">
        <f t="shared" si="16"/>
        <v>0</v>
      </c>
      <c r="CR7" s="21">
        <f t="shared" si="16"/>
        <v>0</v>
      </c>
      <c r="CS7" s="21">
        <f t="shared" si="16"/>
        <v>0</v>
      </c>
      <c r="CT7" s="21">
        <f t="shared" si="16"/>
        <v>0</v>
      </c>
      <c r="CU7" s="21">
        <f t="shared" si="16"/>
        <v>0</v>
      </c>
      <c r="CV7" s="21">
        <f t="shared" si="16"/>
        <v>0</v>
      </c>
      <c r="CW7" s="21">
        <f t="shared" si="16"/>
        <v>0</v>
      </c>
      <c r="CX7" s="21">
        <f t="shared" si="16"/>
        <v>0</v>
      </c>
      <c r="CY7" s="21">
        <f t="shared" si="16"/>
        <v>0</v>
      </c>
      <c r="CZ7" s="21">
        <f t="shared" si="16"/>
        <v>0</v>
      </c>
      <c r="DA7" s="21">
        <f t="shared" si="16"/>
        <v>0</v>
      </c>
      <c r="DB7" s="21">
        <f t="shared" si="16"/>
        <v>0</v>
      </c>
      <c r="DC7" s="21">
        <f t="shared" si="16"/>
        <v>0</v>
      </c>
      <c r="DD7" s="21">
        <f t="shared" si="16"/>
        <v>0</v>
      </c>
      <c r="DE7" s="21">
        <f t="shared" si="16"/>
        <v>0</v>
      </c>
      <c r="DF7" s="21">
        <f t="shared" si="16"/>
        <v>0</v>
      </c>
      <c r="DG7" s="21">
        <f t="shared" si="16"/>
        <v>0</v>
      </c>
      <c r="DH7" s="21">
        <f t="shared" si="16"/>
        <v>0</v>
      </c>
      <c r="DI7" s="21">
        <f t="shared" si="16"/>
        <v>0</v>
      </c>
      <c r="DJ7" s="21">
        <f t="shared" si="16"/>
        <v>0</v>
      </c>
      <c r="DK7" s="21">
        <f t="shared" si="16"/>
        <v>0</v>
      </c>
      <c r="DL7" s="21">
        <f t="shared" si="16"/>
        <v>0</v>
      </c>
      <c r="DM7" s="21">
        <f t="shared" si="16"/>
        <v>0</v>
      </c>
      <c r="DN7" s="21">
        <f t="shared" si="16"/>
        <v>0</v>
      </c>
      <c r="DO7" s="21">
        <f t="shared" si="16"/>
        <v>0</v>
      </c>
      <c r="DP7" s="21">
        <f t="shared" si="16"/>
        <v>0</v>
      </c>
      <c r="DQ7" s="21">
        <f t="shared" si="16"/>
        <v>0</v>
      </c>
      <c r="DR7" s="21">
        <f t="shared" si="16"/>
        <v>0</v>
      </c>
      <c r="DS7" s="21">
        <f t="shared" si="16"/>
        <v>0</v>
      </c>
      <c r="DT7" s="21">
        <f t="shared" si="16"/>
        <v>0</v>
      </c>
      <c r="DU7" s="21">
        <f t="shared" si="16"/>
        <v>0</v>
      </c>
      <c r="DV7" s="21">
        <f t="shared" si="16"/>
        <v>0</v>
      </c>
      <c r="DW7" s="21">
        <f t="shared" si="16"/>
        <v>0</v>
      </c>
      <c r="DX7" s="21">
        <f t="shared" ref="DX7:EL9" si="17">IF(AND($G7=DX$4,$H7=DX$4),$E7,IF($G7&gt;DX$4,0,IF($H7&lt;DX$4,0,$E7/($H7-$G7+1))))</f>
        <v>0</v>
      </c>
      <c r="DY7" s="21">
        <f t="shared" si="17"/>
        <v>0</v>
      </c>
      <c r="DZ7" s="21">
        <f t="shared" si="17"/>
        <v>0</v>
      </c>
      <c r="EA7" s="21">
        <f t="shared" si="17"/>
        <v>0</v>
      </c>
      <c r="EB7" s="21">
        <f t="shared" si="17"/>
        <v>0</v>
      </c>
      <c r="EC7" s="21">
        <f t="shared" si="17"/>
        <v>0</v>
      </c>
      <c r="ED7" s="21">
        <f t="shared" si="17"/>
        <v>0</v>
      </c>
      <c r="EE7" s="21">
        <f t="shared" si="17"/>
        <v>0</v>
      </c>
      <c r="EF7" s="21">
        <f t="shared" si="17"/>
        <v>0</v>
      </c>
      <c r="EG7" s="21">
        <f t="shared" si="17"/>
        <v>0</v>
      </c>
      <c r="EH7" s="21">
        <f t="shared" si="17"/>
        <v>0</v>
      </c>
      <c r="EI7" s="21">
        <f t="shared" si="17"/>
        <v>0</v>
      </c>
      <c r="EJ7" s="21">
        <f t="shared" si="17"/>
        <v>0</v>
      </c>
      <c r="EK7" s="21">
        <f t="shared" si="17"/>
        <v>0</v>
      </c>
      <c r="EL7" s="21">
        <f t="shared" si="17"/>
        <v>0</v>
      </c>
    </row>
    <row r="8" spans="2:142" x14ac:dyDescent="0.45">
      <c r="B8" s="1" t="s">
        <v>352</v>
      </c>
      <c r="D8" s="162"/>
      <c r="E8" s="9">
        <v>2500</v>
      </c>
      <c r="F8" s="9"/>
      <c r="G8" s="13">
        <v>0</v>
      </c>
      <c r="H8" s="13">
        <v>0</v>
      </c>
      <c r="I8" s="21"/>
      <c r="J8" s="21">
        <f>IF(AND($G8=J$4,$H8=J$4),$E8,IF($G8&gt;J$4,0,IF($H8&lt;J$4,0,$E8/($H8-$G8+1))))</f>
        <v>2500</v>
      </c>
      <c r="K8" s="21">
        <f t="shared" si="13"/>
        <v>0</v>
      </c>
      <c r="L8" s="21">
        <f t="shared" si="13"/>
        <v>0</v>
      </c>
      <c r="M8" s="21">
        <f t="shared" si="13"/>
        <v>0</v>
      </c>
      <c r="N8" s="21">
        <f t="shared" si="13"/>
        <v>0</v>
      </c>
      <c r="O8" s="21">
        <f t="shared" si="14"/>
        <v>0</v>
      </c>
      <c r="P8" s="21">
        <f t="shared" si="14"/>
        <v>0</v>
      </c>
      <c r="Q8" s="21">
        <f t="shared" si="14"/>
        <v>0</v>
      </c>
      <c r="R8" s="21">
        <f t="shared" si="14"/>
        <v>0</v>
      </c>
      <c r="S8" s="21">
        <f t="shared" si="14"/>
        <v>0</v>
      </c>
      <c r="T8" s="21">
        <f t="shared" si="14"/>
        <v>0</v>
      </c>
      <c r="U8" s="21">
        <f t="shared" si="14"/>
        <v>0</v>
      </c>
      <c r="V8" s="21">
        <f t="shared" si="14"/>
        <v>0</v>
      </c>
      <c r="W8" s="21">
        <f t="shared" si="14"/>
        <v>0</v>
      </c>
      <c r="X8" s="21">
        <f t="shared" si="14"/>
        <v>0</v>
      </c>
      <c r="Y8" s="21">
        <f t="shared" si="14"/>
        <v>0</v>
      </c>
      <c r="Z8" s="21">
        <f t="shared" si="14"/>
        <v>0</v>
      </c>
      <c r="AA8" s="21">
        <f t="shared" si="14"/>
        <v>0</v>
      </c>
      <c r="AB8" s="21">
        <f t="shared" si="14"/>
        <v>0</v>
      </c>
      <c r="AC8" s="21">
        <f t="shared" si="14"/>
        <v>0</v>
      </c>
      <c r="AD8" s="21">
        <f t="shared" si="14"/>
        <v>0</v>
      </c>
      <c r="AE8" s="21">
        <f t="shared" si="14"/>
        <v>0</v>
      </c>
      <c r="AF8" s="21">
        <f t="shared" si="14"/>
        <v>0</v>
      </c>
      <c r="AG8" s="21">
        <f t="shared" si="14"/>
        <v>0</v>
      </c>
      <c r="AH8" s="21">
        <f t="shared" si="14"/>
        <v>0</v>
      </c>
      <c r="AI8" s="21">
        <f t="shared" si="14"/>
        <v>0</v>
      </c>
      <c r="AJ8" s="21">
        <f t="shared" si="14"/>
        <v>0</v>
      </c>
      <c r="AK8" s="21">
        <f t="shared" si="14"/>
        <v>0</v>
      </c>
      <c r="AL8" s="21">
        <f t="shared" si="14"/>
        <v>0</v>
      </c>
      <c r="AM8" s="21">
        <f t="shared" si="14"/>
        <v>0</v>
      </c>
      <c r="AN8" s="21">
        <f t="shared" si="14"/>
        <v>0</v>
      </c>
      <c r="AO8" s="21">
        <f t="shared" si="15"/>
        <v>0</v>
      </c>
      <c r="AP8" s="21">
        <f t="shared" si="15"/>
        <v>0</v>
      </c>
      <c r="AQ8" s="21">
        <f t="shared" si="15"/>
        <v>0</v>
      </c>
      <c r="AR8" s="21">
        <f t="shared" si="15"/>
        <v>0</v>
      </c>
      <c r="AS8" s="21">
        <f t="shared" si="15"/>
        <v>0</v>
      </c>
      <c r="AT8" s="21">
        <f t="shared" si="15"/>
        <v>0</v>
      </c>
      <c r="AU8" s="21">
        <f t="shared" si="15"/>
        <v>0</v>
      </c>
      <c r="AV8" s="21">
        <f t="shared" si="15"/>
        <v>0</v>
      </c>
      <c r="AW8" s="21">
        <f t="shared" si="15"/>
        <v>0</v>
      </c>
      <c r="AX8" s="21">
        <f t="shared" si="15"/>
        <v>0</v>
      </c>
      <c r="AY8" s="21">
        <f t="shared" si="15"/>
        <v>0</v>
      </c>
      <c r="AZ8" s="21">
        <f t="shared" si="15"/>
        <v>0</v>
      </c>
      <c r="BA8" s="21">
        <f t="shared" si="15"/>
        <v>0</v>
      </c>
      <c r="BB8" s="21">
        <f t="shared" si="15"/>
        <v>0</v>
      </c>
      <c r="BC8" s="21">
        <f t="shared" si="15"/>
        <v>0</v>
      </c>
      <c r="BD8" s="21">
        <f t="shared" si="15"/>
        <v>0</v>
      </c>
      <c r="BE8" s="21">
        <f t="shared" si="15"/>
        <v>0</v>
      </c>
      <c r="BF8" s="21">
        <f t="shared" si="15"/>
        <v>0</v>
      </c>
      <c r="BG8" s="21">
        <f t="shared" si="15"/>
        <v>0</v>
      </c>
      <c r="BH8" s="21">
        <f t="shared" si="15"/>
        <v>0</v>
      </c>
      <c r="BI8" s="21">
        <f t="shared" si="15"/>
        <v>0</v>
      </c>
      <c r="BJ8" s="21">
        <f t="shared" si="15"/>
        <v>0</v>
      </c>
      <c r="BK8" s="21">
        <f t="shared" si="15"/>
        <v>0</v>
      </c>
      <c r="BL8" s="21">
        <f t="shared" si="15"/>
        <v>0</v>
      </c>
      <c r="BM8" s="21">
        <f t="shared" si="15"/>
        <v>0</v>
      </c>
      <c r="BN8" s="21">
        <f t="shared" si="15"/>
        <v>0</v>
      </c>
      <c r="BO8" s="21">
        <f t="shared" si="15"/>
        <v>0</v>
      </c>
      <c r="BP8" s="21">
        <f t="shared" si="15"/>
        <v>0</v>
      </c>
      <c r="BQ8" s="21">
        <f t="shared" si="15"/>
        <v>0</v>
      </c>
      <c r="BR8" s="21">
        <f t="shared" si="15"/>
        <v>0</v>
      </c>
      <c r="BS8" s="21">
        <f t="shared" si="15"/>
        <v>0</v>
      </c>
      <c r="BT8" s="21">
        <f t="shared" si="15"/>
        <v>0</v>
      </c>
      <c r="BU8" s="21">
        <f t="shared" si="15"/>
        <v>0</v>
      </c>
      <c r="BV8" s="21">
        <f t="shared" si="15"/>
        <v>0</v>
      </c>
      <c r="BW8" s="21">
        <f t="shared" si="15"/>
        <v>0</v>
      </c>
      <c r="BX8" s="21">
        <f t="shared" si="16"/>
        <v>0</v>
      </c>
      <c r="BY8" s="21">
        <f t="shared" si="16"/>
        <v>0</v>
      </c>
      <c r="BZ8" s="21">
        <f t="shared" si="16"/>
        <v>0</v>
      </c>
      <c r="CA8" s="21">
        <f t="shared" si="16"/>
        <v>0</v>
      </c>
      <c r="CB8" s="21">
        <f t="shared" si="16"/>
        <v>0</v>
      </c>
      <c r="CC8" s="21">
        <f t="shared" si="16"/>
        <v>0</v>
      </c>
      <c r="CD8" s="21">
        <f t="shared" si="16"/>
        <v>0</v>
      </c>
      <c r="CE8" s="21">
        <f t="shared" si="16"/>
        <v>0</v>
      </c>
      <c r="CF8" s="21">
        <f t="shared" si="16"/>
        <v>0</v>
      </c>
      <c r="CG8" s="21">
        <f t="shared" si="16"/>
        <v>0</v>
      </c>
      <c r="CH8" s="21">
        <f t="shared" si="16"/>
        <v>0</v>
      </c>
      <c r="CI8" s="21">
        <f t="shared" si="16"/>
        <v>0</v>
      </c>
      <c r="CJ8" s="21">
        <f t="shared" si="16"/>
        <v>0</v>
      </c>
      <c r="CK8" s="21">
        <f t="shared" si="16"/>
        <v>0</v>
      </c>
      <c r="CL8" s="21">
        <f t="shared" si="16"/>
        <v>0</v>
      </c>
      <c r="CM8" s="21">
        <f t="shared" si="16"/>
        <v>0</v>
      </c>
      <c r="CN8" s="21">
        <f t="shared" si="16"/>
        <v>0</v>
      </c>
      <c r="CO8" s="21">
        <f t="shared" si="16"/>
        <v>0</v>
      </c>
      <c r="CP8" s="21">
        <f t="shared" si="16"/>
        <v>0</v>
      </c>
      <c r="CQ8" s="21">
        <f t="shared" si="16"/>
        <v>0</v>
      </c>
      <c r="CR8" s="21">
        <f t="shared" si="16"/>
        <v>0</v>
      </c>
      <c r="CS8" s="21">
        <f t="shared" si="16"/>
        <v>0</v>
      </c>
      <c r="CT8" s="21">
        <f t="shared" si="16"/>
        <v>0</v>
      </c>
      <c r="CU8" s="21">
        <f t="shared" si="16"/>
        <v>0</v>
      </c>
      <c r="CV8" s="21">
        <f t="shared" si="16"/>
        <v>0</v>
      </c>
      <c r="CW8" s="21">
        <f t="shared" si="16"/>
        <v>0</v>
      </c>
      <c r="CX8" s="21">
        <f t="shared" si="16"/>
        <v>0</v>
      </c>
      <c r="CY8" s="21">
        <f t="shared" si="16"/>
        <v>0</v>
      </c>
      <c r="CZ8" s="21">
        <f t="shared" si="16"/>
        <v>0</v>
      </c>
      <c r="DA8" s="21">
        <f t="shared" si="16"/>
        <v>0</v>
      </c>
      <c r="DB8" s="21">
        <f t="shared" si="16"/>
        <v>0</v>
      </c>
      <c r="DC8" s="21">
        <f t="shared" si="16"/>
        <v>0</v>
      </c>
      <c r="DD8" s="21">
        <f t="shared" si="16"/>
        <v>0</v>
      </c>
      <c r="DE8" s="21">
        <f t="shared" si="16"/>
        <v>0</v>
      </c>
      <c r="DF8" s="21">
        <f t="shared" si="16"/>
        <v>0</v>
      </c>
      <c r="DG8" s="21">
        <f t="shared" si="16"/>
        <v>0</v>
      </c>
      <c r="DH8" s="21">
        <f t="shared" si="16"/>
        <v>0</v>
      </c>
      <c r="DI8" s="21">
        <f t="shared" si="16"/>
        <v>0</v>
      </c>
      <c r="DJ8" s="21">
        <f t="shared" si="16"/>
        <v>0</v>
      </c>
      <c r="DK8" s="21">
        <f t="shared" si="16"/>
        <v>0</v>
      </c>
      <c r="DL8" s="21">
        <f t="shared" si="16"/>
        <v>0</v>
      </c>
      <c r="DM8" s="21">
        <f t="shared" si="16"/>
        <v>0</v>
      </c>
      <c r="DN8" s="21">
        <f t="shared" si="16"/>
        <v>0</v>
      </c>
      <c r="DO8" s="21">
        <f t="shared" si="16"/>
        <v>0</v>
      </c>
      <c r="DP8" s="21">
        <f t="shared" si="16"/>
        <v>0</v>
      </c>
      <c r="DQ8" s="21">
        <f t="shared" si="16"/>
        <v>0</v>
      </c>
      <c r="DR8" s="21">
        <f t="shared" si="16"/>
        <v>0</v>
      </c>
      <c r="DS8" s="21">
        <f t="shared" ref="DS8:DW9" si="18">IF(AND($G8=DS$4,$H8=DS$4),$E8,IF($G8&gt;DS$4,0,IF($H8&lt;DS$4,0,$E8/($H8-$G8+1))))</f>
        <v>0</v>
      </c>
      <c r="DT8" s="21">
        <f t="shared" si="18"/>
        <v>0</v>
      </c>
      <c r="DU8" s="21">
        <f t="shared" si="18"/>
        <v>0</v>
      </c>
      <c r="DV8" s="21">
        <f t="shared" si="18"/>
        <v>0</v>
      </c>
      <c r="DW8" s="21">
        <f t="shared" si="18"/>
        <v>0</v>
      </c>
      <c r="DX8" s="21">
        <f t="shared" si="17"/>
        <v>0</v>
      </c>
      <c r="DY8" s="21">
        <f t="shared" si="17"/>
        <v>0</v>
      </c>
      <c r="DZ8" s="21">
        <f t="shared" si="17"/>
        <v>0</v>
      </c>
      <c r="EA8" s="21">
        <f t="shared" si="17"/>
        <v>0</v>
      </c>
      <c r="EB8" s="21">
        <f t="shared" si="17"/>
        <v>0</v>
      </c>
      <c r="EC8" s="21">
        <f t="shared" si="17"/>
        <v>0</v>
      </c>
      <c r="ED8" s="21">
        <f t="shared" si="17"/>
        <v>0</v>
      </c>
      <c r="EE8" s="21">
        <f t="shared" si="17"/>
        <v>0</v>
      </c>
      <c r="EF8" s="21">
        <f t="shared" si="17"/>
        <v>0</v>
      </c>
      <c r="EG8" s="21">
        <f t="shared" si="17"/>
        <v>0</v>
      </c>
      <c r="EH8" s="21">
        <f t="shared" si="17"/>
        <v>0</v>
      </c>
      <c r="EI8" s="21">
        <f t="shared" si="17"/>
        <v>0</v>
      </c>
      <c r="EJ8" s="21">
        <f t="shared" si="17"/>
        <v>0</v>
      </c>
      <c r="EK8" s="21">
        <f t="shared" si="17"/>
        <v>0</v>
      </c>
      <c r="EL8" s="21">
        <f t="shared" si="17"/>
        <v>0</v>
      </c>
    </row>
    <row r="9" spans="2:142" x14ac:dyDescent="0.45">
      <c r="B9" s="1" t="s">
        <v>351</v>
      </c>
      <c r="D9" s="162"/>
      <c r="E9" s="9">
        <v>2500</v>
      </c>
      <c r="F9" s="9"/>
      <c r="G9" s="13">
        <v>0</v>
      </c>
      <c r="H9" s="13">
        <v>0</v>
      </c>
      <c r="I9" s="21"/>
      <c r="J9" s="21">
        <f>IF(AND($G9=J$4,$H9=J$4),$E9,IF($G9&gt;J$4,0,IF($H9&lt;J$4,0,$E9/($H9-$G9+1))))</f>
        <v>2500</v>
      </c>
      <c r="K9" s="21">
        <f t="shared" si="13"/>
        <v>0</v>
      </c>
      <c r="L9" s="21">
        <f t="shared" si="13"/>
        <v>0</v>
      </c>
      <c r="M9" s="21">
        <f t="shared" si="13"/>
        <v>0</v>
      </c>
      <c r="N9" s="21">
        <f t="shared" si="13"/>
        <v>0</v>
      </c>
      <c r="O9" s="21">
        <f t="shared" si="14"/>
        <v>0</v>
      </c>
      <c r="P9" s="21">
        <f t="shared" si="14"/>
        <v>0</v>
      </c>
      <c r="Q9" s="21">
        <f t="shared" si="14"/>
        <v>0</v>
      </c>
      <c r="R9" s="21">
        <f t="shared" si="14"/>
        <v>0</v>
      </c>
      <c r="S9" s="21">
        <f t="shared" si="14"/>
        <v>0</v>
      </c>
      <c r="T9" s="21">
        <f t="shared" si="14"/>
        <v>0</v>
      </c>
      <c r="U9" s="21">
        <f t="shared" si="14"/>
        <v>0</v>
      </c>
      <c r="V9" s="21">
        <f t="shared" si="14"/>
        <v>0</v>
      </c>
      <c r="W9" s="21">
        <f t="shared" si="14"/>
        <v>0</v>
      </c>
      <c r="X9" s="21">
        <f t="shared" si="14"/>
        <v>0</v>
      </c>
      <c r="Y9" s="21">
        <f t="shared" si="14"/>
        <v>0</v>
      </c>
      <c r="Z9" s="21">
        <f t="shared" si="14"/>
        <v>0</v>
      </c>
      <c r="AA9" s="21">
        <f t="shared" si="14"/>
        <v>0</v>
      </c>
      <c r="AB9" s="21">
        <f t="shared" si="14"/>
        <v>0</v>
      </c>
      <c r="AC9" s="21">
        <f t="shared" si="14"/>
        <v>0</v>
      </c>
      <c r="AD9" s="21">
        <f t="shared" si="14"/>
        <v>0</v>
      </c>
      <c r="AE9" s="21">
        <f t="shared" si="14"/>
        <v>0</v>
      </c>
      <c r="AF9" s="21">
        <f t="shared" si="14"/>
        <v>0</v>
      </c>
      <c r="AG9" s="21">
        <f t="shared" si="14"/>
        <v>0</v>
      </c>
      <c r="AH9" s="21">
        <f t="shared" si="14"/>
        <v>0</v>
      </c>
      <c r="AI9" s="21">
        <f t="shared" si="14"/>
        <v>0</v>
      </c>
      <c r="AJ9" s="21">
        <f t="shared" si="14"/>
        <v>0</v>
      </c>
      <c r="AK9" s="21">
        <f t="shared" si="14"/>
        <v>0</v>
      </c>
      <c r="AL9" s="21">
        <f t="shared" si="14"/>
        <v>0</v>
      </c>
      <c r="AM9" s="21">
        <f t="shared" si="14"/>
        <v>0</v>
      </c>
      <c r="AN9" s="21">
        <f t="shared" si="14"/>
        <v>0</v>
      </c>
      <c r="AO9" s="21">
        <f t="shared" si="15"/>
        <v>0</v>
      </c>
      <c r="AP9" s="21">
        <f t="shared" si="15"/>
        <v>0</v>
      </c>
      <c r="AQ9" s="21">
        <f t="shared" si="15"/>
        <v>0</v>
      </c>
      <c r="AR9" s="21">
        <f t="shared" si="15"/>
        <v>0</v>
      </c>
      <c r="AS9" s="21">
        <f t="shared" si="15"/>
        <v>0</v>
      </c>
      <c r="AT9" s="21">
        <f t="shared" si="15"/>
        <v>0</v>
      </c>
      <c r="AU9" s="21">
        <f t="shared" si="15"/>
        <v>0</v>
      </c>
      <c r="AV9" s="21">
        <f t="shared" si="15"/>
        <v>0</v>
      </c>
      <c r="AW9" s="21">
        <f t="shared" si="15"/>
        <v>0</v>
      </c>
      <c r="AX9" s="21">
        <f t="shared" si="15"/>
        <v>0</v>
      </c>
      <c r="AY9" s="21">
        <f t="shared" si="15"/>
        <v>0</v>
      </c>
      <c r="AZ9" s="21">
        <f t="shared" si="15"/>
        <v>0</v>
      </c>
      <c r="BA9" s="21">
        <f t="shared" si="15"/>
        <v>0</v>
      </c>
      <c r="BB9" s="21">
        <f t="shared" si="15"/>
        <v>0</v>
      </c>
      <c r="BC9" s="21">
        <f t="shared" si="15"/>
        <v>0</v>
      </c>
      <c r="BD9" s="21">
        <f t="shared" si="15"/>
        <v>0</v>
      </c>
      <c r="BE9" s="21">
        <f t="shared" si="15"/>
        <v>0</v>
      </c>
      <c r="BF9" s="21">
        <f t="shared" si="15"/>
        <v>0</v>
      </c>
      <c r="BG9" s="21">
        <f t="shared" si="15"/>
        <v>0</v>
      </c>
      <c r="BH9" s="21">
        <f t="shared" si="15"/>
        <v>0</v>
      </c>
      <c r="BI9" s="21">
        <f t="shared" si="15"/>
        <v>0</v>
      </c>
      <c r="BJ9" s="21">
        <f t="shared" si="15"/>
        <v>0</v>
      </c>
      <c r="BK9" s="21">
        <f t="shared" si="15"/>
        <v>0</v>
      </c>
      <c r="BL9" s="21">
        <f t="shared" si="15"/>
        <v>0</v>
      </c>
      <c r="BM9" s="21">
        <f t="shared" si="15"/>
        <v>0</v>
      </c>
      <c r="BN9" s="21">
        <f t="shared" si="15"/>
        <v>0</v>
      </c>
      <c r="BO9" s="21">
        <f t="shared" si="15"/>
        <v>0</v>
      </c>
      <c r="BP9" s="21">
        <f t="shared" si="15"/>
        <v>0</v>
      </c>
      <c r="BQ9" s="21">
        <f t="shared" si="15"/>
        <v>0</v>
      </c>
      <c r="BR9" s="21">
        <f t="shared" si="15"/>
        <v>0</v>
      </c>
      <c r="BS9" s="21">
        <f t="shared" si="15"/>
        <v>0</v>
      </c>
      <c r="BT9" s="21">
        <f t="shared" si="15"/>
        <v>0</v>
      </c>
      <c r="BU9" s="21">
        <f t="shared" si="15"/>
        <v>0</v>
      </c>
      <c r="BV9" s="21">
        <f t="shared" si="15"/>
        <v>0</v>
      </c>
      <c r="BW9" s="21">
        <f t="shared" si="15"/>
        <v>0</v>
      </c>
      <c r="BX9" s="21">
        <f t="shared" si="16"/>
        <v>0</v>
      </c>
      <c r="BY9" s="21">
        <f t="shared" si="16"/>
        <v>0</v>
      </c>
      <c r="BZ9" s="21">
        <f t="shared" si="16"/>
        <v>0</v>
      </c>
      <c r="CA9" s="21">
        <f t="shared" si="16"/>
        <v>0</v>
      </c>
      <c r="CB9" s="21">
        <f t="shared" si="16"/>
        <v>0</v>
      </c>
      <c r="CC9" s="21">
        <f t="shared" si="16"/>
        <v>0</v>
      </c>
      <c r="CD9" s="21">
        <f t="shared" si="16"/>
        <v>0</v>
      </c>
      <c r="CE9" s="21">
        <f t="shared" si="16"/>
        <v>0</v>
      </c>
      <c r="CF9" s="21">
        <f t="shared" si="16"/>
        <v>0</v>
      </c>
      <c r="CG9" s="21">
        <f t="shared" si="16"/>
        <v>0</v>
      </c>
      <c r="CH9" s="21">
        <f t="shared" si="16"/>
        <v>0</v>
      </c>
      <c r="CI9" s="21">
        <f t="shared" si="16"/>
        <v>0</v>
      </c>
      <c r="CJ9" s="21">
        <f t="shared" si="16"/>
        <v>0</v>
      </c>
      <c r="CK9" s="21">
        <f t="shared" si="16"/>
        <v>0</v>
      </c>
      <c r="CL9" s="21">
        <f t="shared" si="16"/>
        <v>0</v>
      </c>
      <c r="CM9" s="21">
        <f t="shared" si="16"/>
        <v>0</v>
      </c>
      <c r="CN9" s="21">
        <f t="shared" si="16"/>
        <v>0</v>
      </c>
      <c r="CO9" s="21">
        <f t="shared" si="16"/>
        <v>0</v>
      </c>
      <c r="CP9" s="21">
        <f t="shared" si="16"/>
        <v>0</v>
      </c>
      <c r="CQ9" s="21">
        <f t="shared" si="16"/>
        <v>0</v>
      </c>
      <c r="CR9" s="21">
        <f t="shared" si="16"/>
        <v>0</v>
      </c>
      <c r="CS9" s="21">
        <f t="shared" si="16"/>
        <v>0</v>
      </c>
      <c r="CT9" s="21">
        <f t="shared" si="16"/>
        <v>0</v>
      </c>
      <c r="CU9" s="21">
        <f t="shared" si="16"/>
        <v>0</v>
      </c>
      <c r="CV9" s="21">
        <f t="shared" si="16"/>
        <v>0</v>
      </c>
      <c r="CW9" s="21">
        <f t="shared" si="16"/>
        <v>0</v>
      </c>
      <c r="CX9" s="21">
        <f t="shared" si="16"/>
        <v>0</v>
      </c>
      <c r="CY9" s="21">
        <f t="shared" si="16"/>
        <v>0</v>
      </c>
      <c r="CZ9" s="21">
        <f t="shared" si="16"/>
        <v>0</v>
      </c>
      <c r="DA9" s="21">
        <f t="shared" si="16"/>
        <v>0</v>
      </c>
      <c r="DB9" s="21">
        <f t="shared" si="16"/>
        <v>0</v>
      </c>
      <c r="DC9" s="21">
        <f t="shared" si="16"/>
        <v>0</v>
      </c>
      <c r="DD9" s="21">
        <f t="shared" si="16"/>
        <v>0</v>
      </c>
      <c r="DE9" s="21">
        <f t="shared" si="16"/>
        <v>0</v>
      </c>
      <c r="DF9" s="21">
        <f t="shared" si="16"/>
        <v>0</v>
      </c>
      <c r="DG9" s="21">
        <f t="shared" si="16"/>
        <v>0</v>
      </c>
      <c r="DH9" s="21">
        <f t="shared" si="16"/>
        <v>0</v>
      </c>
      <c r="DI9" s="21">
        <f t="shared" si="16"/>
        <v>0</v>
      </c>
      <c r="DJ9" s="21">
        <f t="shared" si="16"/>
        <v>0</v>
      </c>
      <c r="DK9" s="21">
        <f t="shared" si="16"/>
        <v>0</v>
      </c>
      <c r="DL9" s="21">
        <f t="shared" si="16"/>
        <v>0</v>
      </c>
      <c r="DM9" s="21">
        <f t="shared" si="16"/>
        <v>0</v>
      </c>
      <c r="DN9" s="21">
        <f t="shared" si="16"/>
        <v>0</v>
      </c>
      <c r="DO9" s="21">
        <f t="shared" si="16"/>
        <v>0</v>
      </c>
      <c r="DP9" s="21">
        <f t="shared" si="16"/>
        <v>0</v>
      </c>
      <c r="DQ9" s="21">
        <f t="shared" si="16"/>
        <v>0</v>
      </c>
      <c r="DR9" s="21">
        <f t="shared" si="16"/>
        <v>0</v>
      </c>
      <c r="DS9" s="21">
        <f t="shared" si="18"/>
        <v>0</v>
      </c>
      <c r="DT9" s="21">
        <f t="shared" si="18"/>
        <v>0</v>
      </c>
      <c r="DU9" s="21">
        <f t="shared" si="18"/>
        <v>0</v>
      </c>
      <c r="DV9" s="21">
        <f t="shared" si="18"/>
        <v>0</v>
      </c>
      <c r="DW9" s="21">
        <f t="shared" si="18"/>
        <v>0</v>
      </c>
      <c r="DX9" s="21">
        <f t="shared" si="17"/>
        <v>0</v>
      </c>
      <c r="DY9" s="21">
        <f t="shared" si="17"/>
        <v>0</v>
      </c>
      <c r="DZ9" s="21">
        <f t="shared" si="17"/>
        <v>0</v>
      </c>
      <c r="EA9" s="21">
        <f t="shared" si="17"/>
        <v>0</v>
      </c>
      <c r="EB9" s="21">
        <f t="shared" si="17"/>
        <v>0</v>
      </c>
      <c r="EC9" s="21">
        <f t="shared" si="17"/>
        <v>0</v>
      </c>
      <c r="ED9" s="21">
        <f t="shared" si="17"/>
        <v>0</v>
      </c>
      <c r="EE9" s="21">
        <f t="shared" si="17"/>
        <v>0</v>
      </c>
      <c r="EF9" s="21">
        <f t="shared" si="17"/>
        <v>0</v>
      </c>
      <c r="EG9" s="21">
        <f t="shared" si="17"/>
        <v>0</v>
      </c>
      <c r="EH9" s="21">
        <f t="shared" si="17"/>
        <v>0</v>
      </c>
      <c r="EI9" s="21">
        <f t="shared" si="17"/>
        <v>0</v>
      </c>
      <c r="EJ9" s="21">
        <f t="shared" si="17"/>
        <v>0</v>
      </c>
      <c r="EK9" s="21">
        <f t="shared" si="17"/>
        <v>0</v>
      </c>
      <c r="EL9" s="21">
        <f t="shared" si="17"/>
        <v>0</v>
      </c>
    </row>
    <row r="10" spans="2:142" x14ac:dyDescent="0.45">
      <c r="B10" s="1" t="s">
        <v>300</v>
      </c>
      <c r="E10" s="9">
        <v>10000</v>
      </c>
      <c r="G10" s="13">
        <v>0</v>
      </c>
      <c r="H10" s="13">
        <v>0</v>
      </c>
      <c r="I10" s="21"/>
      <c r="J10" s="21">
        <f>IF(AND($G10=J$4,$H10=J$4),$E10,IF($G10&gt;J$4,0,IF($H10&lt;J$4,0,$E10/($H10-$G10+1))))</f>
        <v>10000</v>
      </c>
      <c r="K10" s="21">
        <f t="shared" si="13"/>
        <v>0</v>
      </c>
      <c r="L10" s="21">
        <f t="shared" si="13"/>
        <v>0</v>
      </c>
      <c r="M10" s="21">
        <f t="shared" si="13"/>
        <v>0</v>
      </c>
      <c r="N10" s="21">
        <f t="shared" si="13"/>
        <v>0</v>
      </c>
      <c r="O10" s="21">
        <f t="shared" si="13"/>
        <v>0</v>
      </c>
      <c r="P10" s="21">
        <f t="shared" si="13"/>
        <v>0</v>
      </c>
      <c r="Q10" s="21">
        <f t="shared" si="13"/>
        <v>0</v>
      </c>
      <c r="R10" s="21">
        <f t="shared" si="13"/>
        <v>0</v>
      </c>
      <c r="S10" s="21">
        <f t="shared" si="13"/>
        <v>0</v>
      </c>
      <c r="T10" s="21">
        <f t="shared" si="13"/>
        <v>0</v>
      </c>
      <c r="U10" s="21">
        <f t="shared" si="13"/>
        <v>0</v>
      </c>
      <c r="V10" s="21">
        <f t="shared" si="13"/>
        <v>0</v>
      </c>
      <c r="W10" s="21">
        <f t="shared" si="13"/>
        <v>0</v>
      </c>
      <c r="X10" s="21">
        <f t="shared" si="13"/>
        <v>0</v>
      </c>
      <c r="Y10" s="21">
        <f t="shared" si="13"/>
        <v>0</v>
      </c>
      <c r="Z10" s="21">
        <f t="shared" si="13"/>
        <v>0</v>
      </c>
      <c r="AA10" s="21">
        <f t="shared" ref="AA10:AL11" si="19">IF(AND($G10=AA$4,$H10=AA$4),$E10,IF($G10&gt;AA$4,0,IF($H10&lt;AA$4,0,$E10/($H10-$G10+1))))</f>
        <v>0</v>
      </c>
      <c r="AB10" s="21">
        <f t="shared" si="19"/>
        <v>0</v>
      </c>
      <c r="AC10" s="21">
        <f t="shared" si="19"/>
        <v>0</v>
      </c>
      <c r="AD10" s="21">
        <f t="shared" si="19"/>
        <v>0</v>
      </c>
      <c r="AE10" s="21">
        <f t="shared" si="19"/>
        <v>0</v>
      </c>
      <c r="AF10" s="21">
        <f t="shared" si="19"/>
        <v>0</v>
      </c>
      <c r="AG10" s="21">
        <f t="shared" si="19"/>
        <v>0</v>
      </c>
      <c r="AH10" s="21">
        <f t="shared" si="19"/>
        <v>0</v>
      </c>
      <c r="AI10" s="21">
        <f t="shared" si="19"/>
        <v>0</v>
      </c>
      <c r="AJ10" s="21">
        <f t="shared" si="19"/>
        <v>0</v>
      </c>
      <c r="AK10" s="21">
        <f t="shared" si="19"/>
        <v>0</v>
      </c>
      <c r="AL10" s="21">
        <f t="shared" si="19"/>
        <v>0</v>
      </c>
      <c r="AM10" s="21">
        <f t="shared" ref="AM10:DB11" si="20">IF(AND($G10=AM$4,$H10=AM$4),$E10,IF($G10&gt;AM$4,0,IF($H10&lt;AM$4,0,$E10/($H10-$G10+1))))</f>
        <v>0</v>
      </c>
      <c r="AN10" s="21">
        <f t="shared" si="20"/>
        <v>0</v>
      </c>
      <c r="AO10" s="21">
        <f t="shared" si="20"/>
        <v>0</v>
      </c>
      <c r="AP10" s="21">
        <f t="shared" si="20"/>
        <v>0</v>
      </c>
      <c r="AQ10" s="21">
        <f t="shared" si="20"/>
        <v>0</v>
      </c>
      <c r="AR10" s="21">
        <f t="shared" si="20"/>
        <v>0</v>
      </c>
      <c r="AS10" s="21">
        <f t="shared" si="20"/>
        <v>0</v>
      </c>
      <c r="AT10" s="21">
        <f t="shared" si="20"/>
        <v>0</v>
      </c>
      <c r="AU10" s="21">
        <f t="shared" si="20"/>
        <v>0</v>
      </c>
      <c r="AV10" s="21">
        <f t="shared" si="20"/>
        <v>0</v>
      </c>
      <c r="AW10" s="21">
        <f t="shared" si="20"/>
        <v>0</v>
      </c>
      <c r="AX10" s="21">
        <f t="shared" si="20"/>
        <v>0</v>
      </c>
      <c r="AY10" s="21">
        <f t="shared" si="20"/>
        <v>0</v>
      </c>
      <c r="AZ10" s="21">
        <f t="shared" si="20"/>
        <v>0</v>
      </c>
      <c r="BA10" s="21">
        <f t="shared" si="20"/>
        <v>0</v>
      </c>
      <c r="BB10" s="21">
        <f t="shared" si="20"/>
        <v>0</v>
      </c>
      <c r="BC10" s="21">
        <f t="shared" si="20"/>
        <v>0</v>
      </c>
      <c r="BD10" s="21">
        <f t="shared" si="20"/>
        <v>0</v>
      </c>
      <c r="BE10" s="21">
        <f t="shared" si="20"/>
        <v>0</v>
      </c>
      <c r="BF10" s="21">
        <f t="shared" si="20"/>
        <v>0</v>
      </c>
      <c r="BG10" s="21">
        <f t="shared" si="20"/>
        <v>0</v>
      </c>
      <c r="BH10" s="21">
        <f t="shared" si="20"/>
        <v>0</v>
      </c>
      <c r="BI10" s="21">
        <f t="shared" si="20"/>
        <v>0</v>
      </c>
      <c r="BJ10" s="21">
        <f t="shared" si="20"/>
        <v>0</v>
      </c>
      <c r="BK10" s="21">
        <f t="shared" si="20"/>
        <v>0</v>
      </c>
      <c r="BL10" s="21">
        <f t="shared" si="20"/>
        <v>0</v>
      </c>
      <c r="BM10" s="21">
        <f t="shared" si="20"/>
        <v>0</v>
      </c>
      <c r="BN10" s="21">
        <f t="shared" si="20"/>
        <v>0</v>
      </c>
      <c r="BO10" s="21">
        <f t="shared" si="20"/>
        <v>0</v>
      </c>
      <c r="BP10" s="21">
        <f t="shared" si="20"/>
        <v>0</v>
      </c>
      <c r="BQ10" s="21">
        <f t="shared" si="20"/>
        <v>0</v>
      </c>
      <c r="BR10" s="21">
        <f t="shared" si="20"/>
        <v>0</v>
      </c>
      <c r="BS10" s="21">
        <f t="shared" si="20"/>
        <v>0</v>
      </c>
      <c r="BT10" s="21">
        <f t="shared" si="20"/>
        <v>0</v>
      </c>
      <c r="BU10" s="21">
        <f t="shared" si="20"/>
        <v>0</v>
      </c>
      <c r="BV10" s="21">
        <f t="shared" si="20"/>
        <v>0</v>
      </c>
      <c r="BW10" s="21">
        <f t="shared" si="20"/>
        <v>0</v>
      </c>
      <c r="BX10" s="21">
        <f t="shared" si="20"/>
        <v>0</v>
      </c>
      <c r="BY10" s="21">
        <f t="shared" si="20"/>
        <v>0</v>
      </c>
      <c r="BZ10" s="21">
        <f t="shared" si="20"/>
        <v>0</v>
      </c>
      <c r="CA10" s="21">
        <f t="shared" si="20"/>
        <v>0</v>
      </c>
      <c r="CB10" s="21">
        <f t="shared" si="20"/>
        <v>0</v>
      </c>
      <c r="CC10" s="21">
        <f t="shared" si="20"/>
        <v>0</v>
      </c>
      <c r="CD10" s="21">
        <f t="shared" si="20"/>
        <v>0</v>
      </c>
      <c r="CE10" s="21">
        <f t="shared" si="20"/>
        <v>0</v>
      </c>
      <c r="CF10" s="21">
        <f t="shared" si="20"/>
        <v>0</v>
      </c>
      <c r="CG10" s="21">
        <f t="shared" si="20"/>
        <v>0</v>
      </c>
      <c r="CH10" s="21">
        <f t="shared" si="20"/>
        <v>0</v>
      </c>
      <c r="CI10" s="21">
        <f t="shared" si="20"/>
        <v>0</v>
      </c>
      <c r="CJ10" s="21">
        <f t="shared" si="20"/>
        <v>0</v>
      </c>
      <c r="CK10" s="21">
        <f t="shared" si="20"/>
        <v>0</v>
      </c>
      <c r="CL10" s="21">
        <f t="shared" si="20"/>
        <v>0</v>
      </c>
      <c r="CM10" s="21">
        <f t="shared" si="20"/>
        <v>0</v>
      </c>
      <c r="CN10" s="21">
        <f t="shared" si="20"/>
        <v>0</v>
      </c>
      <c r="CO10" s="21">
        <f t="shared" si="20"/>
        <v>0</v>
      </c>
      <c r="CP10" s="21">
        <f t="shared" si="20"/>
        <v>0</v>
      </c>
      <c r="CQ10" s="21">
        <f t="shared" si="20"/>
        <v>0</v>
      </c>
      <c r="CR10" s="21">
        <f t="shared" si="20"/>
        <v>0</v>
      </c>
      <c r="CS10" s="21">
        <f t="shared" si="20"/>
        <v>0</v>
      </c>
      <c r="CT10" s="21">
        <f t="shared" si="20"/>
        <v>0</v>
      </c>
      <c r="CU10" s="21">
        <f t="shared" si="20"/>
        <v>0</v>
      </c>
      <c r="CV10" s="21">
        <f t="shared" si="20"/>
        <v>0</v>
      </c>
      <c r="CW10" s="21">
        <f t="shared" si="20"/>
        <v>0</v>
      </c>
      <c r="CX10" s="21">
        <f t="shared" si="20"/>
        <v>0</v>
      </c>
      <c r="CY10" s="21">
        <f t="shared" si="20"/>
        <v>0</v>
      </c>
      <c r="CZ10" s="21">
        <f t="shared" si="20"/>
        <v>0</v>
      </c>
      <c r="DA10" s="21">
        <f t="shared" si="20"/>
        <v>0</v>
      </c>
      <c r="DB10" s="21">
        <f t="shared" si="20"/>
        <v>0</v>
      </c>
      <c r="DC10" s="21">
        <f t="shared" ref="DC10:DR11" si="21">IF(AND($G10=DC$4,$H10=DC$4),$E10,IF($G10&gt;DC$4,0,IF($H10&lt;DC$4,0,$E10/($H10-$G10+1))))</f>
        <v>0</v>
      </c>
      <c r="DD10" s="21">
        <f t="shared" si="21"/>
        <v>0</v>
      </c>
      <c r="DE10" s="21">
        <f t="shared" si="21"/>
        <v>0</v>
      </c>
      <c r="DF10" s="21">
        <f t="shared" si="21"/>
        <v>0</v>
      </c>
      <c r="DG10" s="21">
        <f t="shared" si="21"/>
        <v>0</v>
      </c>
      <c r="DH10" s="21">
        <f t="shared" si="21"/>
        <v>0</v>
      </c>
      <c r="DI10" s="21">
        <f t="shared" si="21"/>
        <v>0</v>
      </c>
      <c r="DJ10" s="21">
        <f t="shared" si="21"/>
        <v>0</v>
      </c>
      <c r="DK10" s="21">
        <f t="shared" si="21"/>
        <v>0</v>
      </c>
      <c r="DL10" s="21">
        <f t="shared" si="21"/>
        <v>0</v>
      </c>
      <c r="DM10" s="21">
        <f t="shared" si="21"/>
        <v>0</v>
      </c>
      <c r="DN10" s="21">
        <f t="shared" si="21"/>
        <v>0</v>
      </c>
      <c r="DO10" s="21">
        <f t="shared" si="21"/>
        <v>0</v>
      </c>
      <c r="DP10" s="21">
        <f t="shared" si="21"/>
        <v>0</v>
      </c>
      <c r="DQ10" s="21">
        <f t="shared" si="21"/>
        <v>0</v>
      </c>
      <c r="DR10" s="21">
        <f t="shared" si="21"/>
        <v>0</v>
      </c>
      <c r="DS10" s="21">
        <f t="shared" ref="DS10:EL11" si="22">IF(AND($G10=DS$4,$H10=DS$4),$E10,IF($G10&gt;DS$4,0,IF($H10&lt;DS$4,0,$E10/($H10-$G10+1))))</f>
        <v>0</v>
      </c>
      <c r="DT10" s="21">
        <f t="shared" si="22"/>
        <v>0</v>
      </c>
      <c r="DU10" s="21">
        <f t="shared" si="22"/>
        <v>0</v>
      </c>
      <c r="DV10" s="21">
        <f t="shared" si="22"/>
        <v>0</v>
      </c>
      <c r="DW10" s="21">
        <f t="shared" si="22"/>
        <v>0</v>
      </c>
      <c r="DX10" s="21">
        <f t="shared" si="22"/>
        <v>0</v>
      </c>
      <c r="DY10" s="21">
        <f t="shared" si="22"/>
        <v>0</v>
      </c>
      <c r="DZ10" s="21">
        <f t="shared" si="22"/>
        <v>0</v>
      </c>
      <c r="EA10" s="21">
        <f t="shared" si="22"/>
        <v>0</v>
      </c>
      <c r="EB10" s="21">
        <f t="shared" si="22"/>
        <v>0</v>
      </c>
      <c r="EC10" s="21">
        <f t="shared" si="22"/>
        <v>0</v>
      </c>
      <c r="ED10" s="21">
        <f t="shared" si="22"/>
        <v>0</v>
      </c>
      <c r="EE10" s="21">
        <f t="shared" si="22"/>
        <v>0</v>
      </c>
      <c r="EF10" s="21">
        <f t="shared" si="22"/>
        <v>0</v>
      </c>
      <c r="EG10" s="21">
        <f t="shared" si="22"/>
        <v>0</v>
      </c>
      <c r="EH10" s="21">
        <f t="shared" si="22"/>
        <v>0</v>
      </c>
      <c r="EI10" s="21">
        <f t="shared" si="22"/>
        <v>0</v>
      </c>
      <c r="EJ10" s="21">
        <f t="shared" si="22"/>
        <v>0</v>
      </c>
      <c r="EK10" s="21">
        <f t="shared" si="22"/>
        <v>0</v>
      </c>
      <c r="EL10" s="21">
        <f t="shared" si="22"/>
        <v>0</v>
      </c>
    </row>
    <row r="11" spans="2:142" x14ac:dyDescent="0.45">
      <c r="B11" s="1" t="s">
        <v>6</v>
      </c>
      <c r="D11" s="14">
        <v>0.1</v>
      </c>
      <c r="E11" s="6">
        <f>+D11*SUM(E5:E10)</f>
        <v>3150</v>
      </c>
      <c r="G11" s="22">
        <f>+H11</f>
        <v>0</v>
      </c>
      <c r="H11" s="22">
        <f>MAX(H5:H10)</f>
        <v>0</v>
      </c>
      <c r="I11" s="21"/>
      <c r="J11" s="21">
        <f>IF(AND($G11=J$4,$H11=J$4),$E11,IF($G11&gt;J$4,0,IF($H11&lt;J$4,0,$E11/($H11-$G11+1))))</f>
        <v>3150</v>
      </c>
      <c r="K11" s="21">
        <f t="shared" si="13"/>
        <v>0</v>
      </c>
      <c r="L11" s="21">
        <f t="shared" si="13"/>
        <v>0</v>
      </c>
      <c r="M11" s="21">
        <f t="shared" si="13"/>
        <v>0</v>
      </c>
      <c r="N11" s="21">
        <f t="shared" si="13"/>
        <v>0</v>
      </c>
      <c r="O11" s="21">
        <f t="shared" si="13"/>
        <v>0</v>
      </c>
      <c r="P11" s="21">
        <f t="shared" si="13"/>
        <v>0</v>
      </c>
      <c r="Q11" s="21">
        <f t="shared" si="13"/>
        <v>0</v>
      </c>
      <c r="R11" s="21">
        <f t="shared" si="13"/>
        <v>0</v>
      </c>
      <c r="S11" s="21">
        <f t="shared" si="13"/>
        <v>0</v>
      </c>
      <c r="T11" s="21">
        <f t="shared" si="13"/>
        <v>0</v>
      </c>
      <c r="U11" s="21">
        <f t="shared" si="13"/>
        <v>0</v>
      </c>
      <c r="V11" s="21">
        <f t="shared" si="13"/>
        <v>0</v>
      </c>
      <c r="W11" s="21">
        <f t="shared" si="13"/>
        <v>0</v>
      </c>
      <c r="X11" s="21">
        <f t="shared" si="13"/>
        <v>0</v>
      </c>
      <c r="Y11" s="21">
        <f t="shared" si="13"/>
        <v>0</v>
      </c>
      <c r="Z11" s="21">
        <f t="shared" si="13"/>
        <v>0</v>
      </c>
      <c r="AA11" s="21">
        <f t="shared" si="19"/>
        <v>0</v>
      </c>
      <c r="AB11" s="21">
        <f t="shared" si="19"/>
        <v>0</v>
      </c>
      <c r="AC11" s="21">
        <f t="shared" si="19"/>
        <v>0</v>
      </c>
      <c r="AD11" s="21">
        <f t="shared" si="19"/>
        <v>0</v>
      </c>
      <c r="AE11" s="21">
        <f t="shared" si="19"/>
        <v>0</v>
      </c>
      <c r="AF11" s="21">
        <f t="shared" si="19"/>
        <v>0</v>
      </c>
      <c r="AG11" s="21">
        <f t="shared" si="19"/>
        <v>0</v>
      </c>
      <c r="AH11" s="21">
        <f t="shared" si="19"/>
        <v>0</v>
      </c>
      <c r="AI11" s="21">
        <f t="shared" si="19"/>
        <v>0</v>
      </c>
      <c r="AJ11" s="21">
        <f t="shared" si="19"/>
        <v>0</v>
      </c>
      <c r="AK11" s="21">
        <f t="shared" si="19"/>
        <v>0</v>
      </c>
      <c r="AL11" s="21">
        <f t="shared" si="19"/>
        <v>0</v>
      </c>
      <c r="AM11" s="21">
        <f t="shared" si="20"/>
        <v>0</v>
      </c>
      <c r="AN11" s="21">
        <f t="shared" si="20"/>
        <v>0</v>
      </c>
      <c r="AO11" s="21">
        <f t="shared" si="20"/>
        <v>0</v>
      </c>
      <c r="AP11" s="21">
        <f t="shared" si="20"/>
        <v>0</v>
      </c>
      <c r="AQ11" s="21">
        <f t="shared" si="20"/>
        <v>0</v>
      </c>
      <c r="AR11" s="21">
        <f t="shared" si="20"/>
        <v>0</v>
      </c>
      <c r="AS11" s="21">
        <f t="shared" si="20"/>
        <v>0</v>
      </c>
      <c r="AT11" s="21">
        <f t="shared" si="20"/>
        <v>0</v>
      </c>
      <c r="AU11" s="21">
        <f t="shared" si="20"/>
        <v>0</v>
      </c>
      <c r="AV11" s="21">
        <f t="shared" si="20"/>
        <v>0</v>
      </c>
      <c r="AW11" s="21">
        <f t="shared" si="20"/>
        <v>0</v>
      </c>
      <c r="AX11" s="21">
        <f t="shared" si="20"/>
        <v>0</v>
      </c>
      <c r="AY11" s="21">
        <f t="shared" si="20"/>
        <v>0</v>
      </c>
      <c r="AZ11" s="21">
        <f t="shared" si="20"/>
        <v>0</v>
      </c>
      <c r="BA11" s="21">
        <f t="shared" si="20"/>
        <v>0</v>
      </c>
      <c r="BB11" s="21">
        <f t="shared" si="20"/>
        <v>0</v>
      </c>
      <c r="BC11" s="21">
        <f t="shared" si="20"/>
        <v>0</v>
      </c>
      <c r="BD11" s="21">
        <f t="shared" si="20"/>
        <v>0</v>
      </c>
      <c r="BE11" s="21">
        <f t="shared" si="20"/>
        <v>0</v>
      </c>
      <c r="BF11" s="21">
        <f t="shared" si="20"/>
        <v>0</v>
      </c>
      <c r="BG11" s="21">
        <f t="shared" si="20"/>
        <v>0</v>
      </c>
      <c r="BH11" s="21">
        <f t="shared" si="20"/>
        <v>0</v>
      </c>
      <c r="BI11" s="21">
        <f t="shared" si="20"/>
        <v>0</v>
      </c>
      <c r="BJ11" s="21">
        <f t="shared" si="20"/>
        <v>0</v>
      </c>
      <c r="BK11" s="21">
        <f t="shared" si="20"/>
        <v>0</v>
      </c>
      <c r="BL11" s="21">
        <f t="shared" si="20"/>
        <v>0</v>
      </c>
      <c r="BM11" s="21">
        <f t="shared" si="20"/>
        <v>0</v>
      </c>
      <c r="BN11" s="21">
        <f t="shared" ref="BN11:DB11" si="23">IF(AND($G11=BN$4,$H11=BN$4),$E11,IF($G11&gt;BN$4,0,IF($H11&lt;BN$4,0,$E11/($H11-$G11+1))))</f>
        <v>0</v>
      </c>
      <c r="BO11" s="21">
        <f t="shared" si="23"/>
        <v>0</v>
      </c>
      <c r="BP11" s="21">
        <f t="shared" si="23"/>
        <v>0</v>
      </c>
      <c r="BQ11" s="21">
        <f t="shared" si="23"/>
        <v>0</v>
      </c>
      <c r="BR11" s="21">
        <f t="shared" si="23"/>
        <v>0</v>
      </c>
      <c r="BS11" s="21">
        <f t="shared" si="23"/>
        <v>0</v>
      </c>
      <c r="BT11" s="21">
        <f t="shared" si="23"/>
        <v>0</v>
      </c>
      <c r="BU11" s="21">
        <f t="shared" si="23"/>
        <v>0</v>
      </c>
      <c r="BV11" s="21">
        <f t="shared" si="23"/>
        <v>0</v>
      </c>
      <c r="BW11" s="21">
        <f t="shared" si="23"/>
        <v>0</v>
      </c>
      <c r="BX11" s="21">
        <f t="shared" si="23"/>
        <v>0</v>
      </c>
      <c r="BY11" s="21">
        <f t="shared" si="23"/>
        <v>0</v>
      </c>
      <c r="BZ11" s="21">
        <f t="shared" si="23"/>
        <v>0</v>
      </c>
      <c r="CA11" s="21">
        <f t="shared" si="23"/>
        <v>0</v>
      </c>
      <c r="CB11" s="21">
        <f t="shared" si="23"/>
        <v>0</v>
      </c>
      <c r="CC11" s="21">
        <f t="shared" si="23"/>
        <v>0</v>
      </c>
      <c r="CD11" s="21">
        <f t="shared" si="23"/>
        <v>0</v>
      </c>
      <c r="CE11" s="21">
        <f t="shared" si="23"/>
        <v>0</v>
      </c>
      <c r="CF11" s="21">
        <f t="shared" si="23"/>
        <v>0</v>
      </c>
      <c r="CG11" s="21">
        <f t="shared" si="23"/>
        <v>0</v>
      </c>
      <c r="CH11" s="21">
        <f t="shared" si="23"/>
        <v>0</v>
      </c>
      <c r="CI11" s="21">
        <f t="shared" si="23"/>
        <v>0</v>
      </c>
      <c r="CJ11" s="21">
        <f t="shared" si="23"/>
        <v>0</v>
      </c>
      <c r="CK11" s="21">
        <f t="shared" si="23"/>
        <v>0</v>
      </c>
      <c r="CL11" s="21">
        <f t="shared" si="23"/>
        <v>0</v>
      </c>
      <c r="CM11" s="21">
        <f t="shared" si="23"/>
        <v>0</v>
      </c>
      <c r="CN11" s="21">
        <f t="shared" si="23"/>
        <v>0</v>
      </c>
      <c r="CO11" s="21">
        <f t="shared" si="23"/>
        <v>0</v>
      </c>
      <c r="CP11" s="21">
        <f t="shared" si="23"/>
        <v>0</v>
      </c>
      <c r="CQ11" s="21">
        <f t="shared" si="23"/>
        <v>0</v>
      </c>
      <c r="CR11" s="21">
        <f t="shared" si="23"/>
        <v>0</v>
      </c>
      <c r="CS11" s="21">
        <f t="shared" si="23"/>
        <v>0</v>
      </c>
      <c r="CT11" s="21">
        <f t="shared" si="23"/>
        <v>0</v>
      </c>
      <c r="CU11" s="21">
        <f t="shared" si="23"/>
        <v>0</v>
      </c>
      <c r="CV11" s="21">
        <f t="shared" si="23"/>
        <v>0</v>
      </c>
      <c r="CW11" s="21">
        <f t="shared" si="23"/>
        <v>0</v>
      </c>
      <c r="CX11" s="21">
        <f t="shared" si="23"/>
        <v>0</v>
      </c>
      <c r="CY11" s="21">
        <f t="shared" si="23"/>
        <v>0</v>
      </c>
      <c r="CZ11" s="21">
        <f t="shared" si="23"/>
        <v>0</v>
      </c>
      <c r="DA11" s="21">
        <f t="shared" si="23"/>
        <v>0</v>
      </c>
      <c r="DB11" s="21">
        <f t="shared" si="23"/>
        <v>0</v>
      </c>
      <c r="DC11" s="21">
        <f t="shared" si="21"/>
        <v>0</v>
      </c>
      <c r="DD11" s="21">
        <f t="shared" si="21"/>
        <v>0</v>
      </c>
      <c r="DE11" s="21">
        <f t="shared" si="21"/>
        <v>0</v>
      </c>
      <c r="DF11" s="21">
        <f t="shared" si="21"/>
        <v>0</v>
      </c>
      <c r="DG11" s="21">
        <f t="shared" si="21"/>
        <v>0</v>
      </c>
      <c r="DH11" s="21">
        <f t="shared" si="21"/>
        <v>0</v>
      </c>
      <c r="DI11" s="21">
        <f t="shared" si="21"/>
        <v>0</v>
      </c>
      <c r="DJ11" s="21">
        <f t="shared" si="21"/>
        <v>0</v>
      </c>
      <c r="DK11" s="21">
        <f t="shared" si="21"/>
        <v>0</v>
      </c>
      <c r="DL11" s="21">
        <f t="shared" si="21"/>
        <v>0</v>
      </c>
      <c r="DM11" s="21">
        <f t="shared" si="21"/>
        <v>0</v>
      </c>
      <c r="DN11" s="21">
        <f t="shared" si="21"/>
        <v>0</v>
      </c>
      <c r="DO11" s="21">
        <f t="shared" si="21"/>
        <v>0</v>
      </c>
      <c r="DP11" s="21">
        <f t="shared" si="21"/>
        <v>0</v>
      </c>
      <c r="DQ11" s="21">
        <f t="shared" si="21"/>
        <v>0</v>
      </c>
      <c r="DR11" s="21">
        <f t="shared" si="21"/>
        <v>0</v>
      </c>
      <c r="DS11" s="21">
        <f t="shared" si="22"/>
        <v>0</v>
      </c>
      <c r="DT11" s="21">
        <f t="shared" si="22"/>
        <v>0</v>
      </c>
      <c r="DU11" s="21">
        <f t="shared" si="22"/>
        <v>0</v>
      </c>
      <c r="DV11" s="21">
        <f t="shared" si="22"/>
        <v>0</v>
      </c>
      <c r="DW11" s="21">
        <f t="shared" si="22"/>
        <v>0</v>
      </c>
      <c r="DX11" s="21">
        <f t="shared" si="22"/>
        <v>0</v>
      </c>
      <c r="DY11" s="21">
        <f t="shared" si="22"/>
        <v>0</v>
      </c>
      <c r="DZ11" s="21">
        <f t="shared" si="22"/>
        <v>0</v>
      </c>
      <c r="EA11" s="21">
        <f t="shared" si="22"/>
        <v>0</v>
      </c>
      <c r="EB11" s="21">
        <f t="shared" si="22"/>
        <v>0</v>
      </c>
      <c r="EC11" s="21">
        <f t="shared" si="22"/>
        <v>0</v>
      </c>
      <c r="ED11" s="21">
        <f t="shared" si="22"/>
        <v>0</v>
      </c>
      <c r="EE11" s="21">
        <f t="shared" si="22"/>
        <v>0</v>
      </c>
      <c r="EF11" s="21">
        <f t="shared" si="22"/>
        <v>0</v>
      </c>
      <c r="EG11" s="21">
        <f t="shared" si="22"/>
        <v>0</v>
      </c>
      <c r="EH11" s="21">
        <f t="shared" si="22"/>
        <v>0</v>
      </c>
      <c r="EI11" s="21">
        <f t="shared" si="22"/>
        <v>0</v>
      </c>
      <c r="EJ11" s="21">
        <f t="shared" si="22"/>
        <v>0</v>
      </c>
      <c r="EK11" s="21">
        <f t="shared" si="22"/>
        <v>0</v>
      </c>
      <c r="EL11" s="21">
        <f t="shared" si="22"/>
        <v>0</v>
      </c>
    </row>
    <row r="12" spans="2:142" x14ac:dyDescent="0.45">
      <c r="B12" s="4" t="s">
        <v>19</v>
      </c>
      <c r="C12" s="4"/>
      <c r="D12" s="4"/>
      <c r="E12" s="7">
        <f>SUM(E5:E11)</f>
        <v>34650</v>
      </c>
      <c r="F12" s="11"/>
      <c r="I12" s="21"/>
      <c r="J12" s="23">
        <f t="shared" ref="J12:AO12" si="24">SUM(J5:J11)</f>
        <v>34650</v>
      </c>
      <c r="K12" s="23">
        <f t="shared" si="24"/>
        <v>0</v>
      </c>
      <c r="L12" s="23">
        <f t="shared" si="24"/>
        <v>0</v>
      </c>
      <c r="M12" s="23">
        <f t="shared" si="24"/>
        <v>0</v>
      </c>
      <c r="N12" s="23">
        <f t="shared" si="24"/>
        <v>0</v>
      </c>
      <c r="O12" s="23">
        <f t="shared" si="24"/>
        <v>0</v>
      </c>
      <c r="P12" s="23">
        <f t="shared" si="24"/>
        <v>0</v>
      </c>
      <c r="Q12" s="23">
        <f t="shared" si="24"/>
        <v>0</v>
      </c>
      <c r="R12" s="23">
        <f t="shared" si="24"/>
        <v>0</v>
      </c>
      <c r="S12" s="23">
        <f t="shared" si="24"/>
        <v>0</v>
      </c>
      <c r="T12" s="23">
        <f t="shared" si="24"/>
        <v>0</v>
      </c>
      <c r="U12" s="23">
        <f t="shared" si="24"/>
        <v>0</v>
      </c>
      <c r="V12" s="23">
        <f t="shared" si="24"/>
        <v>0</v>
      </c>
      <c r="W12" s="23">
        <f t="shared" si="24"/>
        <v>0</v>
      </c>
      <c r="X12" s="23">
        <f t="shared" si="24"/>
        <v>0</v>
      </c>
      <c r="Y12" s="23">
        <f t="shared" si="24"/>
        <v>0</v>
      </c>
      <c r="Z12" s="23">
        <f t="shared" si="24"/>
        <v>0</v>
      </c>
      <c r="AA12" s="23">
        <f t="shared" si="24"/>
        <v>0</v>
      </c>
      <c r="AB12" s="23">
        <f t="shared" si="24"/>
        <v>0</v>
      </c>
      <c r="AC12" s="23">
        <f t="shared" si="24"/>
        <v>0</v>
      </c>
      <c r="AD12" s="23">
        <f t="shared" si="24"/>
        <v>0</v>
      </c>
      <c r="AE12" s="23">
        <f t="shared" si="24"/>
        <v>0</v>
      </c>
      <c r="AF12" s="23">
        <f t="shared" si="24"/>
        <v>0</v>
      </c>
      <c r="AG12" s="23">
        <f t="shared" si="24"/>
        <v>0</v>
      </c>
      <c r="AH12" s="23">
        <f t="shared" si="24"/>
        <v>0</v>
      </c>
      <c r="AI12" s="23">
        <f t="shared" si="24"/>
        <v>0</v>
      </c>
      <c r="AJ12" s="23">
        <f t="shared" si="24"/>
        <v>0</v>
      </c>
      <c r="AK12" s="23">
        <f t="shared" si="24"/>
        <v>0</v>
      </c>
      <c r="AL12" s="23">
        <f t="shared" si="24"/>
        <v>0</v>
      </c>
      <c r="AM12" s="23">
        <f t="shared" si="24"/>
        <v>0</v>
      </c>
      <c r="AN12" s="23">
        <f t="shared" si="24"/>
        <v>0</v>
      </c>
      <c r="AO12" s="23">
        <f t="shared" si="24"/>
        <v>0</v>
      </c>
      <c r="AP12" s="23">
        <f t="shared" ref="AP12:BU12" si="25">SUM(AP5:AP11)</f>
        <v>0</v>
      </c>
      <c r="AQ12" s="23">
        <f t="shared" si="25"/>
        <v>0</v>
      </c>
      <c r="AR12" s="23">
        <f t="shared" si="25"/>
        <v>0</v>
      </c>
      <c r="AS12" s="23">
        <f t="shared" si="25"/>
        <v>0</v>
      </c>
      <c r="AT12" s="23">
        <f t="shared" si="25"/>
        <v>0</v>
      </c>
      <c r="AU12" s="23">
        <f t="shared" si="25"/>
        <v>0</v>
      </c>
      <c r="AV12" s="23">
        <f t="shared" si="25"/>
        <v>0</v>
      </c>
      <c r="AW12" s="23">
        <f t="shared" si="25"/>
        <v>0</v>
      </c>
      <c r="AX12" s="23">
        <f t="shared" si="25"/>
        <v>0</v>
      </c>
      <c r="AY12" s="23">
        <f t="shared" si="25"/>
        <v>0</v>
      </c>
      <c r="AZ12" s="23">
        <f t="shared" si="25"/>
        <v>0</v>
      </c>
      <c r="BA12" s="23">
        <f t="shared" si="25"/>
        <v>0</v>
      </c>
      <c r="BB12" s="23">
        <f t="shared" si="25"/>
        <v>0</v>
      </c>
      <c r="BC12" s="23">
        <f t="shared" si="25"/>
        <v>0</v>
      </c>
      <c r="BD12" s="23">
        <f t="shared" si="25"/>
        <v>0</v>
      </c>
      <c r="BE12" s="23">
        <f t="shared" si="25"/>
        <v>0</v>
      </c>
      <c r="BF12" s="23">
        <f t="shared" si="25"/>
        <v>0</v>
      </c>
      <c r="BG12" s="23">
        <f t="shared" si="25"/>
        <v>0</v>
      </c>
      <c r="BH12" s="23">
        <f t="shared" si="25"/>
        <v>0</v>
      </c>
      <c r="BI12" s="23">
        <f t="shared" si="25"/>
        <v>0</v>
      </c>
      <c r="BJ12" s="23">
        <f t="shared" si="25"/>
        <v>0</v>
      </c>
      <c r="BK12" s="23">
        <f t="shared" si="25"/>
        <v>0</v>
      </c>
      <c r="BL12" s="23">
        <f t="shared" si="25"/>
        <v>0</v>
      </c>
      <c r="BM12" s="23">
        <f t="shared" si="25"/>
        <v>0</v>
      </c>
      <c r="BN12" s="23">
        <f t="shared" si="25"/>
        <v>0</v>
      </c>
      <c r="BO12" s="23">
        <f t="shared" si="25"/>
        <v>0</v>
      </c>
      <c r="BP12" s="23">
        <f t="shared" si="25"/>
        <v>0</v>
      </c>
      <c r="BQ12" s="23">
        <f t="shared" si="25"/>
        <v>0</v>
      </c>
      <c r="BR12" s="23">
        <f t="shared" si="25"/>
        <v>0</v>
      </c>
      <c r="BS12" s="23">
        <f t="shared" si="25"/>
        <v>0</v>
      </c>
      <c r="BT12" s="23">
        <f t="shared" si="25"/>
        <v>0</v>
      </c>
      <c r="BU12" s="23">
        <f t="shared" si="25"/>
        <v>0</v>
      </c>
      <c r="BV12" s="23">
        <f t="shared" ref="BV12:DA12" si="26">SUM(BV5:BV11)</f>
        <v>0</v>
      </c>
      <c r="BW12" s="23">
        <f t="shared" si="26"/>
        <v>0</v>
      </c>
      <c r="BX12" s="23">
        <f t="shared" si="26"/>
        <v>0</v>
      </c>
      <c r="BY12" s="23">
        <f t="shared" si="26"/>
        <v>0</v>
      </c>
      <c r="BZ12" s="23">
        <f t="shared" si="26"/>
        <v>0</v>
      </c>
      <c r="CA12" s="23">
        <f t="shared" si="26"/>
        <v>0</v>
      </c>
      <c r="CB12" s="23">
        <f t="shared" si="26"/>
        <v>0</v>
      </c>
      <c r="CC12" s="23">
        <f t="shared" si="26"/>
        <v>0</v>
      </c>
      <c r="CD12" s="23">
        <f t="shared" si="26"/>
        <v>0</v>
      </c>
      <c r="CE12" s="23">
        <f t="shared" si="26"/>
        <v>0</v>
      </c>
      <c r="CF12" s="23">
        <f t="shared" si="26"/>
        <v>0</v>
      </c>
      <c r="CG12" s="23">
        <f t="shared" si="26"/>
        <v>0</v>
      </c>
      <c r="CH12" s="23">
        <f t="shared" si="26"/>
        <v>0</v>
      </c>
      <c r="CI12" s="23">
        <f t="shared" si="26"/>
        <v>0</v>
      </c>
      <c r="CJ12" s="23">
        <f t="shared" si="26"/>
        <v>0</v>
      </c>
      <c r="CK12" s="23">
        <f t="shared" si="26"/>
        <v>0</v>
      </c>
      <c r="CL12" s="23">
        <f t="shared" si="26"/>
        <v>0</v>
      </c>
      <c r="CM12" s="23">
        <f t="shared" si="26"/>
        <v>0</v>
      </c>
      <c r="CN12" s="23">
        <f t="shared" si="26"/>
        <v>0</v>
      </c>
      <c r="CO12" s="23">
        <f t="shared" si="26"/>
        <v>0</v>
      </c>
      <c r="CP12" s="23">
        <f t="shared" si="26"/>
        <v>0</v>
      </c>
      <c r="CQ12" s="23">
        <f t="shared" si="26"/>
        <v>0</v>
      </c>
      <c r="CR12" s="23">
        <f t="shared" si="26"/>
        <v>0</v>
      </c>
      <c r="CS12" s="23">
        <f t="shared" si="26"/>
        <v>0</v>
      </c>
      <c r="CT12" s="23">
        <f t="shared" si="26"/>
        <v>0</v>
      </c>
      <c r="CU12" s="23">
        <f t="shared" si="26"/>
        <v>0</v>
      </c>
      <c r="CV12" s="23">
        <f t="shared" si="26"/>
        <v>0</v>
      </c>
      <c r="CW12" s="23">
        <f t="shared" si="26"/>
        <v>0</v>
      </c>
      <c r="CX12" s="23">
        <f t="shared" si="26"/>
        <v>0</v>
      </c>
      <c r="CY12" s="23">
        <f t="shared" si="26"/>
        <v>0</v>
      </c>
      <c r="CZ12" s="23">
        <f t="shared" si="26"/>
        <v>0</v>
      </c>
      <c r="DA12" s="23">
        <f t="shared" si="26"/>
        <v>0</v>
      </c>
      <c r="DB12" s="23">
        <f t="shared" ref="DB12:DY12" si="27">SUM(DB5:DB11)</f>
        <v>0</v>
      </c>
      <c r="DC12" s="23">
        <f t="shared" si="27"/>
        <v>0</v>
      </c>
      <c r="DD12" s="23">
        <f t="shared" si="27"/>
        <v>0</v>
      </c>
      <c r="DE12" s="23">
        <f t="shared" si="27"/>
        <v>0</v>
      </c>
      <c r="DF12" s="23">
        <f t="shared" si="27"/>
        <v>0</v>
      </c>
      <c r="DG12" s="23">
        <f t="shared" si="27"/>
        <v>0</v>
      </c>
      <c r="DH12" s="23">
        <f t="shared" si="27"/>
        <v>0</v>
      </c>
      <c r="DI12" s="23">
        <f t="shared" si="27"/>
        <v>0</v>
      </c>
      <c r="DJ12" s="23">
        <f t="shared" si="27"/>
        <v>0</v>
      </c>
      <c r="DK12" s="23">
        <f t="shared" si="27"/>
        <v>0</v>
      </c>
      <c r="DL12" s="23">
        <f t="shared" si="27"/>
        <v>0</v>
      </c>
      <c r="DM12" s="23">
        <f t="shared" si="27"/>
        <v>0</v>
      </c>
      <c r="DN12" s="23">
        <f t="shared" si="27"/>
        <v>0</v>
      </c>
      <c r="DO12" s="23">
        <f t="shared" si="27"/>
        <v>0</v>
      </c>
      <c r="DP12" s="23">
        <f t="shared" si="27"/>
        <v>0</v>
      </c>
      <c r="DQ12" s="23">
        <f t="shared" si="27"/>
        <v>0</v>
      </c>
      <c r="DR12" s="23">
        <f t="shared" si="27"/>
        <v>0</v>
      </c>
      <c r="DS12" s="23">
        <f t="shared" si="27"/>
        <v>0</v>
      </c>
      <c r="DT12" s="23">
        <f t="shared" si="27"/>
        <v>0</v>
      </c>
      <c r="DU12" s="23">
        <f t="shared" si="27"/>
        <v>0</v>
      </c>
      <c r="DV12" s="23">
        <f t="shared" si="27"/>
        <v>0</v>
      </c>
      <c r="DW12" s="23">
        <f t="shared" si="27"/>
        <v>0</v>
      </c>
      <c r="DX12" s="23">
        <f t="shared" si="27"/>
        <v>0</v>
      </c>
      <c r="DY12" s="23">
        <f t="shared" si="27"/>
        <v>0</v>
      </c>
      <c r="DZ12" s="23">
        <f t="shared" ref="DZ12:EL12" si="28">SUM(DZ5:DZ11)</f>
        <v>0</v>
      </c>
      <c r="EA12" s="23">
        <f t="shared" si="28"/>
        <v>0</v>
      </c>
      <c r="EB12" s="23">
        <f t="shared" si="28"/>
        <v>0</v>
      </c>
      <c r="EC12" s="23">
        <f t="shared" si="28"/>
        <v>0</v>
      </c>
      <c r="ED12" s="23">
        <f t="shared" si="28"/>
        <v>0</v>
      </c>
      <c r="EE12" s="23">
        <f t="shared" si="28"/>
        <v>0</v>
      </c>
      <c r="EF12" s="23">
        <f t="shared" si="28"/>
        <v>0</v>
      </c>
      <c r="EG12" s="23">
        <f t="shared" si="28"/>
        <v>0</v>
      </c>
      <c r="EH12" s="23">
        <f t="shared" si="28"/>
        <v>0</v>
      </c>
      <c r="EI12" s="23">
        <f t="shared" si="28"/>
        <v>0</v>
      </c>
      <c r="EJ12" s="23">
        <f t="shared" si="28"/>
        <v>0</v>
      </c>
      <c r="EK12" s="23">
        <f t="shared" si="28"/>
        <v>0</v>
      </c>
      <c r="EL12" s="23">
        <f t="shared" si="28"/>
        <v>0</v>
      </c>
    </row>
    <row r="13" spans="2:142" x14ac:dyDescent="0.45"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</row>
    <row r="14" spans="2:142" x14ac:dyDescent="0.45"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</row>
    <row r="15" spans="2:142" x14ac:dyDescent="0.45"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BB6F-5726-4DC6-8C5A-2E8B4AB3FACC}">
  <sheetPr>
    <tabColor theme="1" tint="0.499984740745262"/>
  </sheetPr>
  <dimension ref="B4:EL15"/>
  <sheetViews>
    <sheetView showGridLines="0" zoomScaleNormal="100" workbookViewId="0">
      <selection activeCell="E9" sqref="E9"/>
    </sheetView>
  </sheetViews>
  <sheetFormatPr defaultColWidth="9.1328125" defaultRowHeight="12.75" x14ac:dyDescent="0.45"/>
  <cols>
    <col min="1" max="1" width="9.1328125" style="1"/>
    <col min="2" max="2" width="23.1328125" style="1" bestFit="1" customWidth="1"/>
    <col min="3" max="3" width="9.1328125" style="1"/>
    <col min="4" max="4" width="11" style="1" bestFit="1" customWidth="1"/>
    <col min="5" max="5" width="11.46484375" style="6" bestFit="1" customWidth="1"/>
    <col min="6" max="6" width="3.796875" style="6" customWidth="1"/>
    <col min="7" max="8" width="9.1328125" style="12"/>
    <col min="9" max="9" width="3.796875" style="1" customWidth="1"/>
    <col min="10" max="10" width="9.86328125" style="1" bestFit="1" customWidth="1"/>
    <col min="11" max="14" width="9.1328125" style="1"/>
    <col min="15" max="15" width="9.86328125" style="1" bestFit="1" customWidth="1"/>
    <col min="16" max="109" width="9.1328125" style="1"/>
    <col min="110" max="110" width="9.53125" style="1" bestFit="1" customWidth="1"/>
    <col min="111" max="142" width="9.53125" style="1" customWidth="1"/>
    <col min="143" max="16384" width="9.1328125" style="1"/>
  </cols>
  <sheetData>
    <row r="4" spans="2:142" x14ac:dyDescent="0.45">
      <c r="B4" s="8" t="str">
        <f>Assumptions!$B$14</f>
        <v>Reserves</v>
      </c>
      <c r="G4" s="12" t="s">
        <v>7</v>
      </c>
      <c r="H4" s="12" t="s">
        <v>8</v>
      </c>
      <c r="I4" s="20"/>
      <c r="J4" s="20">
        <f>+Model!G4</f>
        <v>0</v>
      </c>
      <c r="K4" s="20">
        <f>+Model!H4</f>
        <v>1</v>
      </c>
      <c r="L4" s="20">
        <f>+Model!I4</f>
        <v>2</v>
      </c>
      <c r="M4" s="20">
        <f>+Model!J4</f>
        <v>3</v>
      </c>
      <c r="N4" s="20">
        <f>+Model!K4</f>
        <v>4</v>
      </c>
      <c r="O4" s="20">
        <f>+Model!L4</f>
        <v>5</v>
      </c>
      <c r="P4" s="20">
        <f>+Model!M4</f>
        <v>6</v>
      </c>
      <c r="Q4" s="20">
        <f>+Model!N4</f>
        <v>7</v>
      </c>
      <c r="R4" s="20">
        <f>+Model!O4</f>
        <v>8</v>
      </c>
      <c r="S4" s="20">
        <f>+Model!P4</f>
        <v>9</v>
      </c>
      <c r="T4" s="20">
        <f>+Model!Q4</f>
        <v>10</v>
      </c>
      <c r="U4" s="20">
        <f>+Model!R4</f>
        <v>11</v>
      </c>
      <c r="V4" s="20">
        <f>+Model!S4</f>
        <v>12</v>
      </c>
      <c r="W4" s="20">
        <f>+Model!T4</f>
        <v>13</v>
      </c>
      <c r="X4" s="20">
        <f>+Model!U4</f>
        <v>14</v>
      </c>
      <c r="Y4" s="20">
        <f>+Model!V4</f>
        <v>15</v>
      </c>
      <c r="Z4" s="20">
        <f>+Model!W4</f>
        <v>16</v>
      </c>
      <c r="AA4" s="20">
        <f>+Model!X4</f>
        <v>17</v>
      </c>
      <c r="AB4" s="20">
        <f>+Model!Y4</f>
        <v>18</v>
      </c>
      <c r="AC4" s="20">
        <f>+Model!Z4</f>
        <v>19</v>
      </c>
      <c r="AD4" s="20">
        <f>+Model!AA4</f>
        <v>20</v>
      </c>
      <c r="AE4" s="20">
        <f>+Model!AB4</f>
        <v>21</v>
      </c>
      <c r="AF4" s="20">
        <f>+Model!AC4</f>
        <v>22</v>
      </c>
      <c r="AG4" s="20">
        <f>+Model!AD4</f>
        <v>23</v>
      </c>
      <c r="AH4" s="20">
        <f>+Model!AE4</f>
        <v>24</v>
      </c>
      <c r="AI4" s="20">
        <f>+Model!AF4</f>
        <v>25</v>
      </c>
      <c r="AJ4" s="20">
        <f>+Model!AG4</f>
        <v>26</v>
      </c>
      <c r="AK4" s="20">
        <f>+Model!AH4</f>
        <v>27</v>
      </c>
      <c r="AL4" s="20">
        <f>+Model!AI4</f>
        <v>28</v>
      </c>
      <c r="AM4" s="20">
        <f>+Model!AJ4</f>
        <v>29</v>
      </c>
      <c r="AN4" s="20">
        <f>+Model!AK4</f>
        <v>30</v>
      </c>
      <c r="AO4" s="20">
        <f>+Model!AL4</f>
        <v>31</v>
      </c>
      <c r="AP4" s="20">
        <f>+Model!AM4</f>
        <v>32</v>
      </c>
      <c r="AQ4" s="20">
        <f>+Model!AN4</f>
        <v>33</v>
      </c>
      <c r="AR4" s="20">
        <f>+Model!AO4</f>
        <v>34</v>
      </c>
      <c r="AS4" s="20">
        <f>+Model!AP4</f>
        <v>35</v>
      </c>
      <c r="AT4" s="20">
        <f>+Model!AQ4</f>
        <v>36</v>
      </c>
      <c r="AU4" s="20">
        <f>+Model!AR4</f>
        <v>37</v>
      </c>
      <c r="AV4" s="20">
        <f>+Model!AS4</f>
        <v>38</v>
      </c>
      <c r="AW4" s="20">
        <f>+Model!AT4</f>
        <v>39</v>
      </c>
      <c r="AX4" s="20">
        <f>+Model!AU4</f>
        <v>40</v>
      </c>
      <c r="AY4" s="20">
        <f>+Model!AV4</f>
        <v>41</v>
      </c>
      <c r="AZ4" s="20">
        <f>+Model!AW4</f>
        <v>42</v>
      </c>
      <c r="BA4" s="20">
        <f>+Model!AX4</f>
        <v>43</v>
      </c>
      <c r="BB4" s="20">
        <f>+Model!AY4</f>
        <v>44</v>
      </c>
      <c r="BC4" s="20">
        <f>+Model!AZ4</f>
        <v>45</v>
      </c>
      <c r="BD4" s="20">
        <f>+Model!BA4</f>
        <v>46</v>
      </c>
      <c r="BE4" s="20">
        <f>+Model!BB4</f>
        <v>47</v>
      </c>
      <c r="BF4" s="20">
        <f>+Model!BC4</f>
        <v>48</v>
      </c>
      <c r="BG4" s="20">
        <f>+Model!BD4</f>
        <v>49</v>
      </c>
      <c r="BH4" s="20">
        <f>+Model!BE4</f>
        <v>50</v>
      </c>
      <c r="BI4" s="20">
        <f>+Model!BF4</f>
        <v>51</v>
      </c>
      <c r="BJ4" s="20">
        <f>+Model!BG4</f>
        <v>52</v>
      </c>
      <c r="BK4" s="20">
        <f>+Model!BH4</f>
        <v>53</v>
      </c>
      <c r="BL4" s="20">
        <f>+Model!BI4</f>
        <v>54</v>
      </c>
      <c r="BM4" s="20">
        <f>+Model!BJ4</f>
        <v>55</v>
      </c>
      <c r="BN4" s="20">
        <f>+Model!BK4</f>
        <v>56</v>
      </c>
      <c r="BO4" s="20">
        <f>+Model!BL4</f>
        <v>57</v>
      </c>
      <c r="BP4" s="20">
        <f>+Model!BM4</f>
        <v>58</v>
      </c>
      <c r="BQ4" s="20">
        <f>+Model!BN4</f>
        <v>59</v>
      </c>
      <c r="BR4" s="20">
        <f>+Model!BO4</f>
        <v>60</v>
      </c>
      <c r="BS4" s="20">
        <f>+Model!BP4</f>
        <v>61</v>
      </c>
      <c r="BT4" s="20">
        <f>+Model!BQ4</f>
        <v>62</v>
      </c>
      <c r="BU4" s="20">
        <f>+Model!BR4</f>
        <v>63</v>
      </c>
      <c r="BV4" s="20">
        <f>+Model!BS4</f>
        <v>64</v>
      </c>
      <c r="BW4" s="20">
        <f>+Model!BT4</f>
        <v>65</v>
      </c>
      <c r="BX4" s="20">
        <f>+Model!BU4</f>
        <v>66</v>
      </c>
      <c r="BY4" s="20">
        <f>+Model!BV4</f>
        <v>67</v>
      </c>
      <c r="BZ4" s="20">
        <f>+Model!BW4</f>
        <v>68</v>
      </c>
      <c r="CA4" s="20">
        <f>+Model!BX4</f>
        <v>69</v>
      </c>
      <c r="CB4" s="20">
        <f>+Model!BY4</f>
        <v>70</v>
      </c>
      <c r="CC4" s="20">
        <f>+Model!BZ4</f>
        <v>71</v>
      </c>
      <c r="CD4" s="20">
        <f>+Model!CA4</f>
        <v>72</v>
      </c>
      <c r="CE4" s="20">
        <f>+Model!CB4</f>
        <v>73</v>
      </c>
      <c r="CF4" s="20">
        <f>+Model!CC4</f>
        <v>74</v>
      </c>
      <c r="CG4" s="20">
        <f>+Model!CD4</f>
        <v>75</v>
      </c>
      <c r="CH4" s="20">
        <f>+Model!CE4</f>
        <v>76</v>
      </c>
      <c r="CI4" s="20">
        <f>+Model!CF4</f>
        <v>77</v>
      </c>
      <c r="CJ4" s="20">
        <f>+Model!CG4</f>
        <v>78</v>
      </c>
      <c r="CK4" s="20">
        <f>+Model!CH4</f>
        <v>79</v>
      </c>
      <c r="CL4" s="20">
        <f>+Model!CI4</f>
        <v>80</v>
      </c>
      <c r="CM4" s="20">
        <f>+Model!CJ4</f>
        <v>81</v>
      </c>
      <c r="CN4" s="20">
        <f>+Model!CK4</f>
        <v>82</v>
      </c>
      <c r="CO4" s="20">
        <f>+Model!CL4</f>
        <v>83</v>
      </c>
      <c r="CP4" s="20">
        <f>+Model!CM4</f>
        <v>84</v>
      </c>
      <c r="CQ4" s="20">
        <f>+Model!CN4</f>
        <v>85</v>
      </c>
      <c r="CR4" s="20">
        <f>+Model!CO4</f>
        <v>86</v>
      </c>
      <c r="CS4" s="20">
        <f>+Model!CP4</f>
        <v>87</v>
      </c>
      <c r="CT4" s="20">
        <f>+Model!CQ4</f>
        <v>88</v>
      </c>
      <c r="CU4" s="20">
        <f>+Model!CR4</f>
        <v>89</v>
      </c>
      <c r="CV4" s="20">
        <f>+Model!CS4</f>
        <v>90</v>
      </c>
      <c r="CW4" s="20">
        <f>+Model!CT4</f>
        <v>91</v>
      </c>
      <c r="CX4" s="20">
        <f>+Model!CU4</f>
        <v>92</v>
      </c>
      <c r="CY4" s="20">
        <f>+Model!CV4</f>
        <v>93</v>
      </c>
      <c r="CZ4" s="20">
        <f>+Model!CW4</f>
        <v>94</v>
      </c>
      <c r="DA4" s="20">
        <f>+Model!CX4</f>
        <v>95</v>
      </c>
      <c r="DB4" s="20">
        <f>+Model!CY4</f>
        <v>96</v>
      </c>
      <c r="DC4" s="20">
        <f>+Model!CZ4</f>
        <v>97</v>
      </c>
      <c r="DD4" s="20">
        <f>+Model!DA4</f>
        <v>98</v>
      </c>
      <c r="DE4" s="20">
        <f>+Model!DB4</f>
        <v>99</v>
      </c>
      <c r="DF4" s="20">
        <f>+Model!DC4</f>
        <v>100</v>
      </c>
      <c r="DG4" s="20">
        <f>+Model!DD4</f>
        <v>101</v>
      </c>
      <c r="DH4" s="20">
        <f>+Model!DE4</f>
        <v>102</v>
      </c>
      <c r="DI4" s="20">
        <f>+Model!DF4</f>
        <v>103</v>
      </c>
      <c r="DJ4" s="20">
        <f>+Model!DG4</f>
        <v>104</v>
      </c>
      <c r="DK4" s="20">
        <f>+Model!DH4</f>
        <v>105</v>
      </c>
      <c r="DL4" s="20">
        <f>+Model!DI4</f>
        <v>106</v>
      </c>
      <c r="DM4" s="20">
        <f>+Model!DJ4</f>
        <v>107</v>
      </c>
      <c r="DN4" s="20">
        <f>+Model!DK4</f>
        <v>108</v>
      </c>
      <c r="DO4" s="20">
        <f>+Model!DL4</f>
        <v>109</v>
      </c>
      <c r="DP4" s="20">
        <f>+Model!DM4</f>
        <v>110</v>
      </c>
      <c r="DQ4" s="20">
        <f>+Model!DN4</f>
        <v>111</v>
      </c>
      <c r="DR4" s="20">
        <f>+Model!DO4</f>
        <v>112</v>
      </c>
      <c r="DS4" s="20">
        <f>+Model!DP4</f>
        <v>113</v>
      </c>
      <c r="DT4" s="20">
        <f>+Model!DQ4</f>
        <v>114</v>
      </c>
      <c r="DU4" s="20">
        <f>+Model!DR4</f>
        <v>115</v>
      </c>
      <c r="DV4" s="20">
        <f>+Model!DS4</f>
        <v>116</v>
      </c>
      <c r="DW4" s="20">
        <f>+Model!DT4</f>
        <v>117</v>
      </c>
      <c r="DX4" s="20">
        <f>+Model!DU4</f>
        <v>118</v>
      </c>
      <c r="DY4" s="20">
        <f>+Model!DV4</f>
        <v>119</v>
      </c>
      <c r="DZ4" s="20">
        <f>+Model!DW4</f>
        <v>120</v>
      </c>
      <c r="EA4" s="20">
        <f>+Model!DX4</f>
        <v>121</v>
      </c>
      <c r="EB4" s="20">
        <f>+Model!DY4</f>
        <v>122</v>
      </c>
      <c r="EC4" s="20">
        <f>+Model!DZ4</f>
        <v>123</v>
      </c>
      <c r="ED4" s="20">
        <f>+Model!EA4</f>
        <v>124</v>
      </c>
      <c r="EE4" s="20">
        <f>+Model!EB4</f>
        <v>125</v>
      </c>
      <c r="EF4" s="20">
        <f>+Model!EC4</f>
        <v>126</v>
      </c>
      <c r="EG4" s="20">
        <f>+Model!ED4</f>
        <v>127</v>
      </c>
      <c r="EH4" s="20">
        <f>+Model!EE4</f>
        <v>128</v>
      </c>
      <c r="EI4" s="20">
        <f>+Model!EF4</f>
        <v>129</v>
      </c>
      <c r="EJ4" s="20">
        <f>+Model!EG4</f>
        <v>130</v>
      </c>
      <c r="EK4" s="20">
        <f>+Model!EH4</f>
        <v>131</v>
      </c>
      <c r="EL4" s="20">
        <f>+Model!EI4</f>
        <v>132</v>
      </c>
    </row>
    <row r="5" spans="2:142" x14ac:dyDescent="0.45">
      <c r="B5" s="1" t="s">
        <v>266</v>
      </c>
      <c r="E5" s="9">
        <v>0</v>
      </c>
      <c r="G5" s="13">
        <v>0</v>
      </c>
      <c r="H5" s="13">
        <v>0</v>
      </c>
      <c r="I5" s="21"/>
      <c r="J5" s="21">
        <f t="shared" ref="J5:AO5" si="0">IF(AND($G5=J$4,$H5=J$4),$E5,IF($G5&gt;J$4,0,IF($H5&lt;J$4,0,$E5/($H5-$G5+1))))</f>
        <v>0</v>
      </c>
      <c r="K5" s="21">
        <f t="shared" si="0"/>
        <v>0</v>
      </c>
      <c r="L5" s="21">
        <f t="shared" si="0"/>
        <v>0</v>
      </c>
      <c r="M5" s="21">
        <f t="shared" si="0"/>
        <v>0</v>
      </c>
      <c r="N5" s="21">
        <f t="shared" si="0"/>
        <v>0</v>
      </c>
      <c r="O5" s="21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si="0"/>
        <v>0</v>
      </c>
      <c r="U5" s="21">
        <f t="shared" si="0"/>
        <v>0</v>
      </c>
      <c r="V5" s="21">
        <f t="shared" si="0"/>
        <v>0</v>
      </c>
      <c r="W5" s="21">
        <f t="shared" si="0"/>
        <v>0</v>
      </c>
      <c r="X5" s="21">
        <f t="shared" si="0"/>
        <v>0</v>
      </c>
      <c r="Y5" s="21">
        <f t="shared" si="0"/>
        <v>0</v>
      </c>
      <c r="Z5" s="21">
        <f t="shared" si="0"/>
        <v>0</v>
      </c>
      <c r="AA5" s="21">
        <f t="shared" si="0"/>
        <v>0</v>
      </c>
      <c r="AB5" s="21">
        <f t="shared" si="0"/>
        <v>0</v>
      </c>
      <c r="AC5" s="21">
        <f t="shared" si="0"/>
        <v>0</v>
      </c>
      <c r="AD5" s="21">
        <f t="shared" si="0"/>
        <v>0</v>
      </c>
      <c r="AE5" s="21">
        <f t="shared" si="0"/>
        <v>0</v>
      </c>
      <c r="AF5" s="21">
        <f t="shared" si="0"/>
        <v>0</v>
      </c>
      <c r="AG5" s="21">
        <f t="shared" si="0"/>
        <v>0</v>
      </c>
      <c r="AH5" s="21">
        <f t="shared" si="0"/>
        <v>0</v>
      </c>
      <c r="AI5" s="21">
        <f t="shared" si="0"/>
        <v>0</v>
      </c>
      <c r="AJ5" s="21">
        <f t="shared" si="0"/>
        <v>0</v>
      </c>
      <c r="AK5" s="21">
        <f t="shared" si="0"/>
        <v>0</v>
      </c>
      <c r="AL5" s="21">
        <f t="shared" si="0"/>
        <v>0</v>
      </c>
      <c r="AM5" s="21">
        <f t="shared" si="0"/>
        <v>0</v>
      </c>
      <c r="AN5" s="21">
        <f t="shared" si="0"/>
        <v>0</v>
      </c>
      <c r="AO5" s="21">
        <f t="shared" si="0"/>
        <v>0</v>
      </c>
      <c r="AP5" s="21">
        <f t="shared" ref="AP5:BU5" si="1">IF(AND($G5=AP$4,$H5=AP$4),$E5,IF($G5&gt;AP$4,0,IF($H5&lt;AP$4,0,$E5/($H5-$G5+1))))</f>
        <v>0</v>
      </c>
      <c r="AQ5" s="21">
        <f t="shared" si="1"/>
        <v>0</v>
      </c>
      <c r="AR5" s="21">
        <f t="shared" si="1"/>
        <v>0</v>
      </c>
      <c r="AS5" s="21">
        <f t="shared" si="1"/>
        <v>0</v>
      </c>
      <c r="AT5" s="21">
        <f t="shared" si="1"/>
        <v>0</v>
      </c>
      <c r="AU5" s="21">
        <f t="shared" si="1"/>
        <v>0</v>
      </c>
      <c r="AV5" s="21">
        <f t="shared" si="1"/>
        <v>0</v>
      </c>
      <c r="AW5" s="21">
        <f t="shared" si="1"/>
        <v>0</v>
      </c>
      <c r="AX5" s="21">
        <f t="shared" si="1"/>
        <v>0</v>
      </c>
      <c r="AY5" s="21">
        <f t="shared" si="1"/>
        <v>0</v>
      </c>
      <c r="AZ5" s="21">
        <f t="shared" si="1"/>
        <v>0</v>
      </c>
      <c r="BA5" s="21">
        <f t="shared" si="1"/>
        <v>0</v>
      </c>
      <c r="BB5" s="21">
        <f t="shared" si="1"/>
        <v>0</v>
      </c>
      <c r="BC5" s="21">
        <f t="shared" si="1"/>
        <v>0</v>
      </c>
      <c r="BD5" s="21">
        <f t="shared" si="1"/>
        <v>0</v>
      </c>
      <c r="BE5" s="21">
        <f t="shared" si="1"/>
        <v>0</v>
      </c>
      <c r="BF5" s="21">
        <f t="shared" si="1"/>
        <v>0</v>
      </c>
      <c r="BG5" s="21">
        <f t="shared" si="1"/>
        <v>0</v>
      </c>
      <c r="BH5" s="21">
        <f t="shared" si="1"/>
        <v>0</v>
      </c>
      <c r="BI5" s="21">
        <f t="shared" si="1"/>
        <v>0</v>
      </c>
      <c r="BJ5" s="21">
        <f t="shared" si="1"/>
        <v>0</v>
      </c>
      <c r="BK5" s="21">
        <f t="shared" si="1"/>
        <v>0</v>
      </c>
      <c r="BL5" s="21">
        <f t="shared" si="1"/>
        <v>0</v>
      </c>
      <c r="BM5" s="21">
        <f t="shared" si="1"/>
        <v>0</v>
      </c>
      <c r="BN5" s="21">
        <f t="shared" si="1"/>
        <v>0</v>
      </c>
      <c r="BO5" s="21">
        <f t="shared" si="1"/>
        <v>0</v>
      </c>
      <c r="BP5" s="21">
        <f t="shared" si="1"/>
        <v>0</v>
      </c>
      <c r="BQ5" s="21">
        <f t="shared" si="1"/>
        <v>0</v>
      </c>
      <c r="BR5" s="21">
        <f t="shared" si="1"/>
        <v>0</v>
      </c>
      <c r="BS5" s="21">
        <f t="shared" si="1"/>
        <v>0</v>
      </c>
      <c r="BT5" s="21">
        <f t="shared" si="1"/>
        <v>0</v>
      </c>
      <c r="BU5" s="21">
        <f t="shared" si="1"/>
        <v>0</v>
      </c>
      <c r="BV5" s="21">
        <f t="shared" ref="BV5:DA5" si="2">IF(AND($G5=BV$4,$H5=BV$4),$E5,IF($G5&gt;BV$4,0,IF($H5&lt;BV$4,0,$E5/($H5-$G5+1))))</f>
        <v>0</v>
      </c>
      <c r="BW5" s="21">
        <f t="shared" si="2"/>
        <v>0</v>
      </c>
      <c r="BX5" s="21">
        <f t="shared" si="2"/>
        <v>0</v>
      </c>
      <c r="BY5" s="21">
        <f t="shared" si="2"/>
        <v>0</v>
      </c>
      <c r="BZ5" s="21">
        <f t="shared" si="2"/>
        <v>0</v>
      </c>
      <c r="CA5" s="21">
        <f t="shared" si="2"/>
        <v>0</v>
      </c>
      <c r="CB5" s="21">
        <f t="shared" si="2"/>
        <v>0</v>
      </c>
      <c r="CC5" s="21">
        <f t="shared" si="2"/>
        <v>0</v>
      </c>
      <c r="CD5" s="21">
        <f t="shared" si="2"/>
        <v>0</v>
      </c>
      <c r="CE5" s="21">
        <f t="shared" si="2"/>
        <v>0</v>
      </c>
      <c r="CF5" s="21">
        <f t="shared" si="2"/>
        <v>0</v>
      </c>
      <c r="CG5" s="21">
        <f t="shared" si="2"/>
        <v>0</v>
      </c>
      <c r="CH5" s="21">
        <f t="shared" si="2"/>
        <v>0</v>
      </c>
      <c r="CI5" s="21">
        <f t="shared" si="2"/>
        <v>0</v>
      </c>
      <c r="CJ5" s="21">
        <f t="shared" si="2"/>
        <v>0</v>
      </c>
      <c r="CK5" s="21">
        <f t="shared" si="2"/>
        <v>0</v>
      </c>
      <c r="CL5" s="21">
        <f t="shared" si="2"/>
        <v>0</v>
      </c>
      <c r="CM5" s="21">
        <f t="shared" si="2"/>
        <v>0</v>
      </c>
      <c r="CN5" s="21">
        <f t="shared" si="2"/>
        <v>0</v>
      </c>
      <c r="CO5" s="21">
        <f t="shared" si="2"/>
        <v>0</v>
      </c>
      <c r="CP5" s="21">
        <f t="shared" si="2"/>
        <v>0</v>
      </c>
      <c r="CQ5" s="21">
        <f t="shared" si="2"/>
        <v>0</v>
      </c>
      <c r="CR5" s="21">
        <f t="shared" si="2"/>
        <v>0</v>
      </c>
      <c r="CS5" s="21">
        <f t="shared" si="2"/>
        <v>0</v>
      </c>
      <c r="CT5" s="21">
        <f t="shared" si="2"/>
        <v>0</v>
      </c>
      <c r="CU5" s="21">
        <f t="shared" si="2"/>
        <v>0</v>
      </c>
      <c r="CV5" s="21">
        <f t="shared" si="2"/>
        <v>0</v>
      </c>
      <c r="CW5" s="21">
        <f t="shared" si="2"/>
        <v>0</v>
      </c>
      <c r="CX5" s="21">
        <f t="shared" si="2"/>
        <v>0</v>
      </c>
      <c r="CY5" s="21">
        <f t="shared" si="2"/>
        <v>0</v>
      </c>
      <c r="CZ5" s="21">
        <f t="shared" si="2"/>
        <v>0</v>
      </c>
      <c r="DA5" s="21">
        <f t="shared" si="2"/>
        <v>0</v>
      </c>
      <c r="DB5" s="21">
        <f t="shared" ref="DB5:EL5" si="3">IF(AND($G5=DB$4,$H5=DB$4),$E5,IF($G5&gt;DB$4,0,IF($H5&lt;DB$4,0,$E5/($H5-$G5+1))))</f>
        <v>0</v>
      </c>
      <c r="DC5" s="21">
        <f t="shared" si="3"/>
        <v>0</v>
      </c>
      <c r="DD5" s="21">
        <f t="shared" si="3"/>
        <v>0</v>
      </c>
      <c r="DE5" s="21">
        <f t="shared" si="3"/>
        <v>0</v>
      </c>
      <c r="DF5" s="21">
        <f t="shared" si="3"/>
        <v>0</v>
      </c>
      <c r="DG5" s="21">
        <f t="shared" si="3"/>
        <v>0</v>
      </c>
      <c r="DH5" s="21">
        <f t="shared" si="3"/>
        <v>0</v>
      </c>
      <c r="DI5" s="21">
        <f t="shared" si="3"/>
        <v>0</v>
      </c>
      <c r="DJ5" s="21">
        <f t="shared" si="3"/>
        <v>0</v>
      </c>
      <c r="DK5" s="21">
        <f t="shared" si="3"/>
        <v>0</v>
      </c>
      <c r="DL5" s="21">
        <f t="shared" si="3"/>
        <v>0</v>
      </c>
      <c r="DM5" s="21">
        <f t="shared" si="3"/>
        <v>0</v>
      </c>
      <c r="DN5" s="21">
        <f t="shared" si="3"/>
        <v>0</v>
      </c>
      <c r="DO5" s="21">
        <f t="shared" si="3"/>
        <v>0</v>
      </c>
      <c r="DP5" s="21">
        <f t="shared" si="3"/>
        <v>0</v>
      </c>
      <c r="DQ5" s="21">
        <f t="shared" si="3"/>
        <v>0</v>
      </c>
      <c r="DR5" s="21">
        <f t="shared" si="3"/>
        <v>0</v>
      </c>
      <c r="DS5" s="21">
        <f t="shared" si="3"/>
        <v>0</v>
      </c>
      <c r="DT5" s="21">
        <f t="shared" si="3"/>
        <v>0</v>
      </c>
      <c r="DU5" s="21">
        <f t="shared" si="3"/>
        <v>0</v>
      </c>
      <c r="DV5" s="21">
        <f t="shared" si="3"/>
        <v>0</v>
      </c>
      <c r="DW5" s="21">
        <f t="shared" si="3"/>
        <v>0</v>
      </c>
      <c r="DX5" s="21">
        <f t="shared" si="3"/>
        <v>0</v>
      </c>
      <c r="DY5" s="21">
        <f t="shared" si="3"/>
        <v>0</v>
      </c>
      <c r="DZ5" s="21">
        <f t="shared" si="3"/>
        <v>0</v>
      </c>
      <c r="EA5" s="21">
        <f t="shared" si="3"/>
        <v>0</v>
      </c>
      <c r="EB5" s="21">
        <f t="shared" si="3"/>
        <v>0</v>
      </c>
      <c r="EC5" s="21">
        <f t="shared" si="3"/>
        <v>0</v>
      </c>
      <c r="ED5" s="21">
        <f t="shared" si="3"/>
        <v>0</v>
      </c>
      <c r="EE5" s="21">
        <f t="shared" si="3"/>
        <v>0</v>
      </c>
      <c r="EF5" s="21">
        <f t="shared" si="3"/>
        <v>0</v>
      </c>
      <c r="EG5" s="21">
        <f t="shared" si="3"/>
        <v>0</v>
      </c>
      <c r="EH5" s="21">
        <f t="shared" si="3"/>
        <v>0</v>
      </c>
      <c r="EI5" s="21">
        <f t="shared" si="3"/>
        <v>0</v>
      </c>
      <c r="EJ5" s="21">
        <f t="shared" si="3"/>
        <v>0</v>
      </c>
      <c r="EK5" s="21">
        <f t="shared" si="3"/>
        <v>0</v>
      </c>
      <c r="EL5" s="21">
        <f t="shared" si="3"/>
        <v>0</v>
      </c>
    </row>
    <row r="6" spans="2:142" x14ac:dyDescent="0.45">
      <c r="B6" s="1" t="s">
        <v>252</v>
      </c>
      <c r="E6" s="19">
        <f>+Assumptions!G31*Assumptions!L27/12</f>
        <v>69645.551443733348</v>
      </c>
      <c r="G6" s="13">
        <v>0</v>
      </c>
      <c r="H6" s="13">
        <v>0</v>
      </c>
      <c r="I6" s="21"/>
      <c r="J6" s="21">
        <f t="shared" ref="J6:J11" si="4">IF(AND($G6=J$4,$H6=J$4),$E6,IF($G6&gt;J$4,0,IF($H6&lt;J$4,0,$E6/($H6-$G6+1))))</f>
        <v>69645.551443733348</v>
      </c>
      <c r="K6" s="21">
        <f t="shared" ref="K6:Z11" si="5">IF(AND($G6=K$4,$H6=K$4),$E6,IF($G6&gt;K$4,0,IF($H6&lt;K$4,0,$E6/($H6-$G6+1))))</f>
        <v>0</v>
      </c>
      <c r="L6" s="21">
        <f t="shared" si="5"/>
        <v>0</v>
      </c>
      <c r="M6" s="21">
        <f t="shared" si="5"/>
        <v>0</v>
      </c>
      <c r="N6" s="21">
        <f t="shared" si="5"/>
        <v>0</v>
      </c>
      <c r="O6" s="21">
        <f t="shared" si="5"/>
        <v>0</v>
      </c>
      <c r="P6" s="21">
        <f t="shared" si="5"/>
        <v>0</v>
      </c>
      <c r="Q6" s="21">
        <f t="shared" si="5"/>
        <v>0</v>
      </c>
      <c r="R6" s="21">
        <f t="shared" si="5"/>
        <v>0</v>
      </c>
      <c r="S6" s="21">
        <f t="shared" si="5"/>
        <v>0</v>
      </c>
      <c r="T6" s="21">
        <f t="shared" si="5"/>
        <v>0</v>
      </c>
      <c r="U6" s="21">
        <f t="shared" si="5"/>
        <v>0</v>
      </c>
      <c r="V6" s="21">
        <f t="shared" si="5"/>
        <v>0</v>
      </c>
      <c r="W6" s="21">
        <f t="shared" si="5"/>
        <v>0</v>
      </c>
      <c r="X6" s="21">
        <f t="shared" si="5"/>
        <v>0</v>
      </c>
      <c r="Y6" s="21">
        <f t="shared" si="5"/>
        <v>0</v>
      </c>
      <c r="Z6" s="21">
        <f t="shared" si="5"/>
        <v>0</v>
      </c>
      <c r="AA6" s="21">
        <f t="shared" ref="AA6:AZ8" si="6">IF(AND($G6=AA$4,$H6=AA$4),$E6,IF($G6&gt;AA$4,0,IF($H6&lt;AA$4,0,$E6/($H6-$G6+1))))</f>
        <v>0</v>
      </c>
      <c r="AB6" s="21">
        <f t="shared" si="6"/>
        <v>0</v>
      </c>
      <c r="AC6" s="21">
        <f t="shared" si="6"/>
        <v>0</v>
      </c>
      <c r="AD6" s="21">
        <f t="shared" si="6"/>
        <v>0</v>
      </c>
      <c r="AE6" s="21">
        <f t="shared" si="6"/>
        <v>0</v>
      </c>
      <c r="AF6" s="21">
        <f t="shared" si="6"/>
        <v>0</v>
      </c>
      <c r="AG6" s="21">
        <f t="shared" si="6"/>
        <v>0</v>
      </c>
      <c r="AH6" s="21">
        <f t="shared" si="6"/>
        <v>0</v>
      </c>
      <c r="AI6" s="21">
        <f t="shared" si="6"/>
        <v>0</v>
      </c>
      <c r="AJ6" s="21">
        <f t="shared" si="6"/>
        <v>0</v>
      </c>
      <c r="AK6" s="21">
        <f t="shared" si="6"/>
        <v>0</v>
      </c>
      <c r="AL6" s="21">
        <f t="shared" si="6"/>
        <v>0</v>
      </c>
      <c r="AM6" s="21">
        <f t="shared" si="6"/>
        <v>0</v>
      </c>
      <c r="AN6" s="21">
        <f t="shared" si="6"/>
        <v>0</v>
      </c>
      <c r="AO6" s="21">
        <f t="shared" si="6"/>
        <v>0</v>
      </c>
      <c r="AP6" s="21">
        <f t="shared" si="6"/>
        <v>0</v>
      </c>
      <c r="AQ6" s="21">
        <f t="shared" si="6"/>
        <v>0</v>
      </c>
      <c r="AR6" s="21">
        <f t="shared" si="6"/>
        <v>0</v>
      </c>
      <c r="AS6" s="21">
        <f t="shared" si="6"/>
        <v>0</v>
      </c>
      <c r="AT6" s="21">
        <f t="shared" si="6"/>
        <v>0</v>
      </c>
      <c r="AU6" s="21">
        <f t="shared" si="6"/>
        <v>0</v>
      </c>
      <c r="AV6" s="21">
        <f t="shared" si="6"/>
        <v>0</v>
      </c>
      <c r="AW6" s="21">
        <f t="shared" si="6"/>
        <v>0</v>
      </c>
      <c r="AX6" s="21">
        <f t="shared" si="6"/>
        <v>0</v>
      </c>
      <c r="AY6" s="21">
        <f t="shared" si="6"/>
        <v>0</v>
      </c>
      <c r="AZ6" s="21">
        <f t="shared" si="6"/>
        <v>0</v>
      </c>
      <c r="BA6" s="21">
        <f t="shared" ref="BA6:CP8" si="7">IF(AND($G6=BA$4,$H6=BA$4),$E6,IF($G6&gt;BA$4,0,IF($H6&lt;BA$4,0,$E6/($H6-$G6+1))))</f>
        <v>0</v>
      </c>
      <c r="BB6" s="21">
        <f t="shared" si="7"/>
        <v>0</v>
      </c>
      <c r="BC6" s="21">
        <f t="shared" si="7"/>
        <v>0</v>
      </c>
      <c r="BD6" s="21">
        <f t="shared" si="7"/>
        <v>0</v>
      </c>
      <c r="BE6" s="21">
        <f t="shared" si="7"/>
        <v>0</v>
      </c>
      <c r="BF6" s="21">
        <f t="shared" si="7"/>
        <v>0</v>
      </c>
      <c r="BG6" s="21">
        <f t="shared" si="7"/>
        <v>0</v>
      </c>
      <c r="BH6" s="21">
        <f t="shared" si="7"/>
        <v>0</v>
      </c>
      <c r="BI6" s="21">
        <f t="shared" si="7"/>
        <v>0</v>
      </c>
      <c r="BJ6" s="21">
        <f t="shared" si="7"/>
        <v>0</v>
      </c>
      <c r="BK6" s="21">
        <f t="shared" si="7"/>
        <v>0</v>
      </c>
      <c r="BL6" s="21">
        <f t="shared" si="7"/>
        <v>0</v>
      </c>
      <c r="BM6" s="21">
        <f t="shared" si="7"/>
        <v>0</v>
      </c>
      <c r="BN6" s="21">
        <f t="shared" si="7"/>
        <v>0</v>
      </c>
      <c r="BO6" s="21">
        <f t="shared" si="7"/>
        <v>0</v>
      </c>
      <c r="BP6" s="21">
        <f t="shared" si="7"/>
        <v>0</v>
      </c>
      <c r="BQ6" s="21">
        <f t="shared" si="7"/>
        <v>0</v>
      </c>
      <c r="BR6" s="21">
        <f t="shared" si="7"/>
        <v>0</v>
      </c>
      <c r="BS6" s="21">
        <f t="shared" si="7"/>
        <v>0</v>
      </c>
      <c r="BT6" s="21">
        <f t="shared" si="7"/>
        <v>0</v>
      </c>
      <c r="BU6" s="21">
        <f t="shared" si="7"/>
        <v>0</v>
      </c>
      <c r="BV6" s="21">
        <f t="shared" si="7"/>
        <v>0</v>
      </c>
      <c r="BW6" s="21">
        <f t="shared" si="7"/>
        <v>0</v>
      </c>
      <c r="BX6" s="21">
        <f t="shared" si="7"/>
        <v>0</v>
      </c>
      <c r="BY6" s="21">
        <f t="shared" si="7"/>
        <v>0</v>
      </c>
      <c r="BZ6" s="21">
        <f t="shared" si="7"/>
        <v>0</v>
      </c>
      <c r="CA6" s="21">
        <f t="shared" si="7"/>
        <v>0</v>
      </c>
      <c r="CB6" s="21">
        <f t="shared" si="7"/>
        <v>0</v>
      </c>
      <c r="CC6" s="21">
        <f t="shared" si="7"/>
        <v>0</v>
      </c>
      <c r="CD6" s="21">
        <f t="shared" si="7"/>
        <v>0</v>
      </c>
      <c r="CE6" s="21">
        <f t="shared" si="7"/>
        <v>0</v>
      </c>
      <c r="CF6" s="21">
        <f t="shared" si="7"/>
        <v>0</v>
      </c>
      <c r="CG6" s="21">
        <f t="shared" si="7"/>
        <v>0</v>
      </c>
      <c r="CH6" s="21">
        <f t="shared" si="7"/>
        <v>0</v>
      </c>
      <c r="CI6" s="21">
        <f t="shared" si="7"/>
        <v>0</v>
      </c>
      <c r="CJ6" s="21">
        <f t="shared" si="7"/>
        <v>0</v>
      </c>
      <c r="CK6" s="21">
        <f t="shared" si="7"/>
        <v>0</v>
      </c>
      <c r="CL6" s="21">
        <f t="shared" si="7"/>
        <v>0</v>
      </c>
      <c r="CM6" s="21">
        <f t="shared" si="7"/>
        <v>0</v>
      </c>
      <c r="CN6" s="21">
        <f t="shared" si="7"/>
        <v>0</v>
      </c>
      <c r="CO6" s="21">
        <f t="shared" si="7"/>
        <v>0</v>
      </c>
      <c r="CP6" s="21">
        <f t="shared" si="7"/>
        <v>0</v>
      </c>
      <c r="CQ6" s="21">
        <f t="shared" ref="CQ6:DT8" si="8">IF(AND($G6=CQ$4,$H6=CQ$4),$E6,IF($G6&gt;CQ$4,0,IF($H6&lt;CQ$4,0,$E6/($H6-$G6+1))))</f>
        <v>0</v>
      </c>
      <c r="CR6" s="21">
        <f t="shared" si="8"/>
        <v>0</v>
      </c>
      <c r="CS6" s="21">
        <f t="shared" si="8"/>
        <v>0</v>
      </c>
      <c r="CT6" s="21">
        <f t="shared" si="8"/>
        <v>0</v>
      </c>
      <c r="CU6" s="21">
        <f t="shared" si="8"/>
        <v>0</v>
      </c>
      <c r="CV6" s="21">
        <f t="shared" si="8"/>
        <v>0</v>
      </c>
      <c r="CW6" s="21">
        <f t="shared" si="8"/>
        <v>0</v>
      </c>
      <c r="CX6" s="21">
        <f t="shared" si="8"/>
        <v>0</v>
      </c>
      <c r="CY6" s="21">
        <f t="shared" si="8"/>
        <v>0</v>
      </c>
      <c r="CZ6" s="21">
        <f t="shared" si="8"/>
        <v>0</v>
      </c>
      <c r="DA6" s="21">
        <f t="shared" si="8"/>
        <v>0</v>
      </c>
      <c r="DB6" s="21">
        <f t="shared" si="8"/>
        <v>0</v>
      </c>
      <c r="DC6" s="21">
        <f t="shared" si="8"/>
        <v>0</v>
      </c>
      <c r="DD6" s="21">
        <f t="shared" si="8"/>
        <v>0</v>
      </c>
      <c r="DE6" s="21">
        <f t="shared" si="8"/>
        <v>0</v>
      </c>
      <c r="DF6" s="21">
        <f t="shared" si="8"/>
        <v>0</v>
      </c>
      <c r="DG6" s="21">
        <f t="shared" si="8"/>
        <v>0</v>
      </c>
      <c r="DH6" s="21">
        <f t="shared" si="8"/>
        <v>0</v>
      </c>
      <c r="DI6" s="21">
        <f t="shared" si="8"/>
        <v>0</v>
      </c>
      <c r="DJ6" s="21">
        <f t="shared" si="8"/>
        <v>0</v>
      </c>
      <c r="DK6" s="21">
        <f t="shared" si="8"/>
        <v>0</v>
      </c>
      <c r="DL6" s="21">
        <f t="shared" si="8"/>
        <v>0</v>
      </c>
      <c r="DM6" s="21">
        <f t="shared" si="8"/>
        <v>0</v>
      </c>
      <c r="DN6" s="21">
        <f t="shared" si="8"/>
        <v>0</v>
      </c>
      <c r="DO6" s="21">
        <f t="shared" si="8"/>
        <v>0</v>
      </c>
      <c r="DP6" s="21">
        <f t="shared" si="8"/>
        <v>0</v>
      </c>
      <c r="DQ6" s="21">
        <f t="shared" si="8"/>
        <v>0</v>
      </c>
      <c r="DR6" s="21">
        <f t="shared" si="8"/>
        <v>0</v>
      </c>
      <c r="DS6" s="21">
        <f t="shared" si="8"/>
        <v>0</v>
      </c>
      <c r="DT6" s="21">
        <f t="shared" si="8"/>
        <v>0</v>
      </c>
      <c r="DU6" s="21">
        <f t="shared" ref="DU6:EL8" si="9">IF(AND($G6=DU$4,$H6=DU$4),$E6,IF($G6&gt;DU$4,0,IF($H6&lt;DU$4,0,$E6/($H6-$G6+1))))</f>
        <v>0</v>
      </c>
      <c r="DV6" s="21">
        <f t="shared" si="9"/>
        <v>0</v>
      </c>
      <c r="DW6" s="21">
        <f t="shared" si="9"/>
        <v>0</v>
      </c>
      <c r="DX6" s="21">
        <f t="shared" si="9"/>
        <v>0</v>
      </c>
      <c r="DY6" s="21">
        <f t="shared" si="9"/>
        <v>0</v>
      </c>
      <c r="DZ6" s="21">
        <f t="shared" si="9"/>
        <v>0</v>
      </c>
      <c r="EA6" s="21">
        <f t="shared" si="9"/>
        <v>0</v>
      </c>
      <c r="EB6" s="21">
        <f t="shared" si="9"/>
        <v>0</v>
      </c>
      <c r="EC6" s="21">
        <f t="shared" si="9"/>
        <v>0</v>
      </c>
      <c r="ED6" s="21">
        <f t="shared" si="9"/>
        <v>0</v>
      </c>
      <c r="EE6" s="21">
        <f t="shared" si="9"/>
        <v>0</v>
      </c>
      <c r="EF6" s="21">
        <f t="shared" si="9"/>
        <v>0</v>
      </c>
      <c r="EG6" s="21">
        <f t="shared" si="9"/>
        <v>0</v>
      </c>
      <c r="EH6" s="21">
        <f t="shared" si="9"/>
        <v>0</v>
      </c>
      <c r="EI6" s="21">
        <f t="shared" si="9"/>
        <v>0</v>
      </c>
      <c r="EJ6" s="21">
        <f t="shared" si="9"/>
        <v>0</v>
      </c>
      <c r="EK6" s="21">
        <f t="shared" si="9"/>
        <v>0</v>
      </c>
      <c r="EL6" s="21">
        <f t="shared" si="9"/>
        <v>0</v>
      </c>
    </row>
    <row r="7" spans="2:142" x14ac:dyDescent="0.45">
      <c r="B7" s="1" t="s">
        <v>253</v>
      </c>
      <c r="E7" s="9">
        <v>25000</v>
      </c>
      <c r="G7" s="13">
        <v>0</v>
      </c>
      <c r="H7" s="13">
        <v>0</v>
      </c>
      <c r="I7" s="21"/>
      <c r="J7" s="21">
        <f t="shared" si="4"/>
        <v>25000</v>
      </c>
      <c r="K7" s="21">
        <f t="shared" si="5"/>
        <v>0</v>
      </c>
      <c r="L7" s="21">
        <f t="shared" si="5"/>
        <v>0</v>
      </c>
      <c r="M7" s="21">
        <f t="shared" si="5"/>
        <v>0</v>
      </c>
      <c r="N7" s="21">
        <f t="shared" si="5"/>
        <v>0</v>
      </c>
      <c r="O7" s="21">
        <f t="shared" si="5"/>
        <v>0</v>
      </c>
      <c r="P7" s="21">
        <f t="shared" si="5"/>
        <v>0</v>
      </c>
      <c r="Q7" s="21">
        <f t="shared" si="5"/>
        <v>0</v>
      </c>
      <c r="R7" s="21">
        <f t="shared" si="5"/>
        <v>0</v>
      </c>
      <c r="S7" s="21">
        <f t="shared" si="5"/>
        <v>0</v>
      </c>
      <c r="T7" s="21">
        <f t="shared" si="5"/>
        <v>0</v>
      </c>
      <c r="U7" s="21">
        <f t="shared" si="5"/>
        <v>0</v>
      </c>
      <c r="V7" s="21">
        <f t="shared" si="5"/>
        <v>0</v>
      </c>
      <c r="W7" s="21">
        <f t="shared" si="5"/>
        <v>0</v>
      </c>
      <c r="X7" s="21">
        <f t="shared" si="5"/>
        <v>0</v>
      </c>
      <c r="Y7" s="21">
        <f t="shared" si="5"/>
        <v>0</v>
      </c>
      <c r="Z7" s="21">
        <f t="shared" si="5"/>
        <v>0</v>
      </c>
      <c r="AA7" s="21">
        <f t="shared" si="6"/>
        <v>0</v>
      </c>
      <c r="AB7" s="21">
        <f t="shared" si="6"/>
        <v>0</v>
      </c>
      <c r="AC7" s="21">
        <f t="shared" si="6"/>
        <v>0</v>
      </c>
      <c r="AD7" s="21">
        <f t="shared" si="6"/>
        <v>0</v>
      </c>
      <c r="AE7" s="21">
        <f t="shared" si="6"/>
        <v>0</v>
      </c>
      <c r="AF7" s="21">
        <f t="shared" si="6"/>
        <v>0</v>
      </c>
      <c r="AG7" s="21">
        <f t="shared" si="6"/>
        <v>0</v>
      </c>
      <c r="AH7" s="21">
        <f t="shared" si="6"/>
        <v>0</v>
      </c>
      <c r="AI7" s="21">
        <f t="shared" si="6"/>
        <v>0</v>
      </c>
      <c r="AJ7" s="21">
        <f t="shared" si="6"/>
        <v>0</v>
      </c>
      <c r="AK7" s="21">
        <f t="shared" si="6"/>
        <v>0</v>
      </c>
      <c r="AL7" s="21">
        <f t="shared" si="6"/>
        <v>0</v>
      </c>
      <c r="AM7" s="21">
        <f t="shared" si="6"/>
        <v>0</v>
      </c>
      <c r="AN7" s="21">
        <f t="shared" si="6"/>
        <v>0</v>
      </c>
      <c r="AO7" s="21">
        <f t="shared" si="6"/>
        <v>0</v>
      </c>
      <c r="AP7" s="21">
        <f t="shared" si="6"/>
        <v>0</v>
      </c>
      <c r="AQ7" s="21">
        <f t="shared" si="6"/>
        <v>0</v>
      </c>
      <c r="AR7" s="21">
        <f t="shared" si="6"/>
        <v>0</v>
      </c>
      <c r="AS7" s="21">
        <f t="shared" si="6"/>
        <v>0</v>
      </c>
      <c r="AT7" s="21">
        <f t="shared" si="6"/>
        <v>0</v>
      </c>
      <c r="AU7" s="21">
        <f t="shared" si="6"/>
        <v>0</v>
      </c>
      <c r="AV7" s="21">
        <f t="shared" si="6"/>
        <v>0</v>
      </c>
      <c r="AW7" s="21">
        <f t="shared" si="6"/>
        <v>0</v>
      </c>
      <c r="AX7" s="21">
        <f t="shared" si="6"/>
        <v>0</v>
      </c>
      <c r="AY7" s="21">
        <f t="shared" si="6"/>
        <v>0</v>
      </c>
      <c r="AZ7" s="21">
        <f t="shared" si="6"/>
        <v>0</v>
      </c>
      <c r="BA7" s="21">
        <f t="shared" si="7"/>
        <v>0</v>
      </c>
      <c r="BB7" s="21">
        <f t="shared" si="7"/>
        <v>0</v>
      </c>
      <c r="BC7" s="21">
        <f t="shared" si="7"/>
        <v>0</v>
      </c>
      <c r="BD7" s="21">
        <f t="shared" si="7"/>
        <v>0</v>
      </c>
      <c r="BE7" s="21">
        <f t="shared" si="7"/>
        <v>0</v>
      </c>
      <c r="BF7" s="21">
        <f t="shared" si="7"/>
        <v>0</v>
      </c>
      <c r="BG7" s="21">
        <f t="shared" si="7"/>
        <v>0</v>
      </c>
      <c r="BH7" s="21">
        <f t="shared" si="7"/>
        <v>0</v>
      </c>
      <c r="BI7" s="21">
        <f t="shared" si="7"/>
        <v>0</v>
      </c>
      <c r="BJ7" s="21">
        <f t="shared" si="7"/>
        <v>0</v>
      </c>
      <c r="BK7" s="21">
        <f t="shared" si="7"/>
        <v>0</v>
      </c>
      <c r="BL7" s="21">
        <f t="shared" si="7"/>
        <v>0</v>
      </c>
      <c r="BM7" s="21">
        <f t="shared" si="7"/>
        <v>0</v>
      </c>
      <c r="BN7" s="21">
        <f t="shared" si="7"/>
        <v>0</v>
      </c>
      <c r="BO7" s="21">
        <f t="shared" si="7"/>
        <v>0</v>
      </c>
      <c r="BP7" s="21">
        <f t="shared" si="7"/>
        <v>0</v>
      </c>
      <c r="BQ7" s="21">
        <f t="shared" si="7"/>
        <v>0</v>
      </c>
      <c r="BR7" s="21">
        <f t="shared" si="7"/>
        <v>0</v>
      </c>
      <c r="BS7" s="21">
        <f t="shared" si="7"/>
        <v>0</v>
      </c>
      <c r="BT7" s="21">
        <f t="shared" si="7"/>
        <v>0</v>
      </c>
      <c r="BU7" s="21">
        <f t="shared" si="7"/>
        <v>0</v>
      </c>
      <c r="BV7" s="21">
        <f t="shared" si="7"/>
        <v>0</v>
      </c>
      <c r="BW7" s="21">
        <f t="shared" si="7"/>
        <v>0</v>
      </c>
      <c r="BX7" s="21">
        <f t="shared" si="7"/>
        <v>0</v>
      </c>
      <c r="BY7" s="21">
        <f t="shared" si="7"/>
        <v>0</v>
      </c>
      <c r="BZ7" s="21">
        <f t="shared" si="7"/>
        <v>0</v>
      </c>
      <c r="CA7" s="21">
        <f t="shared" si="7"/>
        <v>0</v>
      </c>
      <c r="CB7" s="21">
        <f t="shared" si="7"/>
        <v>0</v>
      </c>
      <c r="CC7" s="21">
        <f t="shared" si="7"/>
        <v>0</v>
      </c>
      <c r="CD7" s="21">
        <f t="shared" si="7"/>
        <v>0</v>
      </c>
      <c r="CE7" s="21">
        <f t="shared" si="7"/>
        <v>0</v>
      </c>
      <c r="CF7" s="21">
        <f t="shared" si="7"/>
        <v>0</v>
      </c>
      <c r="CG7" s="21">
        <f t="shared" si="7"/>
        <v>0</v>
      </c>
      <c r="CH7" s="21">
        <f t="shared" si="7"/>
        <v>0</v>
      </c>
      <c r="CI7" s="21">
        <f t="shared" si="7"/>
        <v>0</v>
      </c>
      <c r="CJ7" s="21">
        <f t="shared" si="7"/>
        <v>0</v>
      </c>
      <c r="CK7" s="21">
        <f t="shared" si="7"/>
        <v>0</v>
      </c>
      <c r="CL7" s="21">
        <f t="shared" si="7"/>
        <v>0</v>
      </c>
      <c r="CM7" s="21">
        <f t="shared" si="7"/>
        <v>0</v>
      </c>
      <c r="CN7" s="21">
        <f t="shared" si="7"/>
        <v>0</v>
      </c>
      <c r="CO7" s="21">
        <f t="shared" si="7"/>
        <v>0</v>
      </c>
      <c r="CP7" s="21">
        <f t="shared" si="7"/>
        <v>0</v>
      </c>
      <c r="CQ7" s="21">
        <f t="shared" si="8"/>
        <v>0</v>
      </c>
      <c r="CR7" s="21">
        <f t="shared" si="8"/>
        <v>0</v>
      </c>
      <c r="CS7" s="21">
        <f t="shared" si="8"/>
        <v>0</v>
      </c>
      <c r="CT7" s="21">
        <f t="shared" si="8"/>
        <v>0</v>
      </c>
      <c r="CU7" s="21">
        <f t="shared" si="8"/>
        <v>0</v>
      </c>
      <c r="CV7" s="21">
        <f t="shared" si="8"/>
        <v>0</v>
      </c>
      <c r="CW7" s="21">
        <f t="shared" si="8"/>
        <v>0</v>
      </c>
      <c r="CX7" s="21">
        <f t="shared" si="8"/>
        <v>0</v>
      </c>
      <c r="CY7" s="21">
        <f t="shared" si="8"/>
        <v>0</v>
      </c>
      <c r="CZ7" s="21">
        <f t="shared" si="8"/>
        <v>0</v>
      </c>
      <c r="DA7" s="21">
        <f t="shared" si="8"/>
        <v>0</v>
      </c>
      <c r="DB7" s="21">
        <f t="shared" si="8"/>
        <v>0</v>
      </c>
      <c r="DC7" s="21">
        <f t="shared" si="8"/>
        <v>0</v>
      </c>
      <c r="DD7" s="21">
        <f t="shared" si="8"/>
        <v>0</v>
      </c>
      <c r="DE7" s="21">
        <f t="shared" si="8"/>
        <v>0</v>
      </c>
      <c r="DF7" s="21">
        <f t="shared" si="8"/>
        <v>0</v>
      </c>
      <c r="DG7" s="21">
        <f t="shared" si="8"/>
        <v>0</v>
      </c>
      <c r="DH7" s="21">
        <f t="shared" si="8"/>
        <v>0</v>
      </c>
      <c r="DI7" s="21">
        <f t="shared" si="8"/>
        <v>0</v>
      </c>
      <c r="DJ7" s="21">
        <f t="shared" si="8"/>
        <v>0</v>
      </c>
      <c r="DK7" s="21">
        <f t="shared" si="8"/>
        <v>0</v>
      </c>
      <c r="DL7" s="21">
        <f t="shared" si="8"/>
        <v>0</v>
      </c>
      <c r="DM7" s="21">
        <f t="shared" si="8"/>
        <v>0</v>
      </c>
      <c r="DN7" s="21">
        <f t="shared" si="8"/>
        <v>0</v>
      </c>
      <c r="DO7" s="21">
        <f t="shared" si="8"/>
        <v>0</v>
      </c>
      <c r="DP7" s="21">
        <f t="shared" si="8"/>
        <v>0</v>
      </c>
      <c r="DQ7" s="21">
        <f t="shared" si="8"/>
        <v>0</v>
      </c>
      <c r="DR7" s="21">
        <f t="shared" si="8"/>
        <v>0</v>
      </c>
      <c r="DS7" s="21">
        <f t="shared" si="8"/>
        <v>0</v>
      </c>
      <c r="DT7" s="21">
        <f t="shared" si="8"/>
        <v>0</v>
      </c>
      <c r="DU7" s="21">
        <f t="shared" si="9"/>
        <v>0</v>
      </c>
      <c r="DV7" s="21">
        <f t="shared" si="9"/>
        <v>0</v>
      </c>
      <c r="DW7" s="21">
        <f t="shared" si="9"/>
        <v>0</v>
      </c>
      <c r="DX7" s="21">
        <f t="shared" si="9"/>
        <v>0</v>
      </c>
      <c r="DY7" s="21">
        <f t="shared" si="9"/>
        <v>0</v>
      </c>
      <c r="DZ7" s="21">
        <f t="shared" si="9"/>
        <v>0</v>
      </c>
      <c r="EA7" s="21">
        <f t="shared" si="9"/>
        <v>0</v>
      </c>
      <c r="EB7" s="21">
        <f t="shared" si="9"/>
        <v>0</v>
      </c>
      <c r="EC7" s="21">
        <f t="shared" si="9"/>
        <v>0</v>
      </c>
      <c r="ED7" s="21">
        <f t="shared" si="9"/>
        <v>0</v>
      </c>
      <c r="EE7" s="21">
        <f t="shared" si="9"/>
        <v>0</v>
      </c>
      <c r="EF7" s="21">
        <f t="shared" si="9"/>
        <v>0</v>
      </c>
      <c r="EG7" s="21">
        <f t="shared" si="9"/>
        <v>0</v>
      </c>
      <c r="EH7" s="21">
        <f t="shared" si="9"/>
        <v>0</v>
      </c>
      <c r="EI7" s="21">
        <f t="shared" si="9"/>
        <v>0</v>
      </c>
      <c r="EJ7" s="21">
        <f t="shared" si="9"/>
        <v>0</v>
      </c>
      <c r="EK7" s="21">
        <f t="shared" si="9"/>
        <v>0</v>
      </c>
      <c r="EL7" s="21">
        <f t="shared" si="9"/>
        <v>0</v>
      </c>
    </row>
    <row r="8" spans="2:142" x14ac:dyDescent="0.45">
      <c r="B8" s="1" t="s">
        <v>254</v>
      </c>
      <c r="E8" s="9">
        <v>25000</v>
      </c>
      <c r="G8" s="13">
        <v>0</v>
      </c>
      <c r="H8" s="13">
        <v>0</v>
      </c>
      <c r="I8" s="21"/>
      <c r="J8" s="21">
        <f t="shared" si="4"/>
        <v>25000</v>
      </c>
      <c r="K8" s="21">
        <f t="shared" si="5"/>
        <v>0</v>
      </c>
      <c r="L8" s="21">
        <f t="shared" si="5"/>
        <v>0</v>
      </c>
      <c r="M8" s="21">
        <f t="shared" si="5"/>
        <v>0</v>
      </c>
      <c r="N8" s="21">
        <f t="shared" si="5"/>
        <v>0</v>
      </c>
      <c r="O8" s="21">
        <f t="shared" si="5"/>
        <v>0</v>
      </c>
      <c r="P8" s="21">
        <f t="shared" si="5"/>
        <v>0</v>
      </c>
      <c r="Q8" s="21">
        <f t="shared" si="5"/>
        <v>0</v>
      </c>
      <c r="R8" s="21">
        <f t="shared" si="5"/>
        <v>0</v>
      </c>
      <c r="S8" s="21">
        <f t="shared" si="5"/>
        <v>0</v>
      </c>
      <c r="T8" s="21">
        <f t="shared" si="5"/>
        <v>0</v>
      </c>
      <c r="U8" s="21">
        <f t="shared" si="5"/>
        <v>0</v>
      </c>
      <c r="V8" s="21">
        <f t="shared" si="5"/>
        <v>0</v>
      </c>
      <c r="W8" s="21">
        <f t="shared" si="5"/>
        <v>0</v>
      </c>
      <c r="X8" s="21">
        <f t="shared" si="5"/>
        <v>0</v>
      </c>
      <c r="Y8" s="21">
        <f t="shared" si="5"/>
        <v>0</v>
      </c>
      <c r="Z8" s="21">
        <f t="shared" si="5"/>
        <v>0</v>
      </c>
      <c r="AA8" s="21">
        <f t="shared" si="6"/>
        <v>0</v>
      </c>
      <c r="AB8" s="21">
        <f t="shared" si="6"/>
        <v>0</v>
      </c>
      <c r="AC8" s="21">
        <f t="shared" si="6"/>
        <v>0</v>
      </c>
      <c r="AD8" s="21">
        <f t="shared" si="6"/>
        <v>0</v>
      </c>
      <c r="AE8" s="21">
        <f t="shared" si="6"/>
        <v>0</v>
      </c>
      <c r="AF8" s="21">
        <f t="shared" si="6"/>
        <v>0</v>
      </c>
      <c r="AG8" s="21">
        <f t="shared" si="6"/>
        <v>0</v>
      </c>
      <c r="AH8" s="21">
        <f t="shared" si="6"/>
        <v>0</v>
      </c>
      <c r="AI8" s="21">
        <f t="shared" si="6"/>
        <v>0</v>
      </c>
      <c r="AJ8" s="21">
        <f t="shared" si="6"/>
        <v>0</v>
      </c>
      <c r="AK8" s="21">
        <f t="shared" si="6"/>
        <v>0</v>
      </c>
      <c r="AL8" s="21">
        <f t="shared" si="6"/>
        <v>0</v>
      </c>
      <c r="AM8" s="21">
        <f t="shared" si="6"/>
        <v>0</v>
      </c>
      <c r="AN8" s="21">
        <f t="shared" si="6"/>
        <v>0</v>
      </c>
      <c r="AO8" s="21">
        <f t="shared" si="6"/>
        <v>0</v>
      </c>
      <c r="AP8" s="21">
        <f t="shared" si="6"/>
        <v>0</v>
      </c>
      <c r="AQ8" s="21">
        <f t="shared" si="6"/>
        <v>0</v>
      </c>
      <c r="AR8" s="21">
        <f t="shared" si="6"/>
        <v>0</v>
      </c>
      <c r="AS8" s="21">
        <f t="shared" si="6"/>
        <v>0</v>
      </c>
      <c r="AT8" s="21">
        <f t="shared" si="6"/>
        <v>0</v>
      </c>
      <c r="AU8" s="21">
        <f t="shared" si="6"/>
        <v>0</v>
      </c>
      <c r="AV8" s="21">
        <f t="shared" si="6"/>
        <v>0</v>
      </c>
      <c r="AW8" s="21">
        <f t="shared" si="6"/>
        <v>0</v>
      </c>
      <c r="AX8" s="21">
        <f t="shared" si="6"/>
        <v>0</v>
      </c>
      <c r="AY8" s="21">
        <f t="shared" si="6"/>
        <v>0</v>
      </c>
      <c r="AZ8" s="21">
        <f t="shared" si="6"/>
        <v>0</v>
      </c>
      <c r="BA8" s="21">
        <f t="shared" si="7"/>
        <v>0</v>
      </c>
      <c r="BB8" s="21">
        <f t="shared" si="7"/>
        <v>0</v>
      </c>
      <c r="BC8" s="21">
        <f t="shared" si="7"/>
        <v>0</v>
      </c>
      <c r="BD8" s="21">
        <f t="shared" si="7"/>
        <v>0</v>
      </c>
      <c r="BE8" s="21">
        <f t="shared" si="7"/>
        <v>0</v>
      </c>
      <c r="BF8" s="21">
        <f t="shared" si="7"/>
        <v>0</v>
      </c>
      <c r="BG8" s="21">
        <f t="shared" si="7"/>
        <v>0</v>
      </c>
      <c r="BH8" s="21">
        <f t="shared" si="7"/>
        <v>0</v>
      </c>
      <c r="BI8" s="21">
        <f t="shared" si="7"/>
        <v>0</v>
      </c>
      <c r="BJ8" s="21">
        <f t="shared" si="7"/>
        <v>0</v>
      </c>
      <c r="BK8" s="21">
        <f t="shared" si="7"/>
        <v>0</v>
      </c>
      <c r="BL8" s="21">
        <f t="shared" si="7"/>
        <v>0</v>
      </c>
      <c r="BM8" s="21">
        <f t="shared" si="7"/>
        <v>0</v>
      </c>
      <c r="BN8" s="21">
        <f t="shared" si="7"/>
        <v>0</v>
      </c>
      <c r="BO8" s="21">
        <f t="shared" si="7"/>
        <v>0</v>
      </c>
      <c r="BP8" s="21">
        <f t="shared" si="7"/>
        <v>0</v>
      </c>
      <c r="BQ8" s="21">
        <f t="shared" si="7"/>
        <v>0</v>
      </c>
      <c r="BR8" s="21">
        <f t="shared" si="7"/>
        <v>0</v>
      </c>
      <c r="BS8" s="21">
        <f t="shared" si="7"/>
        <v>0</v>
      </c>
      <c r="BT8" s="21">
        <f t="shared" si="7"/>
        <v>0</v>
      </c>
      <c r="BU8" s="21">
        <f t="shared" si="7"/>
        <v>0</v>
      </c>
      <c r="BV8" s="21">
        <f t="shared" si="7"/>
        <v>0</v>
      </c>
      <c r="BW8" s="21">
        <f t="shared" si="7"/>
        <v>0</v>
      </c>
      <c r="BX8" s="21">
        <f t="shared" si="7"/>
        <v>0</v>
      </c>
      <c r="BY8" s="21">
        <f t="shared" si="7"/>
        <v>0</v>
      </c>
      <c r="BZ8" s="21">
        <f t="shared" si="7"/>
        <v>0</v>
      </c>
      <c r="CA8" s="21">
        <f t="shared" si="7"/>
        <v>0</v>
      </c>
      <c r="CB8" s="21">
        <f t="shared" si="7"/>
        <v>0</v>
      </c>
      <c r="CC8" s="21">
        <f t="shared" si="7"/>
        <v>0</v>
      </c>
      <c r="CD8" s="21">
        <f t="shared" si="7"/>
        <v>0</v>
      </c>
      <c r="CE8" s="21">
        <f t="shared" si="7"/>
        <v>0</v>
      </c>
      <c r="CF8" s="21">
        <f t="shared" si="7"/>
        <v>0</v>
      </c>
      <c r="CG8" s="21">
        <f t="shared" si="7"/>
        <v>0</v>
      </c>
      <c r="CH8" s="21">
        <f t="shared" si="7"/>
        <v>0</v>
      </c>
      <c r="CI8" s="21">
        <f t="shared" si="7"/>
        <v>0</v>
      </c>
      <c r="CJ8" s="21">
        <f t="shared" si="7"/>
        <v>0</v>
      </c>
      <c r="CK8" s="21">
        <f t="shared" si="7"/>
        <v>0</v>
      </c>
      <c r="CL8" s="21">
        <f t="shared" si="7"/>
        <v>0</v>
      </c>
      <c r="CM8" s="21">
        <f t="shared" si="7"/>
        <v>0</v>
      </c>
      <c r="CN8" s="21">
        <f t="shared" si="7"/>
        <v>0</v>
      </c>
      <c r="CO8" s="21">
        <f t="shared" si="7"/>
        <v>0</v>
      </c>
      <c r="CP8" s="21">
        <f t="shared" si="7"/>
        <v>0</v>
      </c>
      <c r="CQ8" s="21">
        <f t="shared" si="8"/>
        <v>0</v>
      </c>
      <c r="CR8" s="21">
        <f t="shared" si="8"/>
        <v>0</v>
      </c>
      <c r="CS8" s="21">
        <f t="shared" si="8"/>
        <v>0</v>
      </c>
      <c r="CT8" s="21">
        <f t="shared" si="8"/>
        <v>0</v>
      </c>
      <c r="CU8" s="21">
        <f t="shared" si="8"/>
        <v>0</v>
      </c>
      <c r="CV8" s="21">
        <f t="shared" si="8"/>
        <v>0</v>
      </c>
      <c r="CW8" s="21">
        <f t="shared" si="8"/>
        <v>0</v>
      </c>
      <c r="CX8" s="21">
        <f t="shared" si="8"/>
        <v>0</v>
      </c>
      <c r="CY8" s="21">
        <f t="shared" si="8"/>
        <v>0</v>
      </c>
      <c r="CZ8" s="21">
        <f t="shared" si="8"/>
        <v>0</v>
      </c>
      <c r="DA8" s="21">
        <f t="shared" si="8"/>
        <v>0</v>
      </c>
      <c r="DB8" s="21">
        <f t="shared" si="8"/>
        <v>0</v>
      </c>
      <c r="DC8" s="21">
        <f t="shared" si="8"/>
        <v>0</v>
      </c>
      <c r="DD8" s="21">
        <f t="shared" si="8"/>
        <v>0</v>
      </c>
      <c r="DE8" s="21">
        <f t="shared" si="8"/>
        <v>0</v>
      </c>
      <c r="DF8" s="21">
        <f t="shared" si="8"/>
        <v>0</v>
      </c>
      <c r="DG8" s="21">
        <f t="shared" si="8"/>
        <v>0</v>
      </c>
      <c r="DH8" s="21">
        <f t="shared" si="8"/>
        <v>0</v>
      </c>
      <c r="DI8" s="21">
        <f t="shared" si="8"/>
        <v>0</v>
      </c>
      <c r="DJ8" s="21">
        <f t="shared" si="8"/>
        <v>0</v>
      </c>
      <c r="DK8" s="21">
        <f t="shared" si="8"/>
        <v>0</v>
      </c>
      <c r="DL8" s="21">
        <f t="shared" si="8"/>
        <v>0</v>
      </c>
      <c r="DM8" s="21">
        <f t="shared" si="8"/>
        <v>0</v>
      </c>
      <c r="DN8" s="21">
        <f t="shared" si="8"/>
        <v>0</v>
      </c>
      <c r="DO8" s="21">
        <f t="shared" si="8"/>
        <v>0</v>
      </c>
      <c r="DP8" s="21">
        <f t="shared" si="8"/>
        <v>0</v>
      </c>
      <c r="DQ8" s="21">
        <f t="shared" si="8"/>
        <v>0</v>
      </c>
      <c r="DR8" s="21">
        <f t="shared" si="8"/>
        <v>0</v>
      </c>
      <c r="DS8" s="21">
        <f t="shared" si="8"/>
        <v>0</v>
      </c>
      <c r="DT8" s="21">
        <f t="shared" si="8"/>
        <v>0</v>
      </c>
      <c r="DU8" s="21">
        <f t="shared" si="9"/>
        <v>0</v>
      </c>
      <c r="DV8" s="21">
        <f t="shared" si="9"/>
        <v>0</v>
      </c>
      <c r="DW8" s="21">
        <f t="shared" si="9"/>
        <v>0</v>
      </c>
      <c r="DX8" s="21">
        <f t="shared" si="9"/>
        <v>0</v>
      </c>
      <c r="DY8" s="21">
        <f t="shared" si="9"/>
        <v>0</v>
      </c>
      <c r="DZ8" s="21">
        <f t="shared" si="9"/>
        <v>0</v>
      </c>
      <c r="EA8" s="21">
        <f t="shared" si="9"/>
        <v>0</v>
      </c>
      <c r="EB8" s="21">
        <f t="shared" si="9"/>
        <v>0</v>
      </c>
      <c r="EC8" s="21">
        <f t="shared" si="9"/>
        <v>0</v>
      </c>
      <c r="ED8" s="21">
        <f t="shared" si="9"/>
        <v>0</v>
      </c>
      <c r="EE8" s="21">
        <f t="shared" si="9"/>
        <v>0</v>
      </c>
      <c r="EF8" s="21">
        <f t="shared" si="9"/>
        <v>0</v>
      </c>
      <c r="EG8" s="21">
        <f t="shared" si="9"/>
        <v>0</v>
      </c>
      <c r="EH8" s="21">
        <f t="shared" si="9"/>
        <v>0</v>
      </c>
      <c r="EI8" s="21">
        <f t="shared" si="9"/>
        <v>0</v>
      </c>
      <c r="EJ8" s="21">
        <f t="shared" si="9"/>
        <v>0</v>
      </c>
      <c r="EK8" s="21">
        <f t="shared" si="9"/>
        <v>0</v>
      </c>
      <c r="EL8" s="21">
        <f t="shared" si="9"/>
        <v>0</v>
      </c>
    </row>
    <row r="9" spans="2:142" x14ac:dyDescent="0.35">
      <c r="B9" s="1" t="s">
        <v>303</v>
      </c>
      <c r="C9" s="271">
        <v>20</v>
      </c>
      <c r="D9" s="197">
        <v>5000</v>
      </c>
      <c r="E9" s="19">
        <f>+D9*C9</f>
        <v>100000</v>
      </c>
      <c r="F9" s="9"/>
      <c r="G9" s="13">
        <v>1</v>
      </c>
      <c r="H9" s="13">
        <v>33</v>
      </c>
      <c r="I9" s="21"/>
      <c r="J9" s="21">
        <f t="shared" ref="J9:S9" si="10">IF(AND($G9=J$4,$H9=J$4),$E9,IF($G9&gt;J$4,0,IF($H9&lt;J$4,0,$E9/($H9-$G9+1))))</f>
        <v>0</v>
      </c>
      <c r="K9" s="21">
        <f t="shared" si="10"/>
        <v>3030.3030303030305</v>
      </c>
      <c r="L9" s="21">
        <f t="shared" si="10"/>
        <v>3030.3030303030305</v>
      </c>
      <c r="M9" s="21">
        <f t="shared" si="10"/>
        <v>3030.3030303030305</v>
      </c>
      <c r="N9" s="21">
        <f t="shared" si="10"/>
        <v>3030.3030303030305</v>
      </c>
      <c r="O9" s="21">
        <f t="shared" si="10"/>
        <v>3030.3030303030305</v>
      </c>
      <c r="P9" s="21">
        <f t="shared" si="10"/>
        <v>3030.3030303030305</v>
      </c>
      <c r="Q9" s="21">
        <f t="shared" si="10"/>
        <v>3030.3030303030305</v>
      </c>
      <c r="R9" s="21">
        <f t="shared" si="10"/>
        <v>3030.3030303030305</v>
      </c>
      <c r="S9" s="21">
        <f t="shared" si="10"/>
        <v>3030.3030303030305</v>
      </c>
      <c r="T9" s="21">
        <f t="shared" si="5"/>
        <v>3030.3030303030305</v>
      </c>
      <c r="U9" s="21">
        <f t="shared" si="5"/>
        <v>3030.3030303030305</v>
      </c>
      <c r="V9" s="21">
        <f t="shared" si="5"/>
        <v>3030.3030303030305</v>
      </c>
      <c r="W9" s="21">
        <f t="shared" si="5"/>
        <v>3030.3030303030305</v>
      </c>
      <c r="X9" s="21">
        <f t="shared" si="5"/>
        <v>3030.3030303030305</v>
      </c>
      <c r="Y9" s="21">
        <f t="shared" si="5"/>
        <v>3030.3030303030305</v>
      </c>
      <c r="Z9" s="21">
        <f t="shared" si="5"/>
        <v>3030.3030303030305</v>
      </c>
      <c r="AA9" s="21">
        <f t="shared" ref="AA9:AJ9" si="11">IF(AND($G9=AA$4,$H9=AA$4),$E9,IF($G9&gt;AA$4,0,IF($H9&lt;AA$4,0,$E9/($H9-$G9+1))))</f>
        <v>3030.3030303030305</v>
      </c>
      <c r="AB9" s="21">
        <f t="shared" si="11"/>
        <v>3030.3030303030305</v>
      </c>
      <c r="AC9" s="21">
        <f t="shared" si="11"/>
        <v>3030.3030303030305</v>
      </c>
      <c r="AD9" s="21">
        <f t="shared" si="11"/>
        <v>3030.3030303030305</v>
      </c>
      <c r="AE9" s="21">
        <f t="shared" si="11"/>
        <v>3030.3030303030305</v>
      </c>
      <c r="AF9" s="21">
        <f t="shared" si="11"/>
        <v>3030.3030303030305</v>
      </c>
      <c r="AG9" s="21">
        <f t="shared" si="11"/>
        <v>3030.3030303030305</v>
      </c>
      <c r="AH9" s="21">
        <f t="shared" si="11"/>
        <v>3030.3030303030305</v>
      </c>
      <c r="AI9" s="21">
        <f t="shared" si="11"/>
        <v>3030.3030303030305</v>
      </c>
      <c r="AJ9" s="21">
        <f t="shared" si="11"/>
        <v>3030.3030303030305</v>
      </c>
      <c r="AK9" s="21">
        <f t="shared" ref="AK9:AT9" si="12">IF(AND($G9=AK$4,$H9=AK$4),$E9,IF($G9&gt;AK$4,0,IF($H9&lt;AK$4,0,$E9/($H9-$G9+1))))</f>
        <v>3030.3030303030305</v>
      </c>
      <c r="AL9" s="21">
        <f t="shared" si="12"/>
        <v>3030.3030303030305</v>
      </c>
      <c r="AM9" s="21">
        <f t="shared" si="12"/>
        <v>3030.3030303030305</v>
      </c>
      <c r="AN9" s="21">
        <f t="shared" si="12"/>
        <v>3030.3030303030305</v>
      </c>
      <c r="AO9" s="21">
        <f t="shared" si="12"/>
        <v>3030.3030303030305</v>
      </c>
      <c r="AP9" s="21">
        <f t="shared" si="12"/>
        <v>3030.3030303030305</v>
      </c>
      <c r="AQ9" s="21">
        <f t="shared" si="12"/>
        <v>3030.3030303030305</v>
      </c>
      <c r="AR9" s="21">
        <f t="shared" si="12"/>
        <v>0</v>
      </c>
      <c r="AS9" s="21">
        <f t="shared" si="12"/>
        <v>0</v>
      </c>
      <c r="AT9" s="21">
        <f t="shared" si="12"/>
        <v>0</v>
      </c>
      <c r="AU9" s="21">
        <f t="shared" ref="AU9:BD9" si="13">IF(AND($G9=AU$4,$H9=AU$4),$E9,IF($G9&gt;AU$4,0,IF($H9&lt;AU$4,0,$E9/($H9-$G9+1))))</f>
        <v>0</v>
      </c>
      <c r="AV9" s="21">
        <f t="shared" si="13"/>
        <v>0</v>
      </c>
      <c r="AW9" s="21">
        <f t="shared" si="13"/>
        <v>0</v>
      </c>
      <c r="AX9" s="21">
        <f t="shared" si="13"/>
        <v>0</v>
      </c>
      <c r="AY9" s="21">
        <f t="shared" si="13"/>
        <v>0</v>
      </c>
      <c r="AZ9" s="21">
        <f t="shared" si="13"/>
        <v>0</v>
      </c>
      <c r="BA9" s="21">
        <f t="shared" si="13"/>
        <v>0</v>
      </c>
      <c r="BB9" s="21">
        <f t="shared" si="13"/>
        <v>0</v>
      </c>
      <c r="BC9" s="21">
        <f t="shared" si="13"/>
        <v>0</v>
      </c>
      <c r="BD9" s="21">
        <f t="shared" si="13"/>
        <v>0</v>
      </c>
      <c r="BE9" s="21">
        <f t="shared" ref="BE9:CB9" si="14">IF(AND($G9=BE$4,$H9=BE$4),$E9,IF($G9&gt;BE$4,0,IF($H9&lt;BE$4,0,$E9/($H9-$G9+1))))</f>
        <v>0</v>
      </c>
      <c r="BF9" s="21">
        <f t="shared" si="14"/>
        <v>0</v>
      </c>
      <c r="BG9" s="21">
        <f t="shared" si="14"/>
        <v>0</v>
      </c>
      <c r="BH9" s="21">
        <f t="shared" si="14"/>
        <v>0</v>
      </c>
      <c r="BI9" s="21">
        <f t="shared" si="14"/>
        <v>0</v>
      </c>
      <c r="BJ9" s="21">
        <f t="shared" si="14"/>
        <v>0</v>
      </c>
      <c r="BK9" s="21">
        <f t="shared" si="14"/>
        <v>0</v>
      </c>
      <c r="BL9" s="21">
        <f t="shared" si="14"/>
        <v>0</v>
      </c>
      <c r="BM9" s="21">
        <f t="shared" si="14"/>
        <v>0</v>
      </c>
      <c r="BN9" s="21">
        <f t="shared" si="14"/>
        <v>0</v>
      </c>
      <c r="BO9" s="21">
        <f t="shared" si="14"/>
        <v>0</v>
      </c>
      <c r="BP9" s="21">
        <f t="shared" si="14"/>
        <v>0</v>
      </c>
      <c r="BQ9" s="21">
        <f t="shared" si="14"/>
        <v>0</v>
      </c>
      <c r="BR9" s="21">
        <f t="shared" si="14"/>
        <v>0</v>
      </c>
      <c r="BS9" s="21">
        <f t="shared" si="14"/>
        <v>0</v>
      </c>
      <c r="BT9" s="21">
        <f t="shared" si="14"/>
        <v>0</v>
      </c>
      <c r="BU9" s="21">
        <f t="shared" si="14"/>
        <v>0</v>
      </c>
      <c r="BV9" s="21">
        <f t="shared" si="14"/>
        <v>0</v>
      </c>
      <c r="BW9" s="21">
        <f t="shared" si="14"/>
        <v>0</v>
      </c>
      <c r="BX9" s="21">
        <f t="shared" si="14"/>
        <v>0</v>
      </c>
      <c r="BY9" s="21">
        <f t="shared" si="14"/>
        <v>0</v>
      </c>
      <c r="BZ9" s="21">
        <f t="shared" si="14"/>
        <v>0</v>
      </c>
      <c r="CA9" s="21">
        <f t="shared" si="14"/>
        <v>0</v>
      </c>
      <c r="CB9" s="21">
        <f t="shared" si="14"/>
        <v>0</v>
      </c>
      <c r="CC9" s="21">
        <f t="shared" ref="CC9:EL11" si="15">IF(AND($G9=CC$4,$H9=CC$4),$E9,IF($G9&gt;CC$4,0,IF($H9&lt;CC$4,0,$E9/($H9-$G9+1))))</f>
        <v>0</v>
      </c>
      <c r="CD9" s="21">
        <f t="shared" si="15"/>
        <v>0</v>
      </c>
      <c r="CE9" s="21">
        <f t="shared" si="15"/>
        <v>0</v>
      </c>
      <c r="CF9" s="21">
        <f t="shared" si="15"/>
        <v>0</v>
      </c>
      <c r="CG9" s="21">
        <f t="shared" si="15"/>
        <v>0</v>
      </c>
      <c r="CH9" s="21">
        <f t="shared" si="15"/>
        <v>0</v>
      </c>
      <c r="CI9" s="21">
        <f t="shared" si="15"/>
        <v>0</v>
      </c>
      <c r="CJ9" s="21">
        <f t="shared" si="15"/>
        <v>0</v>
      </c>
      <c r="CK9" s="21">
        <f t="shared" si="15"/>
        <v>0</v>
      </c>
      <c r="CL9" s="21">
        <f t="shared" si="15"/>
        <v>0</v>
      </c>
      <c r="CM9" s="21">
        <f t="shared" si="15"/>
        <v>0</v>
      </c>
      <c r="CN9" s="21">
        <f t="shared" si="15"/>
        <v>0</v>
      </c>
      <c r="CO9" s="21">
        <f t="shared" si="15"/>
        <v>0</v>
      </c>
      <c r="CP9" s="21">
        <f t="shared" si="15"/>
        <v>0</v>
      </c>
      <c r="CQ9" s="21">
        <f t="shared" si="15"/>
        <v>0</v>
      </c>
      <c r="CR9" s="21">
        <f t="shared" si="15"/>
        <v>0</v>
      </c>
      <c r="CS9" s="21">
        <f t="shared" si="15"/>
        <v>0</v>
      </c>
      <c r="CT9" s="21">
        <f t="shared" si="15"/>
        <v>0</v>
      </c>
      <c r="CU9" s="21">
        <f t="shared" si="15"/>
        <v>0</v>
      </c>
      <c r="CV9" s="21">
        <f t="shared" si="15"/>
        <v>0</v>
      </c>
      <c r="CW9" s="21">
        <f t="shared" si="15"/>
        <v>0</v>
      </c>
      <c r="CX9" s="21">
        <f t="shared" si="15"/>
        <v>0</v>
      </c>
      <c r="CY9" s="21">
        <f t="shared" si="15"/>
        <v>0</v>
      </c>
      <c r="CZ9" s="21">
        <f t="shared" si="15"/>
        <v>0</v>
      </c>
      <c r="DA9" s="21">
        <f t="shared" si="15"/>
        <v>0</v>
      </c>
      <c r="DB9" s="21">
        <f t="shared" si="15"/>
        <v>0</v>
      </c>
      <c r="DC9" s="21">
        <f t="shared" si="15"/>
        <v>0</v>
      </c>
      <c r="DD9" s="21">
        <f t="shared" si="15"/>
        <v>0</v>
      </c>
      <c r="DE9" s="21">
        <f t="shared" si="15"/>
        <v>0</v>
      </c>
      <c r="DF9" s="21">
        <f t="shared" si="15"/>
        <v>0</v>
      </c>
      <c r="DG9" s="21">
        <f t="shared" si="15"/>
        <v>0</v>
      </c>
      <c r="DH9" s="21">
        <f t="shared" si="15"/>
        <v>0</v>
      </c>
      <c r="DI9" s="21">
        <f t="shared" si="15"/>
        <v>0</v>
      </c>
      <c r="DJ9" s="21">
        <f t="shared" si="15"/>
        <v>0</v>
      </c>
      <c r="DK9" s="21">
        <f t="shared" si="15"/>
        <v>0</v>
      </c>
      <c r="DL9" s="21">
        <f t="shared" si="15"/>
        <v>0</v>
      </c>
      <c r="DM9" s="21">
        <f t="shared" si="15"/>
        <v>0</v>
      </c>
      <c r="DN9" s="21">
        <f t="shared" si="15"/>
        <v>0</v>
      </c>
      <c r="DO9" s="21">
        <f t="shared" si="15"/>
        <v>0</v>
      </c>
      <c r="DP9" s="21">
        <f t="shared" si="15"/>
        <v>0</v>
      </c>
      <c r="DQ9" s="21">
        <f t="shared" si="15"/>
        <v>0</v>
      </c>
      <c r="DR9" s="21">
        <f t="shared" si="15"/>
        <v>0</v>
      </c>
      <c r="DS9" s="21">
        <f t="shared" si="15"/>
        <v>0</v>
      </c>
      <c r="DT9" s="21">
        <f t="shared" si="15"/>
        <v>0</v>
      </c>
      <c r="DU9" s="21">
        <f t="shared" si="15"/>
        <v>0</v>
      </c>
      <c r="DV9" s="21">
        <f t="shared" si="15"/>
        <v>0</v>
      </c>
      <c r="DW9" s="21">
        <f t="shared" si="15"/>
        <v>0</v>
      </c>
      <c r="DX9" s="21">
        <f t="shared" si="15"/>
        <v>0</v>
      </c>
      <c r="DY9" s="21">
        <f t="shared" si="15"/>
        <v>0</v>
      </c>
      <c r="DZ9" s="21">
        <f t="shared" si="15"/>
        <v>0</v>
      </c>
      <c r="EA9" s="21">
        <f t="shared" si="15"/>
        <v>0</v>
      </c>
      <c r="EB9" s="21">
        <f t="shared" si="15"/>
        <v>0</v>
      </c>
      <c r="EC9" s="21">
        <f t="shared" si="15"/>
        <v>0</v>
      </c>
      <c r="ED9" s="21">
        <f t="shared" si="15"/>
        <v>0</v>
      </c>
      <c r="EE9" s="21">
        <f t="shared" si="15"/>
        <v>0</v>
      </c>
      <c r="EF9" s="21">
        <f t="shared" si="15"/>
        <v>0</v>
      </c>
      <c r="EG9" s="21">
        <f t="shared" si="15"/>
        <v>0</v>
      </c>
      <c r="EH9" s="21">
        <f t="shared" si="15"/>
        <v>0</v>
      </c>
      <c r="EI9" s="21">
        <f t="shared" si="15"/>
        <v>0</v>
      </c>
      <c r="EJ9" s="21">
        <f t="shared" si="15"/>
        <v>0</v>
      </c>
      <c r="EK9" s="21">
        <f t="shared" si="15"/>
        <v>0</v>
      </c>
      <c r="EL9" s="21">
        <f t="shared" si="15"/>
        <v>0</v>
      </c>
    </row>
    <row r="10" spans="2:142" x14ac:dyDescent="0.35">
      <c r="B10" s="1" t="s">
        <v>289</v>
      </c>
      <c r="C10" s="223">
        <f>IFERROR(SUMIFS(Assumptions!$D$46:$D$123,Assumptions!$D$46:$D$123,1),0)</f>
        <v>62</v>
      </c>
      <c r="D10" s="240">
        <f>+Assumptions!J124/Assumptions!E124</f>
        <v>2119.3855128205128</v>
      </c>
      <c r="E10" s="19">
        <f>+D10*C10</f>
        <v>131401.90179487178</v>
      </c>
      <c r="G10" s="13">
        <v>1</v>
      </c>
      <c r="H10" s="13">
        <v>33</v>
      </c>
      <c r="I10" s="21"/>
      <c r="J10" s="21">
        <f t="shared" si="4"/>
        <v>0</v>
      </c>
      <c r="K10" s="21">
        <f t="shared" ref="K10:Z10" si="16">IF(AND($G10=K$4,$H10=K$4),$E10,IF($G10&gt;K$4,0,IF($H10&lt;K$4,0,$E10/($H10-$G10+1))))</f>
        <v>3981.8758119658114</v>
      </c>
      <c r="L10" s="21">
        <f t="shared" si="16"/>
        <v>3981.8758119658114</v>
      </c>
      <c r="M10" s="21">
        <f t="shared" si="16"/>
        <v>3981.8758119658114</v>
      </c>
      <c r="N10" s="21">
        <f t="shared" si="16"/>
        <v>3981.8758119658114</v>
      </c>
      <c r="O10" s="21">
        <f t="shared" si="16"/>
        <v>3981.8758119658114</v>
      </c>
      <c r="P10" s="21">
        <f t="shared" si="16"/>
        <v>3981.8758119658114</v>
      </c>
      <c r="Q10" s="21">
        <f t="shared" si="16"/>
        <v>3981.8758119658114</v>
      </c>
      <c r="R10" s="21">
        <f t="shared" si="16"/>
        <v>3981.8758119658114</v>
      </c>
      <c r="S10" s="21">
        <f t="shared" si="16"/>
        <v>3981.8758119658114</v>
      </c>
      <c r="T10" s="21">
        <f t="shared" si="16"/>
        <v>3981.8758119658114</v>
      </c>
      <c r="U10" s="21">
        <f t="shared" si="16"/>
        <v>3981.8758119658114</v>
      </c>
      <c r="V10" s="21">
        <f t="shared" si="16"/>
        <v>3981.8758119658114</v>
      </c>
      <c r="W10" s="21">
        <f t="shared" si="16"/>
        <v>3981.8758119658114</v>
      </c>
      <c r="X10" s="21">
        <f t="shared" si="16"/>
        <v>3981.8758119658114</v>
      </c>
      <c r="Y10" s="21">
        <f t="shared" si="16"/>
        <v>3981.8758119658114</v>
      </c>
      <c r="Z10" s="21">
        <f t="shared" si="16"/>
        <v>3981.8758119658114</v>
      </c>
      <c r="AA10" s="21">
        <f t="shared" ref="AA10:AO10" si="17">IF(AND($G10=AA$4,$H10=AA$4),$E10,IF($G10&gt;AA$4,0,IF($H10&lt;AA$4,0,$E10/($H10-$G10+1))))</f>
        <v>3981.8758119658114</v>
      </c>
      <c r="AB10" s="21">
        <f t="shared" si="17"/>
        <v>3981.8758119658114</v>
      </c>
      <c r="AC10" s="21">
        <f t="shared" si="17"/>
        <v>3981.8758119658114</v>
      </c>
      <c r="AD10" s="21">
        <f t="shared" si="17"/>
        <v>3981.8758119658114</v>
      </c>
      <c r="AE10" s="21">
        <f t="shared" si="17"/>
        <v>3981.8758119658114</v>
      </c>
      <c r="AF10" s="21">
        <f t="shared" si="17"/>
        <v>3981.8758119658114</v>
      </c>
      <c r="AG10" s="21">
        <f t="shared" si="17"/>
        <v>3981.8758119658114</v>
      </c>
      <c r="AH10" s="21">
        <f t="shared" si="17"/>
        <v>3981.8758119658114</v>
      </c>
      <c r="AI10" s="21">
        <f t="shared" si="17"/>
        <v>3981.8758119658114</v>
      </c>
      <c r="AJ10" s="21">
        <f t="shared" si="17"/>
        <v>3981.8758119658114</v>
      </c>
      <c r="AK10" s="21">
        <f t="shared" si="17"/>
        <v>3981.8758119658114</v>
      </c>
      <c r="AL10" s="21">
        <f t="shared" si="17"/>
        <v>3981.8758119658114</v>
      </c>
      <c r="AM10" s="21">
        <f t="shared" si="17"/>
        <v>3981.8758119658114</v>
      </c>
      <c r="AN10" s="21">
        <f t="shared" si="17"/>
        <v>3981.8758119658114</v>
      </c>
      <c r="AO10" s="21">
        <f t="shared" si="17"/>
        <v>3981.8758119658114</v>
      </c>
      <c r="AP10" s="21">
        <f>IF(AND($G10=AP$4,$H10=AP$4),$E10,IF($G10&gt;AP$4,0,IF($H10&lt;AP$4,0,$E10/($H10-$G10+1))))</f>
        <v>3981.8758119658114</v>
      </c>
      <c r="AQ10" s="21">
        <f>IF(AND($G10=AQ$4,$H10=AQ$4),$E10,IF($G10&gt;AQ$4,0,IF($H10&lt;AQ$4,0,$E10/($H10-$G10+1))))</f>
        <v>3981.8758119658114</v>
      </c>
      <c r="AR10" s="21">
        <f>IF(AND($G10=AR$4,$H10=AR$4),$E10,IF($G10&gt;AR$4,0,IF($H10&lt;AR$4,0,$E10/($H10-$G10+1))))</f>
        <v>0</v>
      </c>
      <c r="AS10" s="21">
        <f>IF(AND($G10=AS$4,$H10=AS$4),$E10,IF($G10&gt;AS$4,0,IF($H10&lt;AS$4,0,$E10/($H10-$G10+1))))</f>
        <v>0</v>
      </c>
      <c r="AT10" s="21">
        <f t="shared" ref="AT10:BI10" si="18">IF(AND($G10=AT$4,$H10=AT$4),$E10,IF($G10&gt;AT$4,0,IF($H10&lt;AT$4,0,$E10/($H10-$G10+1))))</f>
        <v>0</v>
      </c>
      <c r="AU10" s="21">
        <f t="shared" si="18"/>
        <v>0</v>
      </c>
      <c r="AV10" s="21">
        <f t="shared" si="18"/>
        <v>0</v>
      </c>
      <c r="AW10" s="21">
        <f t="shared" si="18"/>
        <v>0</v>
      </c>
      <c r="AX10" s="21">
        <f t="shared" si="18"/>
        <v>0</v>
      </c>
      <c r="AY10" s="21">
        <f t="shared" si="18"/>
        <v>0</v>
      </c>
      <c r="AZ10" s="21">
        <f t="shared" si="18"/>
        <v>0</v>
      </c>
      <c r="BA10" s="21">
        <f t="shared" si="18"/>
        <v>0</v>
      </c>
      <c r="BB10" s="21">
        <f t="shared" si="18"/>
        <v>0</v>
      </c>
      <c r="BC10" s="21">
        <f t="shared" si="18"/>
        <v>0</v>
      </c>
      <c r="BD10" s="21">
        <f t="shared" si="18"/>
        <v>0</v>
      </c>
      <c r="BE10" s="21">
        <f t="shared" si="18"/>
        <v>0</v>
      </c>
      <c r="BF10" s="21">
        <f t="shared" si="18"/>
        <v>0</v>
      </c>
      <c r="BG10" s="21">
        <f t="shared" si="18"/>
        <v>0</v>
      </c>
      <c r="BH10" s="21">
        <f t="shared" si="18"/>
        <v>0</v>
      </c>
      <c r="BI10" s="21">
        <f t="shared" si="18"/>
        <v>0</v>
      </c>
      <c r="BJ10" s="21">
        <f t="shared" ref="BJ10:BY10" si="19">IF(AND($G10=BJ$4,$H10=BJ$4),$E10,IF($G10&gt;BJ$4,0,IF($H10&lt;BJ$4,0,$E10/($H10-$G10+1))))</f>
        <v>0</v>
      </c>
      <c r="BK10" s="21">
        <f t="shared" si="19"/>
        <v>0</v>
      </c>
      <c r="BL10" s="21">
        <f t="shared" si="19"/>
        <v>0</v>
      </c>
      <c r="BM10" s="21">
        <f t="shared" si="19"/>
        <v>0</v>
      </c>
      <c r="BN10" s="21">
        <f t="shared" si="19"/>
        <v>0</v>
      </c>
      <c r="BO10" s="21">
        <f t="shared" si="19"/>
        <v>0</v>
      </c>
      <c r="BP10" s="21">
        <f t="shared" si="19"/>
        <v>0</v>
      </c>
      <c r="BQ10" s="21">
        <f t="shared" si="19"/>
        <v>0</v>
      </c>
      <c r="BR10" s="21">
        <f t="shared" si="19"/>
        <v>0</v>
      </c>
      <c r="BS10" s="21">
        <f t="shared" si="19"/>
        <v>0</v>
      </c>
      <c r="BT10" s="21">
        <f t="shared" si="19"/>
        <v>0</v>
      </c>
      <c r="BU10" s="21">
        <f t="shared" si="19"/>
        <v>0</v>
      </c>
      <c r="BV10" s="21">
        <f t="shared" si="19"/>
        <v>0</v>
      </c>
      <c r="BW10" s="21">
        <f t="shared" si="19"/>
        <v>0</v>
      </c>
      <c r="BX10" s="21">
        <f t="shared" si="19"/>
        <v>0</v>
      </c>
      <c r="BY10" s="21">
        <f t="shared" si="19"/>
        <v>0</v>
      </c>
      <c r="BZ10" s="21">
        <f t="shared" ref="BZ10:CO10" si="20">IF(AND($G10=BZ$4,$H10=BZ$4),$E10,IF($G10&gt;BZ$4,0,IF($H10&lt;BZ$4,0,$E10/($H10-$G10+1))))</f>
        <v>0</v>
      </c>
      <c r="CA10" s="21">
        <f t="shared" si="20"/>
        <v>0</v>
      </c>
      <c r="CB10" s="21">
        <f t="shared" si="20"/>
        <v>0</v>
      </c>
      <c r="CC10" s="21">
        <f t="shared" si="20"/>
        <v>0</v>
      </c>
      <c r="CD10" s="21">
        <f t="shared" si="20"/>
        <v>0</v>
      </c>
      <c r="CE10" s="21">
        <f t="shared" si="20"/>
        <v>0</v>
      </c>
      <c r="CF10" s="21">
        <f t="shared" si="20"/>
        <v>0</v>
      </c>
      <c r="CG10" s="21">
        <f t="shared" si="20"/>
        <v>0</v>
      </c>
      <c r="CH10" s="21">
        <f t="shared" si="20"/>
        <v>0</v>
      </c>
      <c r="CI10" s="21">
        <f t="shared" si="20"/>
        <v>0</v>
      </c>
      <c r="CJ10" s="21">
        <f t="shared" si="20"/>
        <v>0</v>
      </c>
      <c r="CK10" s="21">
        <f t="shared" si="20"/>
        <v>0</v>
      </c>
      <c r="CL10" s="21">
        <f t="shared" si="20"/>
        <v>0</v>
      </c>
      <c r="CM10" s="21">
        <f t="shared" si="20"/>
        <v>0</v>
      </c>
      <c r="CN10" s="21">
        <f t="shared" si="20"/>
        <v>0</v>
      </c>
      <c r="CO10" s="21">
        <f t="shared" si="20"/>
        <v>0</v>
      </c>
      <c r="CP10" s="21">
        <f t="shared" ref="CP10:DE10" si="21">IF(AND($G10=CP$4,$H10=CP$4),$E10,IF($G10&gt;CP$4,0,IF($H10&lt;CP$4,0,$E10/($H10-$G10+1))))</f>
        <v>0</v>
      </c>
      <c r="CQ10" s="21">
        <f t="shared" si="21"/>
        <v>0</v>
      </c>
      <c r="CR10" s="21">
        <f t="shared" si="21"/>
        <v>0</v>
      </c>
      <c r="CS10" s="21">
        <f t="shared" si="21"/>
        <v>0</v>
      </c>
      <c r="CT10" s="21">
        <f t="shared" si="21"/>
        <v>0</v>
      </c>
      <c r="CU10" s="21">
        <f t="shared" si="21"/>
        <v>0</v>
      </c>
      <c r="CV10" s="21">
        <f t="shared" si="21"/>
        <v>0</v>
      </c>
      <c r="CW10" s="21">
        <f t="shared" si="21"/>
        <v>0</v>
      </c>
      <c r="CX10" s="21">
        <f t="shared" si="21"/>
        <v>0</v>
      </c>
      <c r="CY10" s="21">
        <f t="shared" si="21"/>
        <v>0</v>
      </c>
      <c r="CZ10" s="21">
        <f t="shared" si="21"/>
        <v>0</v>
      </c>
      <c r="DA10" s="21">
        <f t="shared" si="21"/>
        <v>0</v>
      </c>
      <c r="DB10" s="21">
        <f t="shared" si="21"/>
        <v>0</v>
      </c>
      <c r="DC10" s="21">
        <f t="shared" si="21"/>
        <v>0</v>
      </c>
      <c r="DD10" s="21">
        <f t="shared" si="21"/>
        <v>0</v>
      </c>
      <c r="DE10" s="21">
        <f t="shared" si="21"/>
        <v>0</v>
      </c>
      <c r="DF10" s="21">
        <f t="shared" ref="DF10:DU10" si="22">IF(AND($G10=DF$4,$H10=DF$4),$E10,IF($G10&gt;DF$4,0,IF($H10&lt;DF$4,0,$E10/($H10-$G10+1))))</f>
        <v>0</v>
      </c>
      <c r="DG10" s="21">
        <f t="shared" si="22"/>
        <v>0</v>
      </c>
      <c r="DH10" s="21">
        <f t="shared" si="22"/>
        <v>0</v>
      </c>
      <c r="DI10" s="21">
        <f t="shared" si="22"/>
        <v>0</v>
      </c>
      <c r="DJ10" s="21">
        <f t="shared" si="22"/>
        <v>0</v>
      </c>
      <c r="DK10" s="21">
        <f t="shared" si="22"/>
        <v>0</v>
      </c>
      <c r="DL10" s="21">
        <f t="shared" si="22"/>
        <v>0</v>
      </c>
      <c r="DM10" s="21">
        <f t="shared" si="22"/>
        <v>0</v>
      </c>
      <c r="DN10" s="21">
        <f t="shared" si="22"/>
        <v>0</v>
      </c>
      <c r="DO10" s="21">
        <f t="shared" si="22"/>
        <v>0</v>
      </c>
      <c r="DP10" s="21">
        <f t="shared" si="22"/>
        <v>0</v>
      </c>
      <c r="DQ10" s="21">
        <f t="shared" si="22"/>
        <v>0</v>
      </c>
      <c r="DR10" s="21">
        <f t="shared" si="22"/>
        <v>0</v>
      </c>
      <c r="DS10" s="21">
        <f t="shared" si="22"/>
        <v>0</v>
      </c>
      <c r="DT10" s="21">
        <f t="shared" si="22"/>
        <v>0</v>
      </c>
      <c r="DU10" s="21">
        <f t="shared" si="22"/>
        <v>0</v>
      </c>
      <c r="DV10" s="21">
        <f t="shared" ref="DV10:EL10" si="23">IF(AND($G10=DV$4,$H10=DV$4),$E10,IF($G10&gt;DV$4,0,IF($H10&lt;DV$4,0,$E10/($H10-$G10+1))))</f>
        <v>0</v>
      </c>
      <c r="DW10" s="21">
        <f t="shared" si="23"/>
        <v>0</v>
      </c>
      <c r="DX10" s="21">
        <f t="shared" si="23"/>
        <v>0</v>
      </c>
      <c r="DY10" s="21">
        <f t="shared" si="23"/>
        <v>0</v>
      </c>
      <c r="DZ10" s="21">
        <f t="shared" si="23"/>
        <v>0</v>
      </c>
      <c r="EA10" s="21">
        <f t="shared" si="23"/>
        <v>0</v>
      </c>
      <c r="EB10" s="21">
        <f t="shared" si="23"/>
        <v>0</v>
      </c>
      <c r="EC10" s="21">
        <f t="shared" si="23"/>
        <v>0</v>
      </c>
      <c r="ED10" s="21">
        <f t="shared" si="23"/>
        <v>0</v>
      </c>
      <c r="EE10" s="21">
        <f t="shared" si="23"/>
        <v>0</v>
      </c>
      <c r="EF10" s="21">
        <f t="shared" si="23"/>
        <v>0</v>
      </c>
      <c r="EG10" s="21">
        <f t="shared" si="23"/>
        <v>0</v>
      </c>
      <c r="EH10" s="21">
        <f t="shared" si="23"/>
        <v>0</v>
      </c>
      <c r="EI10" s="21">
        <f t="shared" si="23"/>
        <v>0</v>
      </c>
      <c r="EJ10" s="21">
        <f t="shared" si="23"/>
        <v>0</v>
      </c>
      <c r="EK10" s="21">
        <f t="shared" si="23"/>
        <v>0</v>
      </c>
      <c r="EL10" s="21">
        <f t="shared" si="23"/>
        <v>0</v>
      </c>
    </row>
    <row r="11" spans="2:142" x14ac:dyDescent="0.45">
      <c r="B11" s="1" t="s">
        <v>6</v>
      </c>
      <c r="D11" s="14">
        <v>0.1</v>
      </c>
      <c r="E11" s="6">
        <f>+D11*SUM(E5:E10)</f>
        <v>35104.745323860516</v>
      </c>
      <c r="G11" s="22">
        <f>+H11</f>
        <v>33</v>
      </c>
      <c r="H11" s="22">
        <f>MAX(H5:H10)</f>
        <v>33</v>
      </c>
      <c r="I11" s="21"/>
      <c r="J11" s="21">
        <f t="shared" si="4"/>
        <v>0</v>
      </c>
      <c r="K11" s="21">
        <f t="shared" si="5"/>
        <v>0</v>
      </c>
      <c r="L11" s="21">
        <f t="shared" si="5"/>
        <v>0</v>
      </c>
      <c r="M11" s="21">
        <f t="shared" si="5"/>
        <v>0</v>
      </c>
      <c r="N11" s="21">
        <f t="shared" si="5"/>
        <v>0</v>
      </c>
      <c r="O11" s="21">
        <f t="shared" si="5"/>
        <v>0</v>
      </c>
      <c r="P11" s="21">
        <f t="shared" si="5"/>
        <v>0</v>
      </c>
      <c r="Q11" s="21">
        <f t="shared" si="5"/>
        <v>0</v>
      </c>
      <c r="R11" s="21">
        <f t="shared" si="5"/>
        <v>0</v>
      </c>
      <c r="S11" s="21">
        <f t="shared" si="5"/>
        <v>0</v>
      </c>
      <c r="T11" s="21">
        <f t="shared" si="5"/>
        <v>0</v>
      </c>
      <c r="U11" s="21">
        <f t="shared" si="5"/>
        <v>0</v>
      </c>
      <c r="V11" s="21">
        <f t="shared" si="5"/>
        <v>0</v>
      </c>
      <c r="W11" s="21">
        <f t="shared" si="5"/>
        <v>0</v>
      </c>
      <c r="X11" s="21">
        <f t="shared" si="5"/>
        <v>0</v>
      </c>
      <c r="Y11" s="21">
        <f t="shared" si="5"/>
        <v>0</v>
      </c>
      <c r="Z11" s="21">
        <f t="shared" si="5"/>
        <v>0</v>
      </c>
      <c r="AA11" s="21">
        <f t="shared" ref="AA11:DF11" si="24">IF(AND($G11=AA$4,$H11=AA$4),$E11,IF($G11&gt;AA$4,0,IF($H11&lt;AA$4,0,$E11/($H11-$G11+1))))</f>
        <v>0</v>
      </c>
      <c r="AB11" s="21">
        <f t="shared" si="24"/>
        <v>0</v>
      </c>
      <c r="AC11" s="21">
        <f t="shared" si="24"/>
        <v>0</v>
      </c>
      <c r="AD11" s="21">
        <f t="shared" si="24"/>
        <v>0</v>
      </c>
      <c r="AE11" s="21">
        <f t="shared" si="24"/>
        <v>0</v>
      </c>
      <c r="AF11" s="21">
        <f t="shared" si="24"/>
        <v>0</v>
      </c>
      <c r="AG11" s="21">
        <f t="shared" si="24"/>
        <v>0</v>
      </c>
      <c r="AH11" s="21">
        <f t="shared" si="24"/>
        <v>0</v>
      </c>
      <c r="AI11" s="21">
        <f t="shared" si="24"/>
        <v>0</v>
      </c>
      <c r="AJ11" s="21">
        <f t="shared" si="24"/>
        <v>0</v>
      </c>
      <c r="AK11" s="21">
        <f t="shared" si="24"/>
        <v>0</v>
      </c>
      <c r="AL11" s="21">
        <f t="shared" si="24"/>
        <v>0</v>
      </c>
      <c r="AM11" s="21">
        <f t="shared" si="24"/>
        <v>0</v>
      </c>
      <c r="AN11" s="21">
        <f t="shared" si="24"/>
        <v>0</v>
      </c>
      <c r="AO11" s="21">
        <f t="shared" si="24"/>
        <v>0</v>
      </c>
      <c r="AP11" s="21">
        <f t="shared" si="24"/>
        <v>0</v>
      </c>
      <c r="AQ11" s="21">
        <f t="shared" si="24"/>
        <v>35104.745323860516</v>
      </c>
      <c r="AR11" s="21">
        <f t="shared" si="24"/>
        <v>0</v>
      </c>
      <c r="AS11" s="21">
        <f t="shared" si="24"/>
        <v>0</v>
      </c>
      <c r="AT11" s="21">
        <f t="shared" si="24"/>
        <v>0</v>
      </c>
      <c r="AU11" s="21">
        <f t="shared" si="24"/>
        <v>0</v>
      </c>
      <c r="AV11" s="21">
        <f t="shared" si="24"/>
        <v>0</v>
      </c>
      <c r="AW11" s="21">
        <f t="shared" si="24"/>
        <v>0</v>
      </c>
      <c r="AX11" s="21">
        <f t="shared" si="24"/>
        <v>0</v>
      </c>
      <c r="AY11" s="21">
        <f t="shared" si="24"/>
        <v>0</v>
      </c>
      <c r="AZ11" s="21">
        <f t="shared" si="24"/>
        <v>0</v>
      </c>
      <c r="BA11" s="21">
        <f t="shared" si="24"/>
        <v>0</v>
      </c>
      <c r="BB11" s="21">
        <f t="shared" si="24"/>
        <v>0</v>
      </c>
      <c r="BC11" s="21">
        <f t="shared" si="24"/>
        <v>0</v>
      </c>
      <c r="BD11" s="21">
        <f t="shared" si="24"/>
        <v>0</v>
      </c>
      <c r="BE11" s="21">
        <f t="shared" si="24"/>
        <v>0</v>
      </c>
      <c r="BF11" s="21">
        <f t="shared" si="24"/>
        <v>0</v>
      </c>
      <c r="BG11" s="21">
        <f t="shared" si="24"/>
        <v>0</v>
      </c>
      <c r="BH11" s="21">
        <f t="shared" si="24"/>
        <v>0</v>
      </c>
      <c r="BI11" s="21">
        <f t="shared" si="24"/>
        <v>0</v>
      </c>
      <c r="BJ11" s="21">
        <f t="shared" si="24"/>
        <v>0</v>
      </c>
      <c r="BK11" s="21">
        <f t="shared" si="24"/>
        <v>0</v>
      </c>
      <c r="BL11" s="21">
        <f t="shared" si="24"/>
        <v>0</v>
      </c>
      <c r="BM11" s="21">
        <f t="shared" si="24"/>
        <v>0</v>
      </c>
      <c r="BN11" s="21">
        <f t="shared" si="24"/>
        <v>0</v>
      </c>
      <c r="BO11" s="21">
        <f t="shared" si="24"/>
        <v>0</v>
      </c>
      <c r="BP11" s="21">
        <f t="shared" si="24"/>
        <v>0</v>
      </c>
      <c r="BQ11" s="21">
        <f t="shared" si="24"/>
        <v>0</v>
      </c>
      <c r="BR11" s="21">
        <f t="shared" si="24"/>
        <v>0</v>
      </c>
      <c r="BS11" s="21">
        <f t="shared" si="24"/>
        <v>0</v>
      </c>
      <c r="BT11" s="21">
        <f t="shared" si="24"/>
        <v>0</v>
      </c>
      <c r="BU11" s="21">
        <f t="shared" si="24"/>
        <v>0</v>
      </c>
      <c r="BV11" s="21">
        <f t="shared" si="24"/>
        <v>0</v>
      </c>
      <c r="BW11" s="21">
        <f t="shared" si="24"/>
        <v>0</v>
      </c>
      <c r="BX11" s="21">
        <f t="shared" si="24"/>
        <v>0</v>
      </c>
      <c r="BY11" s="21">
        <f t="shared" si="24"/>
        <v>0</v>
      </c>
      <c r="BZ11" s="21">
        <f t="shared" si="24"/>
        <v>0</v>
      </c>
      <c r="CA11" s="21">
        <f t="shared" si="24"/>
        <v>0</v>
      </c>
      <c r="CB11" s="21">
        <f t="shared" si="24"/>
        <v>0</v>
      </c>
      <c r="CC11" s="21">
        <f t="shared" si="24"/>
        <v>0</v>
      </c>
      <c r="CD11" s="21">
        <f t="shared" si="24"/>
        <v>0</v>
      </c>
      <c r="CE11" s="21">
        <f t="shared" si="24"/>
        <v>0</v>
      </c>
      <c r="CF11" s="21">
        <f t="shared" si="24"/>
        <v>0</v>
      </c>
      <c r="CG11" s="21">
        <f t="shared" si="24"/>
        <v>0</v>
      </c>
      <c r="CH11" s="21">
        <f t="shared" si="24"/>
        <v>0</v>
      </c>
      <c r="CI11" s="21">
        <f t="shared" si="24"/>
        <v>0</v>
      </c>
      <c r="CJ11" s="21">
        <f t="shared" si="24"/>
        <v>0</v>
      </c>
      <c r="CK11" s="21">
        <f t="shared" si="24"/>
        <v>0</v>
      </c>
      <c r="CL11" s="21">
        <f t="shared" si="24"/>
        <v>0</v>
      </c>
      <c r="CM11" s="21">
        <f t="shared" si="24"/>
        <v>0</v>
      </c>
      <c r="CN11" s="21">
        <f t="shared" si="24"/>
        <v>0</v>
      </c>
      <c r="CO11" s="21">
        <f t="shared" si="24"/>
        <v>0</v>
      </c>
      <c r="CP11" s="21">
        <f t="shared" si="24"/>
        <v>0</v>
      </c>
      <c r="CQ11" s="21">
        <f t="shared" si="24"/>
        <v>0</v>
      </c>
      <c r="CR11" s="21">
        <f t="shared" si="24"/>
        <v>0</v>
      </c>
      <c r="CS11" s="21">
        <f t="shared" si="24"/>
        <v>0</v>
      </c>
      <c r="CT11" s="21">
        <f t="shared" si="24"/>
        <v>0</v>
      </c>
      <c r="CU11" s="21">
        <f t="shared" si="24"/>
        <v>0</v>
      </c>
      <c r="CV11" s="21">
        <f t="shared" si="24"/>
        <v>0</v>
      </c>
      <c r="CW11" s="21">
        <f t="shared" si="24"/>
        <v>0</v>
      </c>
      <c r="CX11" s="21">
        <f t="shared" si="24"/>
        <v>0</v>
      </c>
      <c r="CY11" s="21">
        <f t="shared" si="24"/>
        <v>0</v>
      </c>
      <c r="CZ11" s="21">
        <f t="shared" si="24"/>
        <v>0</v>
      </c>
      <c r="DA11" s="21">
        <f t="shared" si="24"/>
        <v>0</v>
      </c>
      <c r="DB11" s="21">
        <f t="shared" si="24"/>
        <v>0</v>
      </c>
      <c r="DC11" s="21">
        <f t="shared" si="24"/>
        <v>0</v>
      </c>
      <c r="DD11" s="21">
        <f t="shared" si="24"/>
        <v>0</v>
      </c>
      <c r="DE11" s="21">
        <f t="shared" si="24"/>
        <v>0</v>
      </c>
      <c r="DF11" s="21">
        <f t="shared" si="24"/>
        <v>0</v>
      </c>
      <c r="DG11" s="21">
        <f t="shared" si="15"/>
        <v>0</v>
      </c>
      <c r="DH11" s="21">
        <f t="shared" si="15"/>
        <v>0</v>
      </c>
      <c r="DI11" s="21">
        <f t="shared" si="15"/>
        <v>0</v>
      </c>
      <c r="DJ11" s="21">
        <f t="shared" si="15"/>
        <v>0</v>
      </c>
      <c r="DK11" s="21">
        <f t="shared" si="15"/>
        <v>0</v>
      </c>
      <c r="DL11" s="21">
        <f t="shared" si="15"/>
        <v>0</v>
      </c>
      <c r="DM11" s="21">
        <f t="shared" si="15"/>
        <v>0</v>
      </c>
      <c r="DN11" s="21">
        <f t="shared" si="15"/>
        <v>0</v>
      </c>
      <c r="DO11" s="21">
        <f t="shared" si="15"/>
        <v>0</v>
      </c>
      <c r="DP11" s="21">
        <f t="shared" si="15"/>
        <v>0</v>
      </c>
      <c r="DQ11" s="21">
        <f t="shared" si="15"/>
        <v>0</v>
      </c>
      <c r="DR11" s="21">
        <f t="shared" si="15"/>
        <v>0</v>
      </c>
      <c r="DS11" s="21">
        <f t="shared" si="15"/>
        <v>0</v>
      </c>
      <c r="DT11" s="21">
        <f t="shared" si="15"/>
        <v>0</v>
      </c>
      <c r="DU11" s="21">
        <f t="shared" si="15"/>
        <v>0</v>
      </c>
      <c r="DV11" s="21">
        <f t="shared" si="15"/>
        <v>0</v>
      </c>
      <c r="DW11" s="21">
        <f t="shared" si="15"/>
        <v>0</v>
      </c>
      <c r="DX11" s="21">
        <f t="shared" si="15"/>
        <v>0</v>
      </c>
      <c r="DY11" s="21">
        <f t="shared" si="15"/>
        <v>0</v>
      </c>
      <c r="DZ11" s="21">
        <f t="shared" si="15"/>
        <v>0</v>
      </c>
      <c r="EA11" s="21">
        <f t="shared" si="15"/>
        <v>0</v>
      </c>
      <c r="EB11" s="21">
        <f t="shared" si="15"/>
        <v>0</v>
      </c>
      <c r="EC11" s="21">
        <f t="shared" si="15"/>
        <v>0</v>
      </c>
      <c r="ED11" s="21">
        <f t="shared" si="15"/>
        <v>0</v>
      </c>
      <c r="EE11" s="21">
        <f t="shared" si="15"/>
        <v>0</v>
      </c>
      <c r="EF11" s="21">
        <f t="shared" si="15"/>
        <v>0</v>
      </c>
      <c r="EG11" s="21">
        <f t="shared" si="15"/>
        <v>0</v>
      </c>
      <c r="EH11" s="21">
        <f t="shared" si="15"/>
        <v>0</v>
      </c>
      <c r="EI11" s="21">
        <f t="shared" si="15"/>
        <v>0</v>
      </c>
      <c r="EJ11" s="21">
        <f t="shared" si="15"/>
        <v>0</v>
      </c>
      <c r="EK11" s="21">
        <f t="shared" si="15"/>
        <v>0</v>
      </c>
      <c r="EL11" s="21">
        <f t="shared" si="15"/>
        <v>0</v>
      </c>
    </row>
    <row r="12" spans="2:142" x14ac:dyDescent="0.45">
      <c r="B12" s="4" t="s">
        <v>307</v>
      </c>
      <c r="C12" s="4"/>
      <c r="D12" s="4"/>
      <c r="E12" s="7">
        <f>SUM(E5:E11)</f>
        <v>386152.19856246561</v>
      </c>
      <c r="F12" s="11"/>
      <c r="I12" s="21"/>
      <c r="J12" s="23">
        <f t="shared" ref="J12:AO12" si="25">SUM(J5:J11)</f>
        <v>119645.55144373335</v>
      </c>
      <c r="K12" s="23">
        <f t="shared" si="25"/>
        <v>7012.1788422688423</v>
      </c>
      <c r="L12" s="23">
        <f t="shared" si="25"/>
        <v>7012.1788422688423</v>
      </c>
      <c r="M12" s="23">
        <f t="shared" si="25"/>
        <v>7012.1788422688423</v>
      </c>
      <c r="N12" s="23">
        <f t="shared" si="25"/>
        <v>7012.1788422688423</v>
      </c>
      <c r="O12" s="23">
        <f t="shared" si="25"/>
        <v>7012.1788422688423</v>
      </c>
      <c r="P12" s="23">
        <f t="shared" si="25"/>
        <v>7012.1788422688423</v>
      </c>
      <c r="Q12" s="23">
        <f t="shared" si="25"/>
        <v>7012.1788422688423</v>
      </c>
      <c r="R12" s="23">
        <f t="shared" si="25"/>
        <v>7012.1788422688423</v>
      </c>
      <c r="S12" s="23">
        <f t="shared" si="25"/>
        <v>7012.1788422688423</v>
      </c>
      <c r="T12" s="23">
        <f t="shared" si="25"/>
        <v>7012.1788422688423</v>
      </c>
      <c r="U12" s="23">
        <f t="shared" si="25"/>
        <v>7012.1788422688423</v>
      </c>
      <c r="V12" s="23">
        <f t="shared" si="25"/>
        <v>7012.1788422688423</v>
      </c>
      <c r="W12" s="23">
        <f t="shared" si="25"/>
        <v>7012.1788422688423</v>
      </c>
      <c r="X12" s="23">
        <f t="shared" si="25"/>
        <v>7012.1788422688423</v>
      </c>
      <c r="Y12" s="23">
        <f t="shared" si="25"/>
        <v>7012.1788422688423</v>
      </c>
      <c r="Z12" s="23">
        <f t="shared" si="25"/>
        <v>7012.1788422688423</v>
      </c>
      <c r="AA12" s="23">
        <f t="shared" si="25"/>
        <v>7012.1788422688423</v>
      </c>
      <c r="AB12" s="23">
        <f t="shared" si="25"/>
        <v>7012.1788422688423</v>
      </c>
      <c r="AC12" s="23">
        <f t="shared" si="25"/>
        <v>7012.1788422688423</v>
      </c>
      <c r="AD12" s="23">
        <f t="shared" si="25"/>
        <v>7012.1788422688423</v>
      </c>
      <c r="AE12" s="23">
        <f t="shared" si="25"/>
        <v>7012.1788422688423</v>
      </c>
      <c r="AF12" s="23">
        <f t="shared" si="25"/>
        <v>7012.1788422688423</v>
      </c>
      <c r="AG12" s="23">
        <f t="shared" si="25"/>
        <v>7012.1788422688423</v>
      </c>
      <c r="AH12" s="23">
        <f t="shared" si="25"/>
        <v>7012.1788422688423</v>
      </c>
      <c r="AI12" s="23">
        <f t="shared" si="25"/>
        <v>7012.1788422688423</v>
      </c>
      <c r="AJ12" s="23">
        <f t="shared" si="25"/>
        <v>7012.1788422688423</v>
      </c>
      <c r="AK12" s="23">
        <f t="shared" si="25"/>
        <v>7012.1788422688423</v>
      </c>
      <c r="AL12" s="23">
        <f t="shared" si="25"/>
        <v>7012.1788422688423</v>
      </c>
      <c r="AM12" s="23">
        <f t="shared" si="25"/>
        <v>7012.1788422688423</v>
      </c>
      <c r="AN12" s="23">
        <f t="shared" si="25"/>
        <v>7012.1788422688423</v>
      </c>
      <c r="AO12" s="23">
        <f t="shared" si="25"/>
        <v>7012.1788422688423</v>
      </c>
      <c r="AP12" s="23">
        <f t="shared" ref="AP12:BU12" si="26">SUM(AP5:AP11)</f>
        <v>7012.1788422688423</v>
      </c>
      <c r="AQ12" s="23">
        <f t="shared" si="26"/>
        <v>42116.924166129356</v>
      </c>
      <c r="AR12" s="23">
        <f t="shared" si="26"/>
        <v>0</v>
      </c>
      <c r="AS12" s="23">
        <f t="shared" si="26"/>
        <v>0</v>
      </c>
      <c r="AT12" s="23">
        <f t="shared" si="26"/>
        <v>0</v>
      </c>
      <c r="AU12" s="23">
        <f t="shared" si="26"/>
        <v>0</v>
      </c>
      <c r="AV12" s="23">
        <f t="shared" si="26"/>
        <v>0</v>
      </c>
      <c r="AW12" s="23">
        <f t="shared" si="26"/>
        <v>0</v>
      </c>
      <c r="AX12" s="23">
        <f t="shared" si="26"/>
        <v>0</v>
      </c>
      <c r="AY12" s="23">
        <f t="shared" si="26"/>
        <v>0</v>
      </c>
      <c r="AZ12" s="23">
        <f t="shared" si="26"/>
        <v>0</v>
      </c>
      <c r="BA12" s="23">
        <f t="shared" si="26"/>
        <v>0</v>
      </c>
      <c r="BB12" s="23">
        <f t="shared" si="26"/>
        <v>0</v>
      </c>
      <c r="BC12" s="23">
        <f t="shared" si="26"/>
        <v>0</v>
      </c>
      <c r="BD12" s="23">
        <f t="shared" si="26"/>
        <v>0</v>
      </c>
      <c r="BE12" s="23">
        <f t="shared" si="26"/>
        <v>0</v>
      </c>
      <c r="BF12" s="23">
        <f t="shared" si="26"/>
        <v>0</v>
      </c>
      <c r="BG12" s="23">
        <f t="shared" si="26"/>
        <v>0</v>
      </c>
      <c r="BH12" s="23">
        <f t="shared" si="26"/>
        <v>0</v>
      </c>
      <c r="BI12" s="23">
        <f t="shared" si="26"/>
        <v>0</v>
      </c>
      <c r="BJ12" s="23">
        <f t="shared" si="26"/>
        <v>0</v>
      </c>
      <c r="BK12" s="23">
        <f t="shared" si="26"/>
        <v>0</v>
      </c>
      <c r="BL12" s="23">
        <f t="shared" si="26"/>
        <v>0</v>
      </c>
      <c r="BM12" s="23">
        <f t="shared" si="26"/>
        <v>0</v>
      </c>
      <c r="BN12" s="23">
        <f t="shared" si="26"/>
        <v>0</v>
      </c>
      <c r="BO12" s="23">
        <f t="shared" si="26"/>
        <v>0</v>
      </c>
      <c r="BP12" s="23">
        <f t="shared" si="26"/>
        <v>0</v>
      </c>
      <c r="BQ12" s="23">
        <f t="shared" si="26"/>
        <v>0</v>
      </c>
      <c r="BR12" s="23">
        <f t="shared" si="26"/>
        <v>0</v>
      </c>
      <c r="BS12" s="23">
        <f t="shared" si="26"/>
        <v>0</v>
      </c>
      <c r="BT12" s="23">
        <f t="shared" si="26"/>
        <v>0</v>
      </c>
      <c r="BU12" s="23">
        <f t="shared" si="26"/>
        <v>0</v>
      </c>
      <c r="BV12" s="23">
        <f t="shared" ref="BV12:DA12" si="27">SUM(BV5:BV11)</f>
        <v>0</v>
      </c>
      <c r="BW12" s="23">
        <f t="shared" si="27"/>
        <v>0</v>
      </c>
      <c r="BX12" s="23">
        <f t="shared" si="27"/>
        <v>0</v>
      </c>
      <c r="BY12" s="23">
        <f t="shared" si="27"/>
        <v>0</v>
      </c>
      <c r="BZ12" s="23">
        <f t="shared" si="27"/>
        <v>0</v>
      </c>
      <c r="CA12" s="23">
        <f t="shared" si="27"/>
        <v>0</v>
      </c>
      <c r="CB12" s="23">
        <f t="shared" si="27"/>
        <v>0</v>
      </c>
      <c r="CC12" s="23">
        <f t="shared" si="27"/>
        <v>0</v>
      </c>
      <c r="CD12" s="23">
        <f t="shared" si="27"/>
        <v>0</v>
      </c>
      <c r="CE12" s="23">
        <f t="shared" si="27"/>
        <v>0</v>
      </c>
      <c r="CF12" s="23">
        <f t="shared" si="27"/>
        <v>0</v>
      </c>
      <c r="CG12" s="23">
        <f t="shared" si="27"/>
        <v>0</v>
      </c>
      <c r="CH12" s="23">
        <f t="shared" si="27"/>
        <v>0</v>
      </c>
      <c r="CI12" s="23">
        <f t="shared" si="27"/>
        <v>0</v>
      </c>
      <c r="CJ12" s="23">
        <f t="shared" si="27"/>
        <v>0</v>
      </c>
      <c r="CK12" s="23">
        <f t="shared" si="27"/>
        <v>0</v>
      </c>
      <c r="CL12" s="23">
        <f t="shared" si="27"/>
        <v>0</v>
      </c>
      <c r="CM12" s="23">
        <f t="shared" si="27"/>
        <v>0</v>
      </c>
      <c r="CN12" s="23">
        <f t="shared" si="27"/>
        <v>0</v>
      </c>
      <c r="CO12" s="23">
        <f t="shared" si="27"/>
        <v>0</v>
      </c>
      <c r="CP12" s="23">
        <f t="shared" si="27"/>
        <v>0</v>
      </c>
      <c r="CQ12" s="23">
        <f t="shared" si="27"/>
        <v>0</v>
      </c>
      <c r="CR12" s="23">
        <f t="shared" si="27"/>
        <v>0</v>
      </c>
      <c r="CS12" s="23">
        <f t="shared" si="27"/>
        <v>0</v>
      </c>
      <c r="CT12" s="23">
        <f t="shared" si="27"/>
        <v>0</v>
      </c>
      <c r="CU12" s="23">
        <f t="shared" si="27"/>
        <v>0</v>
      </c>
      <c r="CV12" s="23">
        <f t="shared" si="27"/>
        <v>0</v>
      </c>
      <c r="CW12" s="23">
        <f t="shared" si="27"/>
        <v>0</v>
      </c>
      <c r="CX12" s="23">
        <f t="shared" si="27"/>
        <v>0</v>
      </c>
      <c r="CY12" s="23">
        <f t="shared" si="27"/>
        <v>0</v>
      </c>
      <c r="CZ12" s="23">
        <f t="shared" si="27"/>
        <v>0</v>
      </c>
      <c r="DA12" s="23">
        <f t="shared" si="27"/>
        <v>0</v>
      </c>
      <c r="DB12" s="23">
        <f t="shared" ref="DB12:DY12" si="28">SUM(DB5:DB11)</f>
        <v>0</v>
      </c>
      <c r="DC12" s="23">
        <f t="shared" si="28"/>
        <v>0</v>
      </c>
      <c r="DD12" s="23">
        <f t="shared" si="28"/>
        <v>0</v>
      </c>
      <c r="DE12" s="23">
        <f t="shared" si="28"/>
        <v>0</v>
      </c>
      <c r="DF12" s="23">
        <f t="shared" si="28"/>
        <v>0</v>
      </c>
      <c r="DG12" s="23">
        <f t="shared" si="28"/>
        <v>0</v>
      </c>
      <c r="DH12" s="23">
        <f t="shared" si="28"/>
        <v>0</v>
      </c>
      <c r="DI12" s="23">
        <f t="shared" si="28"/>
        <v>0</v>
      </c>
      <c r="DJ12" s="23">
        <f t="shared" si="28"/>
        <v>0</v>
      </c>
      <c r="DK12" s="23">
        <f t="shared" si="28"/>
        <v>0</v>
      </c>
      <c r="DL12" s="23">
        <f t="shared" si="28"/>
        <v>0</v>
      </c>
      <c r="DM12" s="23">
        <f t="shared" si="28"/>
        <v>0</v>
      </c>
      <c r="DN12" s="23">
        <f t="shared" si="28"/>
        <v>0</v>
      </c>
      <c r="DO12" s="23">
        <f t="shared" si="28"/>
        <v>0</v>
      </c>
      <c r="DP12" s="23">
        <f t="shared" si="28"/>
        <v>0</v>
      </c>
      <c r="DQ12" s="23">
        <f t="shared" si="28"/>
        <v>0</v>
      </c>
      <c r="DR12" s="23">
        <f t="shared" si="28"/>
        <v>0</v>
      </c>
      <c r="DS12" s="23">
        <f t="shared" si="28"/>
        <v>0</v>
      </c>
      <c r="DT12" s="23">
        <f t="shared" si="28"/>
        <v>0</v>
      </c>
      <c r="DU12" s="23">
        <f t="shared" si="28"/>
        <v>0</v>
      </c>
      <c r="DV12" s="23">
        <f t="shared" si="28"/>
        <v>0</v>
      </c>
      <c r="DW12" s="23">
        <f t="shared" si="28"/>
        <v>0</v>
      </c>
      <c r="DX12" s="23">
        <f t="shared" si="28"/>
        <v>0</v>
      </c>
      <c r="DY12" s="23">
        <f t="shared" si="28"/>
        <v>0</v>
      </c>
      <c r="DZ12" s="23">
        <f t="shared" ref="DZ12:EL12" si="29">SUM(DZ5:DZ11)</f>
        <v>0</v>
      </c>
      <c r="EA12" s="23">
        <f t="shared" si="29"/>
        <v>0</v>
      </c>
      <c r="EB12" s="23">
        <f t="shared" si="29"/>
        <v>0</v>
      </c>
      <c r="EC12" s="23">
        <f t="shared" si="29"/>
        <v>0</v>
      </c>
      <c r="ED12" s="23">
        <f t="shared" si="29"/>
        <v>0</v>
      </c>
      <c r="EE12" s="23">
        <f t="shared" si="29"/>
        <v>0</v>
      </c>
      <c r="EF12" s="23">
        <f t="shared" si="29"/>
        <v>0</v>
      </c>
      <c r="EG12" s="23">
        <f t="shared" si="29"/>
        <v>0</v>
      </c>
      <c r="EH12" s="23">
        <f t="shared" si="29"/>
        <v>0</v>
      </c>
      <c r="EI12" s="23">
        <f t="shared" si="29"/>
        <v>0</v>
      </c>
      <c r="EJ12" s="23">
        <f t="shared" si="29"/>
        <v>0</v>
      </c>
      <c r="EK12" s="23">
        <f t="shared" si="29"/>
        <v>0</v>
      </c>
      <c r="EL12" s="23">
        <f t="shared" si="29"/>
        <v>0</v>
      </c>
    </row>
    <row r="13" spans="2:142" x14ac:dyDescent="0.45"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</row>
    <row r="14" spans="2:142" x14ac:dyDescent="0.45"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</row>
    <row r="15" spans="2:142" x14ac:dyDescent="0.45"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8DC2-035E-481C-B090-52BB6C04E810}">
  <sheetPr>
    <tabColor theme="1" tint="0.499984740745262"/>
  </sheetPr>
  <dimension ref="B4:EL28"/>
  <sheetViews>
    <sheetView showGridLines="0" topLeftCell="I1" zoomScale="115" zoomScaleNormal="115" workbookViewId="0">
      <selection activeCell="J17" sqref="J17"/>
    </sheetView>
  </sheetViews>
  <sheetFormatPr defaultColWidth="9.1328125" defaultRowHeight="12.75" x14ac:dyDescent="0.45"/>
  <cols>
    <col min="1" max="1" width="9.1328125" style="1"/>
    <col min="2" max="2" width="18.796875" style="1" customWidth="1"/>
    <col min="3" max="3" width="9.1328125" style="1"/>
    <col min="4" max="4" width="11" style="1" bestFit="1" customWidth="1"/>
    <col min="5" max="5" width="11.796875" style="6" bestFit="1" customWidth="1"/>
    <col min="6" max="6" width="6" style="6" bestFit="1" customWidth="1"/>
    <col min="7" max="8" width="9.1328125" style="12"/>
    <col min="9" max="9" width="2.796875" style="1" customWidth="1"/>
    <col min="10" max="19" width="9.1328125" style="1"/>
    <col min="20" max="21" width="9.86328125" style="1" bestFit="1" customWidth="1"/>
    <col min="22" max="107" width="9.1328125" style="1"/>
    <col min="108" max="109" width="8.53125" style="1" bestFit="1" customWidth="1"/>
    <col min="110" max="118" width="9.53125" style="1" bestFit="1" customWidth="1"/>
    <col min="119" max="142" width="9.53125" style="1" customWidth="1"/>
    <col min="143" max="16384" width="9.1328125" style="1"/>
  </cols>
  <sheetData>
    <row r="4" spans="2:142" x14ac:dyDescent="0.45">
      <c r="B4" s="475" t="str">
        <f>+Assumptions!B15</f>
        <v>Hard Costs</v>
      </c>
      <c r="C4" s="2"/>
      <c r="D4" s="399">
        <f>+Assumptions!G24</f>
        <v>55000</v>
      </c>
      <c r="E4" s="5"/>
      <c r="G4" s="12" t="s">
        <v>7</v>
      </c>
      <c r="H4" s="12" t="s">
        <v>8</v>
      </c>
      <c r="I4" s="20"/>
      <c r="J4" s="18">
        <f>+Model!G4</f>
        <v>0</v>
      </c>
      <c r="K4" s="18">
        <f>+Model!H4</f>
        <v>1</v>
      </c>
      <c r="L4" s="18">
        <f>+Model!I4</f>
        <v>2</v>
      </c>
      <c r="M4" s="18">
        <f>+Model!J4</f>
        <v>3</v>
      </c>
      <c r="N4" s="18">
        <f>+Model!K4</f>
        <v>4</v>
      </c>
      <c r="O4" s="18">
        <f>+Model!L4</f>
        <v>5</v>
      </c>
      <c r="P4" s="18">
        <f>+Model!M4</f>
        <v>6</v>
      </c>
      <c r="Q4" s="18">
        <f>+Model!N4</f>
        <v>7</v>
      </c>
      <c r="R4" s="18">
        <f>+Model!O4</f>
        <v>8</v>
      </c>
      <c r="S4" s="18">
        <f>+Model!P4</f>
        <v>9</v>
      </c>
      <c r="T4" s="18">
        <f>+Model!Q4</f>
        <v>10</v>
      </c>
      <c r="U4" s="18">
        <f>+Model!R4</f>
        <v>11</v>
      </c>
      <c r="V4" s="18">
        <f>+Model!S4</f>
        <v>12</v>
      </c>
      <c r="W4" s="18">
        <f>+Model!T4</f>
        <v>13</v>
      </c>
      <c r="X4" s="18">
        <f>+Model!U4</f>
        <v>14</v>
      </c>
      <c r="Y4" s="18">
        <f>+Model!V4</f>
        <v>15</v>
      </c>
      <c r="Z4" s="18">
        <f>+Model!W4</f>
        <v>16</v>
      </c>
      <c r="AA4" s="18">
        <f>+Model!X4</f>
        <v>17</v>
      </c>
      <c r="AB4" s="18">
        <f>+Model!Y4</f>
        <v>18</v>
      </c>
      <c r="AC4" s="18">
        <f>+Model!Z4</f>
        <v>19</v>
      </c>
      <c r="AD4" s="18">
        <f>+Model!AA4</f>
        <v>20</v>
      </c>
      <c r="AE4" s="18">
        <f>+Model!AB4</f>
        <v>21</v>
      </c>
      <c r="AF4" s="18">
        <f>+Model!AC4</f>
        <v>22</v>
      </c>
      <c r="AG4" s="18">
        <f>+Model!AD4</f>
        <v>23</v>
      </c>
      <c r="AH4" s="18">
        <f>+Model!AE4</f>
        <v>24</v>
      </c>
      <c r="AI4" s="18">
        <f>+Model!AF4</f>
        <v>25</v>
      </c>
      <c r="AJ4" s="18">
        <f>+Model!AG4</f>
        <v>26</v>
      </c>
      <c r="AK4" s="18">
        <f>+Model!AH4</f>
        <v>27</v>
      </c>
      <c r="AL4" s="18">
        <f>+Model!AI4</f>
        <v>28</v>
      </c>
      <c r="AM4" s="18">
        <f>+Model!AJ4</f>
        <v>29</v>
      </c>
      <c r="AN4" s="18">
        <f>+Model!AK4</f>
        <v>30</v>
      </c>
      <c r="AO4" s="18">
        <f>+Model!AL4</f>
        <v>31</v>
      </c>
      <c r="AP4" s="18">
        <f>+Model!AM4</f>
        <v>32</v>
      </c>
      <c r="AQ4" s="18">
        <f>+Model!AN4</f>
        <v>33</v>
      </c>
      <c r="AR4" s="18">
        <f>+Model!AO4</f>
        <v>34</v>
      </c>
      <c r="AS4" s="18">
        <f>+Model!AP4</f>
        <v>35</v>
      </c>
      <c r="AT4" s="18">
        <f>+Model!AQ4</f>
        <v>36</v>
      </c>
      <c r="AU4" s="18">
        <f>+Model!AR4</f>
        <v>37</v>
      </c>
      <c r="AV4" s="18">
        <f>+Model!AS4</f>
        <v>38</v>
      </c>
      <c r="AW4" s="18">
        <f>+Model!AT4</f>
        <v>39</v>
      </c>
      <c r="AX4" s="18">
        <f>+Model!AU4</f>
        <v>40</v>
      </c>
      <c r="AY4" s="18">
        <f>+Model!AV4</f>
        <v>41</v>
      </c>
      <c r="AZ4" s="18">
        <f>+Model!AW4</f>
        <v>42</v>
      </c>
      <c r="BA4" s="18">
        <f>+Model!AX4</f>
        <v>43</v>
      </c>
      <c r="BB4" s="18">
        <f>+Model!AY4</f>
        <v>44</v>
      </c>
      <c r="BC4" s="18">
        <f>+Model!AZ4</f>
        <v>45</v>
      </c>
      <c r="BD4" s="18">
        <f>+Model!BA4</f>
        <v>46</v>
      </c>
      <c r="BE4" s="18">
        <f>+Model!BB4</f>
        <v>47</v>
      </c>
      <c r="BF4" s="18">
        <f>+Model!BC4</f>
        <v>48</v>
      </c>
      <c r="BG4" s="18">
        <f>+Model!BD4</f>
        <v>49</v>
      </c>
      <c r="BH4" s="18">
        <f>+Model!BE4</f>
        <v>50</v>
      </c>
      <c r="BI4" s="18">
        <f>+Model!BF4</f>
        <v>51</v>
      </c>
      <c r="BJ4" s="18">
        <f>+Model!BG4</f>
        <v>52</v>
      </c>
      <c r="BK4" s="18">
        <f>+Model!BH4</f>
        <v>53</v>
      </c>
      <c r="BL4" s="18">
        <f>+Model!BI4</f>
        <v>54</v>
      </c>
      <c r="BM4" s="18">
        <f>+Model!BJ4</f>
        <v>55</v>
      </c>
      <c r="BN4" s="18">
        <f>+Model!BK4</f>
        <v>56</v>
      </c>
      <c r="BO4" s="18">
        <f>+Model!BL4</f>
        <v>57</v>
      </c>
      <c r="BP4" s="18">
        <f>+Model!BM4</f>
        <v>58</v>
      </c>
      <c r="BQ4" s="18">
        <f>+Model!BN4</f>
        <v>59</v>
      </c>
      <c r="BR4" s="18">
        <f>+Model!BO4</f>
        <v>60</v>
      </c>
      <c r="BS4" s="18">
        <f>+Model!BP4</f>
        <v>61</v>
      </c>
      <c r="BT4" s="18">
        <f>+Model!BQ4</f>
        <v>62</v>
      </c>
      <c r="BU4" s="18">
        <f>+Model!BR4</f>
        <v>63</v>
      </c>
      <c r="BV4" s="18">
        <f>+Model!BS4</f>
        <v>64</v>
      </c>
      <c r="BW4" s="18">
        <f>+Model!BT4</f>
        <v>65</v>
      </c>
      <c r="BX4" s="18">
        <f>+Model!BU4</f>
        <v>66</v>
      </c>
      <c r="BY4" s="18">
        <f>+Model!BV4</f>
        <v>67</v>
      </c>
      <c r="BZ4" s="18">
        <f>+Model!BW4</f>
        <v>68</v>
      </c>
      <c r="CA4" s="18">
        <f>+Model!BX4</f>
        <v>69</v>
      </c>
      <c r="CB4" s="18">
        <f>+Model!BY4</f>
        <v>70</v>
      </c>
      <c r="CC4" s="18">
        <f>+Model!BZ4</f>
        <v>71</v>
      </c>
      <c r="CD4" s="18">
        <f>+Model!CA4</f>
        <v>72</v>
      </c>
      <c r="CE4" s="18">
        <f>+Model!CB4</f>
        <v>73</v>
      </c>
      <c r="CF4" s="18">
        <f>+Model!CC4</f>
        <v>74</v>
      </c>
      <c r="CG4" s="18">
        <f>+Model!CD4</f>
        <v>75</v>
      </c>
      <c r="CH4" s="18">
        <f>+Model!CE4</f>
        <v>76</v>
      </c>
      <c r="CI4" s="18">
        <f>+Model!CF4</f>
        <v>77</v>
      </c>
      <c r="CJ4" s="18">
        <f>+Model!CG4</f>
        <v>78</v>
      </c>
      <c r="CK4" s="18">
        <f>+Model!CH4</f>
        <v>79</v>
      </c>
      <c r="CL4" s="18">
        <f>+Model!CI4</f>
        <v>80</v>
      </c>
      <c r="CM4" s="18">
        <f>+Model!CJ4</f>
        <v>81</v>
      </c>
      <c r="CN4" s="18">
        <f>+Model!CK4</f>
        <v>82</v>
      </c>
      <c r="CO4" s="18">
        <f>+Model!CL4</f>
        <v>83</v>
      </c>
      <c r="CP4" s="18">
        <f>+Model!CM4</f>
        <v>84</v>
      </c>
      <c r="CQ4" s="18">
        <f>+Model!CN4</f>
        <v>85</v>
      </c>
      <c r="CR4" s="18">
        <f>+Model!CO4</f>
        <v>86</v>
      </c>
      <c r="CS4" s="18">
        <f>+Model!CP4</f>
        <v>87</v>
      </c>
      <c r="CT4" s="18">
        <f>+Model!CQ4</f>
        <v>88</v>
      </c>
      <c r="CU4" s="18">
        <f>+Model!CR4</f>
        <v>89</v>
      </c>
      <c r="CV4" s="18">
        <f>+Model!CS4</f>
        <v>90</v>
      </c>
      <c r="CW4" s="18">
        <f>+Model!CT4</f>
        <v>91</v>
      </c>
      <c r="CX4" s="18">
        <f>+Model!CU4</f>
        <v>92</v>
      </c>
      <c r="CY4" s="18">
        <f>+Model!CV4</f>
        <v>93</v>
      </c>
      <c r="CZ4" s="18">
        <f>+Model!CW4</f>
        <v>94</v>
      </c>
      <c r="DA4" s="18">
        <f>+Model!CX4</f>
        <v>95</v>
      </c>
      <c r="DB4" s="18">
        <f>+Model!CY4</f>
        <v>96</v>
      </c>
      <c r="DC4" s="18">
        <f>+Model!CZ4</f>
        <v>97</v>
      </c>
      <c r="DD4" s="18">
        <f>+Model!DA4</f>
        <v>98</v>
      </c>
      <c r="DE4" s="18">
        <f>+Model!DB4</f>
        <v>99</v>
      </c>
      <c r="DF4" s="18">
        <f>+Model!DC4</f>
        <v>100</v>
      </c>
      <c r="DG4" s="18">
        <f>+Model!DD4</f>
        <v>101</v>
      </c>
      <c r="DH4" s="18">
        <f>+Model!DE4</f>
        <v>102</v>
      </c>
      <c r="DI4" s="18">
        <f>+Model!DF4</f>
        <v>103</v>
      </c>
      <c r="DJ4" s="18">
        <f>+Model!DG4</f>
        <v>104</v>
      </c>
      <c r="DK4" s="18">
        <f>+Model!DH4</f>
        <v>105</v>
      </c>
      <c r="DL4" s="18">
        <f>+Model!DI4</f>
        <v>106</v>
      </c>
      <c r="DM4" s="18">
        <f>+Model!DJ4</f>
        <v>107</v>
      </c>
      <c r="DN4" s="18">
        <f>+Model!DK4</f>
        <v>108</v>
      </c>
      <c r="DO4" s="18">
        <f>+Model!DL4</f>
        <v>109</v>
      </c>
      <c r="DP4" s="18">
        <f>+Model!DM4</f>
        <v>110</v>
      </c>
      <c r="DQ4" s="18">
        <f>+Model!DN4</f>
        <v>111</v>
      </c>
      <c r="DR4" s="18">
        <f>+Model!DO4</f>
        <v>112</v>
      </c>
      <c r="DS4" s="18">
        <f>+Model!DP4</f>
        <v>113</v>
      </c>
      <c r="DT4" s="18">
        <f>+Model!DQ4</f>
        <v>114</v>
      </c>
      <c r="DU4" s="18">
        <f>+Model!DR4</f>
        <v>115</v>
      </c>
      <c r="DV4" s="18">
        <f>+Model!DS4</f>
        <v>116</v>
      </c>
      <c r="DW4" s="18">
        <f>+Model!DT4</f>
        <v>117</v>
      </c>
      <c r="DX4" s="18">
        <f>+Model!DU4</f>
        <v>118</v>
      </c>
      <c r="DY4" s="18">
        <f>+Model!DV4</f>
        <v>119</v>
      </c>
      <c r="DZ4" s="18">
        <f>+Model!DW4</f>
        <v>120</v>
      </c>
      <c r="EA4" s="18">
        <f>+Model!DX4</f>
        <v>121</v>
      </c>
      <c r="EB4" s="18">
        <f>+Model!DY4</f>
        <v>122</v>
      </c>
      <c r="EC4" s="18">
        <f>+Model!DZ4</f>
        <v>123</v>
      </c>
      <c r="ED4" s="18">
        <f>+Model!EA4</f>
        <v>124</v>
      </c>
      <c r="EE4" s="18">
        <f>+Model!EB4</f>
        <v>125</v>
      </c>
      <c r="EF4" s="18">
        <f>+Model!EC4</f>
        <v>126</v>
      </c>
      <c r="EG4" s="18">
        <f>+Model!ED4</f>
        <v>127</v>
      </c>
      <c r="EH4" s="18">
        <f>+Model!EE4</f>
        <v>128</v>
      </c>
      <c r="EI4" s="18">
        <f>+Model!EF4</f>
        <v>129</v>
      </c>
      <c r="EJ4" s="18">
        <f>+Model!EG4</f>
        <v>130</v>
      </c>
      <c r="EK4" s="18">
        <f>+Model!EH4</f>
        <v>131</v>
      </c>
      <c r="EL4" s="18">
        <f>+Model!EI4</f>
        <v>132</v>
      </c>
    </row>
    <row r="5" spans="2:142" x14ac:dyDescent="0.45">
      <c r="B5" s="1" t="s">
        <v>22</v>
      </c>
      <c r="D5" s="400"/>
      <c r="E5" s="9">
        <v>20000</v>
      </c>
      <c r="F5" s="9"/>
      <c r="G5" s="13">
        <v>0</v>
      </c>
      <c r="H5" s="13">
        <v>0</v>
      </c>
      <c r="I5" s="21"/>
      <c r="J5" s="21">
        <f>IF(AND($G5=J$4,$H5=J$4),$E5,IF($G5&gt;J$4,0,IF($H5&lt;J$4,0,$E5/($H5-$G5+1))))</f>
        <v>20000</v>
      </c>
      <c r="K5" s="21">
        <f t="shared" ref="K5:Z13" si="0">IF(AND($G5=K$4,$H5=K$4),$E5,IF($G5&gt;K$4,0,IF($H5&lt;K$4,0,$E5/($H5-$G5+1))))</f>
        <v>0</v>
      </c>
      <c r="L5" s="21">
        <f t="shared" si="0"/>
        <v>0</v>
      </c>
      <c r="M5" s="21">
        <f t="shared" si="0"/>
        <v>0</v>
      </c>
      <c r="N5" s="21">
        <f t="shared" si="0"/>
        <v>0</v>
      </c>
      <c r="O5" s="21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si="0"/>
        <v>0</v>
      </c>
      <c r="U5" s="21">
        <f t="shared" si="0"/>
        <v>0</v>
      </c>
      <c r="V5" s="21">
        <f t="shared" si="0"/>
        <v>0</v>
      </c>
      <c r="W5" s="21">
        <f t="shared" si="0"/>
        <v>0</v>
      </c>
      <c r="X5" s="21">
        <f t="shared" si="0"/>
        <v>0</v>
      </c>
      <c r="Y5" s="21">
        <f t="shared" si="0"/>
        <v>0</v>
      </c>
      <c r="Z5" s="21">
        <f t="shared" si="0"/>
        <v>0</v>
      </c>
      <c r="AA5" s="21">
        <f t="shared" ref="AA5:AZ13" si="1">IF(AND($G5=AA$4,$H5=AA$4),$E5,IF($G5&gt;AA$4,0,IF($H5&lt;AA$4,0,$E5/($H5-$G5+1))))</f>
        <v>0</v>
      </c>
      <c r="AB5" s="21">
        <f t="shared" si="1"/>
        <v>0</v>
      </c>
      <c r="AC5" s="21">
        <f t="shared" si="1"/>
        <v>0</v>
      </c>
      <c r="AD5" s="21">
        <f t="shared" si="1"/>
        <v>0</v>
      </c>
      <c r="AE5" s="21">
        <f t="shared" si="1"/>
        <v>0</v>
      </c>
      <c r="AF5" s="21">
        <f t="shared" si="1"/>
        <v>0</v>
      </c>
      <c r="AG5" s="21">
        <f t="shared" si="1"/>
        <v>0</v>
      </c>
      <c r="AH5" s="21">
        <f t="shared" si="1"/>
        <v>0</v>
      </c>
      <c r="AI5" s="21">
        <f t="shared" si="1"/>
        <v>0</v>
      </c>
      <c r="AJ5" s="21">
        <f t="shared" si="1"/>
        <v>0</v>
      </c>
      <c r="AK5" s="21">
        <f t="shared" si="1"/>
        <v>0</v>
      </c>
      <c r="AL5" s="21">
        <f t="shared" si="1"/>
        <v>0</v>
      </c>
      <c r="AM5" s="21">
        <f t="shared" si="1"/>
        <v>0</v>
      </c>
      <c r="AN5" s="21">
        <f t="shared" si="1"/>
        <v>0</v>
      </c>
      <c r="AO5" s="21">
        <f t="shared" si="1"/>
        <v>0</v>
      </c>
      <c r="AP5" s="21">
        <f t="shared" si="1"/>
        <v>0</v>
      </c>
      <c r="AQ5" s="21">
        <f t="shared" si="1"/>
        <v>0</v>
      </c>
      <c r="AR5" s="21">
        <f t="shared" si="1"/>
        <v>0</v>
      </c>
      <c r="AS5" s="21">
        <f t="shared" si="1"/>
        <v>0</v>
      </c>
      <c r="AT5" s="21">
        <f t="shared" si="1"/>
        <v>0</v>
      </c>
      <c r="AU5" s="21">
        <f t="shared" si="1"/>
        <v>0</v>
      </c>
      <c r="AV5" s="21">
        <f t="shared" si="1"/>
        <v>0</v>
      </c>
      <c r="AW5" s="21">
        <f t="shared" si="1"/>
        <v>0</v>
      </c>
      <c r="AX5" s="21">
        <f t="shared" si="1"/>
        <v>0</v>
      </c>
      <c r="AY5" s="21">
        <f t="shared" si="1"/>
        <v>0</v>
      </c>
      <c r="AZ5" s="21">
        <f t="shared" si="1"/>
        <v>0</v>
      </c>
      <c r="BA5" s="21">
        <f t="shared" ref="BA5:CC9" si="2">IF(AND($G5=BA$4,$H5=BA$4),$E5,IF($G5&gt;BA$4,0,IF($H5&lt;BA$4,0,$E5/($H5-$G5+1))))</f>
        <v>0</v>
      </c>
      <c r="BB5" s="21">
        <f t="shared" si="2"/>
        <v>0</v>
      </c>
      <c r="BC5" s="21">
        <f t="shared" si="2"/>
        <v>0</v>
      </c>
      <c r="BD5" s="21">
        <f t="shared" si="2"/>
        <v>0</v>
      </c>
      <c r="BE5" s="21">
        <f t="shared" si="2"/>
        <v>0</v>
      </c>
      <c r="BF5" s="21">
        <f t="shared" si="2"/>
        <v>0</v>
      </c>
      <c r="BG5" s="21">
        <f t="shared" si="2"/>
        <v>0</v>
      </c>
      <c r="BH5" s="21">
        <f t="shared" si="2"/>
        <v>0</v>
      </c>
      <c r="BI5" s="21">
        <f t="shared" si="2"/>
        <v>0</v>
      </c>
      <c r="BJ5" s="21">
        <f t="shared" si="2"/>
        <v>0</v>
      </c>
      <c r="BK5" s="21">
        <f t="shared" si="2"/>
        <v>0</v>
      </c>
      <c r="BL5" s="21">
        <f t="shared" si="2"/>
        <v>0</v>
      </c>
      <c r="BM5" s="21">
        <f t="shared" si="2"/>
        <v>0</v>
      </c>
      <c r="BN5" s="21">
        <f t="shared" si="2"/>
        <v>0</v>
      </c>
      <c r="BO5" s="21">
        <f t="shared" si="2"/>
        <v>0</v>
      </c>
      <c r="BP5" s="21">
        <f t="shared" si="2"/>
        <v>0</v>
      </c>
      <c r="BQ5" s="21">
        <f t="shared" si="2"/>
        <v>0</v>
      </c>
      <c r="BR5" s="21">
        <f t="shared" si="2"/>
        <v>0</v>
      </c>
      <c r="BS5" s="21">
        <f t="shared" si="2"/>
        <v>0</v>
      </c>
      <c r="BT5" s="21">
        <f t="shared" si="2"/>
        <v>0</v>
      </c>
      <c r="BU5" s="21">
        <f t="shared" si="2"/>
        <v>0</v>
      </c>
      <c r="BV5" s="21">
        <f t="shared" si="2"/>
        <v>0</v>
      </c>
      <c r="BW5" s="21">
        <f t="shared" si="2"/>
        <v>0</v>
      </c>
      <c r="BX5" s="21">
        <f t="shared" si="2"/>
        <v>0</v>
      </c>
      <c r="BY5" s="21">
        <f t="shared" si="2"/>
        <v>0</v>
      </c>
      <c r="BZ5" s="21">
        <f t="shared" si="2"/>
        <v>0</v>
      </c>
      <c r="CA5" s="21">
        <f t="shared" si="2"/>
        <v>0</v>
      </c>
      <c r="CB5" s="21">
        <f t="shared" si="2"/>
        <v>0</v>
      </c>
      <c r="CC5" s="21">
        <f t="shared" si="2"/>
        <v>0</v>
      </c>
      <c r="CD5" s="21">
        <f t="shared" ref="CD5:DN9" si="3">IF(AND($G5=CD$4,$H5=CD$4),$E5,IF($G5&gt;CD$4,0,IF($H5&lt;CD$4,0,$E5/($H5-$G5+1))))</f>
        <v>0</v>
      </c>
      <c r="CE5" s="21">
        <f t="shared" si="3"/>
        <v>0</v>
      </c>
      <c r="CF5" s="21">
        <f t="shared" si="3"/>
        <v>0</v>
      </c>
      <c r="CG5" s="21">
        <f t="shared" si="3"/>
        <v>0</v>
      </c>
      <c r="CH5" s="21">
        <f t="shared" si="3"/>
        <v>0</v>
      </c>
      <c r="CI5" s="21">
        <f t="shared" si="3"/>
        <v>0</v>
      </c>
      <c r="CJ5" s="21">
        <f t="shared" si="3"/>
        <v>0</v>
      </c>
      <c r="CK5" s="21">
        <f t="shared" si="3"/>
        <v>0</v>
      </c>
      <c r="CL5" s="21">
        <f t="shared" si="3"/>
        <v>0</v>
      </c>
      <c r="CM5" s="21">
        <f t="shared" si="3"/>
        <v>0</v>
      </c>
      <c r="CN5" s="21">
        <f t="shared" si="3"/>
        <v>0</v>
      </c>
      <c r="CO5" s="21">
        <f t="shared" si="3"/>
        <v>0</v>
      </c>
      <c r="CP5" s="21">
        <f t="shared" si="3"/>
        <v>0</v>
      </c>
      <c r="CQ5" s="21">
        <f t="shared" si="3"/>
        <v>0</v>
      </c>
      <c r="CR5" s="21">
        <f t="shared" si="3"/>
        <v>0</v>
      </c>
      <c r="CS5" s="21">
        <f t="shared" si="3"/>
        <v>0</v>
      </c>
      <c r="CT5" s="21">
        <f t="shared" si="3"/>
        <v>0</v>
      </c>
      <c r="CU5" s="21">
        <f t="shared" si="3"/>
        <v>0</v>
      </c>
      <c r="CV5" s="21">
        <f t="shared" si="3"/>
        <v>0</v>
      </c>
      <c r="CW5" s="21">
        <f t="shared" si="3"/>
        <v>0</v>
      </c>
      <c r="CX5" s="21">
        <f t="shared" si="3"/>
        <v>0</v>
      </c>
      <c r="CY5" s="21">
        <f t="shared" si="3"/>
        <v>0</v>
      </c>
      <c r="CZ5" s="21">
        <f t="shared" si="3"/>
        <v>0</v>
      </c>
      <c r="DA5" s="21">
        <f t="shared" si="3"/>
        <v>0</v>
      </c>
      <c r="DB5" s="21">
        <f t="shared" si="3"/>
        <v>0</v>
      </c>
      <c r="DC5" s="21">
        <f t="shared" si="3"/>
        <v>0</v>
      </c>
      <c r="DD5" s="21">
        <f t="shared" si="3"/>
        <v>0</v>
      </c>
      <c r="DE5" s="21">
        <f t="shared" si="3"/>
        <v>0</v>
      </c>
      <c r="DF5" s="21">
        <f t="shared" si="3"/>
        <v>0</v>
      </c>
      <c r="DG5" s="21">
        <f t="shared" si="3"/>
        <v>0</v>
      </c>
      <c r="DH5" s="21">
        <f t="shared" si="3"/>
        <v>0</v>
      </c>
      <c r="DI5" s="21">
        <f t="shared" si="3"/>
        <v>0</v>
      </c>
      <c r="DJ5" s="21">
        <f t="shared" si="3"/>
        <v>0</v>
      </c>
      <c r="DK5" s="21">
        <f t="shared" si="3"/>
        <v>0</v>
      </c>
      <c r="DL5" s="21">
        <f t="shared" si="3"/>
        <v>0</v>
      </c>
      <c r="DM5" s="21">
        <f t="shared" si="3"/>
        <v>0</v>
      </c>
      <c r="DN5" s="21">
        <f t="shared" si="3"/>
        <v>0</v>
      </c>
      <c r="DO5" s="21">
        <f t="shared" ref="DO5:EL15" si="4">IF(AND($G5=DO$4,$H5=DO$4),$E5,IF($G5&gt;DO$4,0,IF($H5&lt;DO$4,0,$E5/($H5-$G5+1))))</f>
        <v>0</v>
      </c>
      <c r="DP5" s="21">
        <f t="shared" si="4"/>
        <v>0</v>
      </c>
      <c r="DQ5" s="21">
        <f t="shared" si="4"/>
        <v>0</v>
      </c>
      <c r="DR5" s="21">
        <f t="shared" si="4"/>
        <v>0</v>
      </c>
      <c r="DS5" s="21">
        <f t="shared" si="4"/>
        <v>0</v>
      </c>
      <c r="DT5" s="21">
        <f t="shared" si="4"/>
        <v>0</v>
      </c>
      <c r="DU5" s="21">
        <f t="shared" si="4"/>
        <v>0</v>
      </c>
      <c r="DV5" s="21">
        <f t="shared" si="4"/>
        <v>0</v>
      </c>
      <c r="DW5" s="21">
        <f t="shared" si="4"/>
        <v>0</v>
      </c>
      <c r="DX5" s="21">
        <f t="shared" si="4"/>
        <v>0</v>
      </c>
      <c r="DY5" s="21">
        <f t="shared" si="4"/>
        <v>0</v>
      </c>
      <c r="DZ5" s="21">
        <f t="shared" si="4"/>
        <v>0</v>
      </c>
      <c r="EA5" s="21">
        <f t="shared" si="4"/>
        <v>0</v>
      </c>
      <c r="EB5" s="21">
        <f t="shared" si="4"/>
        <v>0</v>
      </c>
      <c r="EC5" s="21">
        <f t="shared" si="4"/>
        <v>0</v>
      </c>
      <c r="ED5" s="21">
        <f t="shared" si="4"/>
        <v>0</v>
      </c>
      <c r="EE5" s="21">
        <f t="shared" si="4"/>
        <v>0</v>
      </c>
      <c r="EF5" s="21">
        <f t="shared" si="4"/>
        <v>0</v>
      </c>
      <c r="EG5" s="21">
        <f t="shared" si="4"/>
        <v>0</v>
      </c>
      <c r="EH5" s="21">
        <f t="shared" si="4"/>
        <v>0</v>
      </c>
      <c r="EI5" s="21">
        <f t="shared" si="4"/>
        <v>0</v>
      </c>
      <c r="EJ5" s="21">
        <f t="shared" si="4"/>
        <v>0</v>
      </c>
      <c r="EK5" s="21">
        <f t="shared" si="4"/>
        <v>0</v>
      </c>
      <c r="EL5" s="21">
        <f t="shared" si="4"/>
        <v>0</v>
      </c>
    </row>
    <row r="6" spans="2:142" x14ac:dyDescent="0.45">
      <c r="B6" s="1" t="s">
        <v>355</v>
      </c>
      <c r="D6" s="400"/>
      <c r="E6" s="9">
        <v>10000</v>
      </c>
      <c r="F6" s="9"/>
      <c r="G6" s="13">
        <v>2</v>
      </c>
      <c r="H6" s="13">
        <v>11</v>
      </c>
      <c r="I6" s="21"/>
      <c r="J6" s="21">
        <f t="shared" ref="J6:J13" si="5">IF(AND($G6=J$4,$H6=J$4),$E6,IF($G6&gt;J$4,0,IF($H6&lt;J$4,0,$E6/($H6-$G6+1))))</f>
        <v>0</v>
      </c>
      <c r="K6" s="21">
        <f t="shared" si="0"/>
        <v>0</v>
      </c>
      <c r="L6" s="21">
        <f t="shared" si="0"/>
        <v>1000</v>
      </c>
      <c r="M6" s="21">
        <f t="shared" si="0"/>
        <v>1000</v>
      </c>
      <c r="N6" s="21">
        <f t="shared" si="0"/>
        <v>1000</v>
      </c>
      <c r="O6" s="21">
        <f t="shared" si="0"/>
        <v>1000</v>
      </c>
      <c r="P6" s="21">
        <f t="shared" si="0"/>
        <v>1000</v>
      </c>
      <c r="Q6" s="21">
        <f t="shared" si="0"/>
        <v>1000</v>
      </c>
      <c r="R6" s="21">
        <f t="shared" si="0"/>
        <v>1000</v>
      </c>
      <c r="S6" s="21">
        <f t="shared" si="0"/>
        <v>1000</v>
      </c>
      <c r="T6" s="21">
        <f t="shared" si="0"/>
        <v>1000</v>
      </c>
      <c r="U6" s="21">
        <f t="shared" si="0"/>
        <v>1000</v>
      </c>
      <c r="V6" s="21">
        <f t="shared" si="0"/>
        <v>0</v>
      </c>
      <c r="W6" s="21">
        <f t="shared" si="0"/>
        <v>0</v>
      </c>
      <c r="X6" s="21">
        <f t="shared" si="0"/>
        <v>0</v>
      </c>
      <c r="Y6" s="21">
        <f t="shared" si="0"/>
        <v>0</v>
      </c>
      <c r="Z6" s="21">
        <f t="shared" si="0"/>
        <v>0</v>
      </c>
      <c r="AA6" s="21">
        <f t="shared" si="1"/>
        <v>0</v>
      </c>
      <c r="AB6" s="21">
        <f t="shared" si="1"/>
        <v>0</v>
      </c>
      <c r="AC6" s="21">
        <f t="shared" si="1"/>
        <v>0</v>
      </c>
      <c r="AD6" s="21">
        <f t="shared" si="1"/>
        <v>0</v>
      </c>
      <c r="AE6" s="21">
        <f t="shared" si="1"/>
        <v>0</v>
      </c>
      <c r="AF6" s="21">
        <f t="shared" si="1"/>
        <v>0</v>
      </c>
      <c r="AG6" s="21">
        <f t="shared" si="1"/>
        <v>0</v>
      </c>
      <c r="AH6" s="21">
        <f t="shared" si="1"/>
        <v>0</v>
      </c>
      <c r="AI6" s="21">
        <f t="shared" si="1"/>
        <v>0</v>
      </c>
      <c r="AJ6" s="21">
        <f t="shared" si="1"/>
        <v>0</v>
      </c>
      <c r="AK6" s="21">
        <f t="shared" si="1"/>
        <v>0</v>
      </c>
      <c r="AL6" s="21">
        <f t="shared" si="1"/>
        <v>0</v>
      </c>
      <c r="AM6" s="21">
        <f t="shared" si="1"/>
        <v>0</v>
      </c>
      <c r="AN6" s="21">
        <f t="shared" si="1"/>
        <v>0</v>
      </c>
      <c r="AO6" s="21">
        <f t="shared" si="1"/>
        <v>0</v>
      </c>
      <c r="AP6" s="21">
        <f t="shared" si="1"/>
        <v>0</v>
      </c>
      <c r="AQ6" s="21">
        <f t="shared" si="1"/>
        <v>0</v>
      </c>
      <c r="AR6" s="21">
        <f t="shared" si="1"/>
        <v>0</v>
      </c>
      <c r="AS6" s="21">
        <f t="shared" si="1"/>
        <v>0</v>
      </c>
      <c r="AT6" s="21">
        <f t="shared" si="1"/>
        <v>0</v>
      </c>
      <c r="AU6" s="21">
        <f t="shared" si="1"/>
        <v>0</v>
      </c>
      <c r="AV6" s="21">
        <f t="shared" si="1"/>
        <v>0</v>
      </c>
      <c r="AW6" s="21">
        <f t="shared" si="1"/>
        <v>0</v>
      </c>
      <c r="AX6" s="21">
        <f t="shared" si="1"/>
        <v>0</v>
      </c>
      <c r="AY6" s="21">
        <f t="shared" si="1"/>
        <v>0</v>
      </c>
      <c r="AZ6" s="21">
        <f t="shared" si="1"/>
        <v>0</v>
      </c>
      <c r="BA6" s="21">
        <f t="shared" si="2"/>
        <v>0</v>
      </c>
      <c r="BB6" s="21">
        <f t="shared" si="2"/>
        <v>0</v>
      </c>
      <c r="BC6" s="21">
        <f t="shared" si="2"/>
        <v>0</v>
      </c>
      <c r="BD6" s="21">
        <f t="shared" si="2"/>
        <v>0</v>
      </c>
      <c r="BE6" s="21">
        <f t="shared" si="2"/>
        <v>0</v>
      </c>
      <c r="BF6" s="21">
        <f t="shared" si="2"/>
        <v>0</v>
      </c>
      <c r="BG6" s="21">
        <f t="shared" si="2"/>
        <v>0</v>
      </c>
      <c r="BH6" s="21">
        <f t="shared" si="2"/>
        <v>0</v>
      </c>
      <c r="BI6" s="21">
        <f t="shared" si="2"/>
        <v>0</v>
      </c>
      <c r="BJ6" s="21">
        <f t="shared" si="2"/>
        <v>0</v>
      </c>
      <c r="BK6" s="21">
        <f t="shared" si="2"/>
        <v>0</v>
      </c>
      <c r="BL6" s="21">
        <f t="shared" si="2"/>
        <v>0</v>
      </c>
      <c r="BM6" s="21">
        <f t="shared" si="2"/>
        <v>0</v>
      </c>
      <c r="BN6" s="21">
        <f t="shared" si="2"/>
        <v>0</v>
      </c>
      <c r="BO6" s="21">
        <f t="shared" si="2"/>
        <v>0</v>
      </c>
      <c r="BP6" s="21">
        <f t="shared" si="2"/>
        <v>0</v>
      </c>
      <c r="BQ6" s="21">
        <f t="shared" si="2"/>
        <v>0</v>
      </c>
      <c r="BR6" s="21">
        <f t="shared" si="2"/>
        <v>0</v>
      </c>
      <c r="BS6" s="21">
        <f t="shared" si="2"/>
        <v>0</v>
      </c>
      <c r="BT6" s="21">
        <f t="shared" si="2"/>
        <v>0</v>
      </c>
      <c r="BU6" s="21">
        <f t="shared" si="2"/>
        <v>0</v>
      </c>
      <c r="BV6" s="21">
        <f t="shared" si="2"/>
        <v>0</v>
      </c>
      <c r="BW6" s="21">
        <f t="shared" si="2"/>
        <v>0</v>
      </c>
      <c r="BX6" s="21">
        <f t="shared" si="2"/>
        <v>0</v>
      </c>
      <c r="BY6" s="21">
        <f t="shared" si="2"/>
        <v>0</v>
      </c>
      <c r="BZ6" s="21">
        <f t="shared" si="2"/>
        <v>0</v>
      </c>
      <c r="CA6" s="21">
        <f t="shared" si="2"/>
        <v>0</v>
      </c>
      <c r="CB6" s="21">
        <f t="shared" si="2"/>
        <v>0</v>
      </c>
      <c r="CC6" s="21">
        <f t="shared" si="2"/>
        <v>0</v>
      </c>
      <c r="CD6" s="21">
        <f t="shared" si="3"/>
        <v>0</v>
      </c>
      <c r="CE6" s="21">
        <f t="shared" si="3"/>
        <v>0</v>
      </c>
      <c r="CF6" s="21">
        <f t="shared" si="3"/>
        <v>0</v>
      </c>
      <c r="CG6" s="21">
        <f t="shared" si="3"/>
        <v>0</v>
      </c>
      <c r="CH6" s="21">
        <f t="shared" si="3"/>
        <v>0</v>
      </c>
      <c r="CI6" s="21">
        <f t="shared" si="3"/>
        <v>0</v>
      </c>
      <c r="CJ6" s="21">
        <f t="shared" si="3"/>
        <v>0</v>
      </c>
      <c r="CK6" s="21">
        <f t="shared" si="3"/>
        <v>0</v>
      </c>
      <c r="CL6" s="21">
        <f t="shared" si="3"/>
        <v>0</v>
      </c>
      <c r="CM6" s="21">
        <f t="shared" si="3"/>
        <v>0</v>
      </c>
      <c r="CN6" s="21">
        <f t="shared" si="3"/>
        <v>0</v>
      </c>
      <c r="CO6" s="21">
        <f t="shared" si="3"/>
        <v>0</v>
      </c>
      <c r="CP6" s="21">
        <f t="shared" si="3"/>
        <v>0</v>
      </c>
      <c r="CQ6" s="21">
        <f t="shared" si="3"/>
        <v>0</v>
      </c>
      <c r="CR6" s="21">
        <f t="shared" si="3"/>
        <v>0</v>
      </c>
      <c r="CS6" s="21">
        <f t="shared" si="3"/>
        <v>0</v>
      </c>
      <c r="CT6" s="21">
        <f t="shared" si="3"/>
        <v>0</v>
      </c>
      <c r="CU6" s="21">
        <f t="shared" si="3"/>
        <v>0</v>
      </c>
      <c r="CV6" s="21">
        <f t="shared" si="3"/>
        <v>0</v>
      </c>
      <c r="CW6" s="21">
        <f t="shared" si="3"/>
        <v>0</v>
      </c>
      <c r="CX6" s="21">
        <f t="shared" si="3"/>
        <v>0</v>
      </c>
      <c r="CY6" s="21">
        <f t="shared" si="3"/>
        <v>0</v>
      </c>
      <c r="CZ6" s="21">
        <f t="shared" si="3"/>
        <v>0</v>
      </c>
      <c r="DA6" s="21">
        <f t="shared" si="3"/>
        <v>0</v>
      </c>
      <c r="DB6" s="21">
        <f t="shared" si="3"/>
        <v>0</v>
      </c>
      <c r="DC6" s="21">
        <f t="shared" si="3"/>
        <v>0</v>
      </c>
      <c r="DD6" s="21">
        <f t="shared" si="3"/>
        <v>0</v>
      </c>
      <c r="DE6" s="21">
        <f t="shared" si="3"/>
        <v>0</v>
      </c>
      <c r="DF6" s="21">
        <f t="shared" si="3"/>
        <v>0</v>
      </c>
      <c r="DG6" s="21">
        <f t="shared" si="3"/>
        <v>0</v>
      </c>
      <c r="DH6" s="21">
        <f t="shared" si="3"/>
        <v>0</v>
      </c>
      <c r="DI6" s="21">
        <f t="shared" si="3"/>
        <v>0</v>
      </c>
      <c r="DJ6" s="21">
        <f t="shared" si="3"/>
        <v>0</v>
      </c>
      <c r="DK6" s="21">
        <f t="shared" si="3"/>
        <v>0</v>
      </c>
      <c r="DL6" s="21">
        <f t="shared" si="3"/>
        <v>0</v>
      </c>
      <c r="DM6" s="21">
        <f t="shared" si="3"/>
        <v>0</v>
      </c>
      <c r="DN6" s="21">
        <f t="shared" si="3"/>
        <v>0</v>
      </c>
      <c r="DO6" s="21">
        <f t="shared" si="4"/>
        <v>0</v>
      </c>
      <c r="DP6" s="21">
        <f t="shared" si="4"/>
        <v>0</v>
      </c>
      <c r="DQ6" s="21">
        <f t="shared" si="4"/>
        <v>0</v>
      </c>
      <c r="DR6" s="21">
        <f t="shared" si="4"/>
        <v>0</v>
      </c>
      <c r="DS6" s="21">
        <f t="shared" si="4"/>
        <v>0</v>
      </c>
      <c r="DT6" s="21">
        <f t="shared" si="4"/>
        <v>0</v>
      </c>
      <c r="DU6" s="21">
        <f t="shared" si="4"/>
        <v>0</v>
      </c>
      <c r="DV6" s="21">
        <f t="shared" si="4"/>
        <v>0</v>
      </c>
      <c r="DW6" s="21">
        <f t="shared" si="4"/>
        <v>0</v>
      </c>
      <c r="DX6" s="21">
        <f t="shared" si="4"/>
        <v>0</v>
      </c>
      <c r="DY6" s="21">
        <f t="shared" si="4"/>
        <v>0</v>
      </c>
      <c r="DZ6" s="21">
        <f t="shared" si="4"/>
        <v>0</v>
      </c>
      <c r="EA6" s="21">
        <f t="shared" si="4"/>
        <v>0</v>
      </c>
      <c r="EB6" s="21">
        <f t="shared" si="4"/>
        <v>0</v>
      </c>
      <c r="EC6" s="21">
        <f t="shared" si="4"/>
        <v>0</v>
      </c>
      <c r="ED6" s="21">
        <f t="shared" si="4"/>
        <v>0</v>
      </c>
      <c r="EE6" s="21">
        <f t="shared" si="4"/>
        <v>0</v>
      </c>
      <c r="EF6" s="21">
        <f t="shared" si="4"/>
        <v>0</v>
      </c>
      <c r="EG6" s="21">
        <f t="shared" si="4"/>
        <v>0</v>
      </c>
      <c r="EH6" s="21">
        <f t="shared" si="4"/>
        <v>0</v>
      </c>
      <c r="EI6" s="21">
        <f t="shared" si="4"/>
        <v>0</v>
      </c>
      <c r="EJ6" s="21">
        <f t="shared" si="4"/>
        <v>0</v>
      </c>
      <c r="EK6" s="21">
        <f t="shared" si="4"/>
        <v>0</v>
      </c>
      <c r="EL6" s="21">
        <f t="shared" si="4"/>
        <v>0</v>
      </c>
    </row>
    <row r="7" spans="2:142" x14ac:dyDescent="0.35">
      <c r="B7" s="1" t="s">
        <v>371</v>
      </c>
      <c r="C7" s="271">
        <v>50</v>
      </c>
      <c r="D7" s="197">
        <v>1250</v>
      </c>
      <c r="E7" s="19">
        <f>+D7*C7</f>
        <v>62500</v>
      </c>
      <c r="G7" s="13">
        <v>5</v>
      </c>
      <c r="H7" s="13">
        <v>6</v>
      </c>
      <c r="I7" s="21"/>
      <c r="J7" s="21">
        <f t="shared" si="5"/>
        <v>0</v>
      </c>
      <c r="K7" s="21">
        <f t="shared" si="0"/>
        <v>0</v>
      </c>
      <c r="L7" s="21">
        <f t="shared" si="0"/>
        <v>0</v>
      </c>
      <c r="M7" s="21">
        <f t="shared" si="0"/>
        <v>0</v>
      </c>
      <c r="N7" s="21">
        <f t="shared" si="0"/>
        <v>0</v>
      </c>
      <c r="O7" s="21">
        <f t="shared" si="0"/>
        <v>31250</v>
      </c>
      <c r="P7" s="21">
        <f t="shared" si="0"/>
        <v>31250</v>
      </c>
      <c r="Q7" s="21">
        <f t="shared" si="0"/>
        <v>0</v>
      </c>
      <c r="R7" s="21">
        <f t="shared" si="0"/>
        <v>0</v>
      </c>
      <c r="S7" s="21">
        <f t="shared" si="0"/>
        <v>0</v>
      </c>
      <c r="T7" s="21">
        <f t="shared" si="0"/>
        <v>0</v>
      </c>
      <c r="U7" s="21">
        <f t="shared" si="0"/>
        <v>0</v>
      </c>
      <c r="V7" s="21">
        <f t="shared" si="0"/>
        <v>0</v>
      </c>
      <c r="W7" s="21">
        <f t="shared" si="0"/>
        <v>0</v>
      </c>
      <c r="X7" s="21">
        <f t="shared" si="0"/>
        <v>0</v>
      </c>
      <c r="Y7" s="21">
        <f t="shared" si="0"/>
        <v>0</v>
      </c>
      <c r="Z7" s="21">
        <f t="shared" si="0"/>
        <v>0</v>
      </c>
      <c r="AA7" s="21">
        <f t="shared" si="1"/>
        <v>0</v>
      </c>
      <c r="AB7" s="21">
        <f t="shared" si="1"/>
        <v>0</v>
      </c>
      <c r="AC7" s="21">
        <f t="shared" si="1"/>
        <v>0</v>
      </c>
      <c r="AD7" s="21">
        <f t="shared" si="1"/>
        <v>0</v>
      </c>
      <c r="AE7" s="21">
        <f t="shared" si="1"/>
        <v>0</v>
      </c>
      <c r="AF7" s="21">
        <f t="shared" si="1"/>
        <v>0</v>
      </c>
      <c r="AG7" s="21">
        <f t="shared" si="1"/>
        <v>0</v>
      </c>
      <c r="AH7" s="21">
        <f t="shared" si="1"/>
        <v>0</v>
      </c>
      <c r="AI7" s="21">
        <f t="shared" si="1"/>
        <v>0</v>
      </c>
      <c r="AJ7" s="21">
        <f t="shared" si="1"/>
        <v>0</v>
      </c>
      <c r="AK7" s="21">
        <f t="shared" si="1"/>
        <v>0</v>
      </c>
      <c r="AL7" s="21">
        <f t="shared" si="1"/>
        <v>0</v>
      </c>
      <c r="AM7" s="21">
        <f t="shared" si="1"/>
        <v>0</v>
      </c>
      <c r="AN7" s="21">
        <f t="shared" si="1"/>
        <v>0</v>
      </c>
      <c r="AO7" s="21">
        <f t="shared" si="1"/>
        <v>0</v>
      </c>
      <c r="AP7" s="21">
        <f t="shared" si="1"/>
        <v>0</v>
      </c>
      <c r="AQ7" s="21">
        <f t="shared" si="1"/>
        <v>0</v>
      </c>
      <c r="AR7" s="21">
        <f t="shared" si="1"/>
        <v>0</v>
      </c>
      <c r="AS7" s="21">
        <f t="shared" si="1"/>
        <v>0</v>
      </c>
      <c r="AT7" s="21">
        <f t="shared" si="1"/>
        <v>0</v>
      </c>
      <c r="AU7" s="21">
        <f t="shared" si="1"/>
        <v>0</v>
      </c>
      <c r="AV7" s="21">
        <f t="shared" si="1"/>
        <v>0</v>
      </c>
      <c r="AW7" s="21">
        <f t="shared" si="1"/>
        <v>0</v>
      </c>
      <c r="AX7" s="21">
        <f t="shared" si="1"/>
        <v>0</v>
      </c>
      <c r="AY7" s="21">
        <f t="shared" si="1"/>
        <v>0</v>
      </c>
      <c r="AZ7" s="21">
        <f t="shared" si="1"/>
        <v>0</v>
      </c>
      <c r="BA7" s="21">
        <f t="shared" si="2"/>
        <v>0</v>
      </c>
      <c r="BB7" s="21">
        <f t="shared" si="2"/>
        <v>0</v>
      </c>
      <c r="BC7" s="21">
        <f t="shared" si="2"/>
        <v>0</v>
      </c>
      <c r="BD7" s="21">
        <f t="shared" si="2"/>
        <v>0</v>
      </c>
      <c r="BE7" s="21">
        <f t="shared" si="2"/>
        <v>0</v>
      </c>
      <c r="BF7" s="21">
        <f t="shared" si="2"/>
        <v>0</v>
      </c>
      <c r="BG7" s="21">
        <f t="shared" si="2"/>
        <v>0</v>
      </c>
      <c r="BH7" s="21">
        <f t="shared" si="2"/>
        <v>0</v>
      </c>
      <c r="BI7" s="21">
        <f t="shared" si="2"/>
        <v>0</v>
      </c>
      <c r="BJ7" s="21">
        <f t="shared" si="2"/>
        <v>0</v>
      </c>
      <c r="BK7" s="21">
        <f t="shared" si="2"/>
        <v>0</v>
      </c>
      <c r="BL7" s="21">
        <f t="shared" si="2"/>
        <v>0</v>
      </c>
      <c r="BM7" s="21">
        <f t="shared" si="2"/>
        <v>0</v>
      </c>
      <c r="BN7" s="21">
        <f t="shared" si="2"/>
        <v>0</v>
      </c>
      <c r="BO7" s="21">
        <f t="shared" si="2"/>
        <v>0</v>
      </c>
      <c r="BP7" s="21">
        <f t="shared" si="2"/>
        <v>0</v>
      </c>
      <c r="BQ7" s="21">
        <f t="shared" si="2"/>
        <v>0</v>
      </c>
      <c r="BR7" s="21">
        <f t="shared" si="2"/>
        <v>0</v>
      </c>
      <c r="BS7" s="21">
        <f t="shared" si="2"/>
        <v>0</v>
      </c>
      <c r="BT7" s="21">
        <f t="shared" si="2"/>
        <v>0</v>
      </c>
      <c r="BU7" s="21">
        <f t="shared" si="2"/>
        <v>0</v>
      </c>
      <c r="BV7" s="21">
        <f t="shared" si="2"/>
        <v>0</v>
      </c>
      <c r="BW7" s="21">
        <f t="shared" si="2"/>
        <v>0</v>
      </c>
      <c r="BX7" s="21">
        <f t="shared" si="2"/>
        <v>0</v>
      </c>
      <c r="BY7" s="21">
        <f t="shared" si="2"/>
        <v>0</v>
      </c>
      <c r="BZ7" s="21">
        <f t="shared" si="2"/>
        <v>0</v>
      </c>
      <c r="CA7" s="21">
        <f t="shared" si="2"/>
        <v>0</v>
      </c>
      <c r="CB7" s="21">
        <f t="shared" si="2"/>
        <v>0</v>
      </c>
      <c r="CC7" s="21">
        <f t="shared" si="2"/>
        <v>0</v>
      </c>
      <c r="CD7" s="21">
        <f t="shared" si="3"/>
        <v>0</v>
      </c>
      <c r="CE7" s="21">
        <f t="shared" si="3"/>
        <v>0</v>
      </c>
      <c r="CF7" s="21">
        <f t="shared" si="3"/>
        <v>0</v>
      </c>
      <c r="CG7" s="21">
        <f t="shared" si="3"/>
        <v>0</v>
      </c>
      <c r="CH7" s="21">
        <f t="shared" si="3"/>
        <v>0</v>
      </c>
      <c r="CI7" s="21">
        <f t="shared" si="3"/>
        <v>0</v>
      </c>
      <c r="CJ7" s="21">
        <f t="shared" si="3"/>
        <v>0</v>
      </c>
      <c r="CK7" s="21">
        <f t="shared" si="3"/>
        <v>0</v>
      </c>
      <c r="CL7" s="21">
        <f t="shared" si="3"/>
        <v>0</v>
      </c>
      <c r="CM7" s="21">
        <f t="shared" si="3"/>
        <v>0</v>
      </c>
      <c r="CN7" s="21">
        <f t="shared" si="3"/>
        <v>0</v>
      </c>
      <c r="CO7" s="21">
        <f t="shared" si="3"/>
        <v>0</v>
      </c>
      <c r="CP7" s="21">
        <f t="shared" si="3"/>
        <v>0</v>
      </c>
      <c r="CQ7" s="21">
        <f t="shared" si="3"/>
        <v>0</v>
      </c>
      <c r="CR7" s="21">
        <f t="shared" si="3"/>
        <v>0</v>
      </c>
      <c r="CS7" s="21">
        <f t="shared" si="3"/>
        <v>0</v>
      </c>
      <c r="CT7" s="21">
        <f t="shared" si="3"/>
        <v>0</v>
      </c>
      <c r="CU7" s="21">
        <f t="shared" si="3"/>
        <v>0</v>
      </c>
      <c r="CV7" s="21">
        <f t="shared" si="3"/>
        <v>0</v>
      </c>
      <c r="CW7" s="21">
        <f t="shared" si="3"/>
        <v>0</v>
      </c>
      <c r="CX7" s="21">
        <f t="shared" si="3"/>
        <v>0</v>
      </c>
      <c r="CY7" s="21">
        <f t="shared" si="3"/>
        <v>0</v>
      </c>
      <c r="CZ7" s="21">
        <f t="shared" si="3"/>
        <v>0</v>
      </c>
      <c r="DA7" s="21">
        <f t="shared" si="3"/>
        <v>0</v>
      </c>
      <c r="DB7" s="21">
        <f t="shared" si="3"/>
        <v>0</v>
      </c>
      <c r="DC7" s="21">
        <f t="shared" si="3"/>
        <v>0</v>
      </c>
      <c r="DD7" s="21">
        <f t="shared" si="3"/>
        <v>0</v>
      </c>
      <c r="DE7" s="21">
        <f t="shared" si="3"/>
        <v>0</v>
      </c>
      <c r="DF7" s="21">
        <f t="shared" si="3"/>
        <v>0</v>
      </c>
      <c r="DG7" s="21">
        <f t="shared" si="3"/>
        <v>0</v>
      </c>
      <c r="DH7" s="21">
        <f t="shared" si="3"/>
        <v>0</v>
      </c>
      <c r="DI7" s="21">
        <f t="shared" si="3"/>
        <v>0</v>
      </c>
      <c r="DJ7" s="21">
        <f t="shared" si="3"/>
        <v>0</v>
      </c>
      <c r="DK7" s="21">
        <f t="shared" si="3"/>
        <v>0</v>
      </c>
      <c r="DL7" s="21">
        <f t="shared" si="3"/>
        <v>0</v>
      </c>
      <c r="DM7" s="21">
        <f t="shared" si="3"/>
        <v>0</v>
      </c>
      <c r="DN7" s="21">
        <f t="shared" si="3"/>
        <v>0</v>
      </c>
      <c r="DO7" s="21">
        <f t="shared" si="4"/>
        <v>0</v>
      </c>
      <c r="DP7" s="21">
        <f t="shared" si="4"/>
        <v>0</v>
      </c>
      <c r="DQ7" s="21">
        <f t="shared" si="4"/>
        <v>0</v>
      </c>
      <c r="DR7" s="21">
        <f t="shared" si="4"/>
        <v>0</v>
      </c>
      <c r="DS7" s="21">
        <f t="shared" si="4"/>
        <v>0</v>
      </c>
      <c r="DT7" s="21">
        <f t="shared" si="4"/>
        <v>0</v>
      </c>
      <c r="DU7" s="21">
        <f t="shared" si="4"/>
        <v>0</v>
      </c>
      <c r="DV7" s="21">
        <f t="shared" si="4"/>
        <v>0</v>
      </c>
      <c r="DW7" s="21">
        <f t="shared" si="4"/>
        <v>0</v>
      </c>
      <c r="DX7" s="21">
        <f t="shared" si="4"/>
        <v>0</v>
      </c>
      <c r="DY7" s="21">
        <f t="shared" si="4"/>
        <v>0</v>
      </c>
      <c r="DZ7" s="21">
        <f t="shared" si="4"/>
        <v>0</v>
      </c>
      <c r="EA7" s="21">
        <f t="shared" si="4"/>
        <v>0</v>
      </c>
      <c r="EB7" s="21">
        <f t="shared" si="4"/>
        <v>0</v>
      </c>
      <c r="EC7" s="21">
        <f t="shared" si="4"/>
        <v>0</v>
      </c>
      <c r="ED7" s="21">
        <f t="shared" si="4"/>
        <v>0</v>
      </c>
      <c r="EE7" s="21">
        <f t="shared" si="4"/>
        <v>0</v>
      </c>
      <c r="EF7" s="21">
        <f t="shared" si="4"/>
        <v>0</v>
      </c>
      <c r="EG7" s="21">
        <f t="shared" si="4"/>
        <v>0</v>
      </c>
      <c r="EH7" s="21">
        <f t="shared" si="4"/>
        <v>0</v>
      </c>
      <c r="EI7" s="21">
        <f t="shared" si="4"/>
        <v>0</v>
      </c>
      <c r="EJ7" s="21">
        <f t="shared" si="4"/>
        <v>0</v>
      </c>
      <c r="EK7" s="21">
        <f t="shared" si="4"/>
        <v>0</v>
      </c>
      <c r="EL7" s="21">
        <f t="shared" si="4"/>
        <v>0</v>
      </c>
    </row>
    <row r="8" spans="2:142" x14ac:dyDescent="0.45">
      <c r="B8" s="1" t="s">
        <v>374</v>
      </c>
      <c r="D8" s="400"/>
      <c r="E8" s="9">
        <v>20000</v>
      </c>
      <c r="G8" s="13">
        <v>0</v>
      </c>
      <c r="H8" s="13">
        <v>0</v>
      </c>
      <c r="I8" s="21"/>
      <c r="J8" s="21">
        <f t="shared" si="5"/>
        <v>20000</v>
      </c>
      <c r="K8" s="21">
        <f t="shared" si="0"/>
        <v>0</v>
      </c>
      <c r="L8" s="21">
        <f t="shared" si="0"/>
        <v>0</v>
      </c>
      <c r="M8" s="21">
        <f t="shared" si="0"/>
        <v>0</v>
      </c>
      <c r="N8" s="21">
        <f t="shared" si="0"/>
        <v>0</v>
      </c>
      <c r="O8" s="21">
        <f t="shared" si="0"/>
        <v>0</v>
      </c>
      <c r="P8" s="21">
        <f t="shared" si="0"/>
        <v>0</v>
      </c>
      <c r="Q8" s="21">
        <f t="shared" si="0"/>
        <v>0</v>
      </c>
      <c r="R8" s="21">
        <f t="shared" si="0"/>
        <v>0</v>
      </c>
      <c r="S8" s="21">
        <f t="shared" si="0"/>
        <v>0</v>
      </c>
      <c r="T8" s="21">
        <f t="shared" si="0"/>
        <v>0</v>
      </c>
      <c r="U8" s="21">
        <f t="shared" si="0"/>
        <v>0</v>
      </c>
      <c r="V8" s="21">
        <f t="shared" si="0"/>
        <v>0</v>
      </c>
      <c r="W8" s="21">
        <f t="shared" si="0"/>
        <v>0</v>
      </c>
      <c r="X8" s="21">
        <f t="shared" si="0"/>
        <v>0</v>
      </c>
      <c r="Y8" s="21">
        <f t="shared" si="0"/>
        <v>0</v>
      </c>
      <c r="Z8" s="21">
        <f t="shared" si="0"/>
        <v>0</v>
      </c>
      <c r="AA8" s="21">
        <f t="shared" si="1"/>
        <v>0</v>
      </c>
      <c r="AB8" s="21">
        <f t="shared" si="1"/>
        <v>0</v>
      </c>
      <c r="AC8" s="21">
        <f t="shared" si="1"/>
        <v>0</v>
      </c>
      <c r="AD8" s="21">
        <f t="shared" si="1"/>
        <v>0</v>
      </c>
      <c r="AE8" s="21">
        <f t="shared" si="1"/>
        <v>0</v>
      </c>
      <c r="AF8" s="21">
        <f t="shared" si="1"/>
        <v>0</v>
      </c>
      <c r="AG8" s="21">
        <f t="shared" si="1"/>
        <v>0</v>
      </c>
      <c r="AH8" s="21">
        <f t="shared" si="1"/>
        <v>0</v>
      </c>
      <c r="AI8" s="21">
        <f t="shared" si="1"/>
        <v>0</v>
      </c>
      <c r="AJ8" s="21">
        <f t="shared" si="1"/>
        <v>0</v>
      </c>
      <c r="AK8" s="21">
        <f t="shared" ref="AK8:AZ9" si="6">IF(AND($G8=AK$4,$H8=AK$4),$E8,IF($G8&gt;AK$4,0,IF($H8&lt;AK$4,0,$E8/($H8-$G8+1))))</f>
        <v>0</v>
      </c>
      <c r="AL8" s="21">
        <f t="shared" si="6"/>
        <v>0</v>
      </c>
      <c r="AM8" s="21">
        <f t="shared" si="6"/>
        <v>0</v>
      </c>
      <c r="AN8" s="21">
        <f t="shared" si="6"/>
        <v>0</v>
      </c>
      <c r="AO8" s="21">
        <f t="shared" si="6"/>
        <v>0</v>
      </c>
      <c r="AP8" s="21">
        <f t="shared" si="6"/>
        <v>0</v>
      </c>
      <c r="AQ8" s="21">
        <f t="shared" si="6"/>
        <v>0</v>
      </c>
      <c r="AR8" s="21">
        <f t="shared" si="6"/>
        <v>0</v>
      </c>
      <c r="AS8" s="21">
        <f t="shared" si="6"/>
        <v>0</v>
      </c>
      <c r="AT8" s="21">
        <f t="shared" si="6"/>
        <v>0</v>
      </c>
      <c r="AU8" s="21">
        <f t="shared" si="6"/>
        <v>0</v>
      </c>
      <c r="AV8" s="21">
        <f t="shared" si="6"/>
        <v>0</v>
      </c>
      <c r="AW8" s="21">
        <f t="shared" si="6"/>
        <v>0</v>
      </c>
      <c r="AX8" s="21">
        <f t="shared" si="6"/>
        <v>0</v>
      </c>
      <c r="AY8" s="21">
        <f t="shared" si="6"/>
        <v>0</v>
      </c>
      <c r="AZ8" s="21">
        <f t="shared" si="6"/>
        <v>0</v>
      </c>
      <c r="BA8" s="21">
        <f t="shared" si="2"/>
        <v>0</v>
      </c>
      <c r="BB8" s="21">
        <f t="shared" si="2"/>
        <v>0</v>
      </c>
      <c r="BC8" s="21">
        <f t="shared" si="2"/>
        <v>0</v>
      </c>
      <c r="BD8" s="21">
        <f t="shared" si="2"/>
        <v>0</v>
      </c>
      <c r="BE8" s="21">
        <f t="shared" si="2"/>
        <v>0</v>
      </c>
      <c r="BF8" s="21">
        <f t="shared" si="2"/>
        <v>0</v>
      </c>
      <c r="BG8" s="21">
        <f t="shared" si="2"/>
        <v>0</v>
      </c>
      <c r="BH8" s="21">
        <f t="shared" si="2"/>
        <v>0</v>
      </c>
      <c r="BI8" s="21">
        <f t="shared" si="2"/>
        <v>0</v>
      </c>
      <c r="BJ8" s="21">
        <f t="shared" si="2"/>
        <v>0</v>
      </c>
      <c r="BK8" s="21">
        <f t="shared" si="2"/>
        <v>0</v>
      </c>
      <c r="BL8" s="21">
        <f t="shared" si="2"/>
        <v>0</v>
      </c>
      <c r="BM8" s="21">
        <f t="shared" si="2"/>
        <v>0</v>
      </c>
      <c r="BN8" s="21">
        <f t="shared" si="2"/>
        <v>0</v>
      </c>
      <c r="BO8" s="21">
        <f t="shared" si="2"/>
        <v>0</v>
      </c>
      <c r="BP8" s="21">
        <f t="shared" si="2"/>
        <v>0</v>
      </c>
      <c r="BQ8" s="21">
        <f t="shared" si="2"/>
        <v>0</v>
      </c>
      <c r="BR8" s="21">
        <f t="shared" si="2"/>
        <v>0</v>
      </c>
      <c r="BS8" s="21">
        <f t="shared" si="2"/>
        <v>0</v>
      </c>
      <c r="BT8" s="21">
        <f t="shared" si="2"/>
        <v>0</v>
      </c>
      <c r="BU8" s="21">
        <f t="shared" si="2"/>
        <v>0</v>
      </c>
      <c r="BV8" s="21">
        <f t="shared" si="2"/>
        <v>0</v>
      </c>
      <c r="BW8" s="21">
        <f t="shared" si="2"/>
        <v>0</v>
      </c>
      <c r="BX8" s="21">
        <f t="shared" si="2"/>
        <v>0</v>
      </c>
      <c r="BY8" s="21">
        <f t="shared" si="2"/>
        <v>0</v>
      </c>
      <c r="BZ8" s="21">
        <f t="shared" si="2"/>
        <v>0</v>
      </c>
      <c r="CA8" s="21">
        <f t="shared" si="2"/>
        <v>0</v>
      </c>
      <c r="CB8" s="21">
        <f t="shared" si="2"/>
        <v>0</v>
      </c>
      <c r="CC8" s="21">
        <f t="shared" si="2"/>
        <v>0</v>
      </c>
      <c r="CD8" s="21">
        <f t="shared" si="3"/>
        <v>0</v>
      </c>
      <c r="CE8" s="21">
        <f t="shared" si="3"/>
        <v>0</v>
      </c>
      <c r="CF8" s="21">
        <f t="shared" si="3"/>
        <v>0</v>
      </c>
      <c r="CG8" s="21">
        <f t="shared" si="3"/>
        <v>0</v>
      </c>
      <c r="CH8" s="21">
        <f t="shared" si="3"/>
        <v>0</v>
      </c>
      <c r="CI8" s="21">
        <f t="shared" si="3"/>
        <v>0</v>
      </c>
      <c r="CJ8" s="21">
        <f t="shared" si="3"/>
        <v>0</v>
      </c>
      <c r="CK8" s="21">
        <f t="shared" si="3"/>
        <v>0</v>
      </c>
      <c r="CL8" s="21">
        <f t="shared" si="3"/>
        <v>0</v>
      </c>
      <c r="CM8" s="21">
        <f t="shared" si="3"/>
        <v>0</v>
      </c>
      <c r="CN8" s="21">
        <f t="shared" si="3"/>
        <v>0</v>
      </c>
      <c r="CO8" s="21">
        <f t="shared" si="3"/>
        <v>0</v>
      </c>
      <c r="CP8" s="21">
        <f t="shared" si="3"/>
        <v>0</v>
      </c>
      <c r="CQ8" s="21">
        <f t="shared" si="3"/>
        <v>0</v>
      </c>
      <c r="CR8" s="21">
        <f t="shared" si="3"/>
        <v>0</v>
      </c>
      <c r="CS8" s="21">
        <f t="shared" si="3"/>
        <v>0</v>
      </c>
      <c r="CT8" s="21">
        <f t="shared" si="3"/>
        <v>0</v>
      </c>
      <c r="CU8" s="21">
        <f t="shared" si="3"/>
        <v>0</v>
      </c>
      <c r="CV8" s="21">
        <f t="shared" si="3"/>
        <v>0</v>
      </c>
      <c r="CW8" s="21">
        <f t="shared" si="3"/>
        <v>0</v>
      </c>
      <c r="CX8" s="21">
        <f t="shared" si="3"/>
        <v>0</v>
      </c>
      <c r="CY8" s="21">
        <f t="shared" si="3"/>
        <v>0</v>
      </c>
      <c r="CZ8" s="21">
        <f t="shared" si="3"/>
        <v>0</v>
      </c>
      <c r="DA8" s="21">
        <f t="shared" si="3"/>
        <v>0</v>
      </c>
      <c r="DB8" s="21">
        <f t="shared" si="3"/>
        <v>0</v>
      </c>
      <c r="DC8" s="21">
        <f t="shared" si="3"/>
        <v>0</v>
      </c>
      <c r="DD8" s="21">
        <f t="shared" si="3"/>
        <v>0</v>
      </c>
      <c r="DE8" s="21">
        <f t="shared" si="3"/>
        <v>0</v>
      </c>
      <c r="DF8" s="21">
        <f t="shared" si="3"/>
        <v>0</v>
      </c>
      <c r="DG8" s="21">
        <f t="shared" si="3"/>
        <v>0</v>
      </c>
      <c r="DH8" s="21">
        <f t="shared" si="3"/>
        <v>0</v>
      </c>
      <c r="DI8" s="21">
        <f t="shared" si="3"/>
        <v>0</v>
      </c>
      <c r="DJ8" s="21">
        <f t="shared" si="3"/>
        <v>0</v>
      </c>
      <c r="DK8" s="21">
        <f t="shared" si="3"/>
        <v>0</v>
      </c>
      <c r="DL8" s="21">
        <f t="shared" si="3"/>
        <v>0</v>
      </c>
      <c r="DM8" s="21">
        <f t="shared" si="3"/>
        <v>0</v>
      </c>
      <c r="DN8" s="21">
        <f t="shared" si="3"/>
        <v>0</v>
      </c>
      <c r="DO8" s="21">
        <f t="shared" si="4"/>
        <v>0</v>
      </c>
      <c r="DP8" s="21">
        <f t="shared" si="4"/>
        <v>0</v>
      </c>
      <c r="DQ8" s="21">
        <f t="shared" si="4"/>
        <v>0</v>
      </c>
      <c r="DR8" s="21">
        <f t="shared" si="4"/>
        <v>0</v>
      </c>
      <c r="DS8" s="21">
        <f t="shared" si="4"/>
        <v>0</v>
      </c>
      <c r="DT8" s="21">
        <f t="shared" si="4"/>
        <v>0</v>
      </c>
      <c r="DU8" s="21">
        <f t="shared" si="4"/>
        <v>0</v>
      </c>
      <c r="DV8" s="21">
        <f t="shared" si="4"/>
        <v>0</v>
      </c>
      <c r="DW8" s="21">
        <f t="shared" si="4"/>
        <v>0</v>
      </c>
      <c r="DX8" s="21">
        <f t="shared" si="4"/>
        <v>0</v>
      </c>
      <c r="DY8" s="21">
        <f t="shared" si="4"/>
        <v>0</v>
      </c>
      <c r="DZ8" s="21">
        <f t="shared" si="4"/>
        <v>0</v>
      </c>
      <c r="EA8" s="21">
        <f t="shared" si="4"/>
        <v>0</v>
      </c>
      <c r="EB8" s="21">
        <f t="shared" si="4"/>
        <v>0</v>
      </c>
      <c r="EC8" s="21">
        <f t="shared" si="4"/>
        <v>0</v>
      </c>
      <c r="ED8" s="21">
        <f t="shared" si="4"/>
        <v>0</v>
      </c>
      <c r="EE8" s="21">
        <f t="shared" si="4"/>
        <v>0</v>
      </c>
      <c r="EF8" s="21">
        <f t="shared" si="4"/>
        <v>0</v>
      </c>
      <c r="EG8" s="21">
        <f t="shared" si="4"/>
        <v>0</v>
      </c>
      <c r="EH8" s="21">
        <f t="shared" si="4"/>
        <v>0</v>
      </c>
      <c r="EI8" s="21">
        <f t="shared" si="4"/>
        <v>0</v>
      </c>
      <c r="EJ8" s="21">
        <f t="shared" si="4"/>
        <v>0</v>
      </c>
      <c r="EK8" s="21">
        <f t="shared" si="4"/>
        <v>0</v>
      </c>
      <c r="EL8" s="21">
        <f t="shared" si="4"/>
        <v>0</v>
      </c>
    </row>
    <row r="9" spans="2:142" x14ac:dyDescent="0.45">
      <c r="B9" s="1" t="s">
        <v>376</v>
      </c>
      <c r="D9" s="400"/>
      <c r="E9" s="9">
        <v>10000</v>
      </c>
      <c r="G9" s="13">
        <v>0</v>
      </c>
      <c r="H9" s="13">
        <v>0</v>
      </c>
      <c r="I9" s="21"/>
      <c r="J9" s="21">
        <f t="shared" si="5"/>
        <v>10000</v>
      </c>
      <c r="K9" s="21">
        <f t="shared" si="0"/>
        <v>0</v>
      </c>
      <c r="L9" s="21">
        <f t="shared" si="0"/>
        <v>0</v>
      </c>
      <c r="M9" s="21">
        <f t="shared" si="0"/>
        <v>0</v>
      </c>
      <c r="N9" s="21">
        <f t="shared" si="0"/>
        <v>0</v>
      </c>
      <c r="O9" s="21">
        <f t="shared" si="0"/>
        <v>0</v>
      </c>
      <c r="P9" s="21">
        <f t="shared" si="0"/>
        <v>0</v>
      </c>
      <c r="Q9" s="21">
        <f t="shared" si="0"/>
        <v>0</v>
      </c>
      <c r="R9" s="21">
        <f t="shared" si="0"/>
        <v>0</v>
      </c>
      <c r="S9" s="21">
        <f t="shared" si="0"/>
        <v>0</v>
      </c>
      <c r="T9" s="21">
        <f t="shared" si="0"/>
        <v>0</v>
      </c>
      <c r="U9" s="21">
        <f t="shared" si="0"/>
        <v>0</v>
      </c>
      <c r="V9" s="21">
        <f t="shared" si="0"/>
        <v>0</v>
      </c>
      <c r="W9" s="21">
        <f t="shared" si="0"/>
        <v>0</v>
      </c>
      <c r="X9" s="21">
        <f t="shared" si="0"/>
        <v>0</v>
      </c>
      <c r="Y9" s="21">
        <f t="shared" si="0"/>
        <v>0</v>
      </c>
      <c r="Z9" s="21">
        <f t="shared" si="0"/>
        <v>0</v>
      </c>
      <c r="AA9" s="21">
        <f t="shared" si="1"/>
        <v>0</v>
      </c>
      <c r="AB9" s="21">
        <f t="shared" si="1"/>
        <v>0</v>
      </c>
      <c r="AC9" s="21">
        <f t="shared" si="1"/>
        <v>0</v>
      </c>
      <c r="AD9" s="21">
        <f t="shared" si="1"/>
        <v>0</v>
      </c>
      <c r="AE9" s="21">
        <f t="shared" si="1"/>
        <v>0</v>
      </c>
      <c r="AF9" s="21">
        <f t="shared" si="1"/>
        <v>0</v>
      </c>
      <c r="AG9" s="21">
        <f t="shared" si="1"/>
        <v>0</v>
      </c>
      <c r="AH9" s="21">
        <f t="shared" si="1"/>
        <v>0</v>
      </c>
      <c r="AI9" s="21">
        <f t="shared" si="1"/>
        <v>0</v>
      </c>
      <c r="AJ9" s="21">
        <f t="shared" si="1"/>
        <v>0</v>
      </c>
      <c r="AK9" s="21">
        <f t="shared" si="6"/>
        <v>0</v>
      </c>
      <c r="AL9" s="21">
        <f t="shared" si="6"/>
        <v>0</v>
      </c>
      <c r="AM9" s="21">
        <f t="shared" si="6"/>
        <v>0</v>
      </c>
      <c r="AN9" s="21">
        <f t="shared" si="6"/>
        <v>0</v>
      </c>
      <c r="AO9" s="21">
        <f t="shared" si="6"/>
        <v>0</v>
      </c>
      <c r="AP9" s="21">
        <f t="shared" si="6"/>
        <v>0</v>
      </c>
      <c r="AQ9" s="21">
        <f t="shared" si="6"/>
        <v>0</v>
      </c>
      <c r="AR9" s="21">
        <f t="shared" si="6"/>
        <v>0</v>
      </c>
      <c r="AS9" s="21">
        <f t="shared" si="6"/>
        <v>0</v>
      </c>
      <c r="AT9" s="21">
        <f t="shared" si="6"/>
        <v>0</v>
      </c>
      <c r="AU9" s="21">
        <f t="shared" si="6"/>
        <v>0</v>
      </c>
      <c r="AV9" s="21">
        <f t="shared" si="6"/>
        <v>0</v>
      </c>
      <c r="AW9" s="21">
        <f t="shared" si="6"/>
        <v>0</v>
      </c>
      <c r="AX9" s="21">
        <f t="shared" si="6"/>
        <v>0</v>
      </c>
      <c r="AY9" s="21">
        <f t="shared" si="6"/>
        <v>0</v>
      </c>
      <c r="AZ9" s="21">
        <f t="shared" si="6"/>
        <v>0</v>
      </c>
      <c r="BA9" s="21">
        <f t="shared" si="2"/>
        <v>0</v>
      </c>
      <c r="BB9" s="21">
        <f t="shared" si="2"/>
        <v>0</v>
      </c>
      <c r="BC9" s="21">
        <f t="shared" si="2"/>
        <v>0</v>
      </c>
      <c r="BD9" s="21">
        <f t="shared" si="2"/>
        <v>0</v>
      </c>
      <c r="BE9" s="21">
        <f t="shared" si="2"/>
        <v>0</v>
      </c>
      <c r="BF9" s="21">
        <f t="shared" si="2"/>
        <v>0</v>
      </c>
      <c r="BG9" s="21">
        <f t="shared" si="2"/>
        <v>0</v>
      </c>
      <c r="BH9" s="21">
        <f t="shared" si="2"/>
        <v>0</v>
      </c>
      <c r="BI9" s="21">
        <f t="shared" si="2"/>
        <v>0</v>
      </c>
      <c r="BJ9" s="21">
        <f t="shared" si="2"/>
        <v>0</v>
      </c>
      <c r="BK9" s="21">
        <f t="shared" si="2"/>
        <v>0</v>
      </c>
      <c r="BL9" s="21">
        <f t="shared" si="2"/>
        <v>0</v>
      </c>
      <c r="BM9" s="21">
        <f t="shared" si="2"/>
        <v>0</v>
      </c>
      <c r="BN9" s="21">
        <f t="shared" si="2"/>
        <v>0</v>
      </c>
      <c r="BO9" s="21">
        <f t="shared" si="2"/>
        <v>0</v>
      </c>
      <c r="BP9" s="21">
        <f t="shared" si="2"/>
        <v>0</v>
      </c>
      <c r="BQ9" s="21">
        <f t="shared" si="2"/>
        <v>0</v>
      </c>
      <c r="BR9" s="21">
        <f t="shared" si="2"/>
        <v>0</v>
      </c>
      <c r="BS9" s="21">
        <f t="shared" si="2"/>
        <v>0</v>
      </c>
      <c r="BT9" s="21">
        <f t="shared" si="2"/>
        <v>0</v>
      </c>
      <c r="BU9" s="21">
        <f t="shared" si="2"/>
        <v>0</v>
      </c>
      <c r="BV9" s="21">
        <f t="shared" si="2"/>
        <v>0</v>
      </c>
      <c r="BW9" s="21">
        <f t="shared" si="2"/>
        <v>0</v>
      </c>
      <c r="BX9" s="21">
        <f t="shared" si="2"/>
        <v>0</v>
      </c>
      <c r="BY9" s="21">
        <f t="shared" si="2"/>
        <v>0</v>
      </c>
      <c r="BZ9" s="21">
        <f t="shared" si="2"/>
        <v>0</v>
      </c>
      <c r="CA9" s="21">
        <f t="shared" si="2"/>
        <v>0</v>
      </c>
      <c r="CB9" s="21">
        <f t="shared" si="2"/>
        <v>0</v>
      </c>
      <c r="CC9" s="21">
        <f t="shared" si="2"/>
        <v>0</v>
      </c>
      <c r="CD9" s="21">
        <f t="shared" si="3"/>
        <v>0</v>
      </c>
      <c r="CE9" s="21">
        <f t="shared" si="3"/>
        <v>0</v>
      </c>
      <c r="CF9" s="21">
        <f t="shared" si="3"/>
        <v>0</v>
      </c>
      <c r="CG9" s="21">
        <f t="shared" si="3"/>
        <v>0</v>
      </c>
      <c r="CH9" s="21">
        <f t="shared" si="3"/>
        <v>0</v>
      </c>
      <c r="CI9" s="21">
        <f t="shared" si="3"/>
        <v>0</v>
      </c>
      <c r="CJ9" s="21">
        <f t="shared" si="3"/>
        <v>0</v>
      </c>
      <c r="CK9" s="21">
        <f t="shared" si="3"/>
        <v>0</v>
      </c>
      <c r="CL9" s="21">
        <f t="shared" si="3"/>
        <v>0</v>
      </c>
      <c r="CM9" s="21">
        <f t="shared" si="3"/>
        <v>0</v>
      </c>
      <c r="CN9" s="21">
        <f t="shared" si="3"/>
        <v>0</v>
      </c>
      <c r="CO9" s="21">
        <f t="shared" si="3"/>
        <v>0</v>
      </c>
      <c r="CP9" s="21">
        <f t="shared" si="3"/>
        <v>0</v>
      </c>
      <c r="CQ9" s="21">
        <f t="shared" si="3"/>
        <v>0</v>
      </c>
      <c r="CR9" s="21">
        <f t="shared" si="3"/>
        <v>0</v>
      </c>
      <c r="CS9" s="21">
        <f t="shared" si="3"/>
        <v>0</v>
      </c>
      <c r="CT9" s="21">
        <f t="shared" si="3"/>
        <v>0</v>
      </c>
      <c r="CU9" s="21">
        <f t="shared" si="3"/>
        <v>0</v>
      </c>
      <c r="CV9" s="21">
        <f t="shared" si="3"/>
        <v>0</v>
      </c>
      <c r="CW9" s="21">
        <f t="shared" si="3"/>
        <v>0</v>
      </c>
      <c r="CX9" s="21">
        <f t="shared" si="3"/>
        <v>0</v>
      </c>
      <c r="CY9" s="21">
        <f t="shared" si="3"/>
        <v>0</v>
      </c>
      <c r="CZ9" s="21">
        <f t="shared" si="3"/>
        <v>0</v>
      </c>
      <c r="DA9" s="21">
        <f t="shared" si="3"/>
        <v>0</v>
      </c>
      <c r="DB9" s="21">
        <f t="shared" si="3"/>
        <v>0</v>
      </c>
      <c r="DC9" s="21">
        <f t="shared" si="3"/>
        <v>0</v>
      </c>
      <c r="DD9" s="21">
        <f t="shared" si="3"/>
        <v>0</v>
      </c>
      <c r="DE9" s="21">
        <f t="shared" si="3"/>
        <v>0</v>
      </c>
      <c r="DF9" s="21">
        <f t="shared" si="3"/>
        <v>0</v>
      </c>
      <c r="DG9" s="21">
        <f t="shared" si="3"/>
        <v>0</v>
      </c>
      <c r="DH9" s="21">
        <f t="shared" si="3"/>
        <v>0</v>
      </c>
      <c r="DI9" s="21">
        <f t="shared" si="3"/>
        <v>0</v>
      </c>
      <c r="DJ9" s="21">
        <f t="shared" si="3"/>
        <v>0</v>
      </c>
      <c r="DK9" s="21">
        <f t="shared" si="3"/>
        <v>0</v>
      </c>
      <c r="DL9" s="21">
        <f t="shared" si="3"/>
        <v>0</v>
      </c>
      <c r="DM9" s="21">
        <f t="shared" si="3"/>
        <v>0</v>
      </c>
      <c r="DN9" s="21">
        <f t="shared" si="3"/>
        <v>0</v>
      </c>
      <c r="DO9" s="21">
        <f t="shared" si="4"/>
        <v>0</v>
      </c>
      <c r="DP9" s="21">
        <f t="shared" si="4"/>
        <v>0</v>
      </c>
      <c r="DQ9" s="21">
        <f t="shared" si="4"/>
        <v>0</v>
      </c>
      <c r="DR9" s="21">
        <f t="shared" si="4"/>
        <v>0</v>
      </c>
      <c r="DS9" s="21">
        <f t="shared" si="4"/>
        <v>0</v>
      </c>
      <c r="DT9" s="21">
        <f t="shared" si="4"/>
        <v>0</v>
      </c>
      <c r="DU9" s="21">
        <f t="shared" si="4"/>
        <v>0</v>
      </c>
      <c r="DV9" s="21">
        <f t="shared" si="4"/>
        <v>0</v>
      </c>
      <c r="DW9" s="21">
        <f t="shared" si="4"/>
        <v>0</v>
      </c>
      <c r="DX9" s="21">
        <f t="shared" si="4"/>
        <v>0</v>
      </c>
      <c r="DY9" s="21">
        <f t="shared" si="4"/>
        <v>0</v>
      </c>
      <c r="DZ9" s="21">
        <f t="shared" si="4"/>
        <v>0</v>
      </c>
      <c r="EA9" s="21">
        <f t="shared" si="4"/>
        <v>0</v>
      </c>
      <c r="EB9" s="21">
        <f t="shared" si="4"/>
        <v>0</v>
      </c>
      <c r="EC9" s="21">
        <f t="shared" si="4"/>
        <v>0</v>
      </c>
      <c r="ED9" s="21">
        <f t="shared" si="4"/>
        <v>0</v>
      </c>
      <c r="EE9" s="21">
        <f t="shared" si="4"/>
        <v>0</v>
      </c>
      <c r="EF9" s="21">
        <f t="shared" si="4"/>
        <v>0</v>
      </c>
      <c r="EG9" s="21">
        <f t="shared" si="4"/>
        <v>0</v>
      </c>
      <c r="EH9" s="21">
        <f t="shared" si="4"/>
        <v>0</v>
      </c>
      <c r="EI9" s="21">
        <f t="shared" si="4"/>
        <v>0</v>
      </c>
      <c r="EJ9" s="21">
        <f t="shared" si="4"/>
        <v>0</v>
      </c>
      <c r="EK9" s="21">
        <f t="shared" si="4"/>
        <v>0</v>
      </c>
      <c r="EL9" s="21">
        <f t="shared" si="4"/>
        <v>0</v>
      </c>
    </row>
    <row r="10" spans="2:142" x14ac:dyDescent="0.45">
      <c r="B10" s="1" t="s">
        <v>357</v>
      </c>
      <c r="D10" s="400"/>
      <c r="E10" s="9">
        <v>20000</v>
      </c>
      <c r="G10" s="13">
        <v>10</v>
      </c>
      <c r="H10" s="13">
        <v>10</v>
      </c>
      <c r="I10" s="21"/>
      <c r="J10" s="21">
        <f t="shared" si="5"/>
        <v>0</v>
      </c>
      <c r="K10" s="21">
        <f t="shared" si="0"/>
        <v>0</v>
      </c>
      <c r="L10" s="21">
        <f t="shared" si="0"/>
        <v>0</v>
      </c>
      <c r="M10" s="21">
        <f t="shared" si="0"/>
        <v>0</v>
      </c>
      <c r="N10" s="21">
        <f t="shared" si="0"/>
        <v>0</v>
      </c>
      <c r="O10" s="21">
        <f t="shared" si="0"/>
        <v>0</v>
      </c>
      <c r="P10" s="21">
        <f t="shared" si="0"/>
        <v>0</v>
      </c>
      <c r="Q10" s="21">
        <f t="shared" si="0"/>
        <v>0</v>
      </c>
      <c r="R10" s="21">
        <f t="shared" si="0"/>
        <v>0</v>
      </c>
      <c r="S10" s="21">
        <f t="shared" si="0"/>
        <v>0</v>
      </c>
      <c r="T10" s="21">
        <f t="shared" si="0"/>
        <v>20000</v>
      </c>
      <c r="U10" s="21">
        <f t="shared" si="0"/>
        <v>0</v>
      </c>
      <c r="V10" s="21">
        <f t="shared" si="0"/>
        <v>0</v>
      </c>
      <c r="W10" s="21">
        <f t="shared" si="0"/>
        <v>0</v>
      </c>
      <c r="X10" s="21">
        <f t="shared" si="0"/>
        <v>0</v>
      </c>
      <c r="Y10" s="21">
        <f t="shared" si="0"/>
        <v>0</v>
      </c>
      <c r="Z10" s="21">
        <f t="shared" si="0"/>
        <v>0</v>
      </c>
      <c r="AA10" s="21">
        <f t="shared" si="1"/>
        <v>0</v>
      </c>
      <c r="AB10" s="21">
        <f t="shared" si="1"/>
        <v>0</v>
      </c>
      <c r="AC10" s="21">
        <f t="shared" si="1"/>
        <v>0</v>
      </c>
      <c r="AD10" s="21">
        <f t="shared" si="1"/>
        <v>0</v>
      </c>
      <c r="AE10" s="21">
        <f t="shared" si="1"/>
        <v>0</v>
      </c>
      <c r="AF10" s="21">
        <f t="shared" si="1"/>
        <v>0</v>
      </c>
      <c r="AG10" s="21">
        <f t="shared" si="1"/>
        <v>0</v>
      </c>
      <c r="AH10" s="21">
        <f t="shared" si="1"/>
        <v>0</v>
      </c>
      <c r="AI10" s="21">
        <f t="shared" si="1"/>
        <v>0</v>
      </c>
      <c r="AJ10" s="21">
        <f t="shared" si="1"/>
        <v>0</v>
      </c>
      <c r="AK10" s="21">
        <f t="shared" si="1"/>
        <v>0</v>
      </c>
      <c r="AL10" s="21">
        <f t="shared" si="1"/>
        <v>0</v>
      </c>
      <c r="AM10" s="21">
        <f t="shared" si="1"/>
        <v>0</v>
      </c>
      <c r="AN10" s="21">
        <f t="shared" si="1"/>
        <v>0</v>
      </c>
      <c r="AO10" s="21">
        <f t="shared" si="1"/>
        <v>0</v>
      </c>
      <c r="AP10" s="21">
        <f t="shared" si="1"/>
        <v>0</v>
      </c>
      <c r="AQ10" s="21">
        <f t="shared" si="1"/>
        <v>0</v>
      </c>
      <c r="AR10" s="21">
        <f t="shared" si="1"/>
        <v>0</v>
      </c>
      <c r="AS10" s="21">
        <f t="shared" si="1"/>
        <v>0</v>
      </c>
      <c r="AT10" s="21">
        <f t="shared" si="1"/>
        <v>0</v>
      </c>
      <c r="AU10" s="21">
        <f t="shared" si="1"/>
        <v>0</v>
      </c>
      <c r="AV10" s="21">
        <f t="shared" ref="AV10:CA10" si="7">IF(AND($G10=AV$4,$H10=AV$4),$E10,IF($G10&gt;AV$4,0,IF($H10&lt;AV$4,0,$E10/($H10-$G10+1))))</f>
        <v>0</v>
      </c>
      <c r="AW10" s="21">
        <f t="shared" si="7"/>
        <v>0</v>
      </c>
      <c r="AX10" s="21">
        <f t="shared" si="7"/>
        <v>0</v>
      </c>
      <c r="AY10" s="21">
        <f t="shared" si="7"/>
        <v>0</v>
      </c>
      <c r="AZ10" s="21">
        <f t="shared" si="7"/>
        <v>0</v>
      </c>
      <c r="BA10" s="21">
        <f t="shared" si="7"/>
        <v>0</v>
      </c>
      <c r="BB10" s="21">
        <f t="shared" si="7"/>
        <v>0</v>
      </c>
      <c r="BC10" s="21">
        <f t="shared" si="7"/>
        <v>0</v>
      </c>
      <c r="BD10" s="21">
        <f t="shared" si="7"/>
        <v>0</v>
      </c>
      <c r="BE10" s="21">
        <f t="shared" si="7"/>
        <v>0</v>
      </c>
      <c r="BF10" s="21">
        <f t="shared" si="7"/>
        <v>0</v>
      </c>
      <c r="BG10" s="21">
        <f t="shared" si="7"/>
        <v>0</v>
      </c>
      <c r="BH10" s="21">
        <f t="shared" si="7"/>
        <v>0</v>
      </c>
      <c r="BI10" s="21">
        <f t="shared" si="7"/>
        <v>0</v>
      </c>
      <c r="BJ10" s="21">
        <f t="shared" si="7"/>
        <v>0</v>
      </c>
      <c r="BK10" s="21">
        <f t="shared" si="7"/>
        <v>0</v>
      </c>
      <c r="BL10" s="21">
        <f t="shared" si="7"/>
        <v>0</v>
      </c>
      <c r="BM10" s="21">
        <f t="shared" si="7"/>
        <v>0</v>
      </c>
      <c r="BN10" s="21">
        <f t="shared" si="7"/>
        <v>0</v>
      </c>
      <c r="BO10" s="21">
        <f t="shared" si="7"/>
        <v>0</v>
      </c>
      <c r="BP10" s="21">
        <f t="shared" si="7"/>
        <v>0</v>
      </c>
      <c r="BQ10" s="21">
        <f t="shared" si="7"/>
        <v>0</v>
      </c>
      <c r="BR10" s="21">
        <f t="shared" si="7"/>
        <v>0</v>
      </c>
      <c r="BS10" s="21">
        <f t="shared" si="7"/>
        <v>0</v>
      </c>
      <c r="BT10" s="21">
        <f t="shared" si="7"/>
        <v>0</v>
      </c>
      <c r="BU10" s="21">
        <f t="shared" si="7"/>
        <v>0</v>
      </c>
      <c r="BV10" s="21">
        <f t="shared" si="7"/>
        <v>0</v>
      </c>
      <c r="BW10" s="21">
        <f t="shared" si="7"/>
        <v>0</v>
      </c>
      <c r="BX10" s="21">
        <f t="shared" si="7"/>
        <v>0</v>
      </c>
      <c r="BY10" s="21">
        <f t="shared" si="7"/>
        <v>0</v>
      </c>
      <c r="BZ10" s="21">
        <f t="shared" si="7"/>
        <v>0</v>
      </c>
      <c r="CA10" s="21">
        <f t="shared" si="7"/>
        <v>0</v>
      </c>
      <c r="CB10" s="21">
        <f t="shared" ref="CB10:DG10" si="8">IF(AND($G10=CB$4,$H10=CB$4),$E10,IF($G10&gt;CB$4,0,IF($H10&lt;CB$4,0,$E10/($H10-$G10+1))))</f>
        <v>0</v>
      </c>
      <c r="CC10" s="21">
        <f t="shared" si="8"/>
        <v>0</v>
      </c>
      <c r="CD10" s="21">
        <f t="shared" si="8"/>
        <v>0</v>
      </c>
      <c r="CE10" s="21">
        <f t="shared" si="8"/>
        <v>0</v>
      </c>
      <c r="CF10" s="21">
        <f t="shared" si="8"/>
        <v>0</v>
      </c>
      <c r="CG10" s="21">
        <f t="shared" si="8"/>
        <v>0</v>
      </c>
      <c r="CH10" s="21">
        <f t="shared" si="8"/>
        <v>0</v>
      </c>
      <c r="CI10" s="21">
        <f t="shared" si="8"/>
        <v>0</v>
      </c>
      <c r="CJ10" s="21">
        <f t="shared" si="8"/>
        <v>0</v>
      </c>
      <c r="CK10" s="21">
        <f t="shared" si="8"/>
        <v>0</v>
      </c>
      <c r="CL10" s="21">
        <f t="shared" si="8"/>
        <v>0</v>
      </c>
      <c r="CM10" s="21">
        <f t="shared" si="8"/>
        <v>0</v>
      </c>
      <c r="CN10" s="21">
        <f t="shared" si="8"/>
        <v>0</v>
      </c>
      <c r="CO10" s="21">
        <f t="shared" si="8"/>
        <v>0</v>
      </c>
      <c r="CP10" s="21">
        <f t="shared" si="8"/>
        <v>0</v>
      </c>
      <c r="CQ10" s="21">
        <f t="shared" si="8"/>
        <v>0</v>
      </c>
      <c r="CR10" s="21">
        <f t="shared" si="8"/>
        <v>0</v>
      </c>
      <c r="CS10" s="21">
        <f t="shared" si="8"/>
        <v>0</v>
      </c>
      <c r="CT10" s="21">
        <f t="shared" si="8"/>
        <v>0</v>
      </c>
      <c r="CU10" s="21">
        <f t="shared" si="8"/>
        <v>0</v>
      </c>
      <c r="CV10" s="21">
        <f t="shared" si="8"/>
        <v>0</v>
      </c>
      <c r="CW10" s="21">
        <f t="shared" si="8"/>
        <v>0</v>
      </c>
      <c r="CX10" s="21">
        <f t="shared" si="8"/>
        <v>0</v>
      </c>
      <c r="CY10" s="21">
        <f t="shared" si="8"/>
        <v>0</v>
      </c>
      <c r="CZ10" s="21">
        <f t="shared" si="8"/>
        <v>0</v>
      </c>
      <c r="DA10" s="21">
        <f t="shared" si="8"/>
        <v>0</v>
      </c>
      <c r="DB10" s="21">
        <f t="shared" si="8"/>
        <v>0</v>
      </c>
      <c r="DC10" s="21">
        <f t="shared" si="8"/>
        <v>0</v>
      </c>
      <c r="DD10" s="21">
        <f t="shared" si="8"/>
        <v>0</v>
      </c>
      <c r="DE10" s="21">
        <f t="shared" si="8"/>
        <v>0</v>
      </c>
      <c r="DF10" s="21">
        <f t="shared" si="8"/>
        <v>0</v>
      </c>
      <c r="DG10" s="21">
        <f t="shared" si="8"/>
        <v>0</v>
      </c>
      <c r="DH10" s="21">
        <f t="shared" ref="DH10:EK10" si="9">IF(AND($G10=DH$4,$H10=DH$4),$E10,IF($G10&gt;DH$4,0,IF($H10&lt;DH$4,0,$E10/($H10-$G10+1))))</f>
        <v>0</v>
      </c>
      <c r="DI10" s="21">
        <f t="shared" si="9"/>
        <v>0</v>
      </c>
      <c r="DJ10" s="21">
        <f t="shared" si="9"/>
        <v>0</v>
      </c>
      <c r="DK10" s="21">
        <f t="shared" si="9"/>
        <v>0</v>
      </c>
      <c r="DL10" s="21">
        <f t="shared" si="9"/>
        <v>0</v>
      </c>
      <c r="DM10" s="21">
        <f t="shared" si="9"/>
        <v>0</v>
      </c>
      <c r="DN10" s="21">
        <f t="shared" si="9"/>
        <v>0</v>
      </c>
      <c r="DO10" s="21">
        <f t="shared" si="9"/>
        <v>0</v>
      </c>
      <c r="DP10" s="21">
        <f t="shared" si="9"/>
        <v>0</v>
      </c>
      <c r="DQ10" s="21">
        <f t="shared" si="9"/>
        <v>0</v>
      </c>
      <c r="DR10" s="21">
        <f t="shared" si="9"/>
        <v>0</v>
      </c>
      <c r="DS10" s="21">
        <f t="shared" si="9"/>
        <v>0</v>
      </c>
      <c r="DT10" s="21">
        <f t="shared" si="9"/>
        <v>0</v>
      </c>
      <c r="DU10" s="21">
        <f t="shared" si="9"/>
        <v>0</v>
      </c>
      <c r="DV10" s="21">
        <f t="shared" si="9"/>
        <v>0</v>
      </c>
      <c r="DW10" s="21">
        <f t="shared" si="9"/>
        <v>0</v>
      </c>
      <c r="DX10" s="21">
        <f t="shared" si="9"/>
        <v>0</v>
      </c>
      <c r="DY10" s="21">
        <f t="shared" si="9"/>
        <v>0</v>
      </c>
      <c r="DZ10" s="21">
        <f t="shared" si="9"/>
        <v>0</v>
      </c>
      <c r="EA10" s="21">
        <f t="shared" si="9"/>
        <v>0</v>
      </c>
      <c r="EB10" s="21">
        <f t="shared" si="9"/>
        <v>0</v>
      </c>
      <c r="EC10" s="21">
        <f t="shared" si="9"/>
        <v>0</v>
      </c>
      <c r="ED10" s="21">
        <f t="shared" si="9"/>
        <v>0</v>
      </c>
      <c r="EE10" s="21">
        <f t="shared" si="9"/>
        <v>0</v>
      </c>
      <c r="EF10" s="21">
        <f t="shared" si="9"/>
        <v>0</v>
      </c>
      <c r="EG10" s="21">
        <f t="shared" si="9"/>
        <v>0</v>
      </c>
      <c r="EH10" s="21">
        <f t="shared" si="9"/>
        <v>0</v>
      </c>
      <c r="EI10" s="21">
        <f t="shared" si="9"/>
        <v>0</v>
      </c>
      <c r="EJ10" s="21">
        <f t="shared" si="9"/>
        <v>0</v>
      </c>
      <c r="EK10" s="21">
        <f t="shared" si="9"/>
        <v>0</v>
      </c>
      <c r="EL10" s="21">
        <f t="shared" si="4"/>
        <v>0</v>
      </c>
    </row>
    <row r="11" spans="2:142" x14ac:dyDescent="0.45">
      <c r="B11" s="1" t="s">
        <v>356</v>
      </c>
      <c r="D11" s="400"/>
      <c r="E11" s="9">
        <v>30000</v>
      </c>
      <c r="G11" s="13">
        <v>5</v>
      </c>
      <c r="H11" s="13">
        <v>5</v>
      </c>
      <c r="I11" s="21"/>
      <c r="J11" s="21">
        <f t="shared" si="5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21">
        <f t="shared" si="0"/>
        <v>30000</v>
      </c>
      <c r="P11" s="21">
        <f t="shared" si="0"/>
        <v>0</v>
      </c>
      <c r="Q11" s="21">
        <f t="shared" si="0"/>
        <v>0</v>
      </c>
      <c r="R11" s="21">
        <f t="shared" si="0"/>
        <v>0</v>
      </c>
      <c r="S11" s="21">
        <f t="shared" si="0"/>
        <v>0</v>
      </c>
      <c r="T11" s="21">
        <f t="shared" si="0"/>
        <v>0</v>
      </c>
      <c r="U11" s="21">
        <f t="shared" si="0"/>
        <v>0</v>
      </c>
      <c r="V11" s="21">
        <f t="shared" si="0"/>
        <v>0</v>
      </c>
      <c r="W11" s="21">
        <f t="shared" si="0"/>
        <v>0</v>
      </c>
      <c r="X11" s="21">
        <f t="shared" si="0"/>
        <v>0</v>
      </c>
      <c r="Y11" s="21">
        <f t="shared" si="0"/>
        <v>0</v>
      </c>
      <c r="Z11" s="21">
        <f t="shared" si="0"/>
        <v>0</v>
      </c>
      <c r="AA11" s="21">
        <f t="shared" si="1"/>
        <v>0</v>
      </c>
      <c r="AB11" s="21">
        <f t="shared" si="1"/>
        <v>0</v>
      </c>
      <c r="AC11" s="21">
        <f t="shared" si="1"/>
        <v>0</v>
      </c>
      <c r="AD11" s="21">
        <f t="shared" si="1"/>
        <v>0</v>
      </c>
      <c r="AE11" s="21">
        <f t="shared" si="1"/>
        <v>0</v>
      </c>
      <c r="AF11" s="21">
        <f t="shared" si="1"/>
        <v>0</v>
      </c>
      <c r="AG11" s="21">
        <f t="shared" si="1"/>
        <v>0</v>
      </c>
      <c r="AH11" s="21">
        <f t="shared" si="1"/>
        <v>0</v>
      </c>
      <c r="AI11" s="21">
        <f t="shared" si="1"/>
        <v>0</v>
      </c>
      <c r="AJ11" s="21">
        <f t="shared" si="1"/>
        <v>0</v>
      </c>
      <c r="AK11" s="21">
        <f t="shared" si="1"/>
        <v>0</v>
      </c>
      <c r="AL11" s="21">
        <f t="shared" si="1"/>
        <v>0</v>
      </c>
      <c r="AM11" s="21">
        <f t="shared" si="1"/>
        <v>0</v>
      </c>
      <c r="AN11" s="21">
        <f t="shared" si="1"/>
        <v>0</v>
      </c>
      <c r="AO11" s="21">
        <f t="shared" si="1"/>
        <v>0</v>
      </c>
      <c r="AP11" s="21">
        <f t="shared" si="1"/>
        <v>0</v>
      </c>
      <c r="AQ11" s="21">
        <f t="shared" si="1"/>
        <v>0</v>
      </c>
      <c r="AR11" s="21">
        <f t="shared" si="1"/>
        <v>0</v>
      </c>
      <c r="AS11" s="21">
        <f t="shared" si="1"/>
        <v>0</v>
      </c>
      <c r="AT11" s="21">
        <f t="shared" si="1"/>
        <v>0</v>
      </c>
      <c r="AU11" s="21">
        <f t="shared" si="1"/>
        <v>0</v>
      </c>
      <c r="AV11" s="21">
        <f t="shared" ref="AV11:CA11" si="10">IF(AND($G11=AV$4,$H11=AV$4),$E11,IF($G11&gt;AV$4,0,IF($H11&lt;AV$4,0,$E11/($H11-$G11+1))))</f>
        <v>0</v>
      </c>
      <c r="AW11" s="21">
        <f t="shared" si="10"/>
        <v>0</v>
      </c>
      <c r="AX11" s="21">
        <f t="shared" si="10"/>
        <v>0</v>
      </c>
      <c r="AY11" s="21">
        <f t="shared" si="10"/>
        <v>0</v>
      </c>
      <c r="AZ11" s="21">
        <f t="shared" si="10"/>
        <v>0</v>
      </c>
      <c r="BA11" s="21">
        <f t="shared" si="10"/>
        <v>0</v>
      </c>
      <c r="BB11" s="21">
        <f t="shared" si="10"/>
        <v>0</v>
      </c>
      <c r="BC11" s="21">
        <f t="shared" si="10"/>
        <v>0</v>
      </c>
      <c r="BD11" s="21">
        <f t="shared" si="10"/>
        <v>0</v>
      </c>
      <c r="BE11" s="21">
        <f t="shared" si="10"/>
        <v>0</v>
      </c>
      <c r="BF11" s="21">
        <f t="shared" si="10"/>
        <v>0</v>
      </c>
      <c r="BG11" s="21">
        <f t="shared" si="10"/>
        <v>0</v>
      </c>
      <c r="BH11" s="21">
        <f t="shared" si="10"/>
        <v>0</v>
      </c>
      <c r="BI11" s="21">
        <f t="shared" si="10"/>
        <v>0</v>
      </c>
      <c r="BJ11" s="21">
        <f t="shared" si="10"/>
        <v>0</v>
      </c>
      <c r="BK11" s="21">
        <f t="shared" si="10"/>
        <v>0</v>
      </c>
      <c r="BL11" s="21">
        <f t="shared" si="10"/>
        <v>0</v>
      </c>
      <c r="BM11" s="21">
        <f t="shared" si="10"/>
        <v>0</v>
      </c>
      <c r="BN11" s="21">
        <f t="shared" si="10"/>
        <v>0</v>
      </c>
      <c r="BO11" s="21">
        <f t="shared" si="10"/>
        <v>0</v>
      </c>
      <c r="BP11" s="21">
        <f t="shared" si="10"/>
        <v>0</v>
      </c>
      <c r="BQ11" s="21">
        <f t="shared" si="10"/>
        <v>0</v>
      </c>
      <c r="BR11" s="21">
        <f t="shared" si="10"/>
        <v>0</v>
      </c>
      <c r="BS11" s="21">
        <f t="shared" si="10"/>
        <v>0</v>
      </c>
      <c r="BT11" s="21">
        <f t="shared" si="10"/>
        <v>0</v>
      </c>
      <c r="BU11" s="21">
        <f t="shared" si="10"/>
        <v>0</v>
      </c>
      <c r="BV11" s="21">
        <f t="shared" si="10"/>
        <v>0</v>
      </c>
      <c r="BW11" s="21">
        <f t="shared" si="10"/>
        <v>0</v>
      </c>
      <c r="BX11" s="21">
        <f t="shared" si="10"/>
        <v>0</v>
      </c>
      <c r="BY11" s="21">
        <f t="shared" si="10"/>
        <v>0</v>
      </c>
      <c r="BZ11" s="21">
        <f t="shared" si="10"/>
        <v>0</v>
      </c>
      <c r="CA11" s="21">
        <f t="shared" si="10"/>
        <v>0</v>
      </c>
      <c r="CB11" s="21">
        <f t="shared" ref="CB11:DG11" si="11">IF(AND($G11=CB$4,$H11=CB$4),$E11,IF($G11&gt;CB$4,0,IF($H11&lt;CB$4,0,$E11/($H11-$G11+1))))</f>
        <v>0</v>
      </c>
      <c r="CC11" s="21">
        <f t="shared" si="11"/>
        <v>0</v>
      </c>
      <c r="CD11" s="21">
        <f t="shared" si="11"/>
        <v>0</v>
      </c>
      <c r="CE11" s="21">
        <f t="shared" si="11"/>
        <v>0</v>
      </c>
      <c r="CF11" s="21">
        <f t="shared" si="11"/>
        <v>0</v>
      </c>
      <c r="CG11" s="21">
        <f t="shared" si="11"/>
        <v>0</v>
      </c>
      <c r="CH11" s="21">
        <f t="shared" si="11"/>
        <v>0</v>
      </c>
      <c r="CI11" s="21">
        <f t="shared" si="11"/>
        <v>0</v>
      </c>
      <c r="CJ11" s="21">
        <f t="shared" si="11"/>
        <v>0</v>
      </c>
      <c r="CK11" s="21">
        <f t="shared" si="11"/>
        <v>0</v>
      </c>
      <c r="CL11" s="21">
        <f t="shared" si="11"/>
        <v>0</v>
      </c>
      <c r="CM11" s="21">
        <f t="shared" si="11"/>
        <v>0</v>
      </c>
      <c r="CN11" s="21">
        <f t="shared" si="11"/>
        <v>0</v>
      </c>
      <c r="CO11" s="21">
        <f t="shared" si="11"/>
        <v>0</v>
      </c>
      <c r="CP11" s="21">
        <f t="shared" si="11"/>
        <v>0</v>
      </c>
      <c r="CQ11" s="21">
        <f t="shared" si="11"/>
        <v>0</v>
      </c>
      <c r="CR11" s="21">
        <f t="shared" si="11"/>
        <v>0</v>
      </c>
      <c r="CS11" s="21">
        <f t="shared" si="11"/>
        <v>0</v>
      </c>
      <c r="CT11" s="21">
        <f t="shared" si="11"/>
        <v>0</v>
      </c>
      <c r="CU11" s="21">
        <f t="shared" si="11"/>
        <v>0</v>
      </c>
      <c r="CV11" s="21">
        <f t="shared" si="11"/>
        <v>0</v>
      </c>
      <c r="CW11" s="21">
        <f t="shared" si="11"/>
        <v>0</v>
      </c>
      <c r="CX11" s="21">
        <f t="shared" si="11"/>
        <v>0</v>
      </c>
      <c r="CY11" s="21">
        <f t="shared" si="11"/>
        <v>0</v>
      </c>
      <c r="CZ11" s="21">
        <f t="shared" si="11"/>
        <v>0</v>
      </c>
      <c r="DA11" s="21">
        <f t="shared" si="11"/>
        <v>0</v>
      </c>
      <c r="DB11" s="21">
        <f t="shared" si="11"/>
        <v>0</v>
      </c>
      <c r="DC11" s="21">
        <f t="shared" si="11"/>
        <v>0</v>
      </c>
      <c r="DD11" s="21">
        <f t="shared" si="11"/>
        <v>0</v>
      </c>
      <c r="DE11" s="21">
        <f t="shared" si="11"/>
        <v>0</v>
      </c>
      <c r="DF11" s="21">
        <f t="shared" si="11"/>
        <v>0</v>
      </c>
      <c r="DG11" s="21">
        <f t="shared" si="11"/>
        <v>0</v>
      </c>
      <c r="DH11" s="21">
        <f t="shared" ref="DH11:DY11" si="12">IF(AND($G11=DH$4,$H11=DH$4),$E11,IF($G11&gt;DH$4,0,IF($H11&lt;DH$4,0,$E11/($H11-$G11+1))))</f>
        <v>0</v>
      </c>
      <c r="DI11" s="21">
        <f t="shared" si="12"/>
        <v>0</v>
      </c>
      <c r="DJ11" s="21">
        <f t="shared" si="12"/>
        <v>0</v>
      </c>
      <c r="DK11" s="21">
        <f t="shared" si="12"/>
        <v>0</v>
      </c>
      <c r="DL11" s="21">
        <f t="shared" si="12"/>
        <v>0</v>
      </c>
      <c r="DM11" s="21">
        <f t="shared" si="12"/>
        <v>0</v>
      </c>
      <c r="DN11" s="21">
        <f t="shared" si="12"/>
        <v>0</v>
      </c>
      <c r="DO11" s="21">
        <f t="shared" si="12"/>
        <v>0</v>
      </c>
      <c r="DP11" s="21">
        <f t="shared" si="12"/>
        <v>0</v>
      </c>
      <c r="DQ11" s="21">
        <f t="shared" si="12"/>
        <v>0</v>
      </c>
      <c r="DR11" s="21">
        <f t="shared" si="12"/>
        <v>0</v>
      </c>
      <c r="DS11" s="21">
        <f t="shared" si="12"/>
        <v>0</v>
      </c>
      <c r="DT11" s="21">
        <f t="shared" si="12"/>
        <v>0</v>
      </c>
      <c r="DU11" s="21">
        <f t="shared" si="12"/>
        <v>0</v>
      </c>
      <c r="DV11" s="21">
        <f t="shared" si="12"/>
        <v>0</v>
      </c>
      <c r="DW11" s="21">
        <f t="shared" si="12"/>
        <v>0</v>
      </c>
      <c r="DX11" s="21">
        <f t="shared" si="12"/>
        <v>0</v>
      </c>
      <c r="DY11" s="21">
        <f t="shared" si="12"/>
        <v>0</v>
      </c>
      <c r="DZ11" s="21">
        <f t="shared" si="4"/>
        <v>0</v>
      </c>
      <c r="EA11" s="21">
        <f t="shared" si="4"/>
        <v>0</v>
      </c>
      <c r="EB11" s="21">
        <f t="shared" si="4"/>
        <v>0</v>
      </c>
      <c r="EC11" s="21">
        <f t="shared" si="4"/>
        <v>0</v>
      </c>
      <c r="ED11" s="21">
        <f t="shared" si="4"/>
        <v>0</v>
      </c>
      <c r="EE11" s="21">
        <f t="shared" si="4"/>
        <v>0</v>
      </c>
      <c r="EF11" s="21">
        <f t="shared" si="4"/>
        <v>0</v>
      </c>
      <c r="EG11" s="21">
        <f t="shared" si="4"/>
        <v>0</v>
      </c>
      <c r="EH11" s="21">
        <f t="shared" si="4"/>
        <v>0</v>
      </c>
      <c r="EI11" s="21">
        <f t="shared" si="4"/>
        <v>0</v>
      </c>
      <c r="EJ11" s="21">
        <f t="shared" si="4"/>
        <v>0</v>
      </c>
      <c r="EK11" s="21">
        <f t="shared" si="4"/>
        <v>0</v>
      </c>
      <c r="EL11" s="21">
        <f t="shared" si="4"/>
        <v>0</v>
      </c>
    </row>
    <row r="12" spans="2:142" x14ac:dyDescent="0.45">
      <c r="B12" s="1" t="s">
        <v>375</v>
      </c>
      <c r="D12" s="400"/>
      <c r="E12" s="9">
        <v>10000</v>
      </c>
      <c r="G12" s="13">
        <v>0</v>
      </c>
      <c r="H12" s="13">
        <v>0</v>
      </c>
      <c r="I12" s="21"/>
      <c r="J12" s="21">
        <f t="shared" si="5"/>
        <v>10000</v>
      </c>
      <c r="K12" s="21">
        <f t="shared" si="0"/>
        <v>0</v>
      </c>
      <c r="L12" s="21">
        <f t="shared" si="0"/>
        <v>0</v>
      </c>
      <c r="M12" s="21">
        <f t="shared" si="0"/>
        <v>0</v>
      </c>
      <c r="N12" s="21">
        <f t="shared" si="0"/>
        <v>0</v>
      </c>
      <c r="O12" s="21">
        <f t="shared" si="0"/>
        <v>0</v>
      </c>
      <c r="P12" s="21">
        <f t="shared" si="0"/>
        <v>0</v>
      </c>
      <c r="Q12" s="21">
        <f t="shared" si="0"/>
        <v>0</v>
      </c>
      <c r="R12" s="21">
        <f t="shared" si="0"/>
        <v>0</v>
      </c>
      <c r="S12" s="21">
        <f t="shared" si="0"/>
        <v>0</v>
      </c>
      <c r="T12" s="21">
        <f t="shared" si="0"/>
        <v>0</v>
      </c>
      <c r="U12" s="21">
        <f t="shared" si="0"/>
        <v>0</v>
      </c>
      <c r="V12" s="21">
        <f t="shared" si="0"/>
        <v>0</v>
      </c>
      <c r="W12" s="21">
        <f t="shared" si="0"/>
        <v>0</v>
      </c>
      <c r="X12" s="21">
        <f t="shared" si="0"/>
        <v>0</v>
      </c>
      <c r="Y12" s="21">
        <f t="shared" si="0"/>
        <v>0</v>
      </c>
      <c r="Z12" s="21">
        <f t="shared" si="0"/>
        <v>0</v>
      </c>
      <c r="AA12" s="21">
        <f t="shared" si="1"/>
        <v>0</v>
      </c>
      <c r="AB12" s="21">
        <f t="shared" si="1"/>
        <v>0</v>
      </c>
      <c r="AC12" s="21">
        <f t="shared" si="1"/>
        <v>0</v>
      </c>
      <c r="AD12" s="21">
        <f t="shared" si="1"/>
        <v>0</v>
      </c>
      <c r="AE12" s="21">
        <f t="shared" si="1"/>
        <v>0</v>
      </c>
      <c r="AF12" s="21">
        <f t="shared" si="1"/>
        <v>0</v>
      </c>
      <c r="AG12" s="21">
        <f t="shared" si="1"/>
        <v>0</v>
      </c>
      <c r="AH12" s="21">
        <f t="shared" si="1"/>
        <v>0</v>
      </c>
      <c r="AI12" s="21">
        <f t="shared" si="1"/>
        <v>0</v>
      </c>
      <c r="AJ12" s="21">
        <f t="shared" si="1"/>
        <v>0</v>
      </c>
      <c r="AK12" s="21">
        <f t="shared" si="1"/>
        <v>0</v>
      </c>
      <c r="AL12" s="21">
        <f t="shared" si="1"/>
        <v>0</v>
      </c>
      <c r="AM12" s="21">
        <f t="shared" si="1"/>
        <v>0</v>
      </c>
      <c r="AN12" s="21">
        <f t="shared" si="1"/>
        <v>0</v>
      </c>
      <c r="AO12" s="21">
        <f t="shared" si="1"/>
        <v>0</v>
      </c>
      <c r="AP12" s="21">
        <f t="shared" si="1"/>
        <v>0</v>
      </c>
      <c r="AQ12" s="21">
        <f t="shared" si="1"/>
        <v>0</v>
      </c>
      <c r="AR12" s="21">
        <f t="shared" si="1"/>
        <v>0</v>
      </c>
      <c r="AS12" s="21">
        <f t="shared" si="1"/>
        <v>0</v>
      </c>
      <c r="AT12" s="21">
        <f t="shared" si="1"/>
        <v>0</v>
      </c>
      <c r="AU12" s="21">
        <f t="shared" si="1"/>
        <v>0</v>
      </c>
      <c r="AV12" s="21">
        <f t="shared" ref="AV12:CA12" si="13">IF(AND($G12=AV$4,$H12=AV$4),$E12,IF($G12&gt;AV$4,0,IF($H12&lt;AV$4,0,$E12/($H12-$G12+1))))</f>
        <v>0</v>
      </c>
      <c r="AW12" s="21">
        <f t="shared" si="13"/>
        <v>0</v>
      </c>
      <c r="AX12" s="21">
        <f t="shared" si="13"/>
        <v>0</v>
      </c>
      <c r="AY12" s="21">
        <f t="shared" si="13"/>
        <v>0</v>
      </c>
      <c r="AZ12" s="21">
        <f t="shared" si="13"/>
        <v>0</v>
      </c>
      <c r="BA12" s="21">
        <f t="shared" si="13"/>
        <v>0</v>
      </c>
      <c r="BB12" s="21">
        <f t="shared" si="13"/>
        <v>0</v>
      </c>
      <c r="BC12" s="21">
        <f t="shared" si="13"/>
        <v>0</v>
      </c>
      <c r="BD12" s="21">
        <f t="shared" si="13"/>
        <v>0</v>
      </c>
      <c r="BE12" s="21">
        <f t="shared" si="13"/>
        <v>0</v>
      </c>
      <c r="BF12" s="21">
        <f t="shared" si="13"/>
        <v>0</v>
      </c>
      <c r="BG12" s="21">
        <f t="shared" si="13"/>
        <v>0</v>
      </c>
      <c r="BH12" s="21">
        <f t="shared" si="13"/>
        <v>0</v>
      </c>
      <c r="BI12" s="21">
        <f t="shared" si="13"/>
        <v>0</v>
      </c>
      <c r="BJ12" s="21">
        <f t="shared" si="13"/>
        <v>0</v>
      </c>
      <c r="BK12" s="21">
        <f t="shared" si="13"/>
        <v>0</v>
      </c>
      <c r="BL12" s="21">
        <f t="shared" si="13"/>
        <v>0</v>
      </c>
      <c r="BM12" s="21">
        <f t="shared" si="13"/>
        <v>0</v>
      </c>
      <c r="BN12" s="21">
        <f t="shared" si="13"/>
        <v>0</v>
      </c>
      <c r="BO12" s="21">
        <f t="shared" si="13"/>
        <v>0</v>
      </c>
      <c r="BP12" s="21">
        <f t="shared" si="13"/>
        <v>0</v>
      </c>
      <c r="BQ12" s="21">
        <f t="shared" si="13"/>
        <v>0</v>
      </c>
      <c r="BR12" s="21">
        <f t="shared" si="13"/>
        <v>0</v>
      </c>
      <c r="BS12" s="21">
        <f t="shared" si="13"/>
        <v>0</v>
      </c>
      <c r="BT12" s="21">
        <f t="shared" si="13"/>
        <v>0</v>
      </c>
      <c r="BU12" s="21">
        <f t="shared" si="13"/>
        <v>0</v>
      </c>
      <c r="BV12" s="21">
        <f t="shared" si="13"/>
        <v>0</v>
      </c>
      <c r="BW12" s="21">
        <f t="shared" si="13"/>
        <v>0</v>
      </c>
      <c r="BX12" s="21">
        <f t="shared" si="13"/>
        <v>0</v>
      </c>
      <c r="BY12" s="21">
        <f t="shared" si="13"/>
        <v>0</v>
      </c>
      <c r="BZ12" s="21">
        <f t="shared" si="13"/>
        <v>0</v>
      </c>
      <c r="CA12" s="21">
        <f t="shared" si="13"/>
        <v>0</v>
      </c>
      <c r="CB12" s="21">
        <f t="shared" ref="CB12:DH12" si="14">IF(AND($G12=CB$4,$H12=CB$4),$E12,IF($G12&gt;CB$4,0,IF($H12&lt;CB$4,0,$E12/($H12-$G12+1))))</f>
        <v>0</v>
      </c>
      <c r="CC12" s="21">
        <f t="shared" si="14"/>
        <v>0</v>
      </c>
      <c r="CD12" s="21">
        <f t="shared" si="14"/>
        <v>0</v>
      </c>
      <c r="CE12" s="21">
        <f t="shared" si="14"/>
        <v>0</v>
      </c>
      <c r="CF12" s="21">
        <f t="shared" si="14"/>
        <v>0</v>
      </c>
      <c r="CG12" s="21">
        <f t="shared" si="14"/>
        <v>0</v>
      </c>
      <c r="CH12" s="21">
        <f t="shared" si="14"/>
        <v>0</v>
      </c>
      <c r="CI12" s="21">
        <f t="shared" si="14"/>
        <v>0</v>
      </c>
      <c r="CJ12" s="21">
        <f t="shared" si="14"/>
        <v>0</v>
      </c>
      <c r="CK12" s="21">
        <f t="shared" si="14"/>
        <v>0</v>
      </c>
      <c r="CL12" s="21">
        <f t="shared" si="14"/>
        <v>0</v>
      </c>
      <c r="CM12" s="21">
        <f t="shared" si="14"/>
        <v>0</v>
      </c>
      <c r="CN12" s="21">
        <f t="shared" si="14"/>
        <v>0</v>
      </c>
      <c r="CO12" s="21">
        <f t="shared" si="14"/>
        <v>0</v>
      </c>
      <c r="CP12" s="21">
        <f t="shared" si="14"/>
        <v>0</v>
      </c>
      <c r="CQ12" s="21">
        <f t="shared" si="14"/>
        <v>0</v>
      </c>
      <c r="CR12" s="21">
        <f t="shared" si="14"/>
        <v>0</v>
      </c>
      <c r="CS12" s="21">
        <f t="shared" si="14"/>
        <v>0</v>
      </c>
      <c r="CT12" s="21">
        <f t="shared" si="14"/>
        <v>0</v>
      </c>
      <c r="CU12" s="21">
        <f t="shared" si="14"/>
        <v>0</v>
      </c>
      <c r="CV12" s="21">
        <f t="shared" si="14"/>
        <v>0</v>
      </c>
      <c r="CW12" s="21">
        <f t="shared" si="14"/>
        <v>0</v>
      </c>
      <c r="CX12" s="21">
        <f t="shared" si="14"/>
        <v>0</v>
      </c>
      <c r="CY12" s="21">
        <f t="shared" si="14"/>
        <v>0</v>
      </c>
      <c r="CZ12" s="21">
        <f t="shared" si="14"/>
        <v>0</v>
      </c>
      <c r="DA12" s="21">
        <f t="shared" si="14"/>
        <v>0</v>
      </c>
      <c r="DB12" s="21">
        <f t="shared" si="14"/>
        <v>0</v>
      </c>
      <c r="DC12" s="21">
        <f t="shared" si="14"/>
        <v>0</v>
      </c>
      <c r="DD12" s="21">
        <f t="shared" si="14"/>
        <v>0</v>
      </c>
      <c r="DE12" s="21">
        <f t="shared" si="14"/>
        <v>0</v>
      </c>
      <c r="DF12" s="21">
        <f t="shared" si="14"/>
        <v>0</v>
      </c>
      <c r="DG12" s="21">
        <f t="shared" si="14"/>
        <v>0</v>
      </c>
      <c r="DH12" s="21">
        <f t="shared" si="14"/>
        <v>0</v>
      </c>
      <c r="DI12" s="21">
        <f t="shared" ref="DI12:DX14" si="15">IF(AND($G12=DI$4,$H12=DI$4),$E12,IF($G12&gt;DI$4,0,IF($H12&lt;DI$4,0,$E12/($H12-$G12+1))))</f>
        <v>0</v>
      </c>
      <c r="DJ12" s="21">
        <f t="shared" si="15"/>
        <v>0</v>
      </c>
      <c r="DK12" s="21">
        <f t="shared" si="15"/>
        <v>0</v>
      </c>
      <c r="DL12" s="21">
        <f t="shared" si="15"/>
        <v>0</v>
      </c>
      <c r="DM12" s="21">
        <f t="shared" si="15"/>
        <v>0</v>
      </c>
      <c r="DN12" s="21">
        <f t="shared" si="15"/>
        <v>0</v>
      </c>
      <c r="DO12" s="21">
        <f t="shared" si="15"/>
        <v>0</v>
      </c>
      <c r="DP12" s="21">
        <f t="shared" si="15"/>
        <v>0</v>
      </c>
      <c r="DQ12" s="21">
        <f t="shared" si="15"/>
        <v>0</v>
      </c>
      <c r="DR12" s="21">
        <f t="shared" si="15"/>
        <v>0</v>
      </c>
      <c r="DS12" s="21">
        <f t="shared" si="15"/>
        <v>0</v>
      </c>
      <c r="DT12" s="21">
        <f t="shared" si="15"/>
        <v>0</v>
      </c>
      <c r="DU12" s="21">
        <f t="shared" si="15"/>
        <v>0</v>
      </c>
      <c r="DV12" s="21">
        <f t="shared" si="15"/>
        <v>0</v>
      </c>
      <c r="DW12" s="21">
        <f t="shared" si="15"/>
        <v>0</v>
      </c>
      <c r="DX12" s="21">
        <f t="shared" si="15"/>
        <v>0</v>
      </c>
      <c r="DY12" s="21">
        <f t="shared" ref="DY12:EL14" si="16">IF(AND($G12=DY$4,$H12=DY$4),$E12,IF($G12&gt;DY$4,0,IF($H12&lt;DY$4,0,$E12/($H12-$G12+1))))</f>
        <v>0</v>
      </c>
      <c r="DZ12" s="21">
        <f t="shared" si="16"/>
        <v>0</v>
      </c>
      <c r="EA12" s="21">
        <f t="shared" si="16"/>
        <v>0</v>
      </c>
      <c r="EB12" s="21">
        <f t="shared" si="16"/>
        <v>0</v>
      </c>
      <c r="EC12" s="21">
        <f t="shared" si="16"/>
        <v>0</v>
      </c>
      <c r="ED12" s="21">
        <f t="shared" si="16"/>
        <v>0</v>
      </c>
      <c r="EE12" s="21">
        <f t="shared" si="16"/>
        <v>0</v>
      </c>
      <c r="EF12" s="21">
        <f t="shared" si="16"/>
        <v>0</v>
      </c>
      <c r="EG12" s="21">
        <f t="shared" si="16"/>
        <v>0</v>
      </c>
      <c r="EH12" s="21">
        <f t="shared" si="16"/>
        <v>0</v>
      </c>
      <c r="EI12" s="21">
        <f t="shared" si="16"/>
        <v>0</v>
      </c>
      <c r="EJ12" s="21">
        <f t="shared" si="16"/>
        <v>0</v>
      </c>
      <c r="EK12" s="21">
        <f t="shared" si="16"/>
        <v>0</v>
      </c>
      <c r="EL12" s="21">
        <f t="shared" si="16"/>
        <v>0</v>
      </c>
    </row>
    <row r="13" spans="2:142" x14ac:dyDescent="0.45">
      <c r="B13" s="1" t="s">
        <v>377</v>
      </c>
      <c r="D13" s="400"/>
      <c r="E13" s="9">
        <v>10000</v>
      </c>
      <c r="G13" s="13">
        <v>0</v>
      </c>
      <c r="H13" s="13">
        <v>0</v>
      </c>
      <c r="I13" s="21"/>
      <c r="J13" s="21">
        <f t="shared" si="5"/>
        <v>10000</v>
      </c>
      <c r="K13" s="21">
        <f t="shared" si="0"/>
        <v>0</v>
      </c>
      <c r="L13" s="21">
        <f t="shared" si="0"/>
        <v>0</v>
      </c>
      <c r="M13" s="21">
        <f t="shared" si="0"/>
        <v>0</v>
      </c>
      <c r="N13" s="21">
        <f t="shared" si="0"/>
        <v>0</v>
      </c>
      <c r="O13" s="21">
        <f t="shared" si="0"/>
        <v>0</v>
      </c>
      <c r="P13" s="21">
        <f t="shared" si="0"/>
        <v>0</v>
      </c>
      <c r="Q13" s="21">
        <f t="shared" si="0"/>
        <v>0</v>
      </c>
      <c r="R13" s="21">
        <f t="shared" si="0"/>
        <v>0</v>
      </c>
      <c r="S13" s="21">
        <f t="shared" si="0"/>
        <v>0</v>
      </c>
      <c r="T13" s="21">
        <f t="shared" si="0"/>
        <v>0</v>
      </c>
      <c r="U13" s="21">
        <f t="shared" si="0"/>
        <v>0</v>
      </c>
      <c r="V13" s="21">
        <f t="shared" si="0"/>
        <v>0</v>
      </c>
      <c r="W13" s="21">
        <f t="shared" si="0"/>
        <v>0</v>
      </c>
      <c r="X13" s="21">
        <f t="shared" si="0"/>
        <v>0</v>
      </c>
      <c r="Y13" s="21">
        <f t="shared" si="0"/>
        <v>0</v>
      </c>
      <c r="Z13" s="21">
        <f t="shared" si="0"/>
        <v>0</v>
      </c>
      <c r="AA13" s="21">
        <f t="shared" si="1"/>
        <v>0</v>
      </c>
      <c r="AB13" s="21">
        <f t="shared" si="1"/>
        <v>0</v>
      </c>
      <c r="AC13" s="21">
        <f t="shared" si="1"/>
        <v>0</v>
      </c>
      <c r="AD13" s="21">
        <f t="shared" si="1"/>
        <v>0</v>
      </c>
      <c r="AE13" s="21">
        <f t="shared" si="1"/>
        <v>0</v>
      </c>
      <c r="AF13" s="21">
        <f t="shared" si="1"/>
        <v>0</v>
      </c>
      <c r="AG13" s="21">
        <f t="shared" si="1"/>
        <v>0</v>
      </c>
      <c r="AH13" s="21">
        <f t="shared" si="1"/>
        <v>0</v>
      </c>
      <c r="AI13" s="21">
        <f t="shared" si="1"/>
        <v>0</v>
      </c>
      <c r="AJ13" s="21">
        <f t="shared" si="1"/>
        <v>0</v>
      </c>
      <c r="AK13" s="21">
        <f t="shared" si="1"/>
        <v>0</v>
      </c>
      <c r="AL13" s="21">
        <f t="shared" si="1"/>
        <v>0</v>
      </c>
      <c r="AM13" s="21">
        <f t="shared" si="1"/>
        <v>0</v>
      </c>
      <c r="AN13" s="21">
        <f t="shared" si="1"/>
        <v>0</v>
      </c>
      <c r="AO13" s="21">
        <f t="shared" si="1"/>
        <v>0</v>
      </c>
      <c r="AP13" s="21">
        <f t="shared" si="1"/>
        <v>0</v>
      </c>
      <c r="AQ13" s="21">
        <f t="shared" si="1"/>
        <v>0</v>
      </c>
      <c r="AR13" s="21">
        <f t="shared" si="1"/>
        <v>0</v>
      </c>
      <c r="AS13" s="21">
        <f t="shared" si="1"/>
        <v>0</v>
      </c>
      <c r="AT13" s="21">
        <f t="shared" si="1"/>
        <v>0</v>
      </c>
      <c r="AU13" s="21">
        <f t="shared" si="1"/>
        <v>0</v>
      </c>
      <c r="AV13" s="21">
        <f t="shared" si="1"/>
        <v>0</v>
      </c>
      <c r="AW13" s="21">
        <f t="shared" si="1"/>
        <v>0</v>
      </c>
      <c r="AX13" s="21">
        <f t="shared" si="1"/>
        <v>0</v>
      </c>
      <c r="AY13" s="21">
        <f t="shared" si="1"/>
        <v>0</v>
      </c>
      <c r="AZ13" s="21">
        <f t="shared" si="1"/>
        <v>0</v>
      </c>
      <c r="BA13" s="21">
        <f t="shared" ref="BA13:DL13" si="17">IF(AND($G13=BA$4,$H13=BA$4),$E13,IF($G13&gt;BA$4,0,IF($H13&lt;BA$4,0,$E13/($H13-$G13+1))))</f>
        <v>0</v>
      </c>
      <c r="BB13" s="21">
        <f t="shared" si="17"/>
        <v>0</v>
      </c>
      <c r="BC13" s="21">
        <f t="shared" si="17"/>
        <v>0</v>
      </c>
      <c r="BD13" s="21">
        <f t="shared" si="17"/>
        <v>0</v>
      </c>
      <c r="BE13" s="21">
        <f t="shared" si="17"/>
        <v>0</v>
      </c>
      <c r="BF13" s="21">
        <f t="shared" si="17"/>
        <v>0</v>
      </c>
      <c r="BG13" s="21">
        <f t="shared" si="17"/>
        <v>0</v>
      </c>
      <c r="BH13" s="21">
        <f t="shared" si="17"/>
        <v>0</v>
      </c>
      <c r="BI13" s="21">
        <f t="shared" si="17"/>
        <v>0</v>
      </c>
      <c r="BJ13" s="21">
        <f t="shared" si="17"/>
        <v>0</v>
      </c>
      <c r="BK13" s="21">
        <f t="shared" si="17"/>
        <v>0</v>
      </c>
      <c r="BL13" s="21">
        <f t="shared" si="17"/>
        <v>0</v>
      </c>
      <c r="BM13" s="21">
        <f t="shared" si="17"/>
        <v>0</v>
      </c>
      <c r="BN13" s="21">
        <f t="shared" si="17"/>
        <v>0</v>
      </c>
      <c r="BO13" s="21">
        <f t="shared" si="17"/>
        <v>0</v>
      </c>
      <c r="BP13" s="21">
        <f t="shared" si="17"/>
        <v>0</v>
      </c>
      <c r="BQ13" s="21">
        <f t="shared" si="17"/>
        <v>0</v>
      </c>
      <c r="BR13" s="21">
        <f t="shared" si="17"/>
        <v>0</v>
      </c>
      <c r="BS13" s="21">
        <f t="shared" si="17"/>
        <v>0</v>
      </c>
      <c r="BT13" s="21">
        <f t="shared" si="17"/>
        <v>0</v>
      </c>
      <c r="BU13" s="21">
        <f t="shared" si="17"/>
        <v>0</v>
      </c>
      <c r="BV13" s="21">
        <f t="shared" si="17"/>
        <v>0</v>
      </c>
      <c r="BW13" s="21">
        <f t="shared" si="17"/>
        <v>0</v>
      </c>
      <c r="BX13" s="21">
        <f t="shared" si="17"/>
        <v>0</v>
      </c>
      <c r="BY13" s="21">
        <f t="shared" si="17"/>
        <v>0</v>
      </c>
      <c r="BZ13" s="21">
        <f t="shared" si="17"/>
        <v>0</v>
      </c>
      <c r="CA13" s="21">
        <f t="shared" si="17"/>
        <v>0</v>
      </c>
      <c r="CB13" s="21">
        <f t="shared" si="17"/>
        <v>0</v>
      </c>
      <c r="CC13" s="21">
        <f t="shared" si="17"/>
        <v>0</v>
      </c>
      <c r="CD13" s="21">
        <f t="shared" si="17"/>
        <v>0</v>
      </c>
      <c r="CE13" s="21">
        <f t="shared" si="17"/>
        <v>0</v>
      </c>
      <c r="CF13" s="21">
        <f t="shared" si="17"/>
        <v>0</v>
      </c>
      <c r="CG13" s="21">
        <f t="shared" si="17"/>
        <v>0</v>
      </c>
      <c r="CH13" s="21">
        <f t="shared" si="17"/>
        <v>0</v>
      </c>
      <c r="CI13" s="21">
        <f t="shared" si="17"/>
        <v>0</v>
      </c>
      <c r="CJ13" s="21">
        <f t="shared" si="17"/>
        <v>0</v>
      </c>
      <c r="CK13" s="21">
        <f t="shared" si="17"/>
        <v>0</v>
      </c>
      <c r="CL13" s="21">
        <f t="shared" si="17"/>
        <v>0</v>
      </c>
      <c r="CM13" s="21">
        <f t="shared" si="17"/>
        <v>0</v>
      </c>
      <c r="CN13" s="21">
        <f t="shared" si="17"/>
        <v>0</v>
      </c>
      <c r="CO13" s="21">
        <f t="shared" si="17"/>
        <v>0</v>
      </c>
      <c r="CP13" s="21">
        <f t="shared" si="17"/>
        <v>0</v>
      </c>
      <c r="CQ13" s="21">
        <f t="shared" si="17"/>
        <v>0</v>
      </c>
      <c r="CR13" s="21">
        <f t="shared" si="17"/>
        <v>0</v>
      </c>
      <c r="CS13" s="21">
        <f t="shared" si="17"/>
        <v>0</v>
      </c>
      <c r="CT13" s="21">
        <f t="shared" si="17"/>
        <v>0</v>
      </c>
      <c r="CU13" s="21">
        <f t="shared" si="17"/>
        <v>0</v>
      </c>
      <c r="CV13" s="21">
        <f t="shared" si="17"/>
        <v>0</v>
      </c>
      <c r="CW13" s="21">
        <f t="shared" si="17"/>
        <v>0</v>
      </c>
      <c r="CX13" s="21">
        <f t="shared" si="17"/>
        <v>0</v>
      </c>
      <c r="CY13" s="21">
        <f t="shared" si="17"/>
        <v>0</v>
      </c>
      <c r="CZ13" s="21">
        <f t="shared" si="17"/>
        <v>0</v>
      </c>
      <c r="DA13" s="21">
        <f t="shared" si="17"/>
        <v>0</v>
      </c>
      <c r="DB13" s="21">
        <f t="shared" si="17"/>
        <v>0</v>
      </c>
      <c r="DC13" s="21">
        <f t="shared" si="17"/>
        <v>0</v>
      </c>
      <c r="DD13" s="21">
        <f t="shared" si="17"/>
        <v>0</v>
      </c>
      <c r="DE13" s="21">
        <f t="shared" si="17"/>
        <v>0</v>
      </c>
      <c r="DF13" s="21">
        <f t="shared" si="17"/>
        <v>0</v>
      </c>
      <c r="DG13" s="21">
        <f t="shared" si="17"/>
        <v>0</v>
      </c>
      <c r="DH13" s="21">
        <f t="shared" si="17"/>
        <v>0</v>
      </c>
      <c r="DI13" s="21">
        <f t="shared" si="17"/>
        <v>0</v>
      </c>
      <c r="DJ13" s="21">
        <f t="shared" si="17"/>
        <v>0</v>
      </c>
      <c r="DK13" s="21">
        <f t="shared" si="17"/>
        <v>0</v>
      </c>
      <c r="DL13" s="21">
        <f t="shared" si="17"/>
        <v>0</v>
      </c>
      <c r="DM13" s="21">
        <f t="shared" si="15"/>
        <v>0</v>
      </c>
      <c r="DN13" s="21">
        <f t="shared" si="15"/>
        <v>0</v>
      </c>
      <c r="DO13" s="21">
        <f t="shared" si="15"/>
        <v>0</v>
      </c>
      <c r="DP13" s="21">
        <f t="shared" si="15"/>
        <v>0</v>
      </c>
      <c r="DQ13" s="21">
        <f t="shared" si="15"/>
        <v>0</v>
      </c>
      <c r="DR13" s="21">
        <f t="shared" si="15"/>
        <v>0</v>
      </c>
      <c r="DS13" s="21">
        <f t="shared" si="15"/>
        <v>0</v>
      </c>
      <c r="DT13" s="21">
        <f t="shared" si="15"/>
        <v>0</v>
      </c>
      <c r="DU13" s="21">
        <f t="shared" si="15"/>
        <v>0</v>
      </c>
      <c r="DV13" s="21">
        <f t="shared" si="15"/>
        <v>0</v>
      </c>
      <c r="DW13" s="21">
        <f t="shared" si="15"/>
        <v>0</v>
      </c>
      <c r="DX13" s="21">
        <f t="shared" si="15"/>
        <v>0</v>
      </c>
      <c r="DY13" s="21">
        <f t="shared" si="16"/>
        <v>0</v>
      </c>
      <c r="DZ13" s="21">
        <f t="shared" si="16"/>
        <v>0</v>
      </c>
      <c r="EA13" s="21">
        <f t="shared" si="16"/>
        <v>0</v>
      </c>
      <c r="EB13" s="21">
        <f t="shared" si="16"/>
        <v>0</v>
      </c>
      <c r="EC13" s="21">
        <f t="shared" si="16"/>
        <v>0</v>
      </c>
      <c r="ED13" s="21">
        <f t="shared" si="16"/>
        <v>0</v>
      </c>
      <c r="EE13" s="21">
        <f t="shared" si="16"/>
        <v>0</v>
      </c>
      <c r="EF13" s="21">
        <f t="shared" si="16"/>
        <v>0</v>
      </c>
      <c r="EG13" s="21">
        <f t="shared" si="16"/>
        <v>0</v>
      </c>
      <c r="EH13" s="21">
        <f t="shared" si="16"/>
        <v>0</v>
      </c>
      <c r="EI13" s="21">
        <f t="shared" si="16"/>
        <v>0</v>
      </c>
      <c r="EJ13" s="21">
        <f t="shared" si="16"/>
        <v>0</v>
      </c>
      <c r="EK13" s="21">
        <f t="shared" si="16"/>
        <v>0</v>
      </c>
      <c r="EL13" s="21">
        <f t="shared" si="16"/>
        <v>0</v>
      </c>
    </row>
    <row r="14" spans="2:142" x14ac:dyDescent="0.35">
      <c r="B14" s="1" t="s">
        <v>295</v>
      </c>
      <c r="C14" s="223">
        <v>5</v>
      </c>
      <c r="D14" s="197">
        <v>10000</v>
      </c>
      <c r="E14" s="19">
        <f>+D14*C14</f>
        <v>50000</v>
      </c>
      <c r="G14" s="13">
        <v>2</v>
      </c>
      <c r="H14" s="13">
        <v>24</v>
      </c>
      <c r="I14" s="21"/>
      <c r="J14" s="21">
        <f t="shared" ref="J14:AO15" si="18">IF(AND($G14=J$4,$H14=J$4),$E14,IF($G14&gt;J$4,0,IF($H14&lt;J$4,0,$E14/($H14-$G14+1))))</f>
        <v>0</v>
      </c>
      <c r="K14" s="21">
        <f t="shared" si="18"/>
        <v>0</v>
      </c>
      <c r="L14" s="21">
        <f t="shared" si="18"/>
        <v>2173.913043478261</v>
      </c>
      <c r="M14" s="21">
        <f t="shared" si="18"/>
        <v>2173.913043478261</v>
      </c>
      <c r="N14" s="21">
        <f t="shared" si="18"/>
        <v>2173.913043478261</v>
      </c>
      <c r="O14" s="21">
        <f t="shared" si="18"/>
        <v>2173.913043478261</v>
      </c>
      <c r="P14" s="21">
        <f t="shared" si="18"/>
        <v>2173.913043478261</v>
      </c>
      <c r="Q14" s="21">
        <f t="shared" si="18"/>
        <v>2173.913043478261</v>
      </c>
      <c r="R14" s="21">
        <f t="shared" si="18"/>
        <v>2173.913043478261</v>
      </c>
      <c r="S14" s="21">
        <f t="shared" si="18"/>
        <v>2173.913043478261</v>
      </c>
      <c r="T14" s="21">
        <f t="shared" si="18"/>
        <v>2173.913043478261</v>
      </c>
      <c r="U14" s="21">
        <f t="shared" si="18"/>
        <v>2173.913043478261</v>
      </c>
      <c r="V14" s="21">
        <f t="shared" si="18"/>
        <v>2173.913043478261</v>
      </c>
      <c r="W14" s="21">
        <f t="shared" si="18"/>
        <v>2173.913043478261</v>
      </c>
      <c r="X14" s="21">
        <f t="shared" si="18"/>
        <v>2173.913043478261</v>
      </c>
      <c r="Y14" s="21">
        <f t="shared" si="18"/>
        <v>2173.913043478261</v>
      </c>
      <c r="Z14" s="21">
        <f t="shared" si="18"/>
        <v>2173.913043478261</v>
      </c>
      <c r="AA14" s="21">
        <f t="shared" si="18"/>
        <v>2173.913043478261</v>
      </c>
      <c r="AB14" s="21">
        <f t="shared" si="18"/>
        <v>2173.913043478261</v>
      </c>
      <c r="AC14" s="21">
        <f t="shared" si="18"/>
        <v>2173.913043478261</v>
      </c>
      <c r="AD14" s="21">
        <f t="shared" si="18"/>
        <v>2173.913043478261</v>
      </c>
      <c r="AE14" s="21">
        <f t="shared" si="18"/>
        <v>2173.913043478261</v>
      </c>
      <c r="AF14" s="21">
        <f t="shared" si="18"/>
        <v>2173.913043478261</v>
      </c>
      <c r="AG14" s="21">
        <f t="shared" si="18"/>
        <v>2173.913043478261</v>
      </c>
      <c r="AH14" s="21">
        <f t="shared" si="18"/>
        <v>2173.913043478261</v>
      </c>
      <c r="AI14" s="21">
        <f t="shared" si="18"/>
        <v>0</v>
      </c>
      <c r="AJ14" s="21">
        <f t="shared" si="18"/>
        <v>0</v>
      </c>
      <c r="AK14" s="21">
        <f t="shared" si="18"/>
        <v>0</v>
      </c>
      <c r="AL14" s="21">
        <f t="shared" si="18"/>
        <v>0</v>
      </c>
      <c r="AM14" s="21">
        <f t="shared" si="18"/>
        <v>0</v>
      </c>
      <c r="AN14" s="21">
        <f t="shared" si="18"/>
        <v>0</v>
      </c>
      <c r="AO14" s="21">
        <f t="shared" si="18"/>
        <v>0</v>
      </c>
      <c r="AP14" s="21">
        <f t="shared" ref="AP14:DN15" si="19">IF(AND($G14=AP$4,$H14=AP$4),$E14,IF($G14&gt;AP$4,0,IF($H14&lt;AP$4,0,$E14/($H14-$G14+1))))</f>
        <v>0</v>
      </c>
      <c r="AQ14" s="21">
        <f t="shared" si="19"/>
        <v>0</v>
      </c>
      <c r="AR14" s="21">
        <f t="shared" si="19"/>
        <v>0</v>
      </c>
      <c r="AS14" s="21">
        <f t="shared" si="19"/>
        <v>0</v>
      </c>
      <c r="AT14" s="21">
        <f t="shared" si="19"/>
        <v>0</v>
      </c>
      <c r="AU14" s="21">
        <f t="shared" si="19"/>
        <v>0</v>
      </c>
      <c r="AV14" s="21">
        <f t="shared" si="19"/>
        <v>0</v>
      </c>
      <c r="AW14" s="21">
        <f t="shared" si="19"/>
        <v>0</v>
      </c>
      <c r="AX14" s="21">
        <f t="shared" si="19"/>
        <v>0</v>
      </c>
      <c r="AY14" s="21">
        <f t="shared" si="19"/>
        <v>0</v>
      </c>
      <c r="AZ14" s="21">
        <f t="shared" si="19"/>
        <v>0</v>
      </c>
      <c r="BA14" s="21">
        <f t="shared" si="19"/>
        <v>0</v>
      </c>
      <c r="BB14" s="21">
        <f t="shared" si="19"/>
        <v>0</v>
      </c>
      <c r="BC14" s="21">
        <f t="shared" si="19"/>
        <v>0</v>
      </c>
      <c r="BD14" s="21">
        <f t="shared" si="19"/>
        <v>0</v>
      </c>
      <c r="BE14" s="21">
        <f t="shared" si="19"/>
        <v>0</v>
      </c>
      <c r="BF14" s="21">
        <f t="shared" si="19"/>
        <v>0</v>
      </c>
      <c r="BG14" s="21">
        <f t="shared" si="19"/>
        <v>0</v>
      </c>
      <c r="BH14" s="21">
        <f t="shared" si="19"/>
        <v>0</v>
      </c>
      <c r="BI14" s="21">
        <f t="shared" si="19"/>
        <v>0</v>
      </c>
      <c r="BJ14" s="21">
        <f t="shared" si="19"/>
        <v>0</v>
      </c>
      <c r="BK14" s="21">
        <f t="shared" si="19"/>
        <v>0</v>
      </c>
      <c r="BL14" s="21">
        <f t="shared" si="19"/>
        <v>0</v>
      </c>
      <c r="BM14" s="21">
        <f t="shared" si="19"/>
        <v>0</v>
      </c>
      <c r="BN14" s="21">
        <f t="shared" si="19"/>
        <v>0</v>
      </c>
      <c r="BO14" s="21">
        <f t="shared" si="19"/>
        <v>0</v>
      </c>
      <c r="BP14" s="21">
        <f t="shared" si="19"/>
        <v>0</v>
      </c>
      <c r="BQ14" s="21">
        <f t="shared" si="19"/>
        <v>0</v>
      </c>
      <c r="BR14" s="21">
        <f t="shared" si="19"/>
        <v>0</v>
      </c>
      <c r="BS14" s="21">
        <f t="shared" si="19"/>
        <v>0</v>
      </c>
      <c r="BT14" s="21">
        <f t="shared" si="19"/>
        <v>0</v>
      </c>
      <c r="BU14" s="21">
        <f t="shared" si="19"/>
        <v>0</v>
      </c>
      <c r="BV14" s="21">
        <f t="shared" si="19"/>
        <v>0</v>
      </c>
      <c r="BW14" s="21">
        <f t="shared" si="19"/>
        <v>0</v>
      </c>
      <c r="BX14" s="21">
        <f t="shared" si="19"/>
        <v>0</v>
      </c>
      <c r="BY14" s="21">
        <f t="shared" si="19"/>
        <v>0</v>
      </c>
      <c r="BZ14" s="21">
        <f t="shared" si="19"/>
        <v>0</v>
      </c>
      <c r="CA14" s="21">
        <f t="shared" si="19"/>
        <v>0</v>
      </c>
      <c r="CB14" s="21">
        <f t="shared" si="19"/>
        <v>0</v>
      </c>
      <c r="CC14" s="21">
        <f t="shared" si="19"/>
        <v>0</v>
      </c>
      <c r="CD14" s="21">
        <f t="shared" si="19"/>
        <v>0</v>
      </c>
      <c r="CE14" s="21">
        <f t="shared" si="19"/>
        <v>0</v>
      </c>
      <c r="CF14" s="21">
        <f t="shared" si="19"/>
        <v>0</v>
      </c>
      <c r="CG14" s="21">
        <f t="shared" si="19"/>
        <v>0</v>
      </c>
      <c r="CH14" s="21">
        <f t="shared" si="19"/>
        <v>0</v>
      </c>
      <c r="CI14" s="21">
        <f t="shared" si="19"/>
        <v>0</v>
      </c>
      <c r="CJ14" s="21">
        <f t="shared" si="19"/>
        <v>0</v>
      </c>
      <c r="CK14" s="21">
        <f t="shared" si="19"/>
        <v>0</v>
      </c>
      <c r="CL14" s="21">
        <f t="shared" si="19"/>
        <v>0</v>
      </c>
      <c r="CM14" s="21">
        <f t="shared" si="19"/>
        <v>0</v>
      </c>
      <c r="CN14" s="21">
        <f t="shared" si="19"/>
        <v>0</v>
      </c>
      <c r="CO14" s="21">
        <f t="shared" si="19"/>
        <v>0</v>
      </c>
      <c r="CP14" s="21">
        <f t="shared" si="19"/>
        <v>0</v>
      </c>
      <c r="CQ14" s="21">
        <f t="shared" si="19"/>
        <v>0</v>
      </c>
      <c r="CR14" s="21">
        <f t="shared" si="19"/>
        <v>0</v>
      </c>
      <c r="CS14" s="21">
        <f t="shared" si="19"/>
        <v>0</v>
      </c>
      <c r="CT14" s="21">
        <f t="shared" si="19"/>
        <v>0</v>
      </c>
      <c r="CU14" s="21">
        <f t="shared" si="19"/>
        <v>0</v>
      </c>
      <c r="CV14" s="21">
        <f t="shared" si="19"/>
        <v>0</v>
      </c>
      <c r="CW14" s="21">
        <f t="shared" si="19"/>
        <v>0</v>
      </c>
      <c r="CX14" s="21">
        <f t="shared" si="19"/>
        <v>0</v>
      </c>
      <c r="CY14" s="21">
        <f t="shared" si="19"/>
        <v>0</v>
      </c>
      <c r="CZ14" s="21">
        <f t="shared" si="19"/>
        <v>0</v>
      </c>
      <c r="DA14" s="21">
        <f t="shared" si="19"/>
        <v>0</v>
      </c>
      <c r="DB14" s="21">
        <f t="shared" si="19"/>
        <v>0</v>
      </c>
      <c r="DC14" s="21">
        <f t="shared" si="19"/>
        <v>0</v>
      </c>
      <c r="DD14" s="21">
        <f t="shared" si="19"/>
        <v>0</v>
      </c>
      <c r="DE14" s="21">
        <f t="shared" si="19"/>
        <v>0</v>
      </c>
      <c r="DF14" s="21">
        <f t="shared" si="19"/>
        <v>0</v>
      </c>
      <c r="DG14" s="21">
        <f t="shared" si="19"/>
        <v>0</v>
      </c>
      <c r="DH14" s="21">
        <f t="shared" si="19"/>
        <v>0</v>
      </c>
      <c r="DI14" s="21">
        <f t="shared" si="19"/>
        <v>0</v>
      </c>
      <c r="DJ14" s="21">
        <f t="shared" si="19"/>
        <v>0</v>
      </c>
      <c r="DK14" s="21">
        <f t="shared" si="19"/>
        <v>0</v>
      </c>
      <c r="DL14" s="21">
        <f t="shared" si="19"/>
        <v>0</v>
      </c>
      <c r="DM14" s="21">
        <f t="shared" si="19"/>
        <v>0</v>
      </c>
      <c r="DN14" s="21">
        <f t="shared" si="19"/>
        <v>0</v>
      </c>
      <c r="DO14" s="21">
        <f t="shared" ref="DO14:DQ15" si="20">IF(AND($G14=DO$4,$H14=DO$4),$E14,IF($G14&gt;DO$4,0,IF($H14&lt;DO$4,0,$E14/($H14-$G14+1))))</f>
        <v>0</v>
      </c>
      <c r="DP14" s="21">
        <f t="shared" si="20"/>
        <v>0</v>
      </c>
      <c r="DQ14" s="21">
        <f t="shared" si="20"/>
        <v>0</v>
      </c>
      <c r="DR14" s="21">
        <f t="shared" si="15"/>
        <v>0</v>
      </c>
      <c r="DS14" s="21">
        <f t="shared" si="15"/>
        <v>0</v>
      </c>
      <c r="DT14" s="21">
        <f t="shared" si="15"/>
        <v>0</v>
      </c>
      <c r="DU14" s="21">
        <f t="shared" si="15"/>
        <v>0</v>
      </c>
      <c r="DV14" s="21">
        <f t="shared" si="15"/>
        <v>0</v>
      </c>
      <c r="DW14" s="21">
        <f t="shared" si="15"/>
        <v>0</v>
      </c>
      <c r="DX14" s="21">
        <f t="shared" si="15"/>
        <v>0</v>
      </c>
      <c r="DY14" s="21">
        <f t="shared" si="16"/>
        <v>0</v>
      </c>
      <c r="DZ14" s="21">
        <f t="shared" si="4"/>
        <v>0</v>
      </c>
      <c r="EA14" s="21">
        <f t="shared" si="4"/>
        <v>0</v>
      </c>
      <c r="EB14" s="21">
        <f t="shared" si="4"/>
        <v>0</v>
      </c>
      <c r="EC14" s="21">
        <f t="shared" si="4"/>
        <v>0</v>
      </c>
      <c r="ED14" s="21">
        <f t="shared" si="4"/>
        <v>0</v>
      </c>
      <c r="EE14" s="21">
        <f t="shared" si="4"/>
        <v>0</v>
      </c>
      <c r="EF14" s="21">
        <f t="shared" si="4"/>
        <v>0</v>
      </c>
      <c r="EG14" s="21">
        <f t="shared" si="4"/>
        <v>0</v>
      </c>
      <c r="EH14" s="21">
        <f t="shared" si="4"/>
        <v>0</v>
      </c>
      <c r="EI14" s="21">
        <f t="shared" si="4"/>
        <v>0</v>
      </c>
      <c r="EJ14" s="21">
        <f t="shared" si="4"/>
        <v>0</v>
      </c>
      <c r="EK14" s="21">
        <f t="shared" si="4"/>
        <v>0</v>
      </c>
      <c r="EL14" s="21">
        <f t="shared" si="4"/>
        <v>0</v>
      </c>
    </row>
    <row r="15" spans="2:142" x14ac:dyDescent="0.35">
      <c r="B15" s="1" t="s">
        <v>295</v>
      </c>
      <c r="C15" s="223">
        <v>10</v>
      </c>
      <c r="D15" s="197">
        <v>30000</v>
      </c>
      <c r="E15" s="19">
        <f>+D15*C15</f>
        <v>300000</v>
      </c>
      <c r="G15" s="13">
        <v>2</v>
      </c>
      <c r="H15" s="13">
        <v>24</v>
      </c>
      <c r="I15" s="21"/>
      <c r="J15" s="21">
        <f t="shared" si="18"/>
        <v>0</v>
      </c>
      <c r="K15" s="21">
        <f t="shared" si="18"/>
        <v>0</v>
      </c>
      <c r="L15" s="21">
        <f t="shared" si="18"/>
        <v>13043.478260869566</v>
      </c>
      <c r="M15" s="21">
        <f t="shared" si="18"/>
        <v>13043.478260869566</v>
      </c>
      <c r="N15" s="21">
        <f t="shared" si="18"/>
        <v>13043.478260869566</v>
      </c>
      <c r="O15" s="21">
        <f t="shared" si="18"/>
        <v>13043.478260869566</v>
      </c>
      <c r="P15" s="21">
        <f t="shared" si="18"/>
        <v>13043.478260869566</v>
      </c>
      <c r="Q15" s="21">
        <f t="shared" si="18"/>
        <v>13043.478260869566</v>
      </c>
      <c r="R15" s="21">
        <f t="shared" si="18"/>
        <v>13043.478260869566</v>
      </c>
      <c r="S15" s="21">
        <f t="shared" si="18"/>
        <v>13043.478260869566</v>
      </c>
      <c r="T15" s="21">
        <f t="shared" si="18"/>
        <v>13043.478260869566</v>
      </c>
      <c r="U15" s="21">
        <f t="shared" si="18"/>
        <v>13043.478260869566</v>
      </c>
      <c r="V15" s="21">
        <f t="shared" si="18"/>
        <v>13043.478260869566</v>
      </c>
      <c r="W15" s="21">
        <f t="shared" si="18"/>
        <v>13043.478260869566</v>
      </c>
      <c r="X15" s="21">
        <f t="shared" si="18"/>
        <v>13043.478260869566</v>
      </c>
      <c r="Y15" s="21">
        <f t="shared" si="18"/>
        <v>13043.478260869566</v>
      </c>
      <c r="Z15" s="21">
        <f t="shared" si="18"/>
        <v>13043.478260869566</v>
      </c>
      <c r="AA15" s="21">
        <f t="shared" si="18"/>
        <v>13043.478260869566</v>
      </c>
      <c r="AB15" s="21">
        <f t="shared" si="18"/>
        <v>13043.478260869566</v>
      </c>
      <c r="AC15" s="21">
        <f t="shared" si="18"/>
        <v>13043.478260869566</v>
      </c>
      <c r="AD15" s="21">
        <f t="shared" si="18"/>
        <v>13043.478260869566</v>
      </c>
      <c r="AE15" s="21">
        <f t="shared" si="18"/>
        <v>13043.478260869566</v>
      </c>
      <c r="AF15" s="21">
        <f t="shared" si="18"/>
        <v>13043.478260869566</v>
      </c>
      <c r="AG15" s="21">
        <f t="shared" si="18"/>
        <v>13043.478260869566</v>
      </c>
      <c r="AH15" s="21">
        <f t="shared" si="18"/>
        <v>13043.478260869566</v>
      </c>
      <c r="AI15" s="21">
        <f t="shared" si="18"/>
        <v>0</v>
      </c>
      <c r="AJ15" s="21">
        <f t="shared" si="18"/>
        <v>0</v>
      </c>
      <c r="AK15" s="21">
        <f t="shared" si="18"/>
        <v>0</v>
      </c>
      <c r="AL15" s="21">
        <f t="shared" si="18"/>
        <v>0</v>
      </c>
      <c r="AM15" s="21">
        <f t="shared" si="18"/>
        <v>0</v>
      </c>
      <c r="AN15" s="21">
        <f t="shared" si="18"/>
        <v>0</v>
      </c>
      <c r="AO15" s="21">
        <f t="shared" si="18"/>
        <v>0</v>
      </c>
      <c r="AP15" s="21">
        <f t="shared" si="19"/>
        <v>0</v>
      </c>
      <c r="AQ15" s="21">
        <f t="shared" si="19"/>
        <v>0</v>
      </c>
      <c r="AR15" s="21">
        <f t="shared" si="19"/>
        <v>0</v>
      </c>
      <c r="AS15" s="21">
        <f t="shared" si="19"/>
        <v>0</v>
      </c>
      <c r="AT15" s="21">
        <f t="shared" si="19"/>
        <v>0</v>
      </c>
      <c r="AU15" s="21">
        <f t="shared" si="19"/>
        <v>0</v>
      </c>
      <c r="AV15" s="21">
        <f t="shared" si="19"/>
        <v>0</v>
      </c>
      <c r="AW15" s="21">
        <f t="shared" si="19"/>
        <v>0</v>
      </c>
      <c r="AX15" s="21">
        <f t="shared" si="19"/>
        <v>0</v>
      </c>
      <c r="AY15" s="21">
        <f t="shared" si="19"/>
        <v>0</v>
      </c>
      <c r="AZ15" s="21">
        <f t="shared" si="19"/>
        <v>0</v>
      </c>
      <c r="BA15" s="21">
        <f t="shared" si="19"/>
        <v>0</v>
      </c>
      <c r="BB15" s="21">
        <f t="shared" si="19"/>
        <v>0</v>
      </c>
      <c r="BC15" s="21">
        <f t="shared" si="19"/>
        <v>0</v>
      </c>
      <c r="BD15" s="21">
        <f t="shared" si="19"/>
        <v>0</v>
      </c>
      <c r="BE15" s="21">
        <f t="shared" si="19"/>
        <v>0</v>
      </c>
      <c r="BF15" s="21">
        <f t="shared" si="19"/>
        <v>0</v>
      </c>
      <c r="BG15" s="21">
        <f t="shared" si="19"/>
        <v>0</v>
      </c>
      <c r="BH15" s="21">
        <f t="shared" si="19"/>
        <v>0</v>
      </c>
      <c r="BI15" s="21">
        <f t="shared" si="19"/>
        <v>0</v>
      </c>
      <c r="BJ15" s="21">
        <f t="shared" si="19"/>
        <v>0</v>
      </c>
      <c r="BK15" s="21">
        <f t="shared" si="19"/>
        <v>0</v>
      </c>
      <c r="BL15" s="21">
        <f t="shared" si="19"/>
        <v>0</v>
      </c>
      <c r="BM15" s="21">
        <f t="shared" si="19"/>
        <v>0</v>
      </c>
      <c r="BN15" s="21">
        <f t="shared" si="19"/>
        <v>0</v>
      </c>
      <c r="BO15" s="21">
        <f t="shared" si="19"/>
        <v>0</v>
      </c>
      <c r="BP15" s="21">
        <f t="shared" si="19"/>
        <v>0</v>
      </c>
      <c r="BQ15" s="21">
        <f t="shared" si="19"/>
        <v>0</v>
      </c>
      <c r="BR15" s="21">
        <f t="shared" si="19"/>
        <v>0</v>
      </c>
      <c r="BS15" s="21">
        <f t="shared" si="19"/>
        <v>0</v>
      </c>
      <c r="BT15" s="21">
        <f t="shared" si="19"/>
        <v>0</v>
      </c>
      <c r="BU15" s="21">
        <f t="shared" si="19"/>
        <v>0</v>
      </c>
      <c r="BV15" s="21">
        <f t="shared" si="19"/>
        <v>0</v>
      </c>
      <c r="BW15" s="21">
        <f t="shared" si="19"/>
        <v>0</v>
      </c>
      <c r="BX15" s="21">
        <f t="shared" si="19"/>
        <v>0</v>
      </c>
      <c r="BY15" s="21">
        <f t="shared" si="19"/>
        <v>0</v>
      </c>
      <c r="BZ15" s="21">
        <f t="shared" si="19"/>
        <v>0</v>
      </c>
      <c r="CA15" s="21">
        <f t="shared" si="19"/>
        <v>0</v>
      </c>
      <c r="CB15" s="21">
        <f t="shared" si="19"/>
        <v>0</v>
      </c>
      <c r="CC15" s="21">
        <f t="shared" si="19"/>
        <v>0</v>
      </c>
      <c r="CD15" s="21">
        <f t="shared" si="19"/>
        <v>0</v>
      </c>
      <c r="CE15" s="21">
        <f t="shared" si="19"/>
        <v>0</v>
      </c>
      <c r="CF15" s="21">
        <f t="shared" si="19"/>
        <v>0</v>
      </c>
      <c r="CG15" s="21">
        <f t="shared" si="19"/>
        <v>0</v>
      </c>
      <c r="CH15" s="21">
        <f t="shared" si="19"/>
        <v>0</v>
      </c>
      <c r="CI15" s="21">
        <f t="shared" si="19"/>
        <v>0</v>
      </c>
      <c r="CJ15" s="21">
        <f t="shared" si="19"/>
        <v>0</v>
      </c>
      <c r="CK15" s="21">
        <f t="shared" si="19"/>
        <v>0</v>
      </c>
      <c r="CL15" s="21">
        <f t="shared" si="19"/>
        <v>0</v>
      </c>
      <c r="CM15" s="21">
        <f t="shared" si="19"/>
        <v>0</v>
      </c>
      <c r="CN15" s="21">
        <f t="shared" si="19"/>
        <v>0</v>
      </c>
      <c r="CO15" s="21">
        <f t="shared" si="19"/>
        <v>0</v>
      </c>
      <c r="CP15" s="21">
        <f t="shared" si="19"/>
        <v>0</v>
      </c>
      <c r="CQ15" s="21">
        <f t="shared" si="19"/>
        <v>0</v>
      </c>
      <c r="CR15" s="21">
        <f t="shared" si="19"/>
        <v>0</v>
      </c>
      <c r="CS15" s="21">
        <f t="shared" si="19"/>
        <v>0</v>
      </c>
      <c r="CT15" s="21">
        <f t="shared" si="19"/>
        <v>0</v>
      </c>
      <c r="CU15" s="21">
        <f t="shared" si="19"/>
        <v>0</v>
      </c>
      <c r="CV15" s="21">
        <f t="shared" si="19"/>
        <v>0</v>
      </c>
      <c r="CW15" s="21">
        <f t="shared" si="19"/>
        <v>0</v>
      </c>
      <c r="CX15" s="21">
        <f t="shared" si="19"/>
        <v>0</v>
      </c>
      <c r="CY15" s="21">
        <f t="shared" si="19"/>
        <v>0</v>
      </c>
      <c r="CZ15" s="21">
        <f t="shared" si="19"/>
        <v>0</v>
      </c>
      <c r="DA15" s="21">
        <f t="shared" si="19"/>
        <v>0</v>
      </c>
      <c r="DB15" s="21">
        <f t="shared" si="19"/>
        <v>0</v>
      </c>
      <c r="DC15" s="21">
        <f t="shared" si="19"/>
        <v>0</v>
      </c>
      <c r="DD15" s="21">
        <f t="shared" si="19"/>
        <v>0</v>
      </c>
      <c r="DE15" s="21">
        <f t="shared" si="19"/>
        <v>0</v>
      </c>
      <c r="DF15" s="21">
        <f t="shared" si="19"/>
        <v>0</v>
      </c>
      <c r="DG15" s="21">
        <f t="shared" si="19"/>
        <v>0</v>
      </c>
      <c r="DH15" s="21">
        <f t="shared" si="19"/>
        <v>0</v>
      </c>
      <c r="DI15" s="21">
        <f t="shared" si="19"/>
        <v>0</v>
      </c>
      <c r="DJ15" s="21">
        <f t="shared" si="19"/>
        <v>0</v>
      </c>
      <c r="DK15" s="21">
        <f t="shared" si="19"/>
        <v>0</v>
      </c>
      <c r="DL15" s="21">
        <f t="shared" si="19"/>
        <v>0</v>
      </c>
      <c r="DM15" s="21">
        <f t="shared" si="19"/>
        <v>0</v>
      </c>
      <c r="DN15" s="21">
        <f t="shared" si="19"/>
        <v>0</v>
      </c>
      <c r="DO15" s="21">
        <f t="shared" si="20"/>
        <v>0</v>
      </c>
      <c r="DP15" s="21">
        <f t="shared" si="20"/>
        <v>0</v>
      </c>
      <c r="DQ15" s="21">
        <f t="shared" si="20"/>
        <v>0</v>
      </c>
      <c r="DR15" s="21">
        <f t="shared" ref="DR15:DY15" si="21">IF(AND($G15=DR$4,$H15=DR$4),$E15,IF($G15&gt;DR$4,0,IF($H15&lt;DR$4,0,$E15/($H15-$G15+1))))</f>
        <v>0</v>
      </c>
      <c r="DS15" s="21">
        <f t="shared" si="21"/>
        <v>0</v>
      </c>
      <c r="DT15" s="21">
        <f t="shared" si="21"/>
        <v>0</v>
      </c>
      <c r="DU15" s="21">
        <f t="shared" si="21"/>
        <v>0</v>
      </c>
      <c r="DV15" s="21">
        <f t="shared" si="21"/>
        <v>0</v>
      </c>
      <c r="DW15" s="21">
        <f t="shared" si="21"/>
        <v>0</v>
      </c>
      <c r="DX15" s="21">
        <f t="shared" si="21"/>
        <v>0</v>
      </c>
      <c r="DY15" s="21">
        <f t="shared" si="21"/>
        <v>0</v>
      </c>
      <c r="DZ15" s="21">
        <f t="shared" si="4"/>
        <v>0</v>
      </c>
      <c r="EA15" s="21">
        <f t="shared" si="4"/>
        <v>0</v>
      </c>
      <c r="EB15" s="21">
        <f t="shared" si="4"/>
        <v>0</v>
      </c>
      <c r="EC15" s="21">
        <f t="shared" si="4"/>
        <v>0</v>
      </c>
      <c r="ED15" s="21">
        <f t="shared" si="4"/>
        <v>0</v>
      </c>
      <c r="EE15" s="21">
        <f t="shared" si="4"/>
        <v>0</v>
      </c>
      <c r="EF15" s="21">
        <f t="shared" si="4"/>
        <v>0</v>
      </c>
      <c r="EG15" s="21">
        <f t="shared" si="4"/>
        <v>0</v>
      </c>
      <c r="EH15" s="21">
        <f t="shared" si="4"/>
        <v>0</v>
      </c>
      <c r="EI15" s="21">
        <f t="shared" si="4"/>
        <v>0</v>
      </c>
      <c r="EJ15" s="21">
        <f t="shared" si="4"/>
        <v>0</v>
      </c>
      <c r="EK15" s="21">
        <f t="shared" si="4"/>
        <v>0</v>
      </c>
      <c r="EL15" s="21">
        <f t="shared" si="4"/>
        <v>0</v>
      </c>
    </row>
    <row r="16" spans="2:142" x14ac:dyDescent="0.45">
      <c r="B16" s="1" t="s">
        <v>6</v>
      </c>
      <c r="D16" s="14">
        <v>0.1</v>
      </c>
      <c r="E16" s="19">
        <f>+D16*SUM(E5:E15)</f>
        <v>54250</v>
      </c>
      <c r="G16" s="22">
        <f>+H16</f>
        <v>24</v>
      </c>
      <c r="H16" s="22">
        <f>MAX(H5:H15)</f>
        <v>24</v>
      </c>
      <c r="I16" s="21"/>
      <c r="J16" s="21">
        <f t="shared" ref="J16:AO16" si="22">IF(AND($G16=J$4,$H16=J$4),$E16,IF($G16&gt;J$4,0,IF($H16&lt;J$4,0,$E16/($H16-$G16+1))))</f>
        <v>0</v>
      </c>
      <c r="K16" s="21">
        <f t="shared" si="22"/>
        <v>0</v>
      </c>
      <c r="L16" s="21">
        <f t="shared" si="22"/>
        <v>0</v>
      </c>
      <c r="M16" s="21">
        <f t="shared" si="22"/>
        <v>0</v>
      </c>
      <c r="N16" s="21">
        <f t="shared" si="22"/>
        <v>0</v>
      </c>
      <c r="O16" s="21">
        <f t="shared" si="22"/>
        <v>0</v>
      </c>
      <c r="P16" s="21">
        <f t="shared" si="22"/>
        <v>0</v>
      </c>
      <c r="Q16" s="21">
        <f t="shared" si="22"/>
        <v>0</v>
      </c>
      <c r="R16" s="21">
        <f t="shared" si="22"/>
        <v>0</v>
      </c>
      <c r="S16" s="21">
        <f t="shared" si="22"/>
        <v>0</v>
      </c>
      <c r="T16" s="21">
        <f t="shared" si="22"/>
        <v>0</v>
      </c>
      <c r="U16" s="21">
        <f t="shared" si="22"/>
        <v>0</v>
      </c>
      <c r="V16" s="21">
        <f t="shared" si="22"/>
        <v>0</v>
      </c>
      <c r="W16" s="21">
        <f t="shared" si="22"/>
        <v>0</v>
      </c>
      <c r="X16" s="21">
        <f t="shared" si="22"/>
        <v>0</v>
      </c>
      <c r="Y16" s="21">
        <f t="shared" si="22"/>
        <v>0</v>
      </c>
      <c r="Z16" s="21">
        <f t="shared" si="22"/>
        <v>0</v>
      </c>
      <c r="AA16" s="21">
        <f t="shared" si="22"/>
        <v>0</v>
      </c>
      <c r="AB16" s="21">
        <f t="shared" si="22"/>
        <v>0</v>
      </c>
      <c r="AC16" s="21">
        <f t="shared" si="22"/>
        <v>0</v>
      </c>
      <c r="AD16" s="21">
        <f t="shared" si="22"/>
        <v>0</v>
      </c>
      <c r="AE16" s="21">
        <f t="shared" si="22"/>
        <v>0</v>
      </c>
      <c r="AF16" s="21">
        <f t="shared" si="22"/>
        <v>0</v>
      </c>
      <c r="AG16" s="21">
        <f t="shared" si="22"/>
        <v>0</v>
      </c>
      <c r="AH16" s="21">
        <f t="shared" si="22"/>
        <v>54250</v>
      </c>
      <c r="AI16" s="21">
        <f t="shared" si="22"/>
        <v>0</v>
      </c>
      <c r="AJ16" s="21">
        <f t="shared" si="22"/>
        <v>0</v>
      </c>
      <c r="AK16" s="21">
        <f t="shared" si="22"/>
        <v>0</v>
      </c>
      <c r="AL16" s="21">
        <f t="shared" si="22"/>
        <v>0</v>
      </c>
      <c r="AM16" s="21">
        <f t="shared" si="22"/>
        <v>0</v>
      </c>
      <c r="AN16" s="21">
        <f t="shared" si="22"/>
        <v>0</v>
      </c>
      <c r="AO16" s="21">
        <f t="shared" si="22"/>
        <v>0</v>
      </c>
      <c r="AP16" s="21">
        <f t="shared" ref="AP16:BE16" si="23">IF(AND($G16=AP$4,$H16=AP$4),$E16,IF($G16&gt;AP$4,0,IF($H16&lt;AP$4,0,$E16/($H16-$G16+1))))</f>
        <v>0</v>
      </c>
      <c r="AQ16" s="21">
        <f t="shared" si="23"/>
        <v>0</v>
      </c>
      <c r="AR16" s="21">
        <f t="shared" si="23"/>
        <v>0</v>
      </c>
      <c r="AS16" s="21">
        <f t="shared" si="23"/>
        <v>0</v>
      </c>
      <c r="AT16" s="21">
        <f t="shared" si="23"/>
        <v>0</v>
      </c>
      <c r="AU16" s="21">
        <f t="shared" si="23"/>
        <v>0</v>
      </c>
      <c r="AV16" s="21">
        <f t="shared" si="23"/>
        <v>0</v>
      </c>
      <c r="AW16" s="21">
        <f t="shared" si="23"/>
        <v>0</v>
      </c>
      <c r="AX16" s="21">
        <f t="shared" si="23"/>
        <v>0</v>
      </c>
      <c r="AY16" s="21">
        <f t="shared" si="23"/>
        <v>0</v>
      </c>
      <c r="AZ16" s="21">
        <f t="shared" si="23"/>
        <v>0</v>
      </c>
      <c r="BA16" s="21">
        <f t="shared" si="23"/>
        <v>0</v>
      </c>
      <c r="BB16" s="21">
        <f t="shared" si="23"/>
        <v>0</v>
      </c>
      <c r="BC16" s="21">
        <f t="shared" si="23"/>
        <v>0</v>
      </c>
      <c r="BD16" s="21">
        <f t="shared" si="23"/>
        <v>0</v>
      </c>
      <c r="BE16" s="21">
        <f t="shared" si="23"/>
        <v>0</v>
      </c>
      <c r="BF16" s="21">
        <f t="shared" ref="BF16:BN16" si="24">IF(AND($G16=BF$4,$H16=BF$4),$E16,IF($G16&gt;BF$4,0,IF($H16&lt;BF$4,0,$E16/($H16-$G16+1))))</f>
        <v>0</v>
      </c>
      <c r="BG16" s="21">
        <f t="shared" si="24"/>
        <v>0</v>
      </c>
      <c r="BH16" s="21">
        <f t="shared" si="24"/>
        <v>0</v>
      </c>
      <c r="BI16" s="21">
        <f t="shared" si="24"/>
        <v>0</v>
      </c>
      <c r="BJ16" s="21">
        <f t="shared" si="24"/>
        <v>0</v>
      </c>
      <c r="BK16" s="21">
        <f t="shared" si="24"/>
        <v>0</v>
      </c>
      <c r="BL16" s="21">
        <f t="shared" si="24"/>
        <v>0</v>
      </c>
      <c r="BM16" s="21">
        <f t="shared" si="24"/>
        <v>0</v>
      </c>
      <c r="BN16" s="21">
        <f t="shared" si="24"/>
        <v>0</v>
      </c>
      <c r="BO16" s="21">
        <f t="shared" ref="BO16:CD16" si="25">IF(AND($G16=BO$4,$H16=BO$4),$E16,IF($G16&gt;BO$4,0,IF($H16&lt;BO$4,0,$E16/($H16-$G16+1))))</f>
        <v>0</v>
      </c>
      <c r="BP16" s="21">
        <f t="shared" si="25"/>
        <v>0</v>
      </c>
      <c r="BQ16" s="21">
        <f t="shared" si="25"/>
        <v>0</v>
      </c>
      <c r="BR16" s="21">
        <f t="shared" si="25"/>
        <v>0</v>
      </c>
      <c r="BS16" s="21">
        <f t="shared" si="25"/>
        <v>0</v>
      </c>
      <c r="BT16" s="21">
        <f t="shared" si="25"/>
        <v>0</v>
      </c>
      <c r="BU16" s="21">
        <f t="shared" si="25"/>
        <v>0</v>
      </c>
      <c r="BV16" s="21">
        <f t="shared" si="25"/>
        <v>0</v>
      </c>
      <c r="BW16" s="21">
        <f t="shared" si="25"/>
        <v>0</v>
      </c>
      <c r="BX16" s="21">
        <f t="shared" si="25"/>
        <v>0</v>
      </c>
      <c r="BY16" s="21">
        <f t="shared" si="25"/>
        <v>0</v>
      </c>
      <c r="BZ16" s="21">
        <f t="shared" si="25"/>
        <v>0</v>
      </c>
      <c r="CA16" s="21">
        <f t="shared" si="25"/>
        <v>0</v>
      </c>
      <c r="CB16" s="21">
        <f t="shared" si="25"/>
        <v>0</v>
      </c>
      <c r="CC16" s="21">
        <f t="shared" si="25"/>
        <v>0</v>
      </c>
      <c r="CD16" s="21">
        <f t="shared" si="25"/>
        <v>0</v>
      </c>
      <c r="CE16" s="21">
        <f t="shared" ref="CE16:CT16" si="26">IF(AND($G16=CE$4,$H16=CE$4),$E16,IF($G16&gt;CE$4,0,IF($H16&lt;CE$4,0,$E16/($H16-$G16+1))))</f>
        <v>0</v>
      </c>
      <c r="CF16" s="21">
        <f t="shared" si="26"/>
        <v>0</v>
      </c>
      <c r="CG16" s="21">
        <f t="shared" si="26"/>
        <v>0</v>
      </c>
      <c r="CH16" s="21">
        <f t="shared" si="26"/>
        <v>0</v>
      </c>
      <c r="CI16" s="21">
        <f t="shared" si="26"/>
        <v>0</v>
      </c>
      <c r="CJ16" s="21">
        <f t="shared" si="26"/>
        <v>0</v>
      </c>
      <c r="CK16" s="21">
        <f t="shared" si="26"/>
        <v>0</v>
      </c>
      <c r="CL16" s="21">
        <f t="shared" si="26"/>
        <v>0</v>
      </c>
      <c r="CM16" s="21">
        <f t="shared" si="26"/>
        <v>0</v>
      </c>
      <c r="CN16" s="21">
        <f t="shared" si="26"/>
        <v>0</v>
      </c>
      <c r="CO16" s="21">
        <f t="shared" si="26"/>
        <v>0</v>
      </c>
      <c r="CP16" s="21">
        <f t="shared" si="26"/>
        <v>0</v>
      </c>
      <c r="CQ16" s="21">
        <f t="shared" si="26"/>
        <v>0</v>
      </c>
      <c r="CR16" s="21">
        <f t="shared" si="26"/>
        <v>0</v>
      </c>
      <c r="CS16" s="21">
        <f t="shared" si="26"/>
        <v>0</v>
      </c>
      <c r="CT16" s="21">
        <f t="shared" si="26"/>
        <v>0</v>
      </c>
      <c r="CU16" s="21">
        <f t="shared" ref="CU16:DJ16" si="27">IF(AND($G16=CU$4,$H16=CU$4),$E16,IF($G16&gt;CU$4,0,IF($H16&lt;CU$4,0,$E16/($H16-$G16+1))))</f>
        <v>0</v>
      </c>
      <c r="CV16" s="21">
        <f t="shared" si="27"/>
        <v>0</v>
      </c>
      <c r="CW16" s="21">
        <f t="shared" si="27"/>
        <v>0</v>
      </c>
      <c r="CX16" s="21">
        <f t="shared" si="27"/>
        <v>0</v>
      </c>
      <c r="CY16" s="21">
        <f t="shared" si="27"/>
        <v>0</v>
      </c>
      <c r="CZ16" s="21">
        <f t="shared" si="27"/>
        <v>0</v>
      </c>
      <c r="DA16" s="21">
        <f t="shared" si="27"/>
        <v>0</v>
      </c>
      <c r="DB16" s="21">
        <f t="shared" si="27"/>
        <v>0</v>
      </c>
      <c r="DC16" s="21">
        <f t="shared" si="27"/>
        <v>0</v>
      </c>
      <c r="DD16" s="21">
        <f t="shared" si="27"/>
        <v>0</v>
      </c>
      <c r="DE16" s="21">
        <f t="shared" si="27"/>
        <v>0</v>
      </c>
      <c r="DF16" s="21">
        <f t="shared" si="27"/>
        <v>0</v>
      </c>
      <c r="DG16" s="21">
        <f t="shared" si="27"/>
        <v>0</v>
      </c>
      <c r="DH16" s="21">
        <f t="shared" si="27"/>
        <v>0</v>
      </c>
      <c r="DI16" s="21">
        <f t="shared" si="27"/>
        <v>0</v>
      </c>
      <c r="DJ16" s="21">
        <f t="shared" si="27"/>
        <v>0</v>
      </c>
      <c r="DK16" s="21">
        <f>IF(AND($G16=DK$4,$H16=DK$4),$E16,IF($G16&gt;DK$4,0,IF($H16&lt;DK$4,0,$E16/($H16-$G16+1))))</f>
        <v>0</v>
      </c>
      <c r="DL16" s="21">
        <f>IF(AND($G16=DL$4,$H16=DL$4),$E16,IF($G16&gt;DL$4,0,IF($H16&lt;DL$4,0,$E16/($H16-$G16+1))))</f>
        <v>0</v>
      </c>
      <c r="DM16" s="21">
        <f>IF(AND($G16=DM$4,$H16=DM$4),$E16,IF($G16&gt;DM$4,0,IF($H16&lt;DM$4,0,$E16/($H16-$G16+1))))</f>
        <v>0</v>
      </c>
      <c r="DN16" s="21">
        <f>IF(AND($G16=DN$4,$H16=DN$4),$E16,IF($G16&gt;DN$4,0,IF($H16&lt;DN$4,0,$E16/($H16-$G16+1))))</f>
        <v>0</v>
      </c>
      <c r="DO16" s="21">
        <f t="shared" ref="DO16:EL16" si="28">IF(AND($G16=DO$4,$H16=DO$4),$E16,IF($G16&gt;DO$4,0,IF($H16&lt;DO$4,0,$E16/($H16-$G16+1))))</f>
        <v>0</v>
      </c>
      <c r="DP16" s="21">
        <f t="shared" si="28"/>
        <v>0</v>
      </c>
      <c r="DQ16" s="21">
        <f t="shared" si="28"/>
        <v>0</v>
      </c>
      <c r="DR16" s="21">
        <f t="shared" si="28"/>
        <v>0</v>
      </c>
      <c r="DS16" s="21">
        <f t="shared" si="28"/>
        <v>0</v>
      </c>
      <c r="DT16" s="21">
        <f t="shared" si="28"/>
        <v>0</v>
      </c>
      <c r="DU16" s="21">
        <f t="shared" si="28"/>
        <v>0</v>
      </c>
      <c r="DV16" s="21">
        <f t="shared" si="28"/>
        <v>0</v>
      </c>
      <c r="DW16" s="21">
        <f t="shared" si="28"/>
        <v>0</v>
      </c>
      <c r="DX16" s="21">
        <f t="shared" si="28"/>
        <v>0</v>
      </c>
      <c r="DY16" s="21">
        <f t="shared" si="28"/>
        <v>0</v>
      </c>
      <c r="DZ16" s="21">
        <f t="shared" si="28"/>
        <v>0</v>
      </c>
      <c r="EA16" s="21">
        <f t="shared" si="28"/>
        <v>0</v>
      </c>
      <c r="EB16" s="21">
        <f t="shared" si="28"/>
        <v>0</v>
      </c>
      <c r="EC16" s="21">
        <f t="shared" si="28"/>
        <v>0</v>
      </c>
      <c r="ED16" s="21">
        <f t="shared" si="28"/>
        <v>0</v>
      </c>
      <c r="EE16" s="21">
        <f t="shared" si="28"/>
        <v>0</v>
      </c>
      <c r="EF16" s="21">
        <f t="shared" si="28"/>
        <v>0</v>
      </c>
      <c r="EG16" s="21">
        <f t="shared" si="28"/>
        <v>0</v>
      </c>
      <c r="EH16" s="21">
        <f t="shared" si="28"/>
        <v>0</v>
      </c>
      <c r="EI16" s="21">
        <f t="shared" si="28"/>
        <v>0</v>
      </c>
      <c r="EJ16" s="21">
        <f t="shared" si="28"/>
        <v>0</v>
      </c>
      <c r="EK16" s="21">
        <f t="shared" si="28"/>
        <v>0</v>
      </c>
      <c r="EL16" s="21">
        <f t="shared" si="28"/>
        <v>0</v>
      </c>
    </row>
    <row r="17" spans="2:142" x14ac:dyDescent="0.45">
      <c r="B17" s="4" t="s">
        <v>220</v>
      </c>
      <c r="C17" s="4"/>
      <c r="D17" s="401">
        <f>+E17/D4</f>
        <v>10.85</v>
      </c>
      <c r="E17" s="7">
        <f>SUM(E5:E16)</f>
        <v>596750</v>
      </c>
      <c r="F17" s="11"/>
      <c r="I17" s="21"/>
      <c r="J17" s="23">
        <f>SUM(J5:J16)</f>
        <v>70000</v>
      </c>
      <c r="K17" s="23">
        <f>SUM(K5:K16)</f>
        <v>0</v>
      </c>
      <c r="L17" s="23">
        <f>SUM(L5:L16)</f>
        <v>16217.391304347828</v>
      </c>
      <c r="M17" s="23">
        <f>SUM(M5:M16)</f>
        <v>16217.391304347828</v>
      </c>
      <c r="N17" s="23">
        <f>SUM(N5:N16)</f>
        <v>16217.391304347828</v>
      </c>
      <c r="O17" s="23">
        <f>SUM(O5:O16)</f>
        <v>77467.391304347824</v>
      </c>
      <c r="P17" s="23">
        <f>SUM(P5:P16)</f>
        <v>47467.391304347831</v>
      </c>
      <c r="Q17" s="23">
        <f>SUM(Q5:Q16)</f>
        <v>16217.391304347828</v>
      </c>
      <c r="R17" s="23">
        <f>SUM(R5:R16)</f>
        <v>16217.391304347828</v>
      </c>
      <c r="S17" s="23">
        <f>SUM(S5:S16)</f>
        <v>16217.391304347828</v>
      </c>
      <c r="T17" s="23">
        <f>SUM(T5:T16)</f>
        <v>36217.391304347824</v>
      </c>
      <c r="U17" s="23">
        <f>SUM(U5:U16)</f>
        <v>16217.391304347828</v>
      </c>
      <c r="V17" s="23">
        <f>SUM(V5:V16)</f>
        <v>15217.391304347828</v>
      </c>
      <c r="W17" s="23">
        <f>SUM(W5:W16)</f>
        <v>15217.391304347828</v>
      </c>
      <c r="X17" s="23">
        <f>SUM(X5:X16)</f>
        <v>15217.391304347828</v>
      </c>
      <c r="Y17" s="23">
        <f>SUM(Y5:Y16)</f>
        <v>15217.391304347828</v>
      </c>
      <c r="Z17" s="23">
        <f>SUM(Z5:Z16)</f>
        <v>15217.391304347828</v>
      </c>
      <c r="AA17" s="23">
        <f>SUM(AA5:AA16)</f>
        <v>15217.391304347828</v>
      </c>
      <c r="AB17" s="23">
        <f>SUM(AB5:AB16)</f>
        <v>15217.391304347828</v>
      </c>
      <c r="AC17" s="23">
        <f>SUM(AC5:AC16)</f>
        <v>15217.391304347828</v>
      </c>
      <c r="AD17" s="23">
        <f>SUM(AD5:AD16)</f>
        <v>15217.391304347828</v>
      </c>
      <c r="AE17" s="23">
        <f>SUM(AE5:AE16)</f>
        <v>15217.391304347828</v>
      </c>
      <c r="AF17" s="23">
        <f>SUM(AF5:AF16)</f>
        <v>15217.391304347828</v>
      </c>
      <c r="AG17" s="23">
        <f>SUM(AG5:AG16)</f>
        <v>15217.391304347828</v>
      </c>
      <c r="AH17" s="23">
        <f>SUM(AH5:AH16)</f>
        <v>69467.391304347824</v>
      </c>
      <c r="AI17" s="23">
        <f>SUM(AI5:AI16)</f>
        <v>0</v>
      </c>
      <c r="AJ17" s="23">
        <f>SUM(AJ5:AJ16)</f>
        <v>0</v>
      </c>
      <c r="AK17" s="23">
        <f>SUM(AK5:AK16)</f>
        <v>0</v>
      </c>
      <c r="AL17" s="23">
        <f>SUM(AL5:AL16)</f>
        <v>0</v>
      </c>
      <c r="AM17" s="23">
        <f>SUM(AM5:AM16)</f>
        <v>0</v>
      </c>
      <c r="AN17" s="23">
        <f>SUM(AN5:AN16)</f>
        <v>0</v>
      </c>
      <c r="AO17" s="23">
        <f>SUM(AO5:AO16)</f>
        <v>0</v>
      </c>
      <c r="AP17" s="23">
        <f>SUM(AP5:AP16)</f>
        <v>0</v>
      </c>
      <c r="AQ17" s="23">
        <f>SUM(AQ5:AQ16)</f>
        <v>0</v>
      </c>
      <c r="AR17" s="23">
        <f>SUM(AR5:AR16)</f>
        <v>0</v>
      </c>
      <c r="AS17" s="23">
        <f>SUM(AS5:AS16)</f>
        <v>0</v>
      </c>
      <c r="AT17" s="23">
        <f>SUM(AT5:AT16)</f>
        <v>0</v>
      </c>
      <c r="AU17" s="23">
        <f>SUM(AU5:AU16)</f>
        <v>0</v>
      </c>
      <c r="AV17" s="23">
        <f>SUM(AV5:AV16)</f>
        <v>0</v>
      </c>
      <c r="AW17" s="23">
        <f>SUM(AW5:AW16)</f>
        <v>0</v>
      </c>
      <c r="AX17" s="23">
        <f>SUM(AX5:AX16)</f>
        <v>0</v>
      </c>
      <c r="AY17" s="23">
        <f>SUM(AY5:AY16)</f>
        <v>0</v>
      </c>
      <c r="AZ17" s="23">
        <f>SUM(AZ5:AZ16)</f>
        <v>0</v>
      </c>
      <c r="BA17" s="23">
        <f>SUM(BA5:BA16)</f>
        <v>0</v>
      </c>
      <c r="BB17" s="23">
        <f>SUM(BB5:BB16)</f>
        <v>0</v>
      </c>
      <c r="BC17" s="23">
        <f>SUM(BC5:BC16)</f>
        <v>0</v>
      </c>
      <c r="BD17" s="23">
        <f>SUM(BD5:BD16)</f>
        <v>0</v>
      </c>
      <c r="BE17" s="23">
        <f>SUM(BE5:BE16)</f>
        <v>0</v>
      </c>
      <c r="BF17" s="23">
        <f>SUM(BF5:BF16)</f>
        <v>0</v>
      </c>
      <c r="BG17" s="23">
        <f>SUM(BG5:BG16)</f>
        <v>0</v>
      </c>
      <c r="BH17" s="23">
        <f>SUM(BH5:BH16)</f>
        <v>0</v>
      </c>
      <c r="BI17" s="23">
        <f>SUM(BI5:BI16)</f>
        <v>0</v>
      </c>
      <c r="BJ17" s="23">
        <f>SUM(BJ5:BJ16)</f>
        <v>0</v>
      </c>
      <c r="BK17" s="23">
        <f>SUM(BK5:BK16)</f>
        <v>0</v>
      </c>
      <c r="BL17" s="23">
        <f>SUM(BL5:BL16)</f>
        <v>0</v>
      </c>
      <c r="BM17" s="23">
        <f>SUM(BM5:BM16)</f>
        <v>0</v>
      </c>
      <c r="BN17" s="23">
        <f>SUM(BN5:BN16)</f>
        <v>0</v>
      </c>
      <c r="BO17" s="23">
        <f>SUM(BO5:BO16)</f>
        <v>0</v>
      </c>
      <c r="BP17" s="23">
        <f>SUM(BP5:BP16)</f>
        <v>0</v>
      </c>
      <c r="BQ17" s="23">
        <f>SUM(BQ5:BQ16)</f>
        <v>0</v>
      </c>
      <c r="BR17" s="23">
        <f>SUM(BR5:BR16)</f>
        <v>0</v>
      </c>
      <c r="BS17" s="23">
        <f>SUM(BS5:BS16)</f>
        <v>0</v>
      </c>
      <c r="BT17" s="23">
        <f>SUM(BT5:BT16)</f>
        <v>0</v>
      </c>
      <c r="BU17" s="23">
        <f>SUM(BU5:BU16)</f>
        <v>0</v>
      </c>
      <c r="BV17" s="23">
        <f>SUM(BV5:BV16)</f>
        <v>0</v>
      </c>
      <c r="BW17" s="23">
        <f>SUM(BW5:BW16)</f>
        <v>0</v>
      </c>
      <c r="BX17" s="23">
        <f>SUM(BX5:BX16)</f>
        <v>0</v>
      </c>
      <c r="BY17" s="23">
        <f>SUM(BY5:BY16)</f>
        <v>0</v>
      </c>
      <c r="BZ17" s="23">
        <f>SUM(BZ5:BZ16)</f>
        <v>0</v>
      </c>
      <c r="CA17" s="23">
        <f>SUM(CA5:CA16)</f>
        <v>0</v>
      </c>
      <c r="CB17" s="23">
        <f>SUM(CB5:CB16)</f>
        <v>0</v>
      </c>
      <c r="CC17" s="23">
        <f>SUM(CC5:CC16)</f>
        <v>0</v>
      </c>
      <c r="CD17" s="23">
        <f>SUM(CD5:CD16)</f>
        <v>0</v>
      </c>
      <c r="CE17" s="23">
        <f>SUM(CE5:CE16)</f>
        <v>0</v>
      </c>
      <c r="CF17" s="23">
        <f>SUM(CF5:CF16)</f>
        <v>0</v>
      </c>
      <c r="CG17" s="23">
        <f>SUM(CG5:CG16)</f>
        <v>0</v>
      </c>
      <c r="CH17" s="23">
        <f>SUM(CH5:CH16)</f>
        <v>0</v>
      </c>
      <c r="CI17" s="23">
        <f>SUM(CI5:CI16)</f>
        <v>0</v>
      </c>
      <c r="CJ17" s="23">
        <f>SUM(CJ5:CJ16)</f>
        <v>0</v>
      </c>
      <c r="CK17" s="23">
        <f>SUM(CK5:CK16)</f>
        <v>0</v>
      </c>
      <c r="CL17" s="23">
        <f>SUM(CL5:CL16)</f>
        <v>0</v>
      </c>
      <c r="CM17" s="23">
        <f>SUM(CM5:CM16)</f>
        <v>0</v>
      </c>
      <c r="CN17" s="23">
        <f>SUM(CN5:CN16)</f>
        <v>0</v>
      </c>
      <c r="CO17" s="23">
        <f>SUM(CO5:CO16)</f>
        <v>0</v>
      </c>
      <c r="CP17" s="23">
        <f>SUM(CP5:CP16)</f>
        <v>0</v>
      </c>
      <c r="CQ17" s="23">
        <f>SUM(CQ5:CQ16)</f>
        <v>0</v>
      </c>
      <c r="CR17" s="23">
        <f>SUM(CR5:CR16)</f>
        <v>0</v>
      </c>
      <c r="CS17" s="23">
        <f>SUM(CS5:CS16)</f>
        <v>0</v>
      </c>
      <c r="CT17" s="23">
        <f>SUM(CT5:CT16)</f>
        <v>0</v>
      </c>
      <c r="CU17" s="23">
        <f>SUM(CU5:CU16)</f>
        <v>0</v>
      </c>
      <c r="CV17" s="23">
        <f>SUM(CV5:CV16)</f>
        <v>0</v>
      </c>
      <c r="CW17" s="23">
        <f>SUM(CW5:CW16)</f>
        <v>0</v>
      </c>
      <c r="CX17" s="23">
        <f>SUM(CX5:CX16)</f>
        <v>0</v>
      </c>
      <c r="CY17" s="23">
        <f>SUM(CY5:CY16)</f>
        <v>0</v>
      </c>
      <c r="CZ17" s="23">
        <f>SUM(CZ5:CZ16)</f>
        <v>0</v>
      </c>
      <c r="DA17" s="23">
        <f>SUM(DA5:DA16)</f>
        <v>0</v>
      </c>
      <c r="DB17" s="23">
        <f>SUM(DB5:DB16)</f>
        <v>0</v>
      </c>
      <c r="DC17" s="23">
        <f>SUM(DC5:DC16)</f>
        <v>0</v>
      </c>
      <c r="DD17" s="23">
        <f>SUM(DD5:DD16)</f>
        <v>0</v>
      </c>
      <c r="DE17" s="23">
        <f>SUM(DE5:DE16)</f>
        <v>0</v>
      </c>
      <c r="DF17" s="23">
        <f>SUM(DF5:DF16)</f>
        <v>0</v>
      </c>
      <c r="DG17" s="23">
        <f>SUM(DG5:DG16)</f>
        <v>0</v>
      </c>
      <c r="DH17" s="23">
        <f>SUM(DH5:DH16)</f>
        <v>0</v>
      </c>
      <c r="DI17" s="23">
        <f>SUM(DI5:DI16)</f>
        <v>0</v>
      </c>
      <c r="DJ17" s="23">
        <f>SUM(DJ5:DJ16)</f>
        <v>0</v>
      </c>
      <c r="DK17" s="23">
        <f>SUM(DK5:DK16)</f>
        <v>0</v>
      </c>
      <c r="DL17" s="23">
        <f>SUM(DL5:DL16)</f>
        <v>0</v>
      </c>
      <c r="DM17" s="23">
        <f>SUM(DM5:DM16)</f>
        <v>0</v>
      </c>
      <c r="DN17" s="23">
        <f>SUM(DN5:DN16)</f>
        <v>0</v>
      </c>
      <c r="DO17" s="23">
        <f>SUM(DO5:DO16)</f>
        <v>0</v>
      </c>
      <c r="DP17" s="23">
        <f>SUM(DP5:DP16)</f>
        <v>0</v>
      </c>
      <c r="DQ17" s="23">
        <f>SUM(DQ5:DQ16)</f>
        <v>0</v>
      </c>
      <c r="DR17" s="23">
        <f>SUM(DR5:DR16)</f>
        <v>0</v>
      </c>
      <c r="DS17" s="23">
        <f>SUM(DS5:DS16)</f>
        <v>0</v>
      </c>
      <c r="DT17" s="23">
        <f>SUM(DT5:DT16)</f>
        <v>0</v>
      </c>
      <c r="DU17" s="23">
        <f>SUM(DU5:DU16)</f>
        <v>0</v>
      </c>
      <c r="DV17" s="23">
        <f>SUM(DV5:DV16)</f>
        <v>0</v>
      </c>
      <c r="DW17" s="23">
        <f>SUM(DW5:DW16)</f>
        <v>0</v>
      </c>
      <c r="DX17" s="23">
        <f>SUM(DX5:DX16)</f>
        <v>0</v>
      </c>
      <c r="DY17" s="23">
        <f>SUM(DY5:DY16)</f>
        <v>0</v>
      </c>
      <c r="DZ17" s="23">
        <f t="shared" ref="DZ17:EL17" si="29">SUM(DZ5:DZ16)</f>
        <v>0</v>
      </c>
      <c r="EA17" s="23">
        <f t="shared" si="29"/>
        <v>0</v>
      </c>
      <c r="EB17" s="23">
        <f t="shared" si="29"/>
        <v>0</v>
      </c>
      <c r="EC17" s="23">
        <f t="shared" si="29"/>
        <v>0</v>
      </c>
      <c r="ED17" s="23">
        <f t="shared" si="29"/>
        <v>0</v>
      </c>
      <c r="EE17" s="23">
        <f t="shared" si="29"/>
        <v>0</v>
      </c>
      <c r="EF17" s="23">
        <f t="shared" si="29"/>
        <v>0</v>
      </c>
      <c r="EG17" s="23">
        <f t="shared" si="29"/>
        <v>0</v>
      </c>
      <c r="EH17" s="23">
        <f t="shared" si="29"/>
        <v>0</v>
      </c>
      <c r="EI17" s="23">
        <f t="shared" si="29"/>
        <v>0</v>
      </c>
      <c r="EJ17" s="23">
        <f t="shared" si="29"/>
        <v>0</v>
      </c>
      <c r="EK17" s="23">
        <f t="shared" si="29"/>
        <v>0</v>
      </c>
      <c r="EL17" s="23">
        <f t="shared" si="29"/>
        <v>0</v>
      </c>
    </row>
    <row r="18" spans="2:142" x14ac:dyDescent="0.45">
      <c r="D18" s="402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</row>
    <row r="20" spans="2:142" x14ac:dyDescent="0.45">
      <c r="E20" s="1"/>
      <c r="F20" s="1"/>
    </row>
    <row r="21" spans="2:142" x14ac:dyDescent="0.45">
      <c r="E21" s="1"/>
      <c r="F21" s="1"/>
    </row>
    <row r="22" spans="2:142" x14ac:dyDescent="0.45">
      <c r="E22" s="1"/>
      <c r="F22" s="1"/>
    </row>
    <row r="23" spans="2:142" x14ac:dyDescent="0.45">
      <c r="E23" s="1"/>
      <c r="F23" s="1"/>
    </row>
    <row r="24" spans="2:142" x14ac:dyDescent="0.45">
      <c r="E24" s="1"/>
      <c r="F24" s="1"/>
    </row>
    <row r="25" spans="2:142" x14ac:dyDescent="0.45">
      <c r="E25" s="1"/>
      <c r="F25" s="1"/>
    </row>
    <row r="26" spans="2:142" x14ac:dyDescent="0.45">
      <c r="E26" s="1"/>
      <c r="F26" s="1"/>
    </row>
    <row r="27" spans="2:142" x14ac:dyDescent="0.45">
      <c r="E27" s="1"/>
      <c r="F27" s="1"/>
    </row>
    <row r="28" spans="2:142" x14ac:dyDescent="0.45">
      <c r="E28" s="1"/>
      <c r="F28" s="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C7B4-9DE4-4E8B-B56A-AEE296178E0E}">
  <dimension ref="B8:Q132"/>
  <sheetViews>
    <sheetView showGridLines="0" workbookViewId="0">
      <selection activeCell="N2" sqref="N2"/>
    </sheetView>
  </sheetViews>
  <sheetFormatPr defaultColWidth="9.1328125" defaultRowHeight="12.75" x14ac:dyDescent="0.35"/>
  <cols>
    <col min="1" max="1" width="9.1328125" style="30"/>
    <col min="2" max="2" width="38.1328125" style="30" customWidth="1"/>
    <col min="3" max="15" width="9.1328125" style="30"/>
    <col min="16" max="16" width="14.796875" style="30" customWidth="1"/>
    <col min="17" max="17" width="27.53125" style="30" customWidth="1"/>
    <col min="18" max="16384" width="9.1328125" style="30"/>
  </cols>
  <sheetData>
    <row r="8" spans="2:17" ht="25.5" x14ac:dyDescent="0.75">
      <c r="B8" s="29" t="s">
        <v>36</v>
      </c>
    </row>
    <row r="9" spans="2:17" ht="14.25" x14ac:dyDescent="0.45">
      <c r="B9" s="31">
        <v>45717</v>
      </c>
    </row>
    <row r="11" spans="2:17" ht="15.75" x14ac:dyDescent="0.5">
      <c r="P11" s="32" t="s">
        <v>37</v>
      </c>
      <c r="Q11" s="32" t="s">
        <v>36</v>
      </c>
    </row>
    <row r="12" spans="2:17" ht="14.25" x14ac:dyDescent="0.45">
      <c r="O12" s="39">
        <f>EOMONTH(P12,0)</f>
        <v>45747</v>
      </c>
      <c r="P12" s="33">
        <v>45727</v>
      </c>
      <c r="Q12" s="34">
        <v>4.3301699999999999E-2</v>
      </c>
    </row>
    <row r="13" spans="2:17" ht="14.25" x14ac:dyDescent="0.45">
      <c r="O13" s="39">
        <f t="shared" ref="O13:O76" si="0">EOMONTH(P13,0)</f>
        <v>45777</v>
      </c>
      <c r="P13" s="35">
        <v>45758</v>
      </c>
      <c r="Q13" s="36">
        <v>4.3052899999999998E-2</v>
      </c>
    </row>
    <row r="14" spans="2:17" ht="14.25" x14ac:dyDescent="0.45">
      <c r="O14" s="39">
        <f t="shared" si="0"/>
        <v>45808</v>
      </c>
      <c r="P14" s="33">
        <v>45789</v>
      </c>
      <c r="Q14" s="34">
        <v>4.2218499999999999E-2</v>
      </c>
    </row>
    <row r="15" spans="2:17" ht="14.25" x14ac:dyDescent="0.45">
      <c r="O15" s="39">
        <f t="shared" si="0"/>
        <v>45838</v>
      </c>
      <c r="P15" s="35">
        <v>45819</v>
      </c>
      <c r="Q15" s="36">
        <v>4.1257700000000001E-2</v>
      </c>
    </row>
    <row r="16" spans="2:17" ht="14.25" x14ac:dyDescent="0.45">
      <c r="O16" s="39">
        <f t="shared" si="0"/>
        <v>45869</v>
      </c>
      <c r="P16" s="33">
        <v>45849</v>
      </c>
      <c r="Q16" s="34">
        <v>4.0362500000000003E-2</v>
      </c>
    </row>
    <row r="17" spans="15:17" ht="14.25" x14ac:dyDescent="0.45">
      <c r="O17" s="39">
        <f t="shared" si="0"/>
        <v>45900</v>
      </c>
      <c r="P17" s="35">
        <v>45880</v>
      </c>
      <c r="Q17" s="36">
        <v>3.9592599999999999E-2</v>
      </c>
    </row>
    <row r="18" spans="15:17" ht="14.25" x14ac:dyDescent="0.45">
      <c r="O18" s="39">
        <f t="shared" si="0"/>
        <v>45930</v>
      </c>
      <c r="P18" s="33">
        <v>45911</v>
      </c>
      <c r="Q18" s="34">
        <v>3.8102499999999997E-2</v>
      </c>
    </row>
    <row r="19" spans="15:17" ht="14.25" x14ac:dyDescent="0.45">
      <c r="O19" s="39">
        <f t="shared" si="0"/>
        <v>45961</v>
      </c>
      <c r="P19" s="35">
        <v>45944</v>
      </c>
      <c r="Q19" s="36">
        <v>3.78538E-2</v>
      </c>
    </row>
    <row r="20" spans="15:17" ht="14.25" x14ac:dyDescent="0.45">
      <c r="O20" s="39">
        <f t="shared" si="0"/>
        <v>45991</v>
      </c>
      <c r="P20" s="33">
        <v>45973</v>
      </c>
      <c r="Q20" s="34">
        <v>3.7851799999999998E-2</v>
      </c>
    </row>
    <row r="21" spans="15:17" ht="14.25" x14ac:dyDescent="0.45">
      <c r="O21" s="39">
        <f t="shared" si="0"/>
        <v>46022</v>
      </c>
      <c r="P21" s="35">
        <v>46002</v>
      </c>
      <c r="Q21" s="36">
        <v>3.6711399999999998E-2</v>
      </c>
    </row>
    <row r="22" spans="15:17" ht="14.25" x14ac:dyDescent="0.45">
      <c r="O22" s="39">
        <f t="shared" si="0"/>
        <v>46053</v>
      </c>
      <c r="P22" s="33">
        <v>46034</v>
      </c>
      <c r="Q22" s="34">
        <v>3.6445499999999999E-2</v>
      </c>
    </row>
    <row r="23" spans="15:17" ht="14.25" x14ac:dyDescent="0.45">
      <c r="O23" s="39">
        <f t="shared" si="0"/>
        <v>46081</v>
      </c>
      <c r="P23" s="35">
        <v>46064</v>
      </c>
      <c r="Q23" s="36">
        <v>3.644E-2</v>
      </c>
    </row>
    <row r="24" spans="15:17" ht="14.25" x14ac:dyDescent="0.45">
      <c r="O24" s="39">
        <f t="shared" si="0"/>
        <v>46112</v>
      </c>
      <c r="P24" s="33">
        <v>46092</v>
      </c>
      <c r="Q24" s="34">
        <v>3.5883900000000003E-2</v>
      </c>
    </row>
    <row r="25" spans="15:17" ht="14.25" x14ac:dyDescent="0.45">
      <c r="O25" s="39">
        <f t="shared" si="0"/>
        <v>46142</v>
      </c>
      <c r="P25" s="35">
        <v>46125</v>
      </c>
      <c r="Q25" s="36">
        <v>3.5726399999999998E-2</v>
      </c>
    </row>
    <row r="26" spans="15:17" ht="14.25" x14ac:dyDescent="0.45">
      <c r="O26" s="39">
        <f t="shared" si="0"/>
        <v>46173</v>
      </c>
      <c r="P26" s="33">
        <v>46153</v>
      </c>
      <c r="Q26" s="34">
        <v>3.5728200000000002E-2</v>
      </c>
    </row>
    <row r="27" spans="15:17" ht="14.25" x14ac:dyDescent="0.45">
      <c r="O27" s="39">
        <f t="shared" si="0"/>
        <v>46203</v>
      </c>
      <c r="P27" s="35">
        <v>46184</v>
      </c>
      <c r="Q27" s="36">
        <v>3.5572600000000003E-2</v>
      </c>
    </row>
    <row r="28" spans="15:17" ht="14.25" x14ac:dyDescent="0.45">
      <c r="O28" s="39">
        <f t="shared" si="0"/>
        <v>46234</v>
      </c>
      <c r="P28" s="33">
        <v>46216</v>
      </c>
      <c r="Q28" s="34">
        <v>3.5496800000000002E-2</v>
      </c>
    </row>
    <row r="29" spans="15:17" ht="14.25" x14ac:dyDescent="0.45">
      <c r="O29" s="39">
        <f t="shared" si="0"/>
        <v>46265</v>
      </c>
      <c r="P29" s="35">
        <v>46245</v>
      </c>
      <c r="Q29" s="36">
        <v>3.5473600000000001E-2</v>
      </c>
    </row>
    <row r="30" spans="15:17" ht="14.25" x14ac:dyDescent="0.45">
      <c r="O30" s="39">
        <f t="shared" si="0"/>
        <v>46295</v>
      </c>
      <c r="P30" s="33">
        <v>46276</v>
      </c>
      <c r="Q30" s="34">
        <v>3.5467800000000001E-2</v>
      </c>
    </row>
    <row r="31" spans="15:17" ht="14.25" x14ac:dyDescent="0.45">
      <c r="O31" s="39">
        <f t="shared" si="0"/>
        <v>46326</v>
      </c>
      <c r="P31" s="35">
        <v>46308</v>
      </c>
      <c r="Q31" s="36">
        <v>3.54767E-2</v>
      </c>
    </row>
    <row r="32" spans="15:17" ht="14.25" x14ac:dyDescent="0.45">
      <c r="O32" s="39">
        <f t="shared" si="0"/>
        <v>46356</v>
      </c>
      <c r="P32" s="33">
        <v>46338</v>
      </c>
      <c r="Q32" s="34">
        <v>3.5506299999999998E-2</v>
      </c>
    </row>
    <row r="33" spans="2:17" ht="14.25" x14ac:dyDescent="0.45">
      <c r="O33" s="39">
        <f t="shared" si="0"/>
        <v>46387</v>
      </c>
      <c r="P33" s="35">
        <v>46367</v>
      </c>
      <c r="Q33" s="36">
        <v>3.5545899999999998E-2</v>
      </c>
    </row>
    <row r="34" spans="2:17" ht="14.25" x14ac:dyDescent="0.45">
      <c r="O34" s="39">
        <f t="shared" si="0"/>
        <v>46418</v>
      </c>
      <c r="P34" s="33">
        <v>46398</v>
      </c>
      <c r="Q34" s="34">
        <v>3.5608000000000001E-2</v>
      </c>
    </row>
    <row r="35" spans="2:17" ht="14.25" x14ac:dyDescent="0.45">
      <c r="B35" s="37" t="s">
        <v>38</v>
      </c>
      <c r="O35" s="39">
        <f t="shared" si="0"/>
        <v>46446</v>
      </c>
      <c r="P35" s="35">
        <v>46429</v>
      </c>
      <c r="Q35" s="36">
        <v>3.5678099999999997E-2</v>
      </c>
    </row>
    <row r="36" spans="2:17" ht="14.25" x14ac:dyDescent="0.45">
      <c r="B36" s="38" t="s">
        <v>39</v>
      </c>
      <c r="O36" s="39">
        <f t="shared" si="0"/>
        <v>46477</v>
      </c>
      <c r="P36" s="33">
        <v>46457</v>
      </c>
      <c r="Q36" s="34">
        <v>3.5775300000000003E-2</v>
      </c>
    </row>
    <row r="37" spans="2:17" ht="14.25" x14ac:dyDescent="0.45">
      <c r="O37" s="39">
        <f t="shared" si="0"/>
        <v>46507</v>
      </c>
      <c r="P37" s="35">
        <v>46489</v>
      </c>
      <c r="Q37" s="36">
        <v>3.5866599999999998E-2</v>
      </c>
    </row>
    <row r="38" spans="2:17" ht="14.25" x14ac:dyDescent="0.45">
      <c r="O38" s="39">
        <f t="shared" si="0"/>
        <v>46538</v>
      </c>
      <c r="P38" s="33">
        <v>46518</v>
      </c>
      <c r="Q38" s="34">
        <v>3.5957900000000001E-2</v>
      </c>
    </row>
    <row r="39" spans="2:17" ht="14.25" x14ac:dyDescent="0.45">
      <c r="O39" s="39">
        <f t="shared" si="0"/>
        <v>46568</v>
      </c>
      <c r="P39" s="35">
        <v>46549</v>
      </c>
      <c r="Q39" s="36">
        <v>3.6051E-2</v>
      </c>
    </row>
    <row r="40" spans="2:17" ht="14.25" x14ac:dyDescent="0.45">
      <c r="O40" s="39">
        <f t="shared" si="0"/>
        <v>46599</v>
      </c>
      <c r="P40" s="33">
        <v>46580</v>
      </c>
      <c r="Q40" s="34">
        <v>3.61432E-2</v>
      </c>
    </row>
    <row r="41" spans="2:17" ht="14.25" x14ac:dyDescent="0.45">
      <c r="O41" s="39">
        <f t="shared" si="0"/>
        <v>46630</v>
      </c>
      <c r="P41" s="35">
        <v>46610</v>
      </c>
      <c r="Q41" s="36">
        <v>3.6238100000000002E-2</v>
      </c>
    </row>
    <row r="42" spans="2:17" ht="14.25" x14ac:dyDescent="0.45">
      <c r="O42" s="39">
        <f t="shared" si="0"/>
        <v>46660</v>
      </c>
      <c r="P42" s="33">
        <v>46643</v>
      </c>
      <c r="Q42" s="34">
        <v>3.6324500000000003E-2</v>
      </c>
    </row>
    <row r="43" spans="2:17" ht="14.25" x14ac:dyDescent="0.45">
      <c r="O43" s="39">
        <f t="shared" si="0"/>
        <v>46691</v>
      </c>
      <c r="P43" s="35">
        <v>46672</v>
      </c>
      <c r="Q43" s="36">
        <v>3.6411399999999997E-2</v>
      </c>
    </row>
    <row r="44" spans="2:17" ht="14.25" x14ac:dyDescent="0.45">
      <c r="O44" s="39">
        <f t="shared" si="0"/>
        <v>46721</v>
      </c>
      <c r="P44" s="33">
        <v>46703</v>
      </c>
      <c r="Q44" s="34">
        <v>3.6499999999999998E-2</v>
      </c>
    </row>
    <row r="45" spans="2:17" ht="14.25" x14ac:dyDescent="0.45">
      <c r="O45" s="39">
        <f t="shared" si="0"/>
        <v>46752</v>
      </c>
      <c r="P45" s="35">
        <v>46734</v>
      </c>
      <c r="Q45" s="36">
        <v>3.6587700000000001E-2</v>
      </c>
    </row>
    <row r="46" spans="2:17" ht="14.25" x14ac:dyDescent="0.45">
      <c r="O46" s="39">
        <f t="shared" si="0"/>
        <v>46783</v>
      </c>
      <c r="P46" s="33">
        <v>46763</v>
      </c>
      <c r="Q46" s="34">
        <v>3.6668899999999997E-2</v>
      </c>
    </row>
    <row r="47" spans="2:17" ht="14.25" x14ac:dyDescent="0.45">
      <c r="O47" s="39">
        <f t="shared" si="0"/>
        <v>46812</v>
      </c>
      <c r="P47" s="35">
        <v>46794</v>
      </c>
      <c r="Q47" s="36">
        <v>3.6754799999999997E-2</v>
      </c>
    </row>
    <row r="48" spans="2:17" ht="14.25" x14ac:dyDescent="0.45">
      <c r="O48" s="39">
        <f t="shared" si="0"/>
        <v>46843</v>
      </c>
      <c r="P48" s="33">
        <v>46825</v>
      </c>
      <c r="Q48" s="34">
        <v>3.6839299999999998E-2</v>
      </c>
    </row>
    <row r="49" spans="15:17" ht="14.25" x14ac:dyDescent="0.45">
      <c r="O49" s="39">
        <f t="shared" si="0"/>
        <v>46873</v>
      </c>
      <c r="P49" s="35">
        <v>46854</v>
      </c>
      <c r="Q49" s="36">
        <v>3.6912300000000002E-2</v>
      </c>
    </row>
    <row r="50" spans="15:17" ht="14.25" x14ac:dyDescent="0.45">
      <c r="O50" s="39">
        <f t="shared" si="0"/>
        <v>46904</v>
      </c>
      <c r="P50" s="33">
        <v>46884</v>
      </c>
      <c r="Q50" s="34">
        <v>3.6993999999999999E-2</v>
      </c>
    </row>
    <row r="51" spans="15:17" ht="14.25" x14ac:dyDescent="0.45">
      <c r="O51" s="39">
        <f t="shared" si="0"/>
        <v>46934</v>
      </c>
      <c r="P51" s="35">
        <v>46916</v>
      </c>
      <c r="Q51" s="36">
        <v>3.7064399999999997E-2</v>
      </c>
    </row>
    <row r="52" spans="15:17" ht="14.25" x14ac:dyDescent="0.45">
      <c r="O52" s="39">
        <f t="shared" si="0"/>
        <v>46965</v>
      </c>
      <c r="P52" s="33">
        <v>46945</v>
      </c>
      <c r="Q52" s="34">
        <v>3.71335E-2</v>
      </c>
    </row>
    <row r="53" spans="15:17" ht="14.25" x14ac:dyDescent="0.45">
      <c r="O53" s="39">
        <f t="shared" si="0"/>
        <v>46996</v>
      </c>
      <c r="P53" s="35">
        <v>46976</v>
      </c>
      <c r="Q53" s="36">
        <v>3.7200499999999997E-2</v>
      </c>
    </row>
    <row r="54" spans="15:17" ht="14.25" x14ac:dyDescent="0.45">
      <c r="O54" s="39">
        <f t="shared" si="0"/>
        <v>47026</v>
      </c>
      <c r="P54" s="33">
        <v>47007</v>
      </c>
      <c r="Q54" s="34">
        <v>3.7261000000000002E-2</v>
      </c>
    </row>
    <row r="55" spans="15:17" ht="14.25" x14ac:dyDescent="0.45">
      <c r="O55" s="39">
        <f t="shared" si="0"/>
        <v>47057</v>
      </c>
      <c r="P55" s="35">
        <v>47037</v>
      </c>
      <c r="Q55" s="36">
        <v>3.7327300000000001E-2</v>
      </c>
    </row>
    <row r="56" spans="15:17" ht="14.25" x14ac:dyDescent="0.45">
      <c r="O56" s="39">
        <f t="shared" si="0"/>
        <v>47087</v>
      </c>
      <c r="P56" s="33">
        <v>47070</v>
      </c>
      <c r="Q56" s="34">
        <v>3.7378399999999999E-2</v>
      </c>
    </row>
    <row r="57" spans="15:17" ht="14.25" x14ac:dyDescent="0.45">
      <c r="O57" s="39">
        <f t="shared" si="0"/>
        <v>47118</v>
      </c>
      <c r="P57" s="35">
        <v>47098</v>
      </c>
      <c r="Q57" s="36">
        <v>3.7428400000000001E-2</v>
      </c>
    </row>
    <row r="58" spans="15:17" ht="14.25" x14ac:dyDescent="0.45">
      <c r="O58" s="39">
        <f t="shared" si="0"/>
        <v>47149</v>
      </c>
      <c r="P58" s="33">
        <v>47129</v>
      </c>
      <c r="Q58" s="34">
        <v>3.7479899999999997E-2</v>
      </c>
    </row>
    <row r="59" spans="15:17" ht="14.25" x14ac:dyDescent="0.45">
      <c r="O59" s="39">
        <f t="shared" si="0"/>
        <v>47177</v>
      </c>
      <c r="P59" s="35">
        <v>47161</v>
      </c>
      <c r="Q59" s="36">
        <v>3.7515800000000002E-2</v>
      </c>
    </row>
    <row r="60" spans="15:17" ht="14.25" x14ac:dyDescent="0.45">
      <c r="O60" s="39">
        <f t="shared" si="0"/>
        <v>47208</v>
      </c>
      <c r="P60" s="33">
        <v>47189</v>
      </c>
      <c r="Q60" s="34">
        <v>3.7561900000000002E-2</v>
      </c>
    </row>
    <row r="61" spans="15:17" ht="14.25" x14ac:dyDescent="0.45">
      <c r="O61" s="39">
        <f t="shared" si="0"/>
        <v>47238</v>
      </c>
      <c r="P61" s="35">
        <v>47219</v>
      </c>
      <c r="Q61" s="36">
        <v>3.7599800000000003E-2</v>
      </c>
    </row>
    <row r="62" spans="15:17" ht="14.25" x14ac:dyDescent="0.45">
      <c r="O62" s="39">
        <f t="shared" si="0"/>
        <v>47269</v>
      </c>
      <c r="P62" s="33">
        <v>47249</v>
      </c>
      <c r="Q62" s="34">
        <v>3.7643299999999998E-2</v>
      </c>
    </row>
    <row r="63" spans="15:17" ht="14.25" x14ac:dyDescent="0.45">
      <c r="O63" s="39">
        <f t="shared" si="0"/>
        <v>47299</v>
      </c>
      <c r="P63" s="35">
        <v>47280</v>
      </c>
      <c r="Q63" s="36">
        <v>3.76832E-2</v>
      </c>
    </row>
    <row r="64" spans="15:17" ht="14.25" x14ac:dyDescent="0.45">
      <c r="O64" s="39">
        <f t="shared" si="0"/>
        <v>47330</v>
      </c>
      <c r="P64" s="33">
        <v>47310</v>
      </c>
      <c r="Q64" s="34">
        <v>3.7732599999999998E-2</v>
      </c>
    </row>
    <row r="65" spans="15:17" ht="14.25" x14ac:dyDescent="0.45">
      <c r="O65" s="39">
        <f t="shared" si="0"/>
        <v>47361</v>
      </c>
      <c r="P65" s="35">
        <v>47343</v>
      </c>
      <c r="Q65" s="36">
        <v>3.7773099999999997E-2</v>
      </c>
    </row>
    <row r="66" spans="15:17" ht="14.25" x14ac:dyDescent="0.45">
      <c r="O66" s="39">
        <f t="shared" si="0"/>
        <v>47391</v>
      </c>
      <c r="P66" s="33">
        <v>47372</v>
      </c>
      <c r="Q66" s="34">
        <v>3.7810999999999997E-2</v>
      </c>
    </row>
    <row r="67" spans="15:17" ht="14.25" x14ac:dyDescent="0.45">
      <c r="O67" s="39">
        <f t="shared" si="0"/>
        <v>47422</v>
      </c>
      <c r="P67" s="35">
        <v>47402</v>
      </c>
      <c r="Q67" s="36">
        <v>3.7861300000000001E-2</v>
      </c>
    </row>
    <row r="68" spans="15:17" ht="14.25" x14ac:dyDescent="0.45">
      <c r="O68" s="39">
        <f t="shared" si="0"/>
        <v>47452</v>
      </c>
      <c r="P68" s="33">
        <v>47435</v>
      </c>
      <c r="Q68" s="34">
        <v>3.7900000000000003E-2</v>
      </c>
    </row>
    <row r="69" spans="15:17" ht="14.25" x14ac:dyDescent="0.45">
      <c r="O69" s="39">
        <f t="shared" si="0"/>
        <v>47483</v>
      </c>
      <c r="P69" s="35">
        <v>47463</v>
      </c>
      <c r="Q69" s="36">
        <v>3.7942700000000003E-2</v>
      </c>
    </row>
    <row r="70" spans="15:17" ht="14.25" x14ac:dyDescent="0.45">
      <c r="O70" s="39">
        <f t="shared" si="0"/>
        <v>47514</v>
      </c>
      <c r="P70" s="33">
        <v>47494</v>
      </c>
      <c r="Q70" s="34">
        <v>3.7987199999999999E-2</v>
      </c>
    </row>
    <row r="71" spans="15:17" ht="14.25" x14ac:dyDescent="0.45">
      <c r="O71" s="39">
        <f t="shared" si="0"/>
        <v>47542</v>
      </c>
      <c r="P71" s="35">
        <v>47525</v>
      </c>
      <c r="Q71" s="36">
        <v>3.8023800000000003E-2</v>
      </c>
    </row>
    <row r="72" spans="15:17" ht="14.25" x14ac:dyDescent="0.45">
      <c r="O72" s="39">
        <f t="shared" si="0"/>
        <v>47573</v>
      </c>
      <c r="P72" s="33">
        <v>47553</v>
      </c>
      <c r="Q72" s="34">
        <v>3.8072599999999998E-2</v>
      </c>
    </row>
    <row r="73" spans="15:17" ht="14.25" x14ac:dyDescent="0.45">
      <c r="O73" s="39">
        <f t="shared" si="0"/>
        <v>47603</v>
      </c>
      <c r="P73" s="35">
        <v>47584</v>
      </c>
      <c r="Q73" s="36">
        <v>3.8119599999999997E-2</v>
      </c>
    </row>
    <row r="74" spans="15:17" ht="14.25" x14ac:dyDescent="0.45">
      <c r="O74" s="39">
        <f t="shared" si="0"/>
        <v>47634</v>
      </c>
      <c r="P74" s="33">
        <v>47616</v>
      </c>
      <c r="Q74" s="34">
        <v>3.8161800000000003E-2</v>
      </c>
    </row>
    <row r="75" spans="15:17" ht="14.25" x14ac:dyDescent="0.45">
      <c r="O75" s="39">
        <f t="shared" si="0"/>
        <v>47664</v>
      </c>
      <c r="P75" s="35">
        <v>47645</v>
      </c>
      <c r="Q75" s="36">
        <v>3.81991E-2</v>
      </c>
    </row>
    <row r="76" spans="15:17" ht="14.25" x14ac:dyDescent="0.45">
      <c r="O76" s="39">
        <f t="shared" si="0"/>
        <v>47695</v>
      </c>
      <c r="P76" s="33">
        <v>47675</v>
      </c>
      <c r="Q76" s="34">
        <v>3.82452E-2</v>
      </c>
    </row>
    <row r="77" spans="15:17" ht="14.25" x14ac:dyDescent="0.45">
      <c r="O77" s="39">
        <f t="shared" ref="O77:O132" si="1">EOMONTH(P77,0)</f>
        <v>47726</v>
      </c>
      <c r="P77" s="35">
        <v>47707</v>
      </c>
      <c r="Q77" s="36">
        <v>3.8285199999999998E-2</v>
      </c>
    </row>
    <row r="78" spans="15:17" ht="14.25" x14ac:dyDescent="0.45">
      <c r="O78" s="39">
        <f t="shared" si="1"/>
        <v>47756</v>
      </c>
      <c r="P78" s="33">
        <v>47737</v>
      </c>
      <c r="Q78" s="34">
        <v>3.83217E-2</v>
      </c>
    </row>
    <row r="79" spans="15:17" ht="14.25" x14ac:dyDescent="0.45">
      <c r="O79" s="39">
        <f t="shared" si="1"/>
        <v>47787</v>
      </c>
      <c r="P79" s="35">
        <v>47767</v>
      </c>
      <c r="Q79" s="36">
        <v>3.83656E-2</v>
      </c>
    </row>
    <row r="80" spans="15:17" ht="14.25" x14ac:dyDescent="0.45">
      <c r="O80" s="39">
        <f t="shared" si="1"/>
        <v>47817</v>
      </c>
      <c r="P80" s="33">
        <v>47799</v>
      </c>
      <c r="Q80" s="34">
        <v>3.84006E-2</v>
      </c>
    </row>
    <row r="81" spans="15:17" ht="14.25" x14ac:dyDescent="0.45">
      <c r="O81" s="39">
        <f t="shared" si="1"/>
        <v>47848</v>
      </c>
      <c r="P81" s="35">
        <v>47828</v>
      </c>
      <c r="Q81" s="36">
        <v>3.8444399999999997E-2</v>
      </c>
    </row>
    <row r="82" spans="15:17" ht="14.25" x14ac:dyDescent="0.45">
      <c r="O82" s="39">
        <f t="shared" si="1"/>
        <v>47879</v>
      </c>
      <c r="P82" s="33">
        <v>47861</v>
      </c>
      <c r="Q82" s="34">
        <v>3.8479100000000002E-2</v>
      </c>
    </row>
    <row r="83" spans="15:17" ht="14.25" x14ac:dyDescent="0.45">
      <c r="O83" s="39">
        <f t="shared" si="1"/>
        <v>47907</v>
      </c>
      <c r="P83" s="35">
        <v>47890</v>
      </c>
      <c r="Q83" s="36">
        <v>3.8505600000000001E-2</v>
      </c>
    </row>
    <row r="84" spans="15:17" ht="14.25" x14ac:dyDescent="0.45">
      <c r="O84" s="39">
        <f t="shared" si="1"/>
        <v>47938</v>
      </c>
      <c r="P84" s="33">
        <v>47918</v>
      </c>
      <c r="Q84" s="34">
        <v>3.8553999999999998E-2</v>
      </c>
    </row>
    <row r="85" spans="15:17" ht="14.25" x14ac:dyDescent="0.45">
      <c r="O85" s="39">
        <f t="shared" si="1"/>
        <v>47968</v>
      </c>
      <c r="P85" s="35">
        <v>47952</v>
      </c>
      <c r="Q85" s="36">
        <v>3.8582199999999997E-2</v>
      </c>
    </row>
    <row r="86" spans="15:17" ht="14.25" x14ac:dyDescent="0.45">
      <c r="O86" s="39">
        <f t="shared" si="1"/>
        <v>47999</v>
      </c>
      <c r="P86" s="33">
        <v>47980</v>
      </c>
      <c r="Q86" s="34">
        <v>3.86161E-2</v>
      </c>
    </row>
    <row r="87" spans="15:17" ht="14.25" x14ac:dyDescent="0.45">
      <c r="O87" s="39">
        <f t="shared" si="1"/>
        <v>48029</v>
      </c>
      <c r="P87" s="35">
        <v>48010</v>
      </c>
      <c r="Q87" s="36">
        <v>3.8646199999999999E-2</v>
      </c>
    </row>
    <row r="88" spans="15:17" ht="14.25" x14ac:dyDescent="0.45">
      <c r="O88" s="39">
        <f t="shared" si="1"/>
        <v>48060</v>
      </c>
      <c r="P88" s="33">
        <v>48040</v>
      </c>
      <c r="Q88" s="34">
        <v>3.8680899999999997E-2</v>
      </c>
    </row>
    <row r="89" spans="15:17" ht="14.25" x14ac:dyDescent="0.45">
      <c r="O89" s="39">
        <f t="shared" si="1"/>
        <v>48091</v>
      </c>
      <c r="P89" s="35">
        <v>48071</v>
      </c>
      <c r="Q89" s="36">
        <v>3.8713200000000003E-2</v>
      </c>
    </row>
    <row r="90" spans="15:17" ht="14.25" x14ac:dyDescent="0.45">
      <c r="O90" s="39">
        <f t="shared" si="1"/>
        <v>48121</v>
      </c>
      <c r="P90" s="33">
        <v>48102</v>
      </c>
      <c r="Q90" s="34">
        <v>3.875E-2</v>
      </c>
    </row>
    <row r="91" spans="15:17" ht="14.25" x14ac:dyDescent="0.45">
      <c r="O91" s="39">
        <f t="shared" si="1"/>
        <v>48152</v>
      </c>
      <c r="P91" s="35">
        <v>48135</v>
      </c>
      <c r="Q91" s="36">
        <v>3.8777699999999998E-2</v>
      </c>
    </row>
    <row r="92" spans="15:17" ht="14.25" x14ac:dyDescent="0.45">
      <c r="O92" s="39">
        <f t="shared" si="1"/>
        <v>48182</v>
      </c>
      <c r="P92" s="33">
        <v>48164</v>
      </c>
      <c r="Q92" s="34">
        <v>3.8803200000000003E-2</v>
      </c>
    </row>
    <row r="93" spans="15:17" ht="14.25" x14ac:dyDescent="0.45">
      <c r="O93" s="39">
        <f t="shared" si="1"/>
        <v>48213</v>
      </c>
      <c r="P93" s="35">
        <v>48193</v>
      </c>
      <c r="Q93" s="36">
        <v>3.8835799999999997E-2</v>
      </c>
    </row>
    <row r="94" spans="15:17" ht="14.25" x14ac:dyDescent="0.45">
      <c r="O94" s="39">
        <f t="shared" si="1"/>
        <v>48244</v>
      </c>
      <c r="P94" s="33">
        <v>48225</v>
      </c>
      <c r="Q94" s="34">
        <v>3.8862800000000003E-2</v>
      </c>
    </row>
    <row r="95" spans="15:17" ht="14.25" x14ac:dyDescent="0.45">
      <c r="O95" s="39">
        <f t="shared" si="1"/>
        <v>48273</v>
      </c>
      <c r="P95" s="35">
        <v>48255</v>
      </c>
      <c r="Q95" s="36">
        <v>3.8884700000000001E-2</v>
      </c>
    </row>
    <row r="96" spans="15:17" ht="14.25" x14ac:dyDescent="0.45">
      <c r="O96" s="39">
        <f t="shared" si="1"/>
        <v>48304</v>
      </c>
      <c r="P96" s="33">
        <v>48284</v>
      </c>
      <c r="Q96" s="34">
        <v>3.8917899999999998E-2</v>
      </c>
    </row>
    <row r="97" spans="15:17" ht="14.25" x14ac:dyDescent="0.45">
      <c r="O97" s="39">
        <f t="shared" si="1"/>
        <v>48334</v>
      </c>
      <c r="P97" s="35">
        <v>48316</v>
      </c>
      <c r="Q97" s="36">
        <v>3.8941400000000001E-2</v>
      </c>
    </row>
    <row r="98" spans="15:17" ht="14.25" x14ac:dyDescent="0.45">
      <c r="O98" s="39">
        <f t="shared" si="1"/>
        <v>48365</v>
      </c>
      <c r="P98" s="33">
        <v>48345</v>
      </c>
      <c r="Q98" s="34">
        <v>3.8970400000000002E-2</v>
      </c>
    </row>
    <row r="99" spans="15:17" ht="14.25" x14ac:dyDescent="0.45">
      <c r="O99" s="39">
        <f t="shared" si="1"/>
        <v>48395</v>
      </c>
      <c r="P99" s="35">
        <v>48376</v>
      </c>
      <c r="Q99" s="36">
        <v>3.8999300000000001E-2</v>
      </c>
    </row>
    <row r="100" spans="15:17" ht="14.25" x14ac:dyDescent="0.45">
      <c r="O100" s="39">
        <f t="shared" si="1"/>
        <v>48426</v>
      </c>
      <c r="P100" s="33">
        <v>48407</v>
      </c>
      <c r="Q100" s="34">
        <v>3.9028599999999997E-2</v>
      </c>
    </row>
    <row r="101" spans="15:17" ht="14.25" x14ac:dyDescent="0.45">
      <c r="O101" s="39">
        <f t="shared" si="1"/>
        <v>48457</v>
      </c>
      <c r="P101" s="35">
        <v>48437</v>
      </c>
      <c r="Q101" s="36">
        <v>3.9062800000000002E-2</v>
      </c>
    </row>
    <row r="102" spans="15:17" ht="14.25" x14ac:dyDescent="0.45">
      <c r="O102" s="39">
        <f t="shared" si="1"/>
        <v>48487</v>
      </c>
      <c r="P102" s="33">
        <v>48470</v>
      </c>
      <c r="Q102" s="34">
        <v>3.9087499999999997E-2</v>
      </c>
    </row>
    <row r="103" spans="15:17" ht="14.25" x14ac:dyDescent="0.45">
      <c r="O103" s="39">
        <f t="shared" si="1"/>
        <v>48518</v>
      </c>
      <c r="P103" s="35">
        <v>48499</v>
      </c>
      <c r="Q103" s="36">
        <v>3.9119099999999997E-2</v>
      </c>
    </row>
    <row r="104" spans="15:17" ht="14.25" x14ac:dyDescent="0.45">
      <c r="O104" s="39">
        <f t="shared" si="1"/>
        <v>48548</v>
      </c>
      <c r="P104" s="33">
        <v>48530</v>
      </c>
      <c r="Q104" s="34">
        <v>3.9150699999999997E-2</v>
      </c>
    </row>
    <row r="105" spans="15:17" ht="14.25" x14ac:dyDescent="0.45">
      <c r="O105" s="39">
        <f t="shared" si="1"/>
        <v>48579</v>
      </c>
      <c r="P105" s="35">
        <v>48561</v>
      </c>
      <c r="Q105" s="36">
        <v>3.91829E-2</v>
      </c>
    </row>
    <row r="106" spans="15:17" ht="14.25" x14ac:dyDescent="0.45">
      <c r="O106" s="39">
        <f t="shared" si="1"/>
        <v>48610</v>
      </c>
      <c r="P106" s="33">
        <v>48590</v>
      </c>
      <c r="Q106" s="34">
        <v>3.9213499999999998E-2</v>
      </c>
    </row>
    <row r="107" spans="15:17" ht="14.25" x14ac:dyDescent="0.45">
      <c r="O107" s="39">
        <f t="shared" si="1"/>
        <v>48638</v>
      </c>
      <c r="P107" s="35">
        <v>48621</v>
      </c>
      <c r="Q107" s="36">
        <v>3.9238700000000001E-2</v>
      </c>
    </row>
    <row r="108" spans="15:17" ht="14.25" x14ac:dyDescent="0.45">
      <c r="O108" s="39">
        <f t="shared" si="1"/>
        <v>48669</v>
      </c>
      <c r="P108" s="33">
        <v>48649</v>
      </c>
      <c r="Q108" s="34">
        <v>3.9277300000000001E-2</v>
      </c>
    </row>
    <row r="109" spans="15:17" ht="14.25" x14ac:dyDescent="0.45">
      <c r="O109" s="39">
        <f t="shared" si="1"/>
        <v>48699</v>
      </c>
      <c r="P109" s="35">
        <v>48680</v>
      </c>
      <c r="Q109" s="36">
        <v>3.9308900000000001E-2</v>
      </c>
    </row>
    <row r="110" spans="15:17" ht="14.25" x14ac:dyDescent="0.45">
      <c r="O110" s="39">
        <f t="shared" si="1"/>
        <v>48730</v>
      </c>
      <c r="P110" s="33">
        <v>48710</v>
      </c>
      <c r="Q110" s="34">
        <v>3.9350799999999998E-2</v>
      </c>
    </row>
    <row r="111" spans="15:17" ht="14.25" x14ac:dyDescent="0.45">
      <c r="O111" s="39">
        <f t="shared" si="1"/>
        <v>48760</v>
      </c>
      <c r="P111" s="35">
        <v>48743</v>
      </c>
      <c r="Q111" s="36">
        <v>3.93803E-2</v>
      </c>
    </row>
    <row r="112" spans="15:17" ht="14.25" x14ac:dyDescent="0.45">
      <c r="O112" s="39">
        <f t="shared" si="1"/>
        <v>48791</v>
      </c>
      <c r="P112" s="33">
        <v>48771</v>
      </c>
      <c r="Q112" s="34">
        <v>3.9415600000000002E-2</v>
      </c>
    </row>
    <row r="113" spans="15:17" ht="14.25" x14ac:dyDescent="0.45">
      <c r="O113" s="39">
        <f t="shared" si="1"/>
        <v>48822</v>
      </c>
      <c r="P113" s="35">
        <v>48802</v>
      </c>
      <c r="Q113" s="36">
        <v>3.9454799999999998E-2</v>
      </c>
    </row>
    <row r="114" spans="15:17" ht="14.25" x14ac:dyDescent="0.45">
      <c r="O114" s="39">
        <f t="shared" si="1"/>
        <v>48852</v>
      </c>
      <c r="P114" s="33">
        <v>48834</v>
      </c>
      <c r="Q114" s="34">
        <v>3.9487599999999998E-2</v>
      </c>
    </row>
    <row r="115" spans="15:17" ht="14.25" x14ac:dyDescent="0.45">
      <c r="O115" s="39">
        <f t="shared" si="1"/>
        <v>48883</v>
      </c>
      <c r="P115" s="35">
        <v>48863</v>
      </c>
      <c r="Q115" s="36">
        <v>3.9533899999999997E-2</v>
      </c>
    </row>
    <row r="116" spans="15:17" ht="14.25" x14ac:dyDescent="0.45">
      <c r="O116" s="39">
        <f t="shared" si="1"/>
        <v>48913</v>
      </c>
      <c r="P116" s="33">
        <v>48897</v>
      </c>
      <c r="Q116" s="34">
        <v>3.9564700000000001E-2</v>
      </c>
    </row>
    <row r="117" spans="15:17" ht="14.25" x14ac:dyDescent="0.45">
      <c r="O117" s="39">
        <f t="shared" si="1"/>
        <v>48944</v>
      </c>
      <c r="P117" s="35">
        <v>48925</v>
      </c>
      <c r="Q117" s="36">
        <v>3.9602499999999999E-2</v>
      </c>
    </row>
    <row r="118" spans="15:17" ht="14.25" x14ac:dyDescent="0.45">
      <c r="O118" s="39">
        <f t="shared" si="1"/>
        <v>48975</v>
      </c>
      <c r="P118" s="33">
        <v>48955</v>
      </c>
      <c r="Q118" s="34">
        <v>3.9646199999999999E-2</v>
      </c>
    </row>
    <row r="119" spans="15:17" ht="14.25" x14ac:dyDescent="0.45">
      <c r="O119" s="39">
        <f t="shared" si="1"/>
        <v>49003</v>
      </c>
      <c r="P119" s="35">
        <v>48988</v>
      </c>
      <c r="Q119" s="36">
        <v>3.9674500000000001E-2</v>
      </c>
    </row>
    <row r="120" spans="15:17" ht="14.25" x14ac:dyDescent="0.45">
      <c r="O120" s="39">
        <f t="shared" si="1"/>
        <v>49034</v>
      </c>
      <c r="P120" s="33">
        <v>49016</v>
      </c>
      <c r="Q120" s="34">
        <v>3.9719499999999998E-2</v>
      </c>
    </row>
    <row r="121" spans="15:17" ht="14.25" x14ac:dyDescent="0.45">
      <c r="O121" s="39">
        <f t="shared" si="1"/>
        <v>49064</v>
      </c>
      <c r="P121" s="35">
        <v>49045</v>
      </c>
      <c r="Q121" s="36">
        <v>3.9754999999999999E-2</v>
      </c>
    </row>
    <row r="122" spans="15:17" ht="14.25" x14ac:dyDescent="0.45">
      <c r="O122" s="39">
        <f t="shared" si="1"/>
        <v>49095</v>
      </c>
      <c r="P122" s="33">
        <v>49075</v>
      </c>
      <c r="Q122" s="34">
        <v>3.9800799999999997E-2</v>
      </c>
    </row>
    <row r="123" spans="15:17" ht="14.25" x14ac:dyDescent="0.45">
      <c r="O123" s="39">
        <f t="shared" si="1"/>
        <v>49125</v>
      </c>
      <c r="P123" s="35">
        <v>49107</v>
      </c>
      <c r="Q123" s="36">
        <v>3.9838499999999999E-2</v>
      </c>
    </row>
    <row r="124" spans="15:17" ht="14.25" x14ac:dyDescent="0.45">
      <c r="O124" s="39">
        <f t="shared" si="1"/>
        <v>49156</v>
      </c>
      <c r="P124" s="33">
        <v>49136</v>
      </c>
      <c r="Q124" s="34">
        <v>3.9881199999999999E-2</v>
      </c>
    </row>
    <row r="125" spans="15:17" ht="14.25" x14ac:dyDescent="0.45">
      <c r="O125" s="39">
        <f t="shared" si="1"/>
        <v>49187</v>
      </c>
      <c r="P125" s="35">
        <v>49167</v>
      </c>
      <c r="Q125" s="36">
        <v>3.9924300000000003E-2</v>
      </c>
    </row>
    <row r="126" spans="15:17" ht="14.25" x14ac:dyDescent="0.45">
      <c r="O126" s="39">
        <f t="shared" si="1"/>
        <v>49217</v>
      </c>
      <c r="P126" s="33">
        <v>49198</v>
      </c>
      <c r="Q126" s="34">
        <v>3.9965100000000003E-2</v>
      </c>
    </row>
    <row r="127" spans="15:17" ht="14.25" x14ac:dyDescent="0.45">
      <c r="O127" s="39">
        <f t="shared" si="1"/>
        <v>49248</v>
      </c>
      <c r="P127" s="35">
        <v>49228</v>
      </c>
      <c r="Q127" s="36">
        <v>4.0016700000000002E-2</v>
      </c>
    </row>
    <row r="128" spans="15:17" ht="14.25" x14ac:dyDescent="0.45">
      <c r="O128" s="39">
        <f t="shared" si="1"/>
        <v>49278</v>
      </c>
      <c r="P128" s="33">
        <v>49261</v>
      </c>
      <c r="Q128" s="34">
        <v>4.0055599999999997E-2</v>
      </c>
    </row>
    <row r="129" spans="15:17" ht="14.25" x14ac:dyDescent="0.45">
      <c r="O129" s="39">
        <f t="shared" si="1"/>
        <v>49309</v>
      </c>
      <c r="P129" s="35">
        <v>49289</v>
      </c>
      <c r="Q129" s="36">
        <v>4.0099500000000003E-2</v>
      </c>
    </row>
    <row r="130" spans="15:17" ht="14.25" x14ac:dyDescent="0.45">
      <c r="O130" s="39">
        <f t="shared" si="1"/>
        <v>49340</v>
      </c>
      <c r="P130" s="33">
        <v>49320</v>
      </c>
      <c r="Q130" s="34">
        <v>4.0148400000000001E-2</v>
      </c>
    </row>
    <row r="131" spans="15:17" ht="14.25" x14ac:dyDescent="0.45">
      <c r="O131" s="39">
        <f t="shared" si="1"/>
        <v>49368</v>
      </c>
      <c r="P131" s="35">
        <v>49352</v>
      </c>
      <c r="Q131" s="36">
        <v>4.0184400000000002E-2</v>
      </c>
    </row>
    <row r="132" spans="15:17" ht="14.25" x14ac:dyDescent="0.45">
      <c r="O132" s="39">
        <f t="shared" si="1"/>
        <v>49399</v>
      </c>
      <c r="P132" s="33">
        <v>49380</v>
      </c>
      <c r="Q132" s="34">
        <v>4.02355E-2</v>
      </c>
    </row>
  </sheetData>
  <hyperlinks>
    <hyperlink ref="B36" r:id="rId1" tooltip="Click to visit Chatham Rates" xr:uid="{B4287C72-5160-44D9-A42B-09691F24896C}"/>
  </hyperlinks>
  <pageMargins left="0.75" right="0.75" top="1" bottom="1" header="0.5" footer="0.5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11d5f5-617b-4170-bdb2-6a7b987bb3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91E9700001A44BBC3F250C3173941C" ma:contentTypeVersion="9" ma:contentTypeDescription="Create a new document." ma:contentTypeScope="" ma:versionID="624dd1a0623154a0984c9fd419d1ddbf">
  <xsd:schema xmlns:xsd="http://www.w3.org/2001/XMLSchema" xmlns:xs="http://www.w3.org/2001/XMLSchema" xmlns:p="http://schemas.microsoft.com/office/2006/metadata/properties" xmlns:ns3="b511d5f5-617b-4170-bdb2-6a7b987bb3fe" xmlns:ns4="8c8aca48-4602-436a-bf2c-9c121a25d3fb" targetNamespace="http://schemas.microsoft.com/office/2006/metadata/properties" ma:root="true" ma:fieldsID="cb29f2105c96ee04321e06c47e584d7a" ns3:_="" ns4:_="">
    <xsd:import namespace="b511d5f5-617b-4170-bdb2-6a7b987bb3fe"/>
    <xsd:import namespace="8c8aca48-4602-436a-bf2c-9c121a25d3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1d5f5-617b-4170-bdb2-6a7b987bb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aca48-4602-436a-bf2c-9c121a25d3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56723B-CD4F-4123-B09B-3CA5AA1853B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511d5f5-617b-4170-bdb2-6a7b987bb3fe"/>
    <ds:schemaRef ds:uri="http://purl.org/dc/dcmitype/"/>
    <ds:schemaRef ds:uri="8c8aca48-4602-436a-bf2c-9c121a25d3fb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4B3E42A-27F2-4CC8-B4EE-5C7504303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1d5f5-617b-4170-bdb2-6a7b987bb3fe"/>
    <ds:schemaRef ds:uri="8c8aca48-4602-436a-bf2c-9c121a25d3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23EB91-A695-42EA-9197-FDE02BB337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Sheet4</vt:lpstr>
      <vt:lpstr>Diligence and Notes</vt:lpstr>
      <vt:lpstr>Underwriting Assumptions</vt:lpstr>
      <vt:lpstr>NOI</vt:lpstr>
      <vt:lpstr>Cash Flow and Exit</vt:lpstr>
      <vt:lpstr>Model</vt:lpstr>
      <vt:lpstr>Assumptions</vt:lpstr>
      <vt:lpstr>Rent Roll Model</vt:lpstr>
      <vt:lpstr>NOI Walk</vt:lpstr>
      <vt:lpstr>Debt Schedule</vt:lpstr>
      <vt:lpstr>Retail Assumptions</vt:lpstr>
      <vt:lpstr>Closing Costs</vt:lpstr>
      <vt:lpstr>Legal and Pre-Dev</vt:lpstr>
      <vt:lpstr>Reserves</vt:lpstr>
      <vt:lpstr>Hard Costs</vt:lpstr>
      <vt:lpstr>1-month Term SOFR</vt:lpstr>
      <vt:lpstr>'Diligence and Notes'!Print_Area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Cianci</dc:creator>
  <cp:lastModifiedBy>Matthew Cianci</cp:lastModifiedBy>
  <cp:lastPrinted>2025-05-12T20:17:53Z</cp:lastPrinted>
  <dcterms:created xsi:type="dcterms:W3CDTF">2024-03-30T16:21:25Z</dcterms:created>
  <dcterms:modified xsi:type="dcterms:W3CDTF">2025-05-29T08:01:03Z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Enabled">
    <vt:lpwstr>true</vt:lpwstr>
  </property>
  <property fmtid="{D5CDD505-2E9C-101B-9397-08002B2CF9AE}" pid="3" name="MSIP_Label_0c1e85bf-ac82-4d95-8ebe-b1488d74b05a_SetDate">
    <vt:lpwstr>2024-04-11T17:50:45Z</vt:lpwstr>
  </property>
  <property fmtid="{D5CDD505-2E9C-101B-9397-08002B2CF9AE}" pid="4" name="MSIP_Label_0c1e85bf-ac82-4d95-8ebe-b1488d74b05a_Method">
    <vt:lpwstr>Privileged</vt:lpwstr>
  </property>
  <property fmtid="{D5CDD505-2E9C-101B-9397-08002B2CF9AE}" pid="5" name="MSIP_Label_0c1e85bf-ac82-4d95-8ebe-b1488d74b05a_Name">
    <vt:lpwstr>0c1e85bf-ac82-4d95-8ebe-b1488d74b05a</vt:lpwstr>
  </property>
  <property fmtid="{D5CDD505-2E9C-101B-9397-08002B2CF9AE}" pid="6" name="MSIP_Label_0c1e85bf-ac82-4d95-8ebe-b1488d74b05a_SiteId">
    <vt:lpwstr>fb6ea403-7cf1-4905-810a-fe5547e98204</vt:lpwstr>
  </property>
  <property fmtid="{D5CDD505-2E9C-101B-9397-08002B2CF9AE}" pid="7" name="MSIP_Label_0c1e85bf-ac82-4d95-8ebe-b1488d74b05a_ActionId">
    <vt:lpwstr>02bff3dc-eeef-4cce-bd7f-7f15f1b61686</vt:lpwstr>
  </property>
  <property fmtid="{D5CDD505-2E9C-101B-9397-08002B2CF9AE}" pid="8" name="MSIP_Label_0c1e85bf-ac82-4d95-8ebe-b1488d74b05a_ContentBits">
    <vt:lpwstr>0</vt:lpwstr>
  </property>
  <property fmtid="{D5CDD505-2E9C-101B-9397-08002B2CF9AE}" pid="9" name="{A44787D4-0540-4523-9961-78E4036D8C6D}">
    <vt:lpwstr>{46C4E239-15FC-420A-B497-30D122CCC87F}</vt:lpwstr>
  </property>
  <property fmtid="{D5CDD505-2E9C-101B-9397-08002B2CF9AE}" pid="10" name="ContentTypeId">
    <vt:lpwstr>0x010100AF91E9700001A44BBC3F250C3173941C</vt:lpwstr>
  </property>
</Properties>
</file>